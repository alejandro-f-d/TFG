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5.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ustomProperty14.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Meine_Daten\Wissenschaft\Projekte\UEQ\Data_Analysis_Tool\"/>
    </mc:Choice>
  </mc:AlternateContent>
  <xr:revisionPtr revIDLastSave="0" documentId="13_ncr:1_{5A23B955-122C-4BC5-AFE8-2A6FE44662B7}" xr6:coauthVersionLast="47" xr6:coauthVersionMax="47" xr10:uidLastSave="{00000000-0000-0000-0000-000000000000}"/>
  <bookViews>
    <workbookView xWindow="2760" yWindow="612" windowWidth="20100" windowHeight="10068" tabRatio="897" xr2:uid="{00000000-000D-0000-FFFF-FFFF00000000}"/>
  </bookViews>
  <sheets>
    <sheet name="Read_First" sheetId="13" r:id="rId1"/>
    <sheet name="Data" sheetId="1" r:id="rId2"/>
    <sheet name="DT" sheetId="7" r:id="rId3"/>
    <sheet name="Results" sheetId="2" r:id="rId4"/>
    <sheet name="Confidence_Intervals" sheetId="3" r:id="rId5"/>
    <sheet name="Answer_Distributions" sheetId="18" r:id="rId6"/>
    <sheet name="Scale_Consistency" sheetId="4" r:id="rId7"/>
    <sheet name="Benchmark" sheetId="11" r:id="rId8"/>
    <sheet name="Inconsistencies" sheetId="14" r:id="rId9"/>
    <sheet name="Sample_Size" sheetId="15" r:id="rId10"/>
    <sheet name="KPI_Calculation" sheetId="16" r:id="rId11"/>
    <sheet name="Item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004" i="14" l="1"/>
  <c r="AK1003" i="14"/>
  <c r="AK1002" i="14"/>
  <c r="AK1001" i="14"/>
  <c r="AK1000" i="14"/>
  <c r="AK999" i="14"/>
  <c r="AK998" i="14"/>
  <c r="AK997" i="14"/>
  <c r="AK996" i="14"/>
  <c r="AK995" i="14"/>
  <c r="AK994" i="14"/>
  <c r="AK993" i="14"/>
  <c r="AK992" i="14"/>
  <c r="AK991" i="14"/>
  <c r="AK990" i="14"/>
  <c r="AK989" i="14"/>
  <c r="AK988" i="14"/>
  <c r="AK987" i="14"/>
  <c r="AK986" i="14"/>
  <c r="AK985" i="14"/>
  <c r="AK984" i="14"/>
  <c r="AK983" i="14"/>
  <c r="AK982" i="14"/>
  <c r="AK981" i="14"/>
  <c r="AK980" i="14"/>
  <c r="AK979" i="14"/>
  <c r="AK978" i="14"/>
  <c r="AK977" i="14"/>
  <c r="AK976" i="14"/>
  <c r="AK975" i="14"/>
  <c r="AK974" i="14"/>
  <c r="AK973" i="14"/>
  <c r="AK972" i="14"/>
  <c r="AK971" i="14"/>
  <c r="AK970" i="14"/>
  <c r="AK969" i="14"/>
  <c r="AK968" i="14"/>
  <c r="AK967" i="14"/>
  <c r="AK966" i="14"/>
  <c r="AK965" i="14"/>
  <c r="AK964" i="14"/>
  <c r="AK963" i="14"/>
  <c r="AK962" i="14"/>
  <c r="AK961" i="14"/>
  <c r="AK960" i="14"/>
  <c r="AK959" i="14"/>
  <c r="AK958" i="14"/>
  <c r="AK957" i="14"/>
  <c r="AK956" i="14"/>
  <c r="AK955" i="14"/>
  <c r="AK954" i="14"/>
  <c r="AK953" i="14"/>
  <c r="AK952" i="14"/>
  <c r="AK951" i="14"/>
  <c r="AK950" i="14"/>
  <c r="AK949" i="14"/>
  <c r="AK948" i="14"/>
  <c r="AK947" i="14"/>
  <c r="AK946" i="14"/>
  <c r="AK945" i="14"/>
  <c r="AK944" i="14"/>
  <c r="AK943" i="14"/>
  <c r="AK942" i="14"/>
  <c r="AK941" i="14"/>
  <c r="AK940" i="14"/>
  <c r="AK939" i="14"/>
  <c r="AK938" i="14"/>
  <c r="AK937" i="14"/>
  <c r="AK936" i="14"/>
  <c r="AK935" i="14"/>
  <c r="AK934" i="14"/>
  <c r="AK933" i="14"/>
  <c r="AK932" i="14"/>
  <c r="AK931" i="14"/>
  <c r="AK930" i="14"/>
  <c r="AK929" i="14"/>
  <c r="AK928" i="14"/>
  <c r="AK927" i="14"/>
  <c r="AK926" i="14"/>
  <c r="AK925" i="14"/>
  <c r="AK924" i="14"/>
  <c r="AK923" i="14"/>
  <c r="AK922" i="14"/>
  <c r="AK921" i="14"/>
  <c r="AK920" i="14"/>
  <c r="AK919" i="14"/>
  <c r="AK918" i="14"/>
  <c r="AK917" i="14"/>
  <c r="AK916" i="14"/>
  <c r="AK915" i="14"/>
  <c r="AK914" i="14"/>
  <c r="AK913" i="14"/>
  <c r="AK912" i="14"/>
  <c r="AK911" i="14"/>
  <c r="AK910" i="14"/>
  <c r="AK909" i="14"/>
  <c r="AK908" i="14"/>
  <c r="AK907" i="14"/>
  <c r="AK906" i="14"/>
  <c r="AK905" i="14"/>
  <c r="AK904" i="14"/>
  <c r="AK903" i="14"/>
  <c r="AK902" i="14"/>
  <c r="AK901" i="14"/>
  <c r="AK900" i="14"/>
  <c r="AK899" i="14"/>
  <c r="AK898" i="14"/>
  <c r="AK897" i="14"/>
  <c r="AK896" i="14"/>
  <c r="AK895" i="14"/>
  <c r="AK894" i="14"/>
  <c r="AK893" i="14"/>
  <c r="AK892" i="14"/>
  <c r="AK891" i="14"/>
  <c r="AK890" i="14"/>
  <c r="AK889" i="14"/>
  <c r="AK888" i="14"/>
  <c r="AK887" i="14"/>
  <c r="AK886" i="14"/>
  <c r="AK885" i="14"/>
  <c r="AK884" i="14"/>
  <c r="AK883" i="14"/>
  <c r="AK882" i="14"/>
  <c r="AK881" i="14"/>
  <c r="AK880" i="14"/>
  <c r="AK879" i="14"/>
  <c r="AK878" i="14"/>
  <c r="AK877" i="14"/>
  <c r="AK876" i="14"/>
  <c r="AK875" i="14"/>
  <c r="AK874" i="14"/>
  <c r="AK873" i="14"/>
  <c r="AK872" i="14"/>
  <c r="AK871" i="14"/>
  <c r="AK870" i="14"/>
  <c r="AK869" i="14"/>
  <c r="AK868" i="14"/>
  <c r="AK867" i="14"/>
  <c r="AK866" i="14"/>
  <c r="AK865" i="14"/>
  <c r="AK864" i="14"/>
  <c r="AK863" i="14"/>
  <c r="AK862" i="14"/>
  <c r="AK861" i="14"/>
  <c r="AK860" i="14"/>
  <c r="AK859" i="14"/>
  <c r="AK858" i="14"/>
  <c r="AK857" i="14"/>
  <c r="AK856" i="14"/>
  <c r="AK855" i="14"/>
  <c r="AK854" i="14"/>
  <c r="AK853" i="14"/>
  <c r="AK852" i="14"/>
  <c r="AK851" i="14"/>
  <c r="AK850" i="14"/>
  <c r="AK849" i="14"/>
  <c r="AK848" i="14"/>
  <c r="AK847" i="14"/>
  <c r="AK846" i="14"/>
  <c r="AK845" i="14"/>
  <c r="AK844" i="14"/>
  <c r="AK843" i="14"/>
  <c r="AK842" i="14"/>
  <c r="AK841" i="14"/>
  <c r="AK840" i="14"/>
  <c r="AK839" i="14"/>
  <c r="AK838" i="14"/>
  <c r="AK837" i="14"/>
  <c r="AK836" i="14"/>
  <c r="AK835" i="14"/>
  <c r="AK834" i="14"/>
  <c r="AK833" i="14"/>
  <c r="AK832" i="14"/>
  <c r="AK831" i="14"/>
  <c r="AK830" i="14"/>
  <c r="AK829" i="14"/>
  <c r="AK828" i="14"/>
  <c r="AK827" i="14"/>
  <c r="AK826" i="14"/>
  <c r="AK825" i="14"/>
  <c r="AK824" i="14"/>
  <c r="AK823" i="14"/>
  <c r="AK822" i="14"/>
  <c r="AK821" i="14"/>
  <c r="AK820" i="14"/>
  <c r="AK819" i="14"/>
  <c r="AK818" i="14"/>
  <c r="AK817" i="14"/>
  <c r="AK816" i="14"/>
  <c r="AK815" i="14"/>
  <c r="AK814" i="14"/>
  <c r="AK813" i="14"/>
  <c r="AK812" i="14"/>
  <c r="AK811" i="14"/>
  <c r="AK810" i="14"/>
  <c r="AK809" i="14"/>
  <c r="AK808" i="14"/>
  <c r="AK807" i="14"/>
  <c r="AK806" i="14"/>
  <c r="AK805" i="14"/>
  <c r="AK804" i="14"/>
  <c r="AK803" i="14"/>
  <c r="AK802" i="14"/>
  <c r="AK801" i="14"/>
  <c r="AK800" i="14"/>
  <c r="AK799" i="14"/>
  <c r="AK798" i="14"/>
  <c r="AK797" i="14"/>
  <c r="AK796" i="14"/>
  <c r="AK795" i="14"/>
  <c r="AK794" i="14"/>
  <c r="AK793" i="14"/>
  <c r="AK792" i="14"/>
  <c r="AK791" i="14"/>
  <c r="AK790" i="14"/>
  <c r="AK789" i="14"/>
  <c r="AK788" i="14"/>
  <c r="AK787" i="14"/>
  <c r="AK786" i="14"/>
  <c r="AK785" i="14"/>
  <c r="AK784" i="14"/>
  <c r="AK783" i="14"/>
  <c r="AK782" i="14"/>
  <c r="AK781" i="14"/>
  <c r="AK780" i="14"/>
  <c r="AK779" i="14"/>
  <c r="AK778" i="14"/>
  <c r="AK777" i="14"/>
  <c r="AK776" i="14"/>
  <c r="AK775" i="14"/>
  <c r="AK774" i="14"/>
  <c r="AK773" i="14"/>
  <c r="AK772" i="14"/>
  <c r="AK771" i="14"/>
  <c r="AK770" i="14"/>
  <c r="AK769" i="14"/>
  <c r="AK768" i="14"/>
  <c r="AK767" i="14"/>
  <c r="AK766" i="14"/>
  <c r="AK765" i="14"/>
  <c r="AK764" i="14"/>
  <c r="AK763" i="14"/>
  <c r="AK762" i="14"/>
  <c r="AK761" i="14"/>
  <c r="AK760" i="14"/>
  <c r="AK759" i="14"/>
  <c r="AK758" i="14"/>
  <c r="AK757" i="14"/>
  <c r="AK756" i="14"/>
  <c r="AK755" i="14"/>
  <c r="AK754" i="14"/>
  <c r="AK753" i="14"/>
  <c r="AK752" i="14"/>
  <c r="AK751" i="14"/>
  <c r="AK750" i="14"/>
  <c r="AK749" i="14"/>
  <c r="AK748" i="14"/>
  <c r="AK747" i="14"/>
  <c r="AK746" i="14"/>
  <c r="AK745" i="14"/>
  <c r="AK744" i="14"/>
  <c r="AK743" i="14"/>
  <c r="AK742" i="14"/>
  <c r="AK741" i="14"/>
  <c r="AK740" i="14"/>
  <c r="AK739" i="14"/>
  <c r="AK738" i="14"/>
  <c r="AK737" i="14"/>
  <c r="AK736" i="14"/>
  <c r="AK735" i="14"/>
  <c r="AK734" i="14"/>
  <c r="AK733" i="14"/>
  <c r="AK732" i="14"/>
  <c r="AK731" i="14"/>
  <c r="AK730" i="14"/>
  <c r="AK729" i="14"/>
  <c r="AK728" i="14"/>
  <c r="AK727" i="14"/>
  <c r="AK726" i="14"/>
  <c r="AK725" i="14"/>
  <c r="AK724" i="14"/>
  <c r="AK723" i="14"/>
  <c r="AK722" i="14"/>
  <c r="AK721" i="14"/>
  <c r="AK720" i="14"/>
  <c r="AK719" i="14"/>
  <c r="AK718" i="14"/>
  <c r="AK717" i="14"/>
  <c r="AK716" i="14"/>
  <c r="AK715" i="14"/>
  <c r="AK714" i="14"/>
  <c r="AK713" i="14"/>
  <c r="AK712" i="14"/>
  <c r="AK711" i="14"/>
  <c r="AK710" i="14"/>
  <c r="AK709" i="14"/>
  <c r="AK708" i="14"/>
  <c r="AK707" i="14"/>
  <c r="AK706" i="14"/>
  <c r="AK705" i="14"/>
  <c r="AK704" i="14"/>
  <c r="AK703" i="14"/>
  <c r="AK702" i="14"/>
  <c r="AK701" i="14"/>
  <c r="AK700" i="14"/>
  <c r="AK699" i="14"/>
  <c r="AK698" i="14"/>
  <c r="AK697" i="14"/>
  <c r="AK696" i="14"/>
  <c r="AK695" i="14"/>
  <c r="AK694" i="14"/>
  <c r="AK693" i="14"/>
  <c r="AK692" i="14"/>
  <c r="AK691" i="14"/>
  <c r="AK690" i="14"/>
  <c r="AK689" i="14"/>
  <c r="AK688" i="14"/>
  <c r="AK687" i="14"/>
  <c r="AK686" i="14"/>
  <c r="AK685" i="14"/>
  <c r="AK684" i="14"/>
  <c r="AK683" i="14"/>
  <c r="AK682" i="14"/>
  <c r="AK681" i="14"/>
  <c r="AK680" i="14"/>
  <c r="AK679" i="14"/>
  <c r="AK678" i="14"/>
  <c r="AK677" i="14"/>
  <c r="AK676" i="14"/>
  <c r="AK675" i="14"/>
  <c r="AK674" i="14"/>
  <c r="AK673" i="14"/>
  <c r="AK672" i="14"/>
  <c r="AK671" i="14"/>
  <c r="AK670" i="14"/>
  <c r="AK669" i="14"/>
  <c r="AK668" i="14"/>
  <c r="AK667" i="14"/>
  <c r="AK666" i="14"/>
  <c r="AK665" i="14"/>
  <c r="AK664" i="14"/>
  <c r="AK663" i="14"/>
  <c r="AK662" i="14"/>
  <c r="AK661" i="14"/>
  <c r="AK660" i="14"/>
  <c r="AK659" i="14"/>
  <c r="AK658" i="14"/>
  <c r="AK657" i="14"/>
  <c r="AK656" i="14"/>
  <c r="AK655" i="14"/>
  <c r="AK654" i="14"/>
  <c r="AK653" i="14"/>
  <c r="AK652" i="14"/>
  <c r="AK651" i="14"/>
  <c r="AK650" i="14"/>
  <c r="AK649" i="14"/>
  <c r="AK648" i="14"/>
  <c r="AK647" i="14"/>
  <c r="AK646" i="14"/>
  <c r="AK645" i="14"/>
  <c r="AK644" i="14"/>
  <c r="AK643" i="14"/>
  <c r="AK642" i="14"/>
  <c r="AK641" i="14"/>
  <c r="AK640" i="14"/>
  <c r="AK639" i="14"/>
  <c r="AK638" i="14"/>
  <c r="AK637" i="14"/>
  <c r="AK636" i="14"/>
  <c r="AK635" i="14"/>
  <c r="AK634" i="14"/>
  <c r="AK633" i="14"/>
  <c r="AK632" i="14"/>
  <c r="AK631" i="14"/>
  <c r="AK630" i="14"/>
  <c r="AK629" i="14"/>
  <c r="AK628" i="14"/>
  <c r="AK627" i="14"/>
  <c r="AK626" i="14"/>
  <c r="AK625" i="14"/>
  <c r="AK624" i="14"/>
  <c r="AK623" i="14"/>
  <c r="AK622" i="14"/>
  <c r="AK621" i="14"/>
  <c r="AK620" i="14"/>
  <c r="AK619" i="14"/>
  <c r="AK618" i="14"/>
  <c r="AK617" i="14"/>
  <c r="AK616" i="14"/>
  <c r="AK615" i="14"/>
  <c r="AK614" i="14"/>
  <c r="AK613" i="14"/>
  <c r="AK612" i="14"/>
  <c r="AK611" i="14"/>
  <c r="AK610" i="14"/>
  <c r="AK609" i="14"/>
  <c r="AK608" i="14"/>
  <c r="AK607" i="14"/>
  <c r="AK606" i="14"/>
  <c r="AK605" i="14"/>
  <c r="AK604" i="14"/>
  <c r="AK603" i="14"/>
  <c r="AK602" i="14"/>
  <c r="AK601" i="14"/>
  <c r="AK600" i="14"/>
  <c r="AK599" i="14"/>
  <c r="AK598" i="14"/>
  <c r="AK597" i="14"/>
  <c r="AK596" i="14"/>
  <c r="AK595" i="14"/>
  <c r="AK594" i="14"/>
  <c r="AK593" i="14"/>
  <c r="AK592" i="14"/>
  <c r="AK591" i="14"/>
  <c r="AK590" i="14"/>
  <c r="AK589" i="14"/>
  <c r="AK588" i="14"/>
  <c r="AK587" i="14"/>
  <c r="AK586" i="14"/>
  <c r="AK585" i="14"/>
  <c r="AK584" i="14"/>
  <c r="AK583" i="14"/>
  <c r="AK582" i="14"/>
  <c r="AK581" i="14"/>
  <c r="AK580" i="14"/>
  <c r="AK579" i="14"/>
  <c r="AK578" i="14"/>
  <c r="AK577" i="14"/>
  <c r="AK576" i="14"/>
  <c r="AK575" i="14"/>
  <c r="AK574" i="14"/>
  <c r="AK573" i="14"/>
  <c r="AK572" i="14"/>
  <c r="AK571" i="14"/>
  <c r="AK570" i="14"/>
  <c r="AK569" i="14"/>
  <c r="AK568" i="14"/>
  <c r="AK567" i="14"/>
  <c r="AK566" i="14"/>
  <c r="AK565" i="14"/>
  <c r="AK564" i="14"/>
  <c r="AK563" i="14"/>
  <c r="AK562" i="14"/>
  <c r="AK561" i="14"/>
  <c r="AK560" i="14"/>
  <c r="AK559" i="14"/>
  <c r="AK558" i="14"/>
  <c r="AK557" i="14"/>
  <c r="AK556" i="14"/>
  <c r="AK555" i="14"/>
  <c r="AK554" i="14"/>
  <c r="AK553" i="14"/>
  <c r="AK552" i="14"/>
  <c r="AK551" i="14"/>
  <c r="AK550" i="14"/>
  <c r="AK549" i="14"/>
  <c r="AK548" i="14"/>
  <c r="AK547" i="14"/>
  <c r="AK546" i="14"/>
  <c r="AK545" i="14"/>
  <c r="AK544" i="14"/>
  <c r="AK543" i="14"/>
  <c r="AK542" i="14"/>
  <c r="AK541" i="14"/>
  <c r="AK540" i="14"/>
  <c r="AK539" i="14"/>
  <c r="AK538" i="14"/>
  <c r="AK537" i="14"/>
  <c r="AK536" i="14"/>
  <c r="AK535" i="14"/>
  <c r="AK534" i="14"/>
  <c r="AK533" i="14"/>
  <c r="AK532" i="14"/>
  <c r="AK531" i="14"/>
  <c r="AK530" i="14"/>
  <c r="AK529" i="14"/>
  <c r="AK528" i="14"/>
  <c r="AK527" i="14"/>
  <c r="AK526" i="14"/>
  <c r="AK525" i="14"/>
  <c r="AK524" i="14"/>
  <c r="AK523" i="14"/>
  <c r="AK522" i="14"/>
  <c r="AK521" i="14"/>
  <c r="AK520" i="14"/>
  <c r="AK519" i="14"/>
  <c r="AK518" i="14"/>
  <c r="AK517" i="14"/>
  <c r="AK516" i="14"/>
  <c r="AK515" i="14"/>
  <c r="AK514" i="14"/>
  <c r="AK513" i="14"/>
  <c r="AK512" i="14"/>
  <c r="AK511" i="14"/>
  <c r="AK510" i="14"/>
  <c r="AK509" i="14"/>
  <c r="AK508" i="14"/>
  <c r="AK507" i="14"/>
  <c r="AK506" i="14"/>
  <c r="AK505" i="14"/>
  <c r="AK504" i="14"/>
  <c r="AK503" i="14"/>
  <c r="AK502" i="14"/>
  <c r="AK501" i="14"/>
  <c r="AK500" i="14"/>
  <c r="AK499" i="14"/>
  <c r="AK498" i="14"/>
  <c r="AK497" i="14"/>
  <c r="AK496" i="14"/>
  <c r="AK495" i="14"/>
  <c r="AK494" i="14"/>
  <c r="AK493" i="14"/>
  <c r="AK492" i="14"/>
  <c r="AK491" i="14"/>
  <c r="AK490" i="14"/>
  <c r="AK489" i="14"/>
  <c r="AK488" i="14"/>
  <c r="AK487" i="14"/>
  <c r="AK486" i="14"/>
  <c r="AK485" i="14"/>
  <c r="AK484" i="14"/>
  <c r="AK483" i="14"/>
  <c r="AK482" i="14"/>
  <c r="AK481" i="14"/>
  <c r="AK480" i="14"/>
  <c r="AK479" i="14"/>
  <c r="AK478" i="14"/>
  <c r="AK477" i="14"/>
  <c r="AK476" i="14"/>
  <c r="AK475" i="14"/>
  <c r="AK474" i="14"/>
  <c r="AK473" i="14"/>
  <c r="AK472" i="14"/>
  <c r="AK471" i="14"/>
  <c r="AK470" i="14"/>
  <c r="AK469" i="14"/>
  <c r="AK468" i="14"/>
  <c r="AK467" i="14"/>
  <c r="AK466" i="14"/>
  <c r="AK465" i="14"/>
  <c r="AK464" i="14"/>
  <c r="AK463" i="14"/>
  <c r="AK462" i="14"/>
  <c r="AK461" i="14"/>
  <c r="AK460" i="14"/>
  <c r="AK459" i="14"/>
  <c r="AK458" i="14"/>
  <c r="AK457" i="14"/>
  <c r="AK456" i="14"/>
  <c r="AK455" i="14"/>
  <c r="AK454" i="14"/>
  <c r="AK453" i="14"/>
  <c r="AK452" i="14"/>
  <c r="AK451" i="14"/>
  <c r="AK450" i="14"/>
  <c r="AK449" i="14"/>
  <c r="AK448" i="14"/>
  <c r="AK447" i="14"/>
  <c r="AK446" i="14"/>
  <c r="AK445" i="14"/>
  <c r="AK444" i="14"/>
  <c r="AK443" i="14"/>
  <c r="AK442" i="14"/>
  <c r="AK441" i="14"/>
  <c r="AK440" i="14"/>
  <c r="AK439" i="14"/>
  <c r="AK438" i="14"/>
  <c r="AK437" i="14"/>
  <c r="AK436" i="14"/>
  <c r="AK435" i="14"/>
  <c r="AK434" i="14"/>
  <c r="AK433" i="14"/>
  <c r="AK432" i="14"/>
  <c r="AK431" i="14"/>
  <c r="AK430" i="14"/>
  <c r="AK429" i="14"/>
  <c r="AK428" i="14"/>
  <c r="AK427" i="14"/>
  <c r="AK426" i="14"/>
  <c r="AK425" i="14"/>
  <c r="AK424" i="14"/>
  <c r="AK423" i="14"/>
  <c r="AK422" i="14"/>
  <c r="AK421" i="14"/>
  <c r="AK420" i="14"/>
  <c r="AK419" i="14"/>
  <c r="AK418" i="14"/>
  <c r="AK417" i="14"/>
  <c r="AK416" i="14"/>
  <c r="AK415" i="14"/>
  <c r="AK414" i="14"/>
  <c r="AK413" i="14"/>
  <c r="AK412" i="14"/>
  <c r="AK411" i="14"/>
  <c r="AK410" i="14"/>
  <c r="AK409" i="14"/>
  <c r="AK408" i="14"/>
  <c r="AK407" i="14"/>
  <c r="AK406" i="14"/>
  <c r="AK405" i="14"/>
  <c r="AK404" i="14"/>
  <c r="AK403" i="14"/>
  <c r="AK402" i="14"/>
  <c r="AK401" i="14"/>
  <c r="AK400" i="14"/>
  <c r="AK399" i="14"/>
  <c r="AK398" i="14"/>
  <c r="AK397" i="14"/>
  <c r="AK396" i="14"/>
  <c r="AK395" i="14"/>
  <c r="AK394" i="14"/>
  <c r="AK393" i="14"/>
  <c r="AK392" i="14"/>
  <c r="AK391" i="14"/>
  <c r="AK390" i="14"/>
  <c r="AK389" i="14"/>
  <c r="AK388" i="14"/>
  <c r="AK387" i="14"/>
  <c r="AK386" i="14"/>
  <c r="AK385" i="14"/>
  <c r="AK384" i="14"/>
  <c r="AK383" i="14"/>
  <c r="AK382" i="14"/>
  <c r="AK381" i="14"/>
  <c r="AK380" i="14"/>
  <c r="AK379" i="14"/>
  <c r="AK378" i="14"/>
  <c r="AK377" i="14"/>
  <c r="AK376" i="14"/>
  <c r="AK375" i="14"/>
  <c r="AK374" i="14"/>
  <c r="AK373" i="14"/>
  <c r="AK372" i="14"/>
  <c r="AK371" i="14"/>
  <c r="AK370" i="14"/>
  <c r="AK369" i="14"/>
  <c r="AK368" i="14"/>
  <c r="AK367" i="14"/>
  <c r="AK366" i="14"/>
  <c r="AK365" i="14"/>
  <c r="AK364" i="14"/>
  <c r="AK363" i="14"/>
  <c r="AK362" i="14"/>
  <c r="AK361" i="14"/>
  <c r="AK360" i="14"/>
  <c r="AK359" i="14"/>
  <c r="AK358" i="14"/>
  <c r="AK357" i="14"/>
  <c r="AK356" i="14"/>
  <c r="AK355" i="14"/>
  <c r="AK354" i="14"/>
  <c r="AK353" i="14"/>
  <c r="AK352" i="14"/>
  <c r="AK351" i="14"/>
  <c r="AK350" i="14"/>
  <c r="AK349" i="14"/>
  <c r="AK348" i="14"/>
  <c r="AK347" i="14"/>
  <c r="AK346" i="14"/>
  <c r="AK345" i="14"/>
  <c r="AK344" i="14"/>
  <c r="AK343" i="14"/>
  <c r="AK342" i="14"/>
  <c r="AK341" i="14"/>
  <c r="AK340" i="14"/>
  <c r="AK339" i="14"/>
  <c r="AK338" i="14"/>
  <c r="AK337" i="14"/>
  <c r="AK336" i="14"/>
  <c r="AK335" i="14"/>
  <c r="AK334" i="14"/>
  <c r="AK333" i="14"/>
  <c r="AK332" i="14"/>
  <c r="AK331" i="14"/>
  <c r="AK330" i="14"/>
  <c r="AK329" i="14"/>
  <c r="AK328" i="14"/>
  <c r="AK327" i="14"/>
  <c r="AK326" i="14"/>
  <c r="AK325" i="14"/>
  <c r="AK324" i="14"/>
  <c r="AK323" i="14"/>
  <c r="AK322" i="14"/>
  <c r="AK321" i="14"/>
  <c r="AK320" i="14"/>
  <c r="AK319" i="14"/>
  <c r="AK318" i="14"/>
  <c r="AK317" i="14"/>
  <c r="AK316" i="14"/>
  <c r="AK315" i="14"/>
  <c r="AK314" i="14"/>
  <c r="AK313" i="14"/>
  <c r="AK312" i="14"/>
  <c r="AK311" i="14"/>
  <c r="AK310" i="14"/>
  <c r="AK309" i="14"/>
  <c r="AK308" i="14"/>
  <c r="AK307" i="14"/>
  <c r="AK306" i="14"/>
  <c r="AK305" i="14"/>
  <c r="AK304" i="14"/>
  <c r="AK303" i="14"/>
  <c r="AK302" i="14"/>
  <c r="AK301" i="14"/>
  <c r="AK300" i="14"/>
  <c r="AK299" i="14"/>
  <c r="AK298" i="14"/>
  <c r="AK297" i="14"/>
  <c r="AK296" i="14"/>
  <c r="AK295" i="14"/>
  <c r="AK294" i="14"/>
  <c r="AK293" i="14"/>
  <c r="AK292" i="14"/>
  <c r="AK291" i="14"/>
  <c r="AK290" i="14"/>
  <c r="AK289" i="14"/>
  <c r="AK288" i="14"/>
  <c r="AK287" i="14"/>
  <c r="AK286" i="14"/>
  <c r="AK285" i="14"/>
  <c r="AK284" i="14"/>
  <c r="AK283" i="14"/>
  <c r="AK282" i="14"/>
  <c r="AK281" i="14"/>
  <c r="AK280" i="14"/>
  <c r="AK279" i="14"/>
  <c r="AK278" i="14"/>
  <c r="AK277" i="14"/>
  <c r="AK276" i="14"/>
  <c r="AK275" i="14"/>
  <c r="AK274" i="14"/>
  <c r="AK273" i="14"/>
  <c r="AK272" i="14"/>
  <c r="AK271" i="14"/>
  <c r="AK270" i="14"/>
  <c r="AK269" i="14"/>
  <c r="AK268" i="14"/>
  <c r="AK267" i="14"/>
  <c r="AK266" i="14"/>
  <c r="AK265" i="14"/>
  <c r="AK264" i="14"/>
  <c r="AK263" i="14"/>
  <c r="AK262" i="14"/>
  <c r="AK261" i="14"/>
  <c r="AK260" i="14"/>
  <c r="AK259" i="14"/>
  <c r="AK258" i="14"/>
  <c r="AK257" i="14"/>
  <c r="AK256" i="14"/>
  <c r="AK255" i="14"/>
  <c r="AK254" i="14"/>
  <c r="AK253" i="14"/>
  <c r="AK252" i="14"/>
  <c r="AK251" i="14"/>
  <c r="AK250" i="14"/>
  <c r="AK249" i="14"/>
  <c r="AK248" i="14"/>
  <c r="AK247" i="14"/>
  <c r="AK246" i="14"/>
  <c r="AK245" i="14"/>
  <c r="AK244" i="14"/>
  <c r="AK243" i="14"/>
  <c r="AK242" i="14"/>
  <c r="AK241" i="14"/>
  <c r="AK240" i="14"/>
  <c r="AK239" i="14"/>
  <c r="AK238" i="14"/>
  <c r="AK237" i="14"/>
  <c r="AK236" i="14"/>
  <c r="AK235" i="14"/>
  <c r="AK234" i="14"/>
  <c r="AK233" i="14"/>
  <c r="AK232" i="14"/>
  <c r="AK231" i="14"/>
  <c r="AK230" i="14"/>
  <c r="AK229" i="14"/>
  <c r="AK228" i="14"/>
  <c r="AK227" i="14"/>
  <c r="AK226" i="14"/>
  <c r="AK225" i="14"/>
  <c r="AK224" i="14"/>
  <c r="AK223" i="14"/>
  <c r="AK222" i="14"/>
  <c r="AK221" i="14"/>
  <c r="AK220" i="14"/>
  <c r="AK219" i="14"/>
  <c r="AK218" i="14"/>
  <c r="AK217" i="14"/>
  <c r="AK216" i="14"/>
  <c r="AK215" i="14"/>
  <c r="AK214" i="14"/>
  <c r="AK213" i="14"/>
  <c r="AK212" i="14"/>
  <c r="AK211" i="14"/>
  <c r="AK210" i="14"/>
  <c r="AK209" i="14"/>
  <c r="AK208" i="14"/>
  <c r="AK207" i="14"/>
  <c r="AK206" i="14"/>
  <c r="AK205" i="14"/>
  <c r="AK204" i="14"/>
  <c r="AK203" i="14"/>
  <c r="AK202" i="14"/>
  <c r="AK201" i="14"/>
  <c r="AK200" i="14"/>
  <c r="AK199" i="14"/>
  <c r="AK198" i="14"/>
  <c r="AK197" i="14"/>
  <c r="AK196" i="14"/>
  <c r="AK195" i="14"/>
  <c r="AK194" i="14"/>
  <c r="AK193" i="14"/>
  <c r="AK192" i="14"/>
  <c r="AK191" i="14"/>
  <c r="AK190" i="14"/>
  <c r="AK189" i="14"/>
  <c r="AK188" i="14"/>
  <c r="AK187" i="14"/>
  <c r="AK186" i="14"/>
  <c r="AK185" i="14"/>
  <c r="AK184" i="14"/>
  <c r="AK183" i="14"/>
  <c r="AK182" i="14"/>
  <c r="AK181" i="14"/>
  <c r="AK180" i="14"/>
  <c r="AK179" i="14"/>
  <c r="AK178" i="14"/>
  <c r="AK177" i="14"/>
  <c r="AK176" i="14"/>
  <c r="AK175" i="14"/>
  <c r="AK174" i="14"/>
  <c r="AK173" i="14"/>
  <c r="AK172" i="14"/>
  <c r="AK171" i="14"/>
  <c r="AK170" i="14"/>
  <c r="AK169" i="14"/>
  <c r="AK168" i="14"/>
  <c r="AK167" i="14"/>
  <c r="AK166" i="14"/>
  <c r="AK165" i="14"/>
  <c r="AK164" i="14"/>
  <c r="AK163" i="14"/>
  <c r="AK162" i="14"/>
  <c r="AK161" i="14"/>
  <c r="AK160" i="14"/>
  <c r="AK159" i="14"/>
  <c r="AK158" i="14"/>
  <c r="AK157" i="14"/>
  <c r="AK156" i="14"/>
  <c r="AK155" i="14"/>
  <c r="AK154" i="14"/>
  <c r="AK153" i="14"/>
  <c r="AK152" i="14"/>
  <c r="AK151" i="14"/>
  <c r="AK150" i="14"/>
  <c r="AK149" i="14"/>
  <c r="AK148" i="14"/>
  <c r="AK147" i="14"/>
  <c r="AK146" i="14"/>
  <c r="AK145" i="14"/>
  <c r="AK144" i="14"/>
  <c r="AK143" i="14"/>
  <c r="AK142" i="14"/>
  <c r="AK141" i="14"/>
  <c r="AK140" i="14"/>
  <c r="AK139" i="14"/>
  <c r="AK138" i="14"/>
  <c r="AK137" i="14"/>
  <c r="AK136" i="14"/>
  <c r="AK135" i="14"/>
  <c r="AK134" i="14"/>
  <c r="AK133" i="14"/>
  <c r="AK132" i="14"/>
  <c r="AK131" i="14"/>
  <c r="AK130" i="14"/>
  <c r="AK129" i="14"/>
  <c r="AK128" i="14"/>
  <c r="AK127" i="14"/>
  <c r="AK126" i="14"/>
  <c r="AK125" i="14"/>
  <c r="AK124" i="14"/>
  <c r="AK123" i="14"/>
  <c r="AK122" i="14"/>
  <c r="AK121" i="14"/>
  <c r="AK120" i="14"/>
  <c r="AK119" i="14"/>
  <c r="AK118" i="14"/>
  <c r="AK117" i="14"/>
  <c r="AK116" i="14"/>
  <c r="AK115" i="14"/>
  <c r="AK114" i="14"/>
  <c r="AK113" i="14"/>
  <c r="AK112" i="14"/>
  <c r="AK111" i="14"/>
  <c r="AK110" i="14"/>
  <c r="AK109" i="14"/>
  <c r="AK108" i="14"/>
  <c r="AK107" i="14"/>
  <c r="AK106" i="14"/>
  <c r="AK105" i="14"/>
  <c r="AK104" i="14"/>
  <c r="AK103" i="14"/>
  <c r="AK102" i="14"/>
  <c r="AK101" i="14"/>
  <c r="AK100" i="14"/>
  <c r="AK99" i="14"/>
  <c r="AK98" i="14"/>
  <c r="AK97" i="14"/>
  <c r="AK96" i="14"/>
  <c r="AK95" i="14"/>
  <c r="AK94" i="14"/>
  <c r="AK93" i="14"/>
  <c r="AK92" i="14"/>
  <c r="AK91" i="14"/>
  <c r="AK90" i="14"/>
  <c r="AK89" i="14"/>
  <c r="AK88" i="14"/>
  <c r="AK87" i="14"/>
  <c r="AK86" i="14"/>
  <c r="AK85" i="14"/>
  <c r="AK84" i="14"/>
  <c r="AK83" i="14"/>
  <c r="AK82" i="14"/>
  <c r="AK81" i="14"/>
  <c r="AK80" i="14"/>
  <c r="AK79" i="14"/>
  <c r="AK78" i="14"/>
  <c r="AK77" i="14"/>
  <c r="AK76" i="14"/>
  <c r="AK75" i="14"/>
  <c r="AK74" i="14"/>
  <c r="AK73" i="14"/>
  <c r="AK72" i="14"/>
  <c r="AK71" i="14"/>
  <c r="AK70" i="14"/>
  <c r="AK69" i="14"/>
  <c r="AK68" i="14"/>
  <c r="AK67" i="14"/>
  <c r="AK66" i="14"/>
  <c r="AK65" i="14"/>
  <c r="AK64" i="14"/>
  <c r="AK63" i="14"/>
  <c r="AK62" i="14"/>
  <c r="AK61" i="14"/>
  <c r="AK60" i="14"/>
  <c r="AK59" i="14"/>
  <c r="AK58" i="14"/>
  <c r="AK57" i="14"/>
  <c r="AK56" i="14"/>
  <c r="AK55" i="14"/>
  <c r="AK54" i="14"/>
  <c r="AK53" i="14"/>
  <c r="AK52" i="14"/>
  <c r="AK51" i="14"/>
  <c r="AK50" i="14"/>
  <c r="AK49" i="14"/>
  <c r="AK48" i="14"/>
  <c r="AK47" i="14"/>
  <c r="AK46" i="14"/>
  <c r="AK45" i="14"/>
  <c r="AK44" i="14"/>
  <c r="AK43" i="14"/>
  <c r="AK42" i="14"/>
  <c r="AK41" i="14"/>
  <c r="AK40" i="14"/>
  <c r="AK39" i="14"/>
  <c r="AK38" i="14"/>
  <c r="AK37" i="14"/>
  <c r="AK36" i="14"/>
  <c r="AK35" i="14"/>
  <c r="AK34" i="14"/>
  <c r="AK33" i="14"/>
  <c r="AK32" i="14"/>
  <c r="AK31" i="14"/>
  <c r="AK30" i="14"/>
  <c r="AK29" i="14"/>
  <c r="AK28" i="14"/>
  <c r="AK27" i="14"/>
  <c r="AK26" i="14"/>
  <c r="AK25" i="14"/>
  <c r="AK24" i="14"/>
  <c r="AK23" i="14"/>
  <c r="AK22" i="14"/>
  <c r="AK21" i="14"/>
  <c r="AK20" i="14"/>
  <c r="AK19" i="14"/>
  <c r="AK18" i="14"/>
  <c r="AK17" i="14"/>
  <c r="AK16" i="14"/>
  <c r="AK15" i="14"/>
  <c r="AK14" i="14"/>
  <c r="AK13" i="14"/>
  <c r="AK12" i="14"/>
  <c r="AK11" i="14"/>
  <c r="AK10" i="14"/>
  <c r="AK9" i="14"/>
  <c r="AK8" i="14"/>
  <c r="AK7" i="14"/>
  <c r="AK6" i="14"/>
  <c r="AK5" i="14"/>
  <c r="AK4" i="14"/>
  <c r="E28" i="2"/>
  <c r="E27" i="2"/>
  <c r="E26" i="2"/>
  <c r="E25" i="2"/>
  <c r="E24" i="2"/>
  <c r="E23" i="2"/>
  <c r="E22" i="2"/>
  <c r="E21" i="2"/>
  <c r="E20" i="2"/>
  <c r="E19" i="2"/>
  <c r="E18" i="2"/>
  <c r="E17" i="2"/>
  <c r="E16" i="2"/>
  <c r="E15" i="2"/>
  <c r="E14" i="2"/>
  <c r="E13" i="2"/>
  <c r="E12" i="2"/>
  <c r="E11" i="2"/>
  <c r="E10" i="2"/>
  <c r="E9" i="2"/>
  <c r="E8" i="2"/>
  <c r="E7" i="2"/>
  <c r="E6" i="2"/>
  <c r="E5" i="2"/>
  <c r="E4" i="2"/>
  <c r="E3" i="2"/>
  <c r="B3" i="2"/>
  <c r="D8" i="11" l="1"/>
  <c r="D7" i="11"/>
  <c r="D6" i="11"/>
  <c r="D5" i="11"/>
  <c r="D4" i="11"/>
  <c r="D3" i="11"/>
  <c r="C8" i="11"/>
  <c r="C7" i="11"/>
  <c r="C6" i="11"/>
  <c r="C5" i="11"/>
  <c r="C4" i="11"/>
  <c r="C3" i="11"/>
  <c r="G33" i="11"/>
  <c r="G32" i="11"/>
  <c r="G31" i="11"/>
  <c r="G30" i="11"/>
  <c r="G29" i="11"/>
  <c r="G28" i="11"/>
  <c r="F33" i="11"/>
  <c r="F32" i="11"/>
  <c r="F31" i="11"/>
  <c r="F30" i="11"/>
  <c r="F29" i="11"/>
  <c r="F28" i="11"/>
  <c r="E33" i="11"/>
  <c r="E32" i="11"/>
  <c r="E31" i="11"/>
  <c r="E30" i="11"/>
  <c r="E29" i="11"/>
  <c r="E28" i="11"/>
  <c r="D33" i="11"/>
  <c r="D32" i="11"/>
  <c r="D31" i="11"/>
  <c r="D30" i="11"/>
  <c r="D29" i="11"/>
  <c r="D28" i="11"/>
  <c r="C33" i="11"/>
  <c r="C32" i="11"/>
  <c r="C31" i="11"/>
  <c r="C30" i="11"/>
  <c r="C29" i="11"/>
  <c r="C28" i="11"/>
  <c r="A42" i="11"/>
  <c r="A33" i="11"/>
  <c r="A41" i="11"/>
  <c r="A32" i="11"/>
  <c r="A40" i="11"/>
  <c r="A31" i="11"/>
  <c r="A39" i="11"/>
  <c r="A30" i="11"/>
  <c r="A38" i="11"/>
  <c r="A29" i="11"/>
  <c r="A37" i="11"/>
  <c r="A28" i="11"/>
  <c r="U7" i="16" l="1"/>
  <c r="U6" i="16"/>
  <c r="T9" i="16"/>
  <c r="T8" i="16"/>
  <c r="T7" i="16"/>
  <c r="T6" i="16"/>
  <c r="T5" i="16"/>
  <c r="T4" i="16"/>
  <c r="S9" i="16"/>
  <c r="U9" i="16" s="1"/>
  <c r="S8" i="16"/>
  <c r="U8" i="16" s="1"/>
  <c r="V8" i="16" s="1"/>
  <c r="S7" i="16"/>
  <c r="S6" i="16"/>
  <c r="S5" i="16"/>
  <c r="U5" i="16" s="1"/>
  <c r="S4" i="16"/>
  <c r="U4" i="16" s="1"/>
  <c r="R9" i="16"/>
  <c r="W9" i="16" s="1"/>
  <c r="R8" i="16"/>
  <c r="W8" i="16" s="1"/>
  <c r="R7" i="16"/>
  <c r="V7" i="16" s="1"/>
  <c r="R6" i="16"/>
  <c r="V6" i="16" s="1"/>
  <c r="R5" i="16"/>
  <c r="R4" i="16"/>
  <c r="Q9" i="16"/>
  <c r="N3" i="16"/>
  <c r="Q8" i="16"/>
  <c r="M3" i="16"/>
  <c r="Q7" i="16"/>
  <c r="L3" i="16"/>
  <c r="Q6" i="16"/>
  <c r="K3" i="16"/>
  <c r="Q5" i="16"/>
  <c r="J3" i="16"/>
  <c r="Q4" i="16"/>
  <c r="I3" i="16"/>
  <c r="V4" i="16" l="1"/>
  <c r="V5" i="16"/>
  <c r="V9" i="16"/>
  <c r="W4" i="16"/>
  <c r="W5" i="16"/>
  <c r="W6" i="16"/>
  <c r="W7" i="16"/>
  <c r="H3" i="2" l="1"/>
  <c r="J3" i="18" s="1"/>
  <c r="P29" i="4" l="1"/>
  <c r="M29" i="4"/>
  <c r="J29" i="4"/>
  <c r="G29" i="4"/>
  <c r="D29" i="4"/>
  <c r="D5" i="4"/>
  <c r="A29" i="4" l="1"/>
  <c r="A5" i="4"/>
  <c r="G1004" i="16" l="1"/>
  <c r="G1003" i="16"/>
  <c r="G1002" i="16"/>
  <c r="G1001" i="16"/>
  <c r="G1000" i="16"/>
  <c r="G999" i="16"/>
  <c r="G998" i="16"/>
  <c r="G997" i="16"/>
  <c r="G996" i="16"/>
  <c r="G995" i="16"/>
  <c r="G994" i="16"/>
  <c r="G993" i="16"/>
  <c r="G992" i="16"/>
  <c r="G991" i="16"/>
  <c r="G990" i="16"/>
  <c r="G989" i="16"/>
  <c r="G988" i="16"/>
  <c r="G987" i="16"/>
  <c r="G986" i="16"/>
  <c r="G985" i="16"/>
  <c r="G984" i="16"/>
  <c r="G983" i="16"/>
  <c r="G982" i="16"/>
  <c r="G981" i="16"/>
  <c r="G980" i="16"/>
  <c r="G979" i="16"/>
  <c r="G978" i="16"/>
  <c r="G977" i="16"/>
  <c r="G976" i="16"/>
  <c r="G975" i="16"/>
  <c r="G974" i="16"/>
  <c r="G973" i="16"/>
  <c r="G972" i="16"/>
  <c r="G971" i="16"/>
  <c r="G970" i="16"/>
  <c r="G969" i="16"/>
  <c r="G968" i="16"/>
  <c r="G967" i="16"/>
  <c r="G966" i="16"/>
  <c r="G965" i="16"/>
  <c r="G964" i="16"/>
  <c r="G963" i="16"/>
  <c r="G962" i="16"/>
  <c r="G961" i="16"/>
  <c r="G960" i="16"/>
  <c r="G959" i="16"/>
  <c r="G958" i="16"/>
  <c r="G957" i="16"/>
  <c r="G956" i="16"/>
  <c r="G955" i="16"/>
  <c r="G954" i="16"/>
  <c r="G953" i="16"/>
  <c r="G952" i="16"/>
  <c r="G951" i="16"/>
  <c r="G950" i="16"/>
  <c r="G949" i="16"/>
  <c r="G948" i="16"/>
  <c r="G947" i="16"/>
  <c r="G946" i="16"/>
  <c r="G945" i="16"/>
  <c r="G944" i="16"/>
  <c r="G943" i="16"/>
  <c r="G942" i="16"/>
  <c r="G941" i="16"/>
  <c r="G940" i="16"/>
  <c r="G939" i="16"/>
  <c r="G938" i="16"/>
  <c r="G937" i="16"/>
  <c r="G936" i="16"/>
  <c r="G935" i="16"/>
  <c r="G934" i="16"/>
  <c r="G933" i="16"/>
  <c r="G932" i="16"/>
  <c r="G931" i="16"/>
  <c r="G930" i="16"/>
  <c r="G929" i="16"/>
  <c r="G928" i="16"/>
  <c r="G927" i="16"/>
  <c r="G926" i="16"/>
  <c r="G925" i="16"/>
  <c r="G924" i="16"/>
  <c r="G923" i="16"/>
  <c r="G922" i="16"/>
  <c r="G921" i="16"/>
  <c r="G920" i="16"/>
  <c r="G919" i="16"/>
  <c r="G918" i="16"/>
  <c r="G917" i="16"/>
  <c r="G916" i="16"/>
  <c r="G915" i="16"/>
  <c r="G914" i="16"/>
  <c r="G913" i="16"/>
  <c r="G912" i="16"/>
  <c r="G911" i="16"/>
  <c r="G910" i="16"/>
  <c r="G909" i="16"/>
  <c r="G908" i="16"/>
  <c r="G907" i="16"/>
  <c r="G906" i="16"/>
  <c r="G905" i="16"/>
  <c r="G904" i="16"/>
  <c r="G903" i="16"/>
  <c r="G902" i="16"/>
  <c r="G901" i="16"/>
  <c r="G900" i="16"/>
  <c r="G899" i="16"/>
  <c r="G898" i="16"/>
  <c r="G897" i="16"/>
  <c r="G896" i="16"/>
  <c r="G895" i="16"/>
  <c r="G894" i="16"/>
  <c r="G893" i="16"/>
  <c r="G892" i="16"/>
  <c r="G891" i="16"/>
  <c r="G890" i="16"/>
  <c r="G889" i="16"/>
  <c r="G888" i="16"/>
  <c r="G887" i="16"/>
  <c r="G886" i="16"/>
  <c r="G885" i="16"/>
  <c r="G884" i="16"/>
  <c r="G883" i="16"/>
  <c r="G882" i="16"/>
  <c r="G881" i="16"/>
  <c r="G880" i="16"/>
  <c r="G879" i="16"/>
  <c r="G878" i="16"/>
  <c r="G877" i="16"/>
  <c r="G876" i="16"/>
  <c r="G875" i="16"/>
  <c r="G874" i="16"/>
  <c r="G873" i="16"/>
  <c r="G872" i="16"/>
  <c r="G871" i="16"/>
  <c r="G870" i="16"/>
  <c r="G869" i="16"/>
  <c r="G868" i="16"/>
  <c r="G867" i="16"/>
  <c r="G866" i="16"/>
  <c r="G865" i="16"/>
  <c r="G864" i="16"/>
  <c r="G863" i="16"/>
  <c r="G862" i="16"/>
  <c r="G861" i="16"/>
  <c r="G860" i="16"/>
  <c r="G859" i="16"/>
  <c r="G858" i="16"/>
  <c r="G857" i="16"/>
  <c r="G856" i="16"/>
  <c r="G855" i="16"/>
  <c r="G854" i="16"/>
  <c r="G853" i="16"/>
  <c r="G852" i="16"/>
  <c r="G851" i="16"/>
  <c r="G850" i="16"/>
  <c r="G849" i="16"/>
  <c r="G848" i="16"/>
  <c r="G847" i="16"/>
  <c r="G846"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J531" i="16" s="1"/>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L467" i="16" s="1"/>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J439" i="16" s="1"/>
  <c r="G438" i="16"/>
  <c r="G437" i="16"/>
  <c r="G436" i="16"/>
  <c r="G435" i="16"/>
  <c r="G434" i="16"/>
  <c r="G433" i="16"/>
  <c r="G432" i="16"/>
  <c r="G431" i="16"/>
  <c r="G430" i="16"/>
  <c r="G429" i="16"/>
  <c r="G428" i="16"/>
  <c r="G427" i="16"/>
  <c r="G426" i="16"/>
  <c r="G425" i="16"/>
  <c r="J425" i="16" s="1"/>
  <c r="G424" i="16"/>
  <c r="G423" i="16"/>
  <c r="G422" i="16"/>
  <c r="G421" i="16"/>
  <c r="G420" i="16"/>
  <c r="G419" i="16"/>
  <c r="G418" i="16"/>
  <c r="G417" i="16"/>
  <c r="G416" i="16"/>
  <c r="G415" i="16"/>
  <c r="L415" i="16" s="1"/>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L379" i="16" s="1"/>
  <c r="G378" i="16"/>
  <c r="G377" i="16"/>
  <c r="G376" i="16"/>
  <c r="G375" i="16"/>
  <c r="G374" i="16"/>
  <c r="G373" i="16"/>
  <c r="G372" i="16"/>
  <c r="G371" i="16"/>
  <c r="G370" i="16"/>
  <c r="G369" i="16"/>
  <c r="G368" i="16"/>
  <c r="N368" i="16" s="1"/>
  <c r="G367" i="16"/>
  <c r="G366" i="16"/>
  <c r="G365" i="16"/>
  <c r="G364" i="16"/>
  <c r="G363" i="16"/>
  <c r="L363" i="16" s="1"/>
  <c r="G362" i="16"/>
  <c r="G361" i="16"/>
  <c r="G360" i="16"/>
  <c r="G359" i="16"/>
  <c r="G358" i="16"/>
  <c r="G357" i="16"/>
  <c r="G356" i="16"/>
  <c r="G355" i="16"/>
  <c r="G354" i="16"/>
  <c r="G353" i="16"/>
  <c r="G352" i="16"/>
  <c r="G351" i="16"/>
  <c r="G350" i="16"/>
  <c r="G349" i="16"/>
  <c r="G348" i="16"/>
  <c r="G347" i="16"/>
  <c r="L347" i="16" s="1"/>
  <c r="G346" i="16"/>
  <c r="G345" i="16"/>
  <c r="G344" i="16"/>
  <c r="G343" i="16"/>
  <c r="G342" i="16"/>
  <c r="G341" i="16"/>
  <c r="G340" i="16"/>
  <c r="G339" i="16"/>
  <c r="G338" i="16"/>
  <c r="G337" i="16"/>
  <c r="G336" i="16"/>
  <c r="N336" i="16" s="1"/>
  <c r="G335" i="16"/>
  <c r="G334" i="16"/>
  <c r="G333" i="16"/>
  <c r="G332" i="16"/>
  <c r="G331" i="16"/>
  <c r="L331" i="16" s="1"/>
  <c r="G330" i="16"/>
  <c r="G329" i="16"/>
  <c r="G328" i="16"/>
  <c r="G327" i="16"/>
  <c r="G326" i="16"/>
  <c r="J326" i="16" s="1"/>
  <c r="G325" i="16"/>
  <c r="G324" i="16"/>
  <c r="G323" i="16"/>
  <c r="G322" i="16"/>
  <c r="J322" i="16" s="1"/>
  <c r="G321" i="16"/>
  <c r="G320" i="16"/>
  <c r="G319" i="16"/>
  <c r="G318" i="16"/>
  <c r="G317" i="16"/>
  <c r="G316" i="16"/>
  <c r="G315" i="16"/>
  <c r="G314" i="16"/>
  <c r="J314" i="16" s="1"/>
  <c r="G313" i="16"/>
  <c r="G312" i="16"/>
  <c r="G311" i="16"/>
  <c r="G310" i="16"/>
  <c r="G309" i="16"/>
  <c r="G308" i="16"/>
  <c r="G307" i="16"/>
  <c r="G306" i="16"/>
  <c r="J306" i="16" s="1"/>
  <c r="G305" i="16"/>
  <c r="G304" i="16"/>
  <c r="G303" i="16"/>
  <c r="L303" i="16" s="1"/>
  <c r="G302" i="16"/>
  <c r="G301" i="16"/>
  <c r="G300" i="16"/>
  <c r="G299" i="16"/>
  <c r="G298" i="16"/>
  <c r="G297" i="16"/>
  <c r="G296" i="16"/>
  <c r="G295" i="16"/>
  <c r="G294" i="16"/>
  <c r="G293" i="16"/>
  <c r="G292" i="16"/>
  <c r="N292" i="16" s="1"/>
  <c r="G291" i="16"/>
  <c r="G290" i="16"/>
  <c r="J290" i="16" s="1"/>
  <c r="G289" i="16"/>
  <c r="G288" i="16"/>
  <c r="G287" i="16"/>
  <c r="G286" i="16"/>
  <c r="G285" i="16"/>
  <c r="G284" i="16"/>
  <c r="N284" i="16" s="1"/>
  <c r="G283" i="16"/>
  <c r="G282" i="16"/>
  <c r="J282" i="16" s="1"/>
  <c r="G281" i="16"/>
  <c r="G280" i="16"/>
  <c r="G279" i="16"/>
  <c r="L279" i="16" s="1"/>
  <c r="G278" i="16"/>
  <c r="G277" i="16"/>
  <c r="G276" i="16"/>
  <c r="G275" i="16"/>
  <c r="G274" i="16"/>
  <c r="G273" i="16"/>
  <c r="G272" i="16"/>
  <c r="G271" i="16"/>
  <c r="G270" i="16"/>
  <c r="G269" i="16"/>
  <c r="G268" i="16"/>
  <c r="G267" i="16"/>
  <c r="G266" i="16"/>
  <c r="J266" i="16" s="1"/>
  <c r="G265" i="16"/>
  <c r="G264" i="16"/>
  <c r="G263" i="16"/>
  <c r="L263" i="16" s="1"/>
  <c r="G262" i="16"/>
  <c r="G261" i="16"/>
  <c r="G260" i="16"/>
  <c r="N260" i="16" s="1"/>
  <c r="G259" i="16"/>
  <c r="G258" i="16"/>
  <c r="J258" i="16" s="1"/>
  <c r="G257" i="16"/>
  <c r="G256" i="16"/>
  <c r="G255" i="16"/>
  <c r="G254" i="16"/>
  <c r="G253" i="16"/>
  <c r="G252" i="16"/>
  <c r="G251" i="16"/>
  <c r="I251" i="16" s="1"/>
  <c r="G250" i="16"/>
  <c r="G249" i="16"/>
  <c r="K249" i="16" s="1"/>
  <c r="G248" i="16"/>
  <c r="G247" i="16"/>
  <c r="L247" i="16" s="1"/>
  <c r="G246" i="16"/>
  <c r="G245" i="16"/>
  <c r="G244" i="16"/>
  <c r="G243" i="16"/>
  <c r="G242" i="16"/>
  <c r="G241" i="16"/>
  <c r="G240" i="16"/>
  <c r="G239" i="16"/>
  <c r="G238" i="16"/>
  <c r="G237" i="16"/>
  <c r="G236" i="16"/>
  <c r="N236" i="16" s="1"/>
  <c r="G235" i="16"/>
  <c r="I235" i="16" s="1"/>
  <c r="G234" i="16"/>
  <c r="G233" i="16"/>
  <c r="K233" i="16" s="1"/>
  <c r="G232" i="16"/>
  <c r="G231" i="16"/>
  <c r="L231" i="16" s="1"/>
  <c r="G230" i="16"/>
  <c r="G229" i="16"/>
  <c r="M229" i="16" s="1"/>
  <c r="G228" i="16"/>
  <c r="G227" i="16"/>
  <c r="G226" i="16"/>
  <c r="G225" i="16"/>
  <c r="G224" i="16"/>
  <c r="G223" i="16"/>
  <c r="G222" i="16"/>
  <c r="G221" i="16"/>
  <c r="G220" i="16"/>
  <c r="G219" i="16"/>
  <c r="N219" i="16" s="1"/>
  <c r="G218" i="16"/>
  <c r="L218" i="16" s="1"/>
  <c r="G217" i="16"/>
  <c r="J217" i="16" s="1"/>
  <c r="G216" i="16"/>
  <c r="G215" i="16"/>
  <c r="G214" i="16"/>
  <c r="G213" i="16"/>
  <c r="G212" i="16"/>
  <c r="G211" i="16"/>
  <c r="N211" i="16" s="1"/>
  <c r="G210" i="16"/>
  <c r="L210" i="16" s="1"/>
  <c r="G209" i="16"/>
  <c r="J209" i="16" s="1"/>
  <c r="G208" i="16"/>
  <c r="G207" i="16"/>
  <c r="N207" i="16" s="1"/>
  <c r="G206" i="16"/>
  <c r="L206" i="16" s="1"/>
  <c r="G205" i="16"/>
  <c r="G204" i="16"/>
  <c r="G203" i="16"/>
  <c r="N203" i="16" s="1"/>
  <c r="G202" i="16"/>
  <c r="L202" i="16" s="1"/>
  <c r="G201" i="16"/>
  <c r="J201" i="16" s="1"/>
  <c r="G200" i="16"/>
  <c r="G199" i="16"/>
  <c r="G198" i="16"/>
  <c r="G197" i="16"/>
  <c r="G196" i="16"/>
  <c r="G195" i="16"/>
  <c r="N195" i="16" s="1"/>
  <c r="G194" i="16"/>
  <c r="G193" i="16"/>
  <c r="G192" i="16"/>
  <c r="G191" i="16"/>
  <c r="G190" i="16"/>
  <c r="G189" i="16"/>
  <c r="J189" i="16" s="1"/>
  <c r="G188" i="16"/>
  <c r="G187" i="16"/>
  <c r="N187" i="16" s="1"/>
  <c r="G186" i="16"/>
  <c r="L186" i="16" s="1"/>
  <c r="G185" i="16"/>
  <c r="J185" i="16" s="1"/>
  <c r="G184" i="16"/>
  <c r="G183" i="16"/>
  <c r="G182" i="16"/>
  <c r="G181" i="16"/>
  <c r="G180" i="16"/>
  <c r="G179" i="16"/>
  <c r="N179" i="16" s="1"/>
  <c r="G178" i="16"/>
  <c r="L178" i="16" s="1"/>
  <c r="G177" i="16"/>
  <c r="J177" i="16" s="1"/>
  <c r="G176" i="16"/>
  <c r="G175" i="16"/>
  <c r="N175" i="16" s="1"/>
  <c r="G174" i="16"/>
  <c r="L174" i="16" s="1"/>
  <c r="G173" i="16"/>
  <c r="G172" i="16"/>
  <c r="G171" i="16"/>
  <c r="N171" i="16" s="1"/>
  <c r="G170" i="16"/>
  <c r="L170" i="16" s="1"/>
  <c r="G169" i="16"/>
  <c r="J169" i="16" s="1"/>
  <c r="G168" i="16"/>
  <c r="G167" i="16"/>
  <c r="G166" i="16"/>
  <c r="G165" i="16"/>
  <c r="J165" i="16" s="1"/>
  <c r="G164" i="16"/>
  <c r="G163" i="16"/>
  <c r="N163" i="16" s="1"/>
  <c r="G162" i="16"/>
  <c r="G161" i="16"/>
  <c r="G160" i="16"/>
  <c r="G159" i="16"/>
  <c r="G158" i="16"/>
  <c r="G157" i="16"/>
  <c r="J157" i="16" s="1"/>
  <c r="G156" i="16"/>
  <c r="G155" i="16"/>
  <c r="N155" i="16" s="1"/>
  <c r="G154" i="16"/>
  <c r="L154" i="16" s="1"/>
  <c r="G153" i="16"/>
  <c r="J153" i="16" s="1"/>
  <c r="G152" i="16"/>
  <c r="G151" i="16"/>
  <c r="G150" i="16"/>
  <c r="G149" i="16"/>
  <c r="G148" i="16"/>
  <c r="G147" i="16"/>
  <c r="N147" i="16" s="1"/>
  <c r="G146" i="16"/>
  <c r="L146" i="16" s="1"/>
  <c r="G145" i="16"/>
  <c r="J145" i="16" s="1"/>
  <c r="G144" i="16"/>
  <c r="G143" i="16"/>
  <c r="N143" i="16" s="1"/>
  <c r="G142" i="16"/>
  <c r="L142" i="16" s="1"/>
  <c r="G141" i="16"/>
  <c r="G140" i="16"/>
  <c r="G139" i="16"/>
  <c r="N139" i="16" s="1"/>
  <c r="G138" i="16"/>
  <c r="L138" i="16" s="1"/>
  <c r="G137" i="16"/>
  <c r="K137" i="16" s="1"/>
  <c r="G136" i="16"/>
  <c r="L136" i="16" s="1"/>
  <c r="G135" i="16"/>
  <c r="N135" i="16" s="1"/>
  <c r="G134" i="16"/>
  <c r="G133" i="16"/>
  <c r="N133" i="16" s="1"/>
  <c r="G132" i="16"/>
  <c r="I132" i="16" s="1"/>
  <c r="G131" i="16"/>
  <c r="J131" i="16" s="1"/>
  <c r="G130" i="16"/>
  <c r="M130" i="16" s="1"/>
  <c r="G129" i="16"/>
  <c r="N129" i="16" s="1"/>
  <c r="G128" i="16"/>
  <c r="L128" i="16" s="1"/>
  <c r="G127" i="16"/>
  <c r="G126" i="16"/>
  <c r="G125" i="16"/>
  <c r="K125" i="16" s="1"/>
  <c r="G124" i="16"/>
  <c r="G123" i="16"/>
  <c r="N123" i="16" s="1"/>
  <c r="G122" i="16"/>
  <c r="M122" i="16" s="1"/>
  <c r="G121" i="16"/>
  <c r="N121" i="16" s="1"/>
  <c r="G120" i="16"/>
  <c r="G119" i="16"/>
  <c r="G118" i="16"/>
  <c r="L118" i="16" s="1"/>
  <c r="G117" i="16"/>
  <c r="N117" i="16" s="1"/>
  <c r="G116" i="16"/>
  <c r="G115" i="16"/>
  <c r="N115" i="16" s="1"/>
  <c r="G114" i="16"/>
  <c r="M114" i="16" s="1"/>
  <c r="G113" i="16"/>
  <c r="G112" i="16"/>
  <c r="I112" i="16" s="1"/>
  <c r="G111" i="16"/>
  <c r="N111" i="16" s="1"/>
  <c r="G110" i="16"/>
  <c r="M110" i="16" s="1"/>
  <c r="G109" i="16"/>
  <c r="J109" i="16" s="1"/>
  <c r="G108" i="16"/>
  <c r="K108" i="16" s="1"/>
  <c r="G107" i="16"/>
  <c r="J107" i="16" s="1"/>
  <c r="G106" i="16"/>
  <c r="M106" i="16" s="1"/>
  <c r="G105" i="16"/>
  <c r="N105" i="16" s="1"/>
  <c r="G104" i="16"/>
  <c r="G103" i="16"/>
  <c r="J103" i="16" s="1"/>
  <c r="G102" i="16"/>
  <c r="M102" i="16" s="1"/>
  <c r="G101" i="16"/>
  <c r="K101" i="16" s="1"/>
  <c r="G100" i="16"/>
  <c r="L100" i="16" s="1"/>
  <c r="G99" i="16"/>
  <c r="J99" i="16" s="1"/>
  <c r="G98" i="16"/>
  <c r="M98" i="16" s="1"/>
  <c r="G97" i="16"/>
  <c r="N97" i="16" s="1"/>
  <c r="G96" i="16"/>
  <c r="J96" i="16" s="1"/>
  <c r="G95" i="16"/>
  <c r="N95" i="16" s="1"/>
  <c r="G94" i="16"/>
  <c r="K94" i="16" s="1"/>
  <c r="G93" i="16"/>
  <c r="G92" i="16"/>
  <c r="L92" i="16" s="1"/>
  <c r="G91" i="16"/>
  <c r="N91" i="16" s="1"/>
  <c r="G90" i="16"/>
  <c r="L90" i="16" s="1"/>
  <c r="G89" i="16"/>
  <c r="G88" i="16"/>
  <c r="L88" i="16" s="1"/>
  <c r="G87" i="16"/>
  <c r="G86" i="16"/>
  <c r="L86" i="16" s="1"/>
  <c r="G85" i="16"/>
  <c r="J85" i="16" s="1"/>
  <c r="G84" i="16"/>
  <c r="G83" i="16"/>
  <c r="N83" i="16" s="1"/>
  <c r="G82" i="16"/>
  <c r="G81" i="16"/>
  <c r="G80" i="16"/>
  <c r="G79" i="16"/>
  <c r="N79" i="16" s="1"/>
  <c r="G78" i="16"/>
  <c r="G77" i="16"/>
  <c r="G76" i="16"/>
  <c r="G75" i="16"/>
  <c r="N75" i="16" s="1"/>
  <c r="G74" i="16"/>
  <c r="L74" i="16" s="1"/>
  <c r="G73" i="16"/>
  <c r="J73" i="16" s="1"/>
  <c r="G72" i="16"/>
  <c r="G71" i="16"/>
  <c r="G70" i="16"/>
  <c r="G69" i="16"/>
  <c r="G68" i="16"/>
  <c r="G67" i="16"/>
  <c r="N67" i="16" s="1"/>
  <c r="G66" i="16"/>
  <c r="L66" i="16" s="1"/>
  <c r="G65" i="16"/>
  <c r="J65" i="16" s="1"/>
  <c r="G64" i="16"/>
  <c r="G63" i="16"/>
  <c r="N63" i="16" s="1"/>
  <c r="G62" i="16"/>
  <c r="L62" i="16" s="1"/>
  <c r="G61" i="16"/>
  <c r="G60" i="16"/>
  <c r="G59" i="16"/>
  <c r="G58" i="16"/>
  <c r="G57" i="16"/>
  <c r="G56" i="16"/>
  <c r="G55" i="16"/>
  <c r="N55" i="16" s="1"/>
  <c r="G54" i="16"/>
  <c r="L54" i="16" s="1"/>
  <c r="G53" i="16"/>
  <c r="J53" i="16" s="1"/>
  <c r="G52" i="16"/>
  <c r="G51" i="16"/>
  <c r="N51" i="16" s="1"/>
  <c r="G50" i="16"/>
  <c r="K105" i="16" l="1"/>
  <c r="K97" i="16"/>
  <c r="J77" i="16"/>
  <c r="I88" i="16"/>
  <c r="J57" i="16"/>
  <c r="L78" i="16"/>
  <c r="L89" i="16"/>
  <c r="L114" i="16"/>
  <c r="L58" i="16"/>
  <c r="J69" i="16"/>
  <c r="I91" i="16"/>
  <c r="N59" i="16"/>
  <c r="L70" i="16"/>
  <c r="J81" i="16"/>
  <c r="J94" i="16"/>
  <c r="K121" i="16"/>
  <c r="J61" i="16"/>
  <c r="N71" i="16"/>
  <c r="L82" i="16"/>
  <c r="M95" i="16"/>
  <c r="J125" i="16"/>
  <c r="N116" i="16"/>
  <c r="M116" i="16"/>
  <c r="K116" i="16"/>
  <c r="J116" i="16"/>
  <c r="N180" i="16"/>
  <c r="M180" i="16"/>
  <c r="L180" i="16"/>
  <c r="K180" i="16"/>
  <c r="J180" i="16"/>
  <c r="I180" i="16"/>
  <c r="L244" i="16"/>
  <c r="N244" i="16"/>
  <c r="M244" i="16"/>
  <c r="K244" i="16"/>
  <c r="J244" i="16"/>
  <c r="O300" i="16"/>
  <c r="L300" i="16"/>
  <c r="J300" i="16"/>
  <c r="I300" i="16"/>
  <c r="M300" i="16"/>
  <c r="K300" i="16"/>
  <c r="O364" i="16"/>
  <c r="M364" i="16"/>
  <c r="L364" i="16"/>
  <c r="K364" i="16"/>
  <c r="J364" i="16"/>
  <c r="I364" i="16"/>
  <c r="N364" i="16"/>
  <c r="O420" i="16"/>
  <c r="K420" i="16"/>
  <c r="I420" i="16"/>
  <c r="M420" i="16"/>
  <c r="N420" i="16"/>
  <c r="L420" i="16"/>
  <c r="J420" i="16"/>
  <c r="O468" i="16"/>
  <c r="K468" i="16"/>
  <c r="I468" i="16"/>
  <c r="M468" i="16"/>
  <c r="N468" i="16"/>
  <c r="L468" i="16"/>
  <c r="J468" i="16"/>
  <c r="O516" i="16"/>
  <c r="K516" i="16"/>
  <c r="J516" i="16"/>
  <c r="I516" i="16"/>
  <c r="N516" i="16"/>
  <c r="M516" i="16"/>
  <c r="L516" i="16"/>
  <c r="O572" i="16"/>
  <c r="J572" i="16"/>
  <c r="M572" i="16"/>
  <c r="L572" i="16"/>
  <c r="K572" i="16"/>
  <c r="I572" i="16"/>
  <c r="N572" i="16"/>
  <c r="O620" i="16"/>
  <c r="L620" i="16"/>
  <c r="J620" i="16"/>
  <c r="I620" i="16"/>
  <c r="N620" i="16"/>
  <c r="M620" i="16"/>
  <c r="K620" i="16"/>
  <c r="O676" i="16"/>
  <c r="N676" i="16"/>
  <c r="M676" i="16"/>
  <c r="J676" i="16"/>
  <c r="I676" i="16"/>
  <c r="L676" i="16"/>
  <c r="K676" i="16"/>
  <c r="O740" i="16"/>
  <c r="N740" i="16"/>
  <c r="M740" i="16"/>
  <c r="L740" i="16"/>
  <c r="K740" i="16"/>
  <c r="J740" i="16"/>
  <c r="I740" i="16"/>
  <c r="O796" i="16"/>
  <c r="N796" i="16"/>
  <c r="M796" i="16"/>
  <c r="L796" i="16"/>
  <c r="K796" i="16"/>
  <c r="J796" i="16"/>
  <c r="I796" i="16"/>
  <c r="O836" i="16"/>
  <c r="N836" i="16"/>
  <c r="M836" i="16"/>
  <c r="L836" i="16"/>
  <c r="K836" i="16"/>
  <c r="J836" i="16"/>
  <c r="I836" i="16"/>
  <c r="O900" i="16"/>
  <c r="N900" i="16"/>
  <c r="M900" i="16"/>
  <c r="L900" i="16"/>
  <c r="K900" i="16"/>
  <c r="J900" i="16"/>
  <c r="I900" i="16"/>
  <c r="O956" i="16"/>
  <c r="N956" i="16"/>
  <c r="M956" i="16"/>
  <c r="J956" i="16"/>
  <c r="L956" i="16"/>
  <c r="K956" i="16"/>
  <c r="I956" i="16"/>
  <c r="O1004" i="16"/>
  <c r="I1004" i="16"/>
  <c r="N1004" i="16"/>
  <c r="M1004" i="16"/>
  <c r="L1004" i="16"/>
  <c r="J1004" i="16"/>
  <c r="K1004" i="16"/>
  <c r="I141" i="16"/>
  <c r="N141" i="16"/>
  <c r="M141" i="16"/>
  <c r="L141" i="16"/>
  <c r="K141" i="16"/>
  <c r="I181" i="16"/>
  <c r="N181" i="16"/>
  <c r="M181" i="16"/>
  <c r="L181" i="16"/>
  <c r="K181" i="16"/>
  <c r="I197" i="16"/>
  <c r="N197" i="16"/>
  <c r="M197" i="16"/>
  <c r="L197" i="16"/>
  <c r="K197" i="16"/>
  <c r="I213" i="16"/>
  <c r="N213" i="16"/>
  <c r="M213" i="16"/>
  <c r="L213" i="16"/>
  <c r="K213" i="16"/>
  <c r="I221" i="16"/>
  <c r="N221" i="16"/>
  <c r="M221" i="16"/>
  <c r="L221" i="16"/>
  <c r="K221" i="16"/>
  <c r="N229" i="16"/>
  <c r="J229" i="16"/>
  <c r="L229" i="16"/>
  <c r="K229" i="16"/>
  <c r="I229" i="16"/>
  <c r="N245" i="16"/>
  <c r="J245" i="16"/>
  <c r="L245" i="16"/>
  <c r="K245" i="16"/>
  <c r="I245" i="16"/>
  <c r="O269" i="16"/>
  <c r="N269" i="16"/>
  <c r="L269" i="16"/>
  <c r="K269" i="16"/>
  <c r="J269" i="16"/>
  <c r="M269" i="16"/>
  <c r="I269" i="16"/>
  <c r="O277" i="16"/>
  <c r="N277" i="16"/>
  <c r="L277" i="16"/>
  <c r="K277" i="16"/>
  <c r="J277" i="16"/>
  <c r="M277" i="16"/>
  <c r="I277" i="16"/>
  <c r="O285" i="16"/>
  <c r="N285" i="16"/>
  <c r="L285" i="16"/>
  <c r="K285" i="16"/>
  <c r="J285" i="16"/>
  <c r="M285" i="16"/>
  <c r="I285" i="16"/>
  <c r="O293" i="16"/>
  <c r="N293" i="16"/>
  <c r="L293" i="16"/>
  <c r="K293" i="16"/>
  <c r="J293" i="16"/>
  <c r="M293" i="16"/>
  <c r="I293" i="16"/>
  <c r="O301" i="16"/>
  <c r="N301" i="16"/>
  <c r="L301" i="16"/>
  <c r="K301" i="16"/>
  <c r="J301" i="16"/>
  <c r="M301" i="16"/>
  <c r="I301" i="16"/>
  <c r="O309" i="16"/>
  <c r="N309" i="16"/>
  <c r="L309" i="16"/>
  <c r="K309" i="16"/>
  <c r="J309" i="16"/>
  <c r="M309" i="16"/>
  <c r="I309" i="16"/>
  <c r="O317" i="16"/>
  <c r="N317" i="16"/>
  <c r="L317" i="16"/>
  <c r="K317" i="16"/>
  <c r="J317" i="16"/>
  <c r="M317" i="16"/>
  <c r="I317" i="16"/>
  <c r="O325" i="16"/>
  <c r="N325" i="16"/>
  <c r="M325" i="16"/>
  <c r="L325" i="16"/>
  <c r="K325" i="16"/>
  <c r="J325" i="16"/>
  <c r="I325" i="16"/>
  <c r="O333" i="16"/>
  <c r="N333" i="16"/>
  <c r="M333" i="16"/>
  <c r="L333" i="16"/>
  <c r="K333" i="16"/>
  <c r="J333" i="16"/>
  <c r="I333" i="16"/>
  <c r="O341" i="16"/>
  <c r="N341" i="16"/>
  <c r="M341" i="16"/>
  <c r="L341" i="16"/>
  <c r="K341" i="16"/>
  <c r="J341" i="16"/>
  <c r="I341" i="16"/>
  <c r="O349" i="16"/>
  <c r="N349" i="16"/>
  <c r="M349" i="16"/>
  <c r="L349" i="16"/>
  <c r="K349" i="16"/>
  <c r="J349" i="16"/>
  <c r="I349" i="16"/>
  <c r="O357" i="16"/>
  <c r="N357" i="16"/>
  <c r="M357" i="16"/>
  <c r="L357" i="16"/>
  <c r="K357" i="16"/>
  <c r="J357" i="16"/>
  <c r="I357" i="16"/>
  <c r="O365" i="16"/>
  <c r="N365" i="16"/>
  <c r="M365" i="16"/>
  <c r="L365" i="16"/>
  <c r="K365" i="16"/>
  <c r="J365" i="16"/>
  <c r="I365" i="16"/>
  <c r="O373" i="16"/>
  <c r="N373" i="16"/>
  <c r="M373" i="16"/>
  <c r="L373" i="16"/>
  <c r="K373" i="16"/>
  <c r="J373" i="16"/>
  <c r="I373" i="16"/>
  <c r="O381" i="16"/>
  <c r="N381" i="16"/>
  <c r="M381" i="16"/>
  <c r="L381" i="16"/>
  <c r="K381" i="16"/>
  <c r="J381" i="16"/>
  <c r="I381" i="16"/>
  <c r="O389" i="16"/>
  <c r="N389" i="16"/>
  <c r="M389" i="16"/>
  <c r="L389" i="16"/>
  <c r="K389" i="16"/>
  <c r="J389" i="16"/>
  <c r="I389" i="16"/>
  <c r="O397" i="16"/>
  <c r="M397" i="16"/>
  <c r="K397" i="16"/>
  <c r="I397" i="16"/>
  <c r="N397" i="16"/>
  <c r="L397" i="16"/>
  <c r="J397" i="16"/>
  <c r="O405" i="16"/>
  <c r="M405" i="16"/>
  <c r="K405" i="16"/>
  <c r="I405" i="16"/>
  <c r="N405" i="16"/>
  <c r="L405" i="16"/>
  <c r="J405" i="16"/>
  <c r="O413" i="16"/>
  <c r="M413" i="16"/>
  <c r="K413" i="16"/>
  <c r="I413" i="16"/>
  <c r="J413" i="16"/>
  <c r="N413" i="16"/>
  <c r="L413" i="16"/>
  <c r="O421" i="16"/>
  <c r="M421" i="16"/>
  <c r="K421" i="16"/>
  <c r="I421" i="16"/>
  <c r="N421" i="16"/>
  <c r="L421" i="16"/>
  <c r="J421" i="16"/>
  <c r="O429" i="16"/>
  <c r="M429" i="16"/>
  <c r="K429" i="16"/>
  <c r="J429" i="16"/>
  <c r="I429" i="16"/>
  <c r="N429" i="16"/>
  <c r="L429" i="16"/>
  <c r="O437" i="16"/>
  <c r="M437" i="16"/>
  <c r="K437" i="16"/>
  <c r="J437" i="16"/>
  <c r="I437" i="16"/>
  <c r="N437" i="16"/>
  <c r="L437" i="16"/>
  <c r="O445" i="16"/>
  <c r="M445" i="16"/>
  <c r="K445" i="16"/>
  <c r="J445" i="16"/>
  <c r="I445" i="16"/>
  <c r="N445" i="16"/>
  <c r="L445" i="16"/>
  <c r="O453" i="16"/>
  <c r="M453" i="16"/>
  <c r="K453" i="16"/>
  <c r="J453" i="16"/>
  <c r="I453" i="16"/>
  <c r="N453" i="16"/>
  <c r="O461" i="16"/>
  <c r="M461" i="16"/>
  <c r="K461" i="16"/>
  <c r="J461" i="16"/>
  <c r="I461" i="16"/>
  <c r="N461" i="16"/>
  <c r="L461" i="16"/>
  <c r="O469" i="16"/>
  <c r="M469" i="16"/>
  <c r="K469" i="16"/>
  <c r="J469" i="16"/>
  <c r="I469" i="16"/>
  <c r="N469" i="16"/>
  <c r="L469" i="16"/>
  <c r="O477" i="16"/>
  <c r="M477" i="16"/>
  <c r="K477" i="16"/>
  <c r="J477" i="16"/>
  <c r="I477" i="16"/>
  <c r="N477" i="16"/>
  <c r="L477" i="16"/>
  <c r="O485" i="16"/>
  <c r="M485" i="16"/>
  <c r="L485" i="16"/>
  <c r="K485" i="16"/>
  <c r="J485" i="16"/>
  <c r="I485" i="16"/>
  <c r="N485" i="16"/>
  <c r="O493" i="16"/>
  <c r="M493" i="16"/>
  <c r="L493" i="16"/>
  <c r="K493" i="16"/>
  <c r="J493" i="16"/>
  <c r="I493" i="16"/>
  <c r="N493" i="16"/>
  <c r="O501" i="16"/>
  <c r="M501" i="16"/>
  <c r="L501" i="16"/>
  <c r="K501" i="16"/>
  <c r="J501" i="16"/>
  <c r="I501" i="16"/>
  <c r="N501" i="16"/>
  <c r="O509" i="16"/>
  <c r="M509" i="16"/>
  <c r="L509" i="16"/>
  <c r="K509" i="16"/>
  <c r="J509" i="16"/>
  <c r="I509" i="16"/>
  <c r="N509" i="16"/>
  <c r="O517" i="16"/>
  <c r="M517" i="16"/>
  <c r="L517" i="16"/>
  <c r="K517" i="16"/>
  <c r="J517" i="16"/>
  <c r="I517" i="16"/>
  <c r="N517" i="16"/>
  <c r="O525" i="16"/>
  <c r="M525" i="16"/>
  <c r="L525" i="16"/>
  <c r="K525" i="16"/>
  <c r="J525" i="16"/>
  <c r="I525" i="16"/>
  <c r="N525" i="16"/>
  <c r="O533" i="16"/>
  <c r="M533" i="16"/>
  <c r="L533" i="16"/>
  <c r="K533" i="16"/>
  <c r="J533" i="16"/>
  <c r="I533" i="16"/>
  <c r="N533" i="16"/>
  <c r="O541" i="16"/>
  <c r="M541" i="16"/>
  <c r="L541" i="16"/>
  <c r="K541" i="16"/>
  <c r="J541" i="16"/>
  <c r="I541" i="16"/>
  <c r="N541" i="16"/>
  <c r="O549" i="16"/>
  <c r="M549" i="16"/>
  <c r="L549" i="16"/>
  <c r="K549" i="16"/>
  <c r="J549" i="16"/>
  <c r="I549" i="16"/>
  <c r="N549" i="16"/>
  <c r="O557" i="16"/>
  <c r="M557" i="16"/>
  <c r="L557" i="16"/>
  <c r="K557" i="16"/>
  <c r="J557" i="16"/>
  <c r="I557" i="16"/>
  <c r="N557" i="16"/>
  <c r="O565" i="16"/>
  <c r="M565" i="16"/>
  <c r="L565" i="16"/>
  <c r="K565" i="16"/>
  <c r="J565" i="16"/>
  <c r="I565" i="16"/>
  <c r="N565" i="16"/>
  <c r="O573" i="16"/>
  <c r="L573" i="16"/>
  <c r="N573" i="16"/>
  <c r="M573" i="16"/>
  <c r="K573" i="16"/>
  <c r="J573" i="16"/>
  <c r="I573" i="16"/>
  <c r="O581" i="16"/>
  <c r="N581" i="16"/>
  <c r="L581" i="16"/>
  <c r="J581" i="16"/>
  <c r="M581" i="16"/>
  <c r="K581" i="16"/>
  <c r="I581" i="16"/>
  <c r="O589" i="16"/>
  <c r="N589" i="16"/>
  <c r="L589" i="16"/>
  <c r="J589" i="16"/>
  <c r="I589" i="16"/>
  <c r="M589" i="16"/>
  <c r="K589" i="16"/>
  <c r="O597" i="16"/>
  <c r="N597" i="16"/>
  <c r="L597" i="16"/>
  <c r="K597" i="16"/>
  <c r="J597" i="16"/>
  <c r="M597" i="16"/>
  <c r="I597" i="16"/>
  <c r="O605" i="16"/>
  <c r="N605" i="16"/>
  <c r="L605" i="16"/>
  <c r="K605" i="16"/>
  <c r="J605" i="16"/>
  <c r="M605" i="16"/>
  <c r="I605" i="16"/>
  <c r="O613" i="16"/>
  <c r="N613" i="16"/>
  <c r="L613" i="16"/>
  <c r="K613" i="16"/>
  <c r="J613" i="16"/>
  <c r="M613" i="16"/>
  <c r="I613" i="16"/>
  <c r="O621" i="16"/>
  <c r="N621" i="16"/>
  <c r="L621" i="16"/>
  <c r="K621" i="16"/>
  <c r="J621" i="16"/>
  <c r="M621" i="16"/>
  <c r="I621" i="16"/>
  <c r="O629" i="16"/>
  <c r="N629" i="16"/>
  <c r="L629" i="16"/>
  <c r="K629" i="16"/>
  <c r="J629" i="16"/>
  <c r="M629" i="16"/>
  <c r="I629" i="16"/>
  <c r="O637" i="16"/>
  <c r="N637" i="16"/>
  <c r="L637" i="16"/>
  <c r="K637" i="16"/>
  <c r="J637" i="16"/>
  <c r="M637" i="16"/>
  <c r="I637" i="16"/>
  <c r="O645" i="16"/>
  <c r="N645" i="16"/>
  <c r="L645" i="16"/>
  <c r="K645" i="16"/>
  <c r="J645" i="16"/>
  <c r="M645" i="16"/>
  <c r="I645" i="16"/>
  <c r="O653" i="16"/>
  <c r="N653" i="16"/>
  <c r="L653" i="16"/>
  <c r="K653" i="16"/>
  <c r="J653" i="16"/>
  <c r="M653" i="16"/>
  <c r="I653" i="16"/>
  <c r="O661" i="16"/>
  <c r="K661" i="16"/>
  <c r="L661" i="16"/>
  <c r="I661" i="16"/>
  <c r="N661" i="16"/>
  <c r="M661" i="16"/>
  <c r="J661" i="16"/>
  <c r="O669" i="16"/>
  <c r="K669" i="16"/>
  <c r="N669" i="16"/>
  <c r="M669" i="16"/>
  <c r="L669" i="16"/>
  <c r="I669" i="16"/>
  <c r="J669" i="16"/>
  <c r="O677" i="16"/>
  <c r="L677" i="16"/>
  <c r="K677" i="16"/>
  <c r="N677" i="16"/>
  <c r="M677" i="16"/>
  <c r="J677" i="16"/>
  <c r="I677" i="16"/>
  <c r="O685" i="16"/>
  <c r="N685" i="16"/>
  <c r="L685" i="16"/>
  <c r="K685" i="16"/>
  <c r="M685" i="16"/>
  <c r="J685" i="16"/>
  <c r="I685" i="16"/>
  <c r="O693" i="16"/>
  <c r="N693" i="16"/>
  <c r="M693" i="16"/>
  <c r="L693" i="16"/>
  <c r="K693" i="16"/>
  <c r="J693" i="16"/>
  <c r="I693" i="16"/>
  <c r="O701" i="16"/>
  <c r="N701" i="16"/>
  <c r="M701" i="16"/>
  <c r="L701" i="16"/>
  <c r="K701" i="16"/>
  <c r="J701" i="16"/>
  <c r="I701" i="16"/>
  <c r="O709" i="16"/>
  <c r="N709" i="16"/>
  <c r="M709" i="16"/>
  <c r="L709" i="16"/>
  <c r="K709" i="16"/>
  <c r="J709" i="16"/>
  <c r="I709" i="16"/>
  <c r="O717" i="16"/>
  <c r="N717" i="16"/>
  <c r="M717" i="16"/>
  <c r="L717" i="16"/>
  <c r="K717" i="16"/>
  <c r="J717" i="16"/>
  <c r="I717" i="16"/>
  <c r="O725" i="16"/>
  <c r="N725" i="16"/>
  <c r="M725" i="16"/>
  <c r="L725" i="16"/>
  <c r="K725" i="16"/>
  <c r="J725" i="16"/>
  <c r="I725" i="16"/>
  <c r="O733" i="16"/>
  <c r="N733" i="16"/>
  <c r="M733" i="16"/>
  <c r="L733" i="16"/>
  <c r="K733" i="16"/>
  <c r="J733" i="16"/>
  <c r="I733" i="16"/>
  <c r="O741" i="16"/>
  <c r="N741" i="16"/>
  <c r="M741" i="16"/>
  <c r="L741" i="16"/>
  <c r="K741" i="16"/>
  <c r="J741" i="16"/>
  <c r="I741" i="16"/>
  <c r="O749" i="16"/>
  <c r="N749" i="16"/>
  <c r="M749" i="16"/>
  <c r="L749" i="16"/>
  <c r="K749" i="16"/>
  <c r="J749" i="16"/>
  <c r="I749" i="16"/>
  <c r="O757" i="16"/>
  <c r="N757" i="16"/>
  <c r="M757" i="16"/>
  <c r="L757" i="16"/>
  <c r="K757" i="16"/>
  <c r="J757" i="16"/>
  <c r="I757" i="16"/>
  <c r="O765" i="16"/>
  <c r="N765" i="16"/>
  <c r="M765" i="16"/>
  <c r="L765" i="16"/>
  <c r="K765" i="16"/>
  <c r="J765" i="16"/>
  <c r="I765" i="16"/>
  <c r="O773" i="16"/>
  <c r="L773" i="16"/>
  <c r="K773" i="16"/>
  <c r="N773" i="16"/>
  <c r="M773" i="16"/>
  <c r="J773" i="16"/>
  <c r="I773" i="16"/>
  <c r="O781" i="16"/>
  <c r="N781" i="16"/>
  <c r="L781" i="16"/>
  <c r="K781" i="16"/>
  <c r="M781" i="16"/>
  <c r="J781" i="16"/>
  <c r="I781" i="16"/>
  <c r="O789" i="16"/>
  <c r="N789" i="16"/>
  <c r="M789" i="16"/>
  <c r="L789" i="16"/>
  <c r="K789" i="16"/>
  <c r="J789" i="16"/>
  <c r="I789" i="16"/>
  <c r="O797" i="16"/>
  <c r="N797" i="16"/>
  <c r="M797" i="16"/>
  <c r="L797" i="16"/>
  <c r="K797" i="16"/>
  <c r="J797" i="16"/>
  <c r="I797" i="16"/>
  <c r="O805" i="16"/>
  <c r="N805" i="16"/>
  <c r="M805" i="16"/>
  <c r="L805" i="16"/>
  <c r="K805" i="16"/>
  <c r="J805" i="16"/>
  <c r="I805" i="16"/>
  <c r="O813" i="16"/>
  <c r="N813" i="16"/>
  <c r="M813" i="16"/>
  <c r="L813" i="16"/>
  <c r="K813" i="16"/>
  <c r="J813" i="16"/>
  <c r="I813" i="16"/>
  <c r="O821" i="16"/>
  <c r="N821" i="16"/>
  <c r="M821" i="16"/>
  <c r="L821" i="16"/>
  <c r="K821" i="16"/>
  <c r="J821" i="16"/>
  <c r="I821" i="16"/>
  <c r="O829" i="16"/>
  <c r="N829" i="16"/>
  <c r="M829" i="16"/>
  <c r="L829" i="16"/>
  <c r="K829" i="16"/>
  <c r="J829" i="16"/>
  <c r="I829" i="16"/>
  <c r="O837" i="16"/>
  <c r="N837" i="16"/>
  <c r="M837" i="16"/>
  <c r="L837" i="16"/>
  <c r="K837" i="16"/>
  <c r="J837" i="16"/>
  <c r="I837" i="16"/>
  <c r="O845" i="16"/>
  <c r="N845" i="16"/>
  <c r="M845" i="16"/>
  <c r="L845" i="16"/>
  <c r="K845" i="16"/>
  <c r="J845" i="16"/>
  <c r="I845" i="16"/>
  <c r="O853" i="16"/>
  <c r="N853" i="16"/>
  <c r="M853" i="16"/>
  <c r="L853" i="16"/>
  <c r="K853" i="16"/>
  <c r="J853" i="16"/>
  <c r="I853" i="16"/>
  <c r="O861" i="16"/>
  <c r="J861" i="16"/>
  <c r="M861" i="16"/>
  <c r="N861" i="16"/>
  <c r="L861" i="16"/>
  <c r="K861" i="16"/>
  <c r="I861" i="16"/>
  <c r="O869" i="16"/>
  <c r="J869" i="16"/>
  <c r="M869" i="16"/>
  <c r="N869" i="16"/>
  <c r="L869" i="16"/>
  <c r="K869" i="16"/>
  <c r="I869" i="16"/>
  <c r="O877" i="16"/>
  <c r="J877" i="16"/>
  <c r="N877" i="16"/>
  <c r="M877" i="16"/>
  <c r="L877" i="16"/>
  <c r="K877" i="16"/>
  <c r="I877" i="16"/>
  <c r="O885" i="16"/>
  <c r="J885" i="16"/>
  <c r="N885" i="16"/>
  <c r="M885" i="16"/>
  <c r="L885" i="16"/>
  <c r="K885" i="16"/>
  <c r="I885" i="16"/>
  <c r="O893" i="16"/>
  <c r="J893" i="16"/>
  <c r="N893" i="16"/>
  <c r="M893" i="16"/>
  <c r="L893" i="16"/>
  <c r="K893" i="16"/>
  <c r="I893" i="16"/>
  <c r="O901" i="16"/>
  <c r="J901" i="16"/>
  <c r="N901" i="16"/>
  <c r="M901" i="16"/>
  <c r="L901" i="16"/>
  <c r="K901" i="16"/>
  <c r="I901" i="16"/>
  <c r="O909" i="16"/>
  <c r="J909" i="16"/>
  <c r="N909" i="16"/>
  <c r="M909" i="16"/>
  <c r="L909" i="16"/>
  <c r="K909" i="16"/>
  <c r="I909" i="16"/>
  <c r="O917" i="16"/>
  <c r="J917" i="16"/>
  <c r="N917" i="16"/>
  <c r="M917" i="16"/>
  <c r="L917" i="16"/>
  <c r="K917" i="16"/>
  <c r="I917" i="16"/>
  <c r="O925" i="16"/>
  <c r="J925" i="16"/>
  <c r="I925" i="16"/>
  <c r="N925" i="16"/>
  <c r="M925" i="16"/>
  <c r="L925" i="16"/>
  <c r="K925" i="16"/>
  <c r="O933" i="16"/>
  <c r="J933" i="16"/>
  <c r="I933" i="16"/>
  <c r="N933" i="16"/>
  <c r="M933" i="16"/>
  <c r="L933" i="16"/>
  <c r="K933" i="16"/>
  <c r="O941" i="16"/>
  <c r="J941" i="16"/>
  <c r="I941" i="16"/>
  <c r="N941" i="16"/>
  <c r="M941" i="16"/>
  <c r="L941" i="16"/>
  <c r="K941" i="16"/>
  <c r="O949" i="16"/>
  <c r="J949" i="16"/>
  <c r="I949" i="16"/>
  <c r="N949" i="16"/>
  <c r="M949" i="16"/>
  <c r="L949" i="16"/>
  <c r="K949" i="16"/>
  <c r="O957" i="16"/>
  <c r="J957" i="16"/>
  <c r="I957" i="16"/>
  <c r="L957" i="16"/>
  <c r="N957" i="16"/>
  <c r="M957" i="16"/>
  <c r="K957" i="16"/>
  <c r="O965" i="16"/>
  <c r="J965" i="16"/>
  <c r="I965" i="16"/>
  <c r="L965" i="16"/>
  <c r="K965" i="16"/>
  <c r="N965" i="16"/>
  <c r="M965" i="16"/>
  <c r="O973" i="16"/>
  <c r="J973" i="16"/>
  <c r="I973" i="16"/>
  <c r="L973" i="16"/>
  <c r="N973" i="16"/>
  <c r="M973" i="16"/>
  <c r="K973" i="16"/>
  <c r="O981" i="16"/>
  <c r="K981" i="16"/>
  <c r="J981" i="16"/>
  <c r="I981" i="16"/>
  <c r="N981" i="16"/>
  <c r="L981" i="16"/>
  <c r="M981" i="16"/>
  <c r="O989" i="16"/>
  <c r="K989" i="16"/>
  <c r="J989" i="16"/>
  <c r="I989" i="16"/>
  <c r="N989" i="16"/>
  <c r="L989" i="16"/>
  <c r="M989" i="16"/>
  <c r="O997" i="16"/>
  <c r="K997" i="16"/>
  <c r="J997" i="16"/>
  <c r="I997" i="16"/>
  <c r="N997" i="16"/>
  <c r="L997" i="16"/>
  <c r="M997" i="16"/>
  <c r="I50" i="16"/>
  <c r="I52" i="16"/>
  <c r="K53" i="16"/>
  <c r="M54" i="16"/>
  <c r="I56" i="16"/>
  <c r="K57" i="16"/>
  <c r="M58" i="16"/>
  <c r="I60" i="16"/>
  <c r="K61" i="16"/>
  <c r="M62" i="16"/>
  <c r="I64" i="16"/>
  <c r="K65" i="16"/>
  <c r="M66" i="16"/>
  <c r="I68" i="16"/>
  <c r="K69" i="16"/>
  <c r="M70" i="16"/>
  <c r="I72" i="16"/>
  <c r="K73" i="16"/>
  <c r="M74" i="16"/>
  <c r="I76" i="16"/>
  <c r="K77" i="16"/>
  <c r="M78" i="16"/>
  <c r="I80" i="16"/>
  <c r="K81" i="16"/>
  <c r="M82" i="16"/>
  <c r="I84" i="16"/>
  <c r="K85" i="16"/>
  <c r="M86" i="16"/>
  <c r="J88" i="16"/>
  <c r="M89" i="16"/>
  <c r="J91" i="16"/>
  <c r="N92" i="16"/>
  <c r="M97" i="16"/>
  <c r="K100" i="16"/>
  <c r="I103" i="16"/>
  <c r="M105" i="16"/>
  <c r="J111" i="16"/>
  <c r="J129" i="16"/>
  <c r="L132" i="16"/>
  <c r="I136" i="16"/>
  <c r="J197" i="16"/>
  <c r="M245" i="16"/>
  <c r="N108" i="16"/>
  <c r="M108" i="16"/>
  <c r="J108" i="16"/>
  <c r="N156" i="16"/>
  <c r="M156" i="16"/>
  <c r="L156" i="16"/>
  <c r="K156" i="16"/>
  <c r="J156" i="16"/>
  <c r="I156" i="16"/>
  <c r="N188" i="16"/>
  <c r="M188" i="16"/>
  <c r="L188" i="16"/>
  <c r="K188" i="16"/>
  <c r="J188" i="16"/>
  <c r="I188" i="16"/>
  <c r="L228" i="16"/>
  <c r="N228" i="16"/>
  <c r="M228" i="16"/>
  <c r="K228" i="16"/>
  <c r="J228" i="16"/>
  <c r="O260" i="16"/>
  <c r="L260" i="16"/>
  <c r="J260" i="16"/>
  <c r="I260" i="16"/>
  <c r="M260" i="16"/>
  <c r="K260" i="16"/>
  <c r="O308" i="16"/>
  <c r="L308" i="16"/>
  <c r="J308" i="16"/>
  <c r="I308" i="16"/>
  <c r="M308" i="16"/>
  <c r="K308" i="16"/>
  <c r="O348" i="16"/>
  <c r="M348" i="16"/>
  <c r="L348" i="16"/>
  <c r="K348" i="16"/>
  <c r="J348" i="16"/>
  <c r="I348" i="16"/>
  <c r="N348" i="16"/>
  <c r="O388" i="16"/>
  <c r="M388" i="16"/>
  <c r="L388" i="16"/>
  <c r="K388" i="16"/>
  <c r="J388" i="16"/>
  <c r="I388" i="16"/>
  <c r="N388" i="16"/>
  <c r="O444" i="16"/>
  <c r="K444" i="16"/>
  <c r="I444" i="16"/>
  <c r="M444" i="16"/>
  <c r="N444" i="16"/>
  <c r="L444" i="16"/>
  <c r="J444" i="16"/>
  <c r="O492" i="16"/>
  <c r="K492" i="16"/>
  <c r="J492" i="16"/>
  <c r="I492" i="16"/>
  <c r="N492" i="16"/>
  <c r="M492" i="16"/>
  <c r="L492" i="16"/>
  <c r="O548" i="16"/>
  <c r="K548" i="16"/>
  <c r="J548" i="16"/>
  <c r="I548" i="16"/>
  <c r="N548" i="16"/>
  <c r="M548" i="16"/>
  <c r="L548" i="16"/>
  <c r="O596" i="16"/>
  <c r="L596" i="16"/>
  <c r="J596" i="16"/>
  <c r="I596" i="16"/>
  <c r="N596" i="16"/>
  <c r="M596" i="16"/>
  <c r="K596" i="16"/>
  <c r="O636" i="16"/>
  <c r="L636" i="16"/>
  <c r="J636" i="16"/>
  <c r="I636" i="16"/>
  <c r="N636" i="16"/>
  <c r="M636" i="16"/>
  <c r="K636" i="16"/>
  <c r="O684" i="16"/>
  <c r="N684" i="16"/>
  <c r="M684" i="16"/>
  <c r="L684" i="16"/>
  <c r="J684" i="16"/>
  <c r="I684" i="16"/>
  <c r="K684" i="16"/>
  <c r="O724" i="16"/>
  <c r="N724" i="16"/>
  <c r="M724" i="16"/>
  <c r="L724" i="16"/>
  <c r="K724" i="16"/>
  <c r="J724" i="16"/>
  <c r="I724" i="16"/>
  <c r="O764" i="16"/>
  <c r="N764" i="16"/>
  <c r="M764" i="16"/>
  <c r="L764" i="16"/>
  <c r="K764" i="16"/>
  <c r="J764" i="16"/>
  <c r="I764" i="16"/>
  <c r="O812" i="16"/>
  <c r="N812" i="16"/>
  <c r="M812" i="16"/>
  <c r="L812" i="16"/>
  <c r="K812" i="16"/>
  <c r="J812" i="16"/>
  <c r="I812" i="16"/>
  <c r="O868" i="16"/>
  <c r="N868" i="16"/>
  <c r="K868" i="16"/>
  <c r="M868" i="16"/>
  <c r="L868" i="16"/>
  <c r="J868" i="16"/>
  <c r="I868" i="16"/>
  <c r="O924" i="16"/>
  <c r="N924" i="16"/>
  <c r="M924" i="16"/>
  <c r="L924" i="16"/>
  <c r="K924" i="16"/>
  <c r="J924" i="16"/>
  <c r="I924" i="16"/>
  <c r="O988" i="16"/>
  <c r="I988" i="16"/>
  <c r="N988" i="16"/>
  <c r="M988" i="16"/>
  <c r="L988" i="16"/>
  <c r="J988" i="16"/>
  <c r="K988" i="16"/>
  <c r="I100" i="16"/>
  <c r="N300" i="16"/>
  <c r="I125" i="16"/>
  <c r="M125" i="16"/>
  <c r="L125" i="16"/>
  <c r="I205" i="16"/>
  <c r="N205" i="16"/>
  <c r="M205" i="16"/>
  <c r="L205" i="16"/>
  <c r="K205" i="16"/>
  <c r="I94" i="16"/>
  <c r="K102" i="16"/>
  <c r="J102" i="16"/>
  <c r="I102" i="16"/>
  <c r="N102" i="16"/>
  <c r="K118" i="16"/>
  <c r="J118" i="16"/>
  <c r="I118" i="16"/>
  <c r="N118" i="16"/>
  <c r="K126" i="16"/>
  <c r="J126" i="16"/>
  <c r="I126" i="16"/>
  <c r="N126" i="16"/>
  <c r="K134" i="16"/>
  <c r="J134" i="16"/>
  <c r="I134" i="16"/>
  <c r="N134" i="16"/>
  <c r="K142" i="16"/>
  <c r="J142" i="16"/>
  <c r="I142" i="16"/>
  <c r="N142" i="16"/>
  <c r="M142" i="16"/>
  <c r="K150" i="16"/>
  <c r="J150" i="16"/>
  <c r="I150" i="16"/>
  <c r="N150" i="16"/>
  <c r="M150" i="16"/>
  <c r="K158" i="16"/>
  <c r="J158" i="16"/>
  <c r="I158" i="16"/>
  <c r="N158" i="16"/>
  <c r="M158" i="16"/>
  <c r="K166" i="16"/>
  <c r="J166" i="16"/>
  <c r="I166" i="16"/>
  <c r="N166" i="16"/>
  <c r="M166" i="16"/>
  <c r="K174" i="16"/>
  <c r="J174" i="16"/>
  <c r="I174" i="16"/>
  <c r="N174" i="16"/>
  <c r="M174" i="16"/>
  <c r="K182" i="16"/>
  <c r="J182" i="16"/>
  <c r="I182" i="16"/>
  <c r="N182" i="16"/>
  <c r="M182" i="16"/>
  <c r="K190" i="16"/>
  <c r="J190" i="16"/>
  <c r="I190" i="16"/>
  <c r="N190" i="16"/>
  <c r="M190" i="16"/>
  <c r="K198" i="16"/>
  <c r="J198" i="16"/>
  <c r="I198" i="16"/>
  <c r="N198" i="16"/>
  <c r="M198" i="16"/>
  <c r="K206" i="16"/>
  <c r="J206" i="16"/>
  <c r="I206" i="16"/>
  <c r="N206" i="16"/>
  <c r="M206" i="16"/>
  <c r="K214" i="16"/>
  <c r="J214" i="16"/>
  <c r="I214" i="16"/>
  <c r="N214" i="16"/>
  <c r="M214" i="16"/>
  <c r="L222" i="16"/>
  <c r="K222" i="16"/>
  <c r="J222" i="16"/>
  <c r="I222" i="16"/>
  <c r="N222" i="16"/>
  <c r="L230" i="16"/>
  <c r="N230" i="16"/>
  <c r="M230" i="16"/>
  <c r="K230" i="16"/>
  <c r="J230" i="16"/>
  <c r="I230" i="16"/>
  <c r="L238" i="16"/>
  <c r="K238" i="16"/>
  <c r="J238" i="16"/>
  <c r="I238" i="16"/>
  <c r="N238" i="16"/>
  <c r="L246" i="16"/>
  <c r="N246" i="16"/>
  <c r="M246" i="16"/>
  <c r="K246" i="16"/>
  <c r="J246" i="16"/>
  <c r="I246" i="16"/>
  <c r="L254" i="16"/>
  <c r="K254" i="16"/>
  <c r="J254" i="16"/>
  <c r="I254" i="16"/>
  <c r="N254" i="16"/>
  <c r="O262" i="16"/>
  <c r="N262" i="16"/>
  <c r="M262" i="16"/>
  <c r="L262" i="16"/>
  <c r="K262" i="16"/>
  <c r="J262" i="16"/>
  <c r="I262" i="16"/>
  <c r="O270" i="16"/>
  <c r="N270" i="16"/>
  <c r="M270" i="16"/>
  <c r="L270" i="16"/>
  <c r="K270" i="16"/>
  <c r="J270" i="16"/>
  <c r="I270" i="16"/>
  <c r="O278" i="16"/>
  <c r="N278" i="16"/>
  <c r="M278" i="16"/>
  <c r="L278" i="16"/>
  <c r="K278" i="16"/>
  <c r="J278" i="16"/>
  <c r="I278" i="16"/>
  <c r="O286" i="16"/>
  <c r="N286" i="16"/>
  <c r="M286" i="16"/>
  <c r="L286" i="16"/>
  <c r="K286" i="16"/>
  <c r="J286" i="16"/>
  <c r="I286" i="16"/>
  <c r="O294" i="16"/>
  <c r="N294" i="16"/>
  <c r="M294" i="16"/>
  <c r="L294" i="16"/>
  <c r="K294" i="16"/>
  <c r="J294" i="16"/>
  <c r="I294" i="16"/>
  <c r="O302" i="16"/>
  <c r="N302" i="16"/>
  <c r="M302" i="16"/>
  <c r="L302" i="16"/>
  <c r="K302" i="16"/>
  <c r="J302" i="16"/>
  <c r="I302" i="16"/>
  <c r="O310" i="16"/>
  <c r="N310" i="16"/>
  <c r="M310" i="16"/>
  <c r="L310" i="16"/>
  <c r="K310" i="16"/>
  <c r="J310" i="16"/>
  <c r="I310" i="16"/>
  <c r="O318" i="16"/>
  <c r="N318" i="16"/>
  <c r="M318" i="16"/>
  <c r="L318" i="16"/>
  <c r="K318" i="16"/>
  <c r="J318" i="16"/>
  <c r="I318" i="16"/>
  <c r="O326" i="16"/>
  <c r="I326" i="16"/>
  <c r="N326" i="16"/>
  <c r="M326" i="16"/>
  <c r="L326" i="16"/>
  <c r="K326" i="16"/>
  <c r="O334" i="16"/>
  <c r="I334" i="16"/>
  <c r="N334" i="16"/>
  <c r="M334" i="16"/>
  <c r="L334" i="16"/>
  <c r="K334" i="16"/>
  <c r="J334" i="16"/>
  <c r="O342" i="16"/>
  <c r="I342" i="16"/>
  <c r="N342" i="16"/>
  <c r="M342" i="16"/>
  <c r="L342" i="16"/>
  <c r="K342" i="16"/>
  <c r="O350" i="16"/>
  <c r="I350" i="16"/>
  <c r="N350" i="16"/>
  <c r="M350" i="16"/>
  <c r="L350" i="16"/>
  <c r="K350" i="16"/>
  <c r="J350" i="16"/>
  <c r="O358" i="16"/>
  <c r="I358" i="16"/>
  <c r="N358" i="16"/>
  <c r="M358" i="16"/>
  <c r="L358" i="16"/>
  <c r="K358" i="16"/>
  <c r="O366" i="16"/>
  <c r="I366" i="16"/>
  <c r="N366" i="16"/>
  <c r="M366" i="16"/>
  <c r="L366" i="16"/>
  <c r="K366" i="16"/>
  <c r="J366" i="16"/>
  <c r="O374" i="16"/>
  <c r="I374" i="16"/>
  <c r="N374" i="16"/>
  <c r="M374" i="16"/>
  <c r="L374" i="16"/>
  <c r="K374" i="16"/>
  <c r="O382" i="16"/>
  <c r="I382" i="16"/>
  <c r="N382" i="16"/>
  <c r="M382" i="16"/>
  <c r="L382" i="16"/>
  <c r="K382" i="16"/>
  <c r="J382" i="16"/>
  <c r="O390" i="16"/>
  <c r="M390" i="16"/>
  <c r="I390" i="16"/>
  <c r="N390" i="16"/>
  <c r="L390" i="16"/>
  <c r="K390" i="16"/>
  <c r="O398" i="16"/>
  <c r="M398" i="16"/>
  <c r="K398" i="16"/>
  <c r="J398" i="16"/>
  <c r="I398" i="16"/>
  <c r="N398" i="16"/>
  <c r="O406" i="16"/>
  <c r="M406" i="16"/>
  <c r="K406" i="16"/>
  <c r="N406" i="16"/>
  <c r="L406" i="16"/>
  <c r="J406" i="16"/>
  <c r="I406" i="16"/>
  <c r="O414" i="16"/>
  <c r="M414" i="16"/>
  <c r="K414" i="16"/>
  <c r="N414" i="16"/>
  <c r="L414" i="16"/>
  <c r="J414" i="16"/>
  <c r="I414" i="16"/>
  <c r="O422" i="16"/>
  <c r="M422" i="16"/>
  <c r="K422" i="16"/>
  <c r="I422" i="16"/>
  <c r="J422" i="16"/>
  <c r="N422" i="16"/>
  <c r="L422" i="16"/>
  <c r="O430" i="16"/>
  <c r="M430" i="16"/>
  <c r="L430" i="16"/>
  <c r="K430" i="16"/>
  <c r="I430" i="16"/>
  <c r="N430" i="16"/>
  <c r="J430" i="16"/>
  <c r="O438" i="16"/>
  <c r="M438" i="16"/>
  <c r="L438" i="16"/>
  <c r="K438" i="16"/>
  <c r="I438" i="16"/>
  <c r="N438" i="16"/>
  <c r="J438" i="16"/>
  <c r="O446" i="16"/>
  <c r="M446" i="16"/>
  <c r="L446" i="16"/>
  <c r="K446" i="16"/>
  <c r="I446" i="16"/>
  <c r="N446" i="16"/>
  <c r="J446" i="16"/>
  <c r="O454" i="16"/>
  <c r="M454" i="16"/>
  <c r="L454" i="16"/>
  <c r="K454" i="16"/>
  <c r="I454" i="16"/>
  <c r="N454" i="16"/>
  <c r="J454" i="16"/>
  <c r="O462" i="16"/>
  <c r="M462" i="16"/>
  <c r="L462" i="16"/>
  <c r="K462" i="16"/>
  <c r="I462" i="16"/>
  <c r="N462" i="16"/>
  <c r="J462" i="16"/>
  <c r="O470" i="16"/>
  <c r="M470" i="16"/>
  <c r="L470" i="16"/>
  <c r="K470" i="16"/>
  <c r="I470" i="16"/>
  <c r="N470" i="16"/>
  <c r="J470" i="16"/>
  <c r="O478" i="16"/>
  <c r="N478" i="16"/>
  <c r="M478" i="16"/>
  <c r="L478" i="16"/>
  <c r="K478" i="16"/>
  <c r="I478" i="16"/>
  <c r="J478" i="16"/>
  <c r="O486" i="16"/>
  <c r="N486" i="16"/>
  <c r="M486" i="16"/>
  <c r="L486" i="16"/>
  <c r="K486" i="16"/>
  <c r="J486" i="16"/>
  <c r="I486" i="16"/>
  <c r="O494" i="16"/>
  <c r="N494" i="16"/>
  <c r="M494" i="16"/>
  <c r="L494" i="16"/>
  <c r="K494" i="16"/>
  <c r="J494" i="16"/>
  <c r="I494" i="16"/>
  <c r="O502" i="16"/>
  <c r="N502" i="16"/>
  <c r="M502" i="16"/>
  <c r="L502" i="16"/>
  <c r="K502" i="16"/>
  <c r="J502" i="16"/>
  <c r="I502" i="16"/>
  <c r="O510" i="16"/>
  <c r="N510" i="16"/>
  <c r="M510" i="16"/>
  <c r="L510" i="16"/>
  <c r="K510" i="16"/>
  <c r="J510" i="16"/>
  <c r="I510" i="16"/>
  <c r="O518" i="16"/>
  <c r="N518" i="16"/>
  <c r="M518" i="16"/>
  <c r="L518" i="16"/>
  <c r="K518" i="16"/>
  <c r="J518" i="16"/>
  <c r="I518" i="16"/>
  <c r="O526" i="16"/>
  <c r="N526" i="16"/>
  <c r="M526" i="16"/>
  <c r="L526" i="16"/>
  <c r="K526" i="16"/>
  <c r="J526" i="16"/>
  <c r="I526" i="16"/>
  <c r="O534" i="16"/>
  <c r="N534" i="16"/>
  <c r="M534" i="16"/>
  <c r="L534" i="16"/>
  <c r="K534" i="16"/>
  <c r="J534" i="16"/>
  <c r="I534" i="16"/>
  <c r="O542" i="16"/>
  <c r="N542" i="16"/>
  <c r="M542" i="16"/>
  <c r="L542" i="16"/>
  <c r="K542" i="16"/>
  <c r="J542" i="16"/>
  <c r="I542" i="16"/>
  <c r="O550" i="16"/>
  <c r="N550" i="16"/>
  <c r="M550" i="16"/>
  <c r="L550" i="16"/>
  <c r="K550" i="16"/>
  <c r="J550" i="16"/>
  <c r="I550" i="16"/>
  <c r="O558" i="16"/>
  <c r="N558" i="16"/>
  <c r="M558" i="16"/>
  <c r="L558" i="16"/>
  <c r="K558" i="16"/>
  <c r="J558" i="16"/>
  <c r="I558" i="16"/>
  <c r="O566" i="16"/>
  <c r="N566" i="16"/>
  <c r="M566" i="16"/>
  <c r="L566" i="16"/>
  <c r="K566" i="16"/>
  <c r="J566" i="16"/>
  <c r="I566" i="16"/>
  <c r="O574" i="16"/>
  <c r="N574" i="16"/>
  <c r="J574" i="16"/>
  <c r="I574" i="16"/>
  <c r="M574" i="16"/>
  <c r="L574" i="16"/>
  <c r="O582" i="16"/>
  <c r="N582" i="16"/>
  <c r="L582" i="16"/>
  <c r="J582" i="16"/>
  <c r="I582" i="16"/>
  <c r="M582" i="16"/>
  <c r="K582" i="16"/>
  <c r="O590" i="16"/>
  <c r="N590" i="16"/>
  <c r="M590" i="16"/>
  <c r="L590" i="16"/>
  <c r="J590" i="16"/>
  <c r="K590" i="16"/>
  <c r="I590" i="16"/>
  <c r="O598" i="16"/>
  <c r="N598" i="16"/>
  <c r="M598" i="16"/>
  <c r="L598" i="16"/>
  <c r="J598" i="16"/>
  <c r="K598" i="16"/>
  <c r="I598" i="16"/>
  <c r="O606" i="16"/>
  <c r="N606" i="16"/>
  <c r="M606" i="16"/>
  <c r="L606" i="16"/>
  <c r="J606" i="16"/>
  <c r="K606" i="16"/>
  <c r="I606" i="16"/>
  <c r="O614" i="16"/>
  <c r="N614" i="16"/>
  <c r="M614" i="16"/>
  <c r="L614" i="16"/>
  <c r="J614" i="16"/>
  <c r="K614" i="16"/>
  <c r="I614" i="16"/>
  <c r="O622" i="16"/>
  <c r="N622" i="16"/>
  <c r="M622" i="16"/>
  <c r="L622" i="16"/>
  <c r="J622" i="16"/>
  <c r="K622" i="16"/>
  <c r="I622" i="16"/>
  <c r="O630" i="16"/>
  <c r="N630" i="16"/>
  <c r="M630" i="16"/>
  <c r="L630" i="16"/>
  <c r="J630" i="16"/>
  <c r="K630" i="16"/>
  <c r="I630" i="16"/>
  <c r="O638" i="16"/>
  <c r="N638" i="16"/>
  <c r="M638" i="16"/>
  <c r="L638" i="16"/>
  <c r="J638" i="16"/>
  <c r="K638" i="16"/>
  <c r="I638" i="16"/>
  <c r="O646" i="16"/>
  <c r="N646" i="16"/>
  <c r="M646" i="16"/>
  <c r="L646" i="16"/>
  <c r="J646" i="16"/>
  <c r="K646" i="16"/>
  <c r="I646" i="16"/>
  <c r="O654" i="16"/>
  <c r="N654" i="16"/>
  <c r="M654" i="16"/>
  <c r="L654" i="16"/>
  <c r="J654" i="16"/>
  <c r="K654" i="16"/>
  <c r="I654" i="16"/>
  <c r="O662" i="16"/>
  <c r="J662" i="16"/>
  <c r="M662" i="16"/>
  <c r="N662" i="16"/>
  <c r="L662" i="16"/>
  <c r="K662" i="16"/>
  <c r="I662" i="16"/>
  <c r="O670" i="16"/>
  <c r="J670" i="16"/>
  <c r="M670" i="16"/>
  <c r="K670" i="16"/>
  <c r="I670" i="16"/>
  <c r="N670" i="16"/>
  <c r="L670" i="16"/>
  <c r="O678" i="16"/>
  <c r="J678" i="16"/>
  <c r="I678" i="16"/>
  <c r="N678" i="16"/>
  <c r="M678" i="16"/>
  <c r="L678" i="16"/>
  <c r="K678" i="16"/>
  <c r="O686" i="16"/>
  <c r="J686" i="16"/>
  <c r="I686" i="16"/>
  <c r="N686" i="16"/>
  <c r="M686" i="16"/>
  <c r="L686" i="16"/>
  <c r="K686" i="16"/>
  <c r="O694" i="16"/>
  <c r="J694" i="16"/>
  <c r="I694" i="16"/>
  <c r="N694" i="16"/>
  <c r="M694" i="16"/>
  <c r="L694" i="16"/>
  <c r="K694" i="16"/>
  <c r="O702" i="16"/>
  <c r="J702" i="16"/>
  <c r="I702" i="16"/>
  <c r="N702" i="16"/>
  <c r="M702" i="16"/>
  <c r="L702" i="16"/>
  <c r="K702" i="16"/>
  <c r="O710" i="16"/>
  <c r="J710" i="16"/>
  <c r="I710" i="16"/>
  <c r="N710" i="16"/>
  <c r="M710" i="16"/>
  <c r="L710" i="16"/>
  <c r="K710" i="16"/>
  <c r="O718" i="16"/>
  <c r="J718" i="16"/>
  <c r="I718" i="16"/>
  <c r="N718" i="16"/>
  <c r="M718" i="16"/>
  <c r="L718" i="16"/>
  <c r="K718" i="16"/>
  <c r="O726" i="16"/>
  <c r="J726" i="16"/>
  <c r="I726" i="16"/>
  <c r="N726" i="16"/>
  <c r="M726" i="16"/>
  <c r="L726" i="16"/>
  <c r="K726" i="16"/>
  <c r="O734" i="16"/>
  <c r="J734" i="16"/>
  <c r="I734" i="16"/>
  <c r="N734" i="16"/>
  <c r="M734" i="16"/>
  <c r="L734" i="16"/>
  <c r="K734" i="16"/>
  <c r="O742" i="16"/>
  <c r="J742" i="16"/>
  <c r="I742" i="16"/>
  <c r="N742" i="16"/>
  <c r="M742" i="16"/>
  <c r="L742" i="16"/>
  <c r="K742" i="16"/>
  <c r="O750" i="16"/>
  <c r="J750" i="16"/>
  <c r="I750" i="16"/>
  <c r="N750" i="16"/>
  <c r="M750" i="16"/>
  <c r="L750" i="16"/>
  <c r="K750" i="16"/>
  <c r="O758" i="16"/>
  <c r="J758" i="16"/>
  <c r="I758" i="16"/>
  <c r="N758" i="16"/>
  <c r="M758" i="16"/>
  <c r="L758" i="16"/>
  <c r="K758" i="16"/>
  <c r="O766" i="16"/>
  <c r="J766" i="16"/>
  <c r="I766" i="16"/>
  <c r="N766" i="16"/>
  <c r="M766" i="16"/>
  <c r="L766" i="16"/>
  <c r="K766" i="16"/>
  <c r="O774" i="16"/>
  <c r="J774" i="16"/>
  <c r="I774" i="16"/>
  <c r="N774" i="16"/>
  <c r="M774" i="16"/>
  <c r="L774" i="16"/>
  <c r="K774" i="16"/>
  <c r="O782" i="16"/>
  <c r="J782" i="16"/>
  <c r="I782" i="16"/>
  <c r="N782" i="16"/>
  <c r="M782" i="16"/>
  <c r="L782" i="16"/>
  <c r="K782" i="16"/>
  <c r="O790" i="16"/>
  <c r="J790" i="16"/>
  <c r="I790" i="16"/>
  <c r="N790" i="16"/>
  <c r="M790" i="16"/>
  <c r="L790" i="16"/>
  <c r="K790" i="16"/>
  <c r="O798" i="16"/>
  <c r="J798" i="16"/>
  <c r="I798" i="16"/>
  <c r="N798" i="16"/>
  <c r="M798" i="16"/>
  <c r="L798" i="16"/>
  <c r="K798" i="16"/>
  <c r="O806" i="16"/>
  <c r="J806" i="16"/>
  <c r="I806" i="16"/>
  <c r="N806" i="16"/>
  <c r="M806" i="16"/>
  <c r="L806" i="16"/>
  <c r="K806" i="16"/>
  <c r="O814" i="16"/>
  <c r="J814" i="16"/>
  <c r="I814" i="16"/>
  <c r="N814" i="16"/>
  <c r="M814" i="16"/>
  <c r="L814" i="16"/>
  <c r="K814" i="16"/>
  <c r="O822" i="16"/>
  <c r="J822" i="16"/>
  <c r="I822" i="16"/>
  <c r="N822" i="16"/>
  <c r="M822" i="16"/>
  <c r="L822" i="16"/>
  <c r="K822" i="16"/>
  <c r="O830" i="16"/>
  <c r="J830" i="16"/>
  <c r="I830" i="16"/>
  <c r="N830" i="16"/>
  <c r="M830" i="16"/>
  <c r="L830" i="16"/>
  <c r="K830" i="16"/>
  <c r="O838" i="16"/>
  <c r="J838" i="16"/>
  <c r="I838" i="16"/>
  <c r="N838" i="16"/>
  <c r="M838" i="16"/>
  <c r="L838" i="16"/>
  <c r="K838" i="16"/>
  <c r="O846" i="16"/>
  <c r="J846" i="16"/>
  <c r="I846" i="16"/>
  <c r="N846" i="16"/>
  <c r="M846" i="16"/>
  <c r="L846" i="16"/>
  <c r="K846" i="16"/>
  <c r="O854" i="16"/>
  <c r="J854" i="16"/>
  <c r="I854" i="16"/>
  <c r="N854" i="16"/>
  <c r="M854" i="16"/>
  <c r="L854" i="16"/>
  <c r="K854" i="16"/>
  <c r="O862" i="16"/>
  <c r="L862" i="16"/>
  <c r="J862" i="16"/>
  <c r="K862" i="16"/>
  <c r="I862" i="16"/>
  <c r="N862" i="16"/>
  <c r="M862" i="16"/>
  <c r="O870" i="16"/>
  <c r="L870" i="16"/>
  <c r="J870" i="16"/>
  <c r="N870" i="16"/>
  <c r="M870" i="16"/>
  <c r="K870" i="16"/>
  <c r="I870" i="16"/>
  <c r="O878" i="16"/>
  <c r="L878" i="16"/>
  <c r="J878" i="16"/>
  <c r="I878" i="16"/>
  <c r="N878" i="16"/>
  <c r="M878" i="16"/>
  <c r="K878" i="16"/>
  <c r="O886" i="16"/>
  <c r="L886" i="16"/>
  <c r="J886" i="16"/>
  <c r="I886" i="16"/>
  <c r="N886" i="16"/>
  <c r="M886" i="16"/>
  <c r="K886" i="16"/>
  <c r="O894" i="16"/>
  <c r="L894" i="16"/>
  <c r="J894" i="16"/>
  <c r="I894" i="16"/>
  <c r="N894" i="16"/>
  <c r="M894" i="16"/>
  <c r="K894" i="16"/>
  <c r="O902" i="16"/>
  <c r="L902" i="16"/>
  <c r="J902" i="16"/>
  <c r="I902" i="16"/>
  <c r="N902" i="16"/>
  <c r="M902" i="16"/>
  <c r="K902" i="16"/>
  <c r="O910" i="16"/>
  <c r="L910" i="16"/>
  <c r="J910" i="16"/>
  <c r="I910" i="16"/>
  <c r="N910" i="16"/>
  <c r="M910" i="16"/>
  <c r="K910" i="16"/>
  <c r="O918" i="16"/>
  <c r="L918" i="16"/>
  <c r="K918" i="16"/>
  <c r="J918" i="16"/>
  <c r="I918" i="16"/>
  <c r="N918" i="16"/>
  <c r="M918" i="16"/>
  <c r="O926" i="16"/>
  <c r="L926" i="16"/>
  <c r="K926" i="16"/>
  <c r="J926" i="16"/>
  <c r="I926" i="16"/>
  <c r="N926" i="16"/>
  <c r="M926" i="16"/>
  <c r="O934" i="16"/>
  <c r="L934" i="16"/>
  <c r="K934" i="16"/>
  <c r="J934" i="16"/>
  <c r="I934" i="16"/>
  <c r="N934" i="16"/>
  <c r="M934" i="16"/>
  <c r="O942" i="16"/>
  <c r="L942" i="16"/>
  <c r="K942" i="16"/>
  <c r="J942" i="16"/>
  <c r="I942" i="16"/>
  <c r="N942" i="16"/>
  <c r="M942" i="16"/>
  <c r="O950" i="16"/>
  <c r="L950" i="16"/>
  <c r="K950" i="16"/>
  <c r="J950" i="16"/>
  <c r="N950" i="16"/>
  <c r="M950" i="16"/>
  <c r="I950" i="16"/>
  <c r="O958" i="16"/>
  <c r="L958" i="16"/>
  <c r="K958" i="16"/>
  <c r="J958" i="16"/>
  <c r="I958" i="16"/>
  <c r="N958" i="16"/>
  <c r="M958" i="16"/>
  <c r="O966" i="16"/>
  <c r="L966" i="16"/>
  <c r="K966" i="16"/>
  <c r="J966" i="16"/>
  <c r="I966" i="16"/>
  <c r="N966" i="16"/>
  <c r="M966" i="16"/>
  <c r="O974" i="16"/>
  <c r="L974" i="16"/>
  <c r="K974" i="16"/>
  <c r="J974" i="16"/>
  <c r="I974" i="16"/>
  <c r="N974" i="16"/>
  <c r="M974" i="16"/>
  <c r="O982" i="16"/>
  <c r="M982" i="16"/>
  <c r="L982" i="16"/>
  <c r="K982" i="16"/>
  <c r="J982" i="16"/>
  <c r="I982" i="16"/>
  <c r="N982" i="16"/>
  <c r="O990" i="16"/>
  <c r="M990" i="16"/>
  <c r="L990" i="16"/>
  <c r="K990" i="16"/>
  <c r="J990" i="16"/>
  <c r="I990" i="16"/>
  <c r="N990" i="16"/>
  <c r="O998" i="16"/>
  <c r="M998" i="16"/>
  <c r="L998" i="16"/>
  <c r="K998" i="16"/>
  <c r="J998" i="16"/>
  <c r="I998" i="16"/>
  <c r="N998" i="16"/>
  <c r="J50" i="16"/>
  <c r="J52" i="16"/>
  <c r="L53" i="16"/>
  <c r="N54" i="16"/>
  <c r="J56" i="16"/>
  <c r="L57" i="16"/>
  <c r="N58" i="16"/>
  <c r="J60" i="16"/>
  <c r="L61" i="16"/>
  <c r="N62" i="16"/>
  <c r="J64" i="16"/>
  <c r="L65" i="16"/>
  <c r="N66" i="16"/>
  <c r="J68" i="16"/>
  <c r="L69" i="16"/>
  <c r="N70" i="16"/>
  <c r="J72" i="16"/>
  <c r="L73" i="16"/>
  <c r="N74" i="16"/>
  <c r="J76" i="16"/>
  <c r="L77" i="16"/>
  <c r="N78" i="16"/>
  <c r="J80" i="16"/>
  <c r="L81" i="16"/>
  <c r="N82" i="16"/>
  <c r="J84" i="16"/>
  <c r="L85" i="16"/>
  <c r="N86" i="16"/>
  <c r="K88" i="16"/>
  <c r="N89" i="16"/>
  <c r="L91" i="16"/>
  <c r="I93" i="16"/>
  <c r="L94" i="16"/>
  <c r="I96" i="16"/>
  <c r="L108" i="16"/>
  <c r="J115" i="16"/>
  <c r="M118" i="16"/>
  <c r="L122" i="16"/>
  <c r="N125" i="16"/>
  <c r="K129" i="16"/>
  <c r="J133" i="16"/>
  <c r="L166" i="16"/>
  <c r="L198" i="16"/>
  <c r="J374" i="16"/>
  <c r="N140" i="16"/>
  <c r="M140" i="16"/>
  <c r="L140" i="16"/>
  <c r="K140" i="16"/>
  <c r="J140" i="16"/>
  <c r="I140" i="16"/>
  <c r="O276" i="16"/>
  <c r="L276" i="16"/>
  <c r="J276" i="16"/>
  <c r="I276" i="16"/>
  <c r="M276" i="16"/>
  <c r="K276" i="16"/>
  <c r="O412" i="16"/>
  <c r="K412" i="16"/>
  <c r="I412" i="16"/>
  <c r="N412" i="16"/>
  <c r="M412" i="16"/>
  <c r="L412" i="16"/>
  <c r="J412" i="16"/>
  <c r="O532" i="16"/>
  <c r="K532" i="16"/>
  <c r="J532" i="16"/>
  <c r="I532" i="16"/>
  <c r="N532" i="16"/>
  <c r="M532" i="16"/>
  <c r="L532" i="16"/>
  <c r="O652" i="16"/>
  <c r="L652" i="16"/>
  <c r="J652" i="16"/>
  <c r="I652" i="16"/>
  <c r="N652" i="16"/>
  <c r="M652" i="16"/>
  <c r="K652" i="16"/>
  <c r="O756" i="16"/>
  <c r="N756" i="16"/>
  <c r="M756" i="16"/>
  <c r="L756" i="16"/>
  <c r="K756" i="16"/>
  <c r="J756" i="16"/>
  <c r="I756" i="16"/>
  <c r="O860" i="16"/>
  <c r="N860" i="16"/>
  <c r="K860" i="16"/>
  <c r="J860" i="16"/>
  <c r="I860" i="16"/>
  <c r="M860" i="16"/>
  <c r="L860" i="16"/>
  <c r="O948" i="16"/>
  <c r="N948" i="16"/>
  <c r="M948" i="16"/>
  <c r="L948" i="16"/>
  <c r="K948" i="16"/>
  <c r="J948" i="16"/>
  <c r="I948" i="16"/>
  <c r="I244" i="16"/>
  <c r="I149" i="16"/>
  <c r="N149" i="16"/>
  <c r="M149" i="16"/>
  <c r="L149" i="16"/>
  <c r="K149" i="16"/>
  <c r="N253" i="16"/>
  <c r="J253" i="16"/>
  <c r="M253" i="16"/>
  <c r="L253" i="16"/>
  <c r="K253" i="16"/>
  <c r="I253" i="16"/>
  <c r="K87" i="16"/>
  <c r="K95" i="16"/>
  <c r="M103" i="16"/>
  <c r="L103" i="16"/>
  <c r="K103" i="16"/>
  <c r="M111" i="16"/>
  <c r="L111" i="16"/>
  <c r="K111" i="16"/>
  <c r="I111" i="16"/>
  <c r="M119" i="16"/>
  <c r="L119" i="16"/>
  <c r="K119" i="16"/>
  <c r="I119" i="16"/>
  <c r="M127" i="16"/>
  <c r="L127" i="16"/>
  <c r="K127" i="16"/>
  <c r="I127" i="16"/>
  <c r="M135" i="16"/>
  <c r="L135" i="16"/>
  <c r="K135" i="16"/>
  <c r="I135" i="16"/>
  <c r="M143" i="16"/>
  <c r="L143" i="16"/>
  <c r="K143" i="16"/>
  <c r="J143" i="16"/>
  <c r="I143" i="16"/>
  <c r="M151" i="16"/>
  <c r="L151" i="16"/>
  <c r="K151" i="16"/>
  <c r="J151" i="16"/>
  <c r="I151" i="16"/>
  <c r="M159" i="16"/>
  <c r="L159" i="16"/>
  <c r="K159" i="16"/>
  <c r="J159" i="16"/>
  <c r="I159" i="16"/>
  <c r="M167" i="16"/>
  <c r="L167" i="16"/>
  <c r="K167" i="16"/>
  <c r="J167" i="16"/>
  <c r="I167" i="16"/>
  <c r="M175" i="16"/>
  <c r="L175" i="16"/>
  <c r="K175" i="16"/>
  <c r="J175" i="16"/>
  <c r="I175" i="16"/>
  <c r="M183" i="16"/>
  <c r="L183" i="16"/>
  <c r="K183" i="16"/>
  <c r="J183" i="16"/>
  <c r="I183" i="16"/>
  <c r="M191" i="16"/>
  <c r="L191" i="16"/>
  <c r="K191" i="16"/>
  <c r="J191" i="16"/>
  <c r="I191" i="16"/>
  <c r="M199" i="16"/>
  <c r="L199" i="16"/>
  <c r="K199" i="16"/>
  <c r="J199" i="16"/>
  <c r="I199" i="16"/>
  <c r="M207" i="16"/>
  <c r="L207" i="16"/>
  <c r="K207" i="16"/>
  <c r="J207" i="16"/>
  <c r="I207" i="16"/>
  <c r="M215" i="16"/>
  <c r="L215" i="16"/>
  <c r="K215" i="16"/>
  <c r="J215" i="16"/>
  <c r="I215" i="16"/>
  <c r="J223" i="16"/>
  <c r="N223" i="16"/>
  <c r="M223" i="16"/>
  <c r="L223" i="16"/>
  <c r="K223" i="16"/>
  <c r="I223" i="16"/>
  <c r="J231" i="16"/>
  <c r="N231" i="16"/>
  <c r="K231" i="16"/>
  <c r="I231" i="16"/>
  <c r="M231" i="16"/>
  <c r="J239" i="16"/>
  <c r="N239" i="16"/>
  <c r="M239" i="16"/>
  <c r="L239" i="16"/>
  <c r="K239" i="16"/>
  <c r="I239" i="16"/>
  <c r="J247" i="16"/>
  <c r="N247" i="16"/>
  <c r="K247" i="16"/>
  <c r="I247" i="16"/>
  <c r="M247" i="16"/>
  <c r="J255" i="16"/>
  <c r="N255" i="16"/>
  <c r="M255" i="16"/>
  <c r="L255" i="16"/>
  <c r="K255" i="16"/>
  <c r="I255" i="16"/>
  <c r="O263" i="16"/>
  <c r="J263" i="16"/>
  <c r="N263" i="16"/>
  <c r="K263" i="16"/>
  <c r="I263" i="16"/>
  <c r="M263" i="16"/>
  <c r="O271" i="16"/>
  <c r="J271" i="16"/>
  <c r="N271" i="16"/>
  <c r="K271" i="16"/>
  <c r="I271" i="16"/>
  <c r="M271" i="16"/>
  <c r="O279" i="16"/>
  <c r="J279" i="16"/>
  <c r="N279" i="16"/>
  <c r="K279" i="16"/>
  <c r="I279" i="16"/>
  <c r="M279" i="16"/>
  <c r="O287" i="16"/>
  <c r="J287" i="16"/>
  <c r="N287" i="16"/>
  <c r="K287" i="16"/>
  <c r="I287" i="16"/>
  <c r="M287" i="16"/>
  <c r="O295" i="16"/>
  <c r="J295" i="16"/>
  <c r="N295" i="16"/>
  <c r="K295" i="16"/>
  <c r="I295" i="16"/>
  <c r="M295" i="16"/>
  <c r="O303" i="16"/>
  <c r="J303" i="16"/>
  <c r="N303" i="16"/>
  <c r="K303" i="16"/>
  <c r="I303" i="16"/>
  <c r="M303" i="16"/>
  <c r="O311" i="16"/>
  <c r="J311" i="16"/>
  <c r="N311" i="16"/>
  <c r="K311" i="16"/>
  <c r="I311" i="16"/>
  <c r="M311" i="16"/>
  <c r="O319" i="16"/>
  <c r="J319" i="16"/>
  <c r="N319" i="16"/>
  <c r="K319" i="16"/>
  <c r="I319" i="16"/>
  <c r="M319" i="16"/>
  <c r="O327" i="16"/>
  <c r="K327" i="16"/>
  <c r="J327" i="16"/>
  <c r="I327" i="16"/>
  <c r="N327" i="16"/>
  <c r="M327" i="16"/>
  <c r="L327" i="16"/>
  <c r="O335" i="16"/>
  <c r="K335" i="16"/>
  <c r="J335" i="16"/>
  <c r="I335" i="16"/>
  <c r="N335" i="16"/>
  <c r="M335" i="16"/>
  <c r="L335" i="16"/>
  <c r="O343" i="16"/>
  <c r="K343" i="16"/>
  <c r="J343" i="16"/>
  <c r="I343" i="16"/>
  <c r="N343" i="16"/>
  <c r="M343" i="16"/>
  <c r="L343" i="16"/>
  <c r="O351" i="16"/>
  <c r="K351" i="16"/>
  <c r="J351" i="16"/>
  <c r="I351" i="16"/>
  <c r="N351" i="16"/>
  <c r="M351" i="16"/>
  <c r="L351" i="16"/>
  <c r="O359" i="16"/>
  <c r="K359" i="16"/>
  <c r="J359" i="16"/>
  <c r="I359" i="16"/>
  <c r="N359" i="16"/>
  <c r="M359" i="16"/>
  <c r="L359" i="16"/>
  <c r="O367" i="16"/>
  <c r="K367" i="16"/>
  <c r="J367" i="16"/>
  <c r="I367" i="16"/>
  <c r="N367" i="16"/>
  <c r="M367" i="16"/>
  <c r="L367" i="16"/>
  <c r="O375" i="16"/>
  <c r="K375" i="16"/>
  <c r="J375" i="16"/>
  <c r="I375" i="16"/>
  <c r="N375" i="16"/>
  <c r="M375" i="16"/>
  <c r="L375" i="16"/>
  <c r="O383" i="16"/>
  <c r="K383" i="16"/>
  <c r="J383" i="16"/>
  <c r="I383" i="16"/>
  <c r="N383" i="16"/>
  <c r="M383" i="16"/>
  <c r="L383" i="16"/>
  <c r="O391" i="16"/>
  <c r="I391" i="16"/>
  <c r="M391" i="16"/>
  <c r="N391" i="16"/>
  <c r="L391" i="16"/>
  <c r="K391" i="16"/>
  <c r="J391" i="16"/>
  <c r="O399" i="16"/>
  <c r="I399" i="16"/>
  <c r="M399" i="16"/>
  <c r="N399" i="16"/>
  <c r="L399" i="16"/>
  <c r="K399" i="16"/>
  <c r="J399" i="16"/>
  <c r="O407" i="16"/>
  <c r="I407" i="16"/>
  <c r="M407" i="16"/>
  <c r="N407" i="16"/>
  <c r="L407" i="16"/>
  <c r="K407" i="16"/>
  <c r="O415" i="16"/>
  <c r="I415" i="16"/>
  <c r="M415" i="16"/>
  <c r="K415" i="16"/>
  <c r="J415" i="16"/>
  <c r="N415" i="16"/>
  <c r="O423" i="16"/>
  <c r="I423" i="16"/>
  <c r="M423" i="16"/>
  <c r="K423" i="16"/>
  <c r="N423" i="16"/>
  <c r="L423" i="16"/>
  <c r="J423" i="16"/>
  <c r="O431" i="16"/>
  <c r="I431" i="16"/>
  <c r="N431" i="16"/>
  <c r="M431" i="16"/>
  <c r="K431" i="16"/>
  <c r="L431" i="16"/>
  <c r="J431" i="16"/>
  <c r="O439" i="16"/>
  <c r="I439" i="16"/>
  <c r="N439" i="16"/>
  <c r="M439" i="16"/>
  <c r="K439" i="16"/>
  <c r="L439" i="16"/>
  <c r="O447" i="16"/>
  <c r="I447" i="16"/>
  <c r="N447" i="16"/>
  <c r="M447" i="16"/>
  <c r="K447" i="16"/>
  <c r="L447" i="16"/>
  <c r="J447" i="16"/>
  <c r="O455" i="16"/>
  <c r="I455" i="16"/>
  <c r="N455" i="16"/>
  <c r="M455" i="16"/>
  <c r="K455" i="16"/>
  <c r="L455" i="16"/>
  <c r="J455" i="16"/>
  <c r="O463" i="16"/>
  <c r="I463" i="16"/>
  <c r="N463" i="16"/>
  <c r="M463" i="16"/>
  <c r="K463" i="16"/>
  <c r="L463" i="16"/>
  <c r="J463" i="16"/>
  <c r="O471" i="16"/>
  <c r="I471" i="16"/>
  <c r="N471" i="16"/>
  <c r="M471" i="16"/>
  <c r="K471" i="16"/>
  <c r="L471" i="16"/>
  <c r="J471" i="16"/>
  <c r="O479" i="16"/>
  <c r="I479" i="16"/>
  <c r="N479" i="16"/>
  <c r="M479" i="16"/>
  <c r="L479" i="16"/>
  <c r="K479" i="16"/>
  <c r="J479" i="16"/>
  <c r="O487" i="16"/>
  <c r="I487" i="16"/>
  <c r="N487" i="16"/>
  <c r="M487" i="16"/>
  <c r="L487" i="16"/>
  <c r="K487" i="16"/>
  <c r="J487" i="16"/>
  <c r="O495" i="16"/>
  <c r="I495" i="16"/>
  <c r="N495" i="16"/>
  <c r="M495" i="16"/>
  <c r="L495" i="16"/>
  <c r="K495" i="16"/>
  <c r="J495" i="16"/>
  <c r="O503" i="16"/>
  <c r="I503" i="16"/>
  <c r="N503" i="16"/>
  <c r="M503" i="16"/>
  <c r="L503" i="16"/>
  <c r="K503" i="16"/>
  <c r="J503" i="16"/>
  <c r="O511" i="16"/>
  <c r="I511" i="16"/>
  <c r="N511" i="16"/>
  <c r="M511" i="16"/>
  <c r="L511" i="16"/>
  <c r="K511" i="16"/>
  <c r="J511" i="16"/>
  <c r="O519" i="16"/>
  <c r="I519" i="16"/>
  <c r="N519" i="16"/>
  <c r="M519" i="16"/>
  <c r="L519" i="16"/>
  <c r="K519" i="16"/>
  <c r="J519" i="16"/>
  <c r="O527" i="16"/>
  <c r="I527" i="16"/>
  <c r="N527" i="16"/>
  <c r="M527" i="16"/>
  <c r="L527" i="16"/>
  <c r="K527" i="16"/>
  <c r="J527" i="16"/>
  <c r="O535" i="16"/>
  <c r="I535" i="16"/>
  <c r="N535" i="16"/>
  <c r="M535" i="16"/>
  <c r="L535" i="16"/>
  <c r="K535" i="16"/>
  <c r="J535" i="16"/>
  <c r="O543" i="16"/>
  <c r="I543" i="16"/>
  <c r="N543" i="16"/>
  <c r="M543" i="16"/>
  <c r="L543" i="16"/>
  <c r="K543" i="16"/>
  <c r="J543" i="16"/>
  <c r="O551" i="16"/>
  <c r="I551" i="16"/>
  <c r="N551" i="16"/>
  <c r="M551" i="16"/>
  <c r="L551" i="16"/>
  <c r="K551" i="16"/>
  <c r="J551" i="16"/>
  <c r="O559" i="16"/>
  <c r="I559" i="16"/>
  <c r="N559" i="16"/>
  <c r="M559" i="16"/>
  <c r="L559" i="16"/>
  <c r="K559" i="16"/>
  <c r="J559" i="16"/>
  <c r="O567" i="16"/>
  <c r="I567" i="16"/>
  <c r="N567" i="16"/>
  <c r="M567" i="16"/>
  <c r="L567" i="16"/>
  <c r="K567" i="16"/>
  <c r="J567" i="16"/>
  <c r="O575" i="16"/>
  <c r="J575" i="16"/>
  <c r="N575" i="16"/>
  <c r="M575" i="16"/>
  <c r="L575" i="16"/>
  <c r="K575" i="16"/>
  <c r="I575" i="16"/>
  <c r="O583" i="16"/>
  <c r="J583" i="16"/>
  <c r="N583" i="16"/>
  <c r="M583" i="16"/>
  <c r="L583" i="16"/>
  <c r="K583" i="16"/>
  <c r="I583" i="16"/>
  <c r="O591" i="16"/>
  <c r="J591" i="16"/>
  <c r="N591" i="16"/>
  <c r="L591" i="16"/>
  <c r="M591" i="16"/>
  <c r="K591" i="16"/>
  <c r="I591" i="16"/>
  <c r="O599" i="16"/>
  <c r="J599" i="16"/>
  <c r="N599" i="16"/>
  <c r="L599" i="16"/>
  <c r="K599" i="16"/>
  <c r="I599" i="16"/>
  <c r="M599" i="16"/>
  <c r="O607" i="16"/>
  <c r="J607" i="16"/>
  <c r="N607" i="16"/>
  <c r="L607" i="16"/>
  <c r="M607" i="16"/>
  <c r="K607" i="16"/>
  <c r="I607" i="16"/>
  <c r="O615" i="16"/>
  <c r="J615" i="16"/>
  <c r="N615" i="16"/>
  <c r="L615" i="16"/>
  <c r="M615" i="16"/>
  <c r="K615" i="16"/>
  <c r="I615" i="16"/>
  <c r="O623" i="16"/>
  <c r="J623" i="16"/>
  <c r="N623" i="16"/>
  <c r="L623" i="16"/>
  <c r="M623" i="16"/>
  <c r="K623" i="16"/>
  <c r="I623" i="16"/>
  <c r="O631" i="16"/>
  <c r="J631" i="16"/>
  <c r="N631" i="16"/>
  <c r="L631" i="16"/>
  <c r="K631" i="16"/>
  <c r="I631" i="16"/>
  <c r="M631" i="16"/>
  <c r="O639" i="16"/>
  <c r="J639" i="16"/>
  <c r="N639" i="16"/>
  <c r="L639" i="16"/>
  <c r="M639" i="16"/>
  <c r="K639" i="16"/>
  <c r="I639" i="16"/>
  <c r="O647" i="16"/>
  <c r="J647" i="16"/>
  <c r="N647" i="16"/>
  <c r="L647" i="16"/>
  <c r="M647" i="16"/>
  <c r="K647" i="16"/>
  <c r="I647" i="16"/>
  <c r="O655" i="16"/>
  <c r="J655" i="16"/>
  <c r="N655" i="16"/>
  <c r="L655" i="16"/>
  <c r="M655" i="16"/>
  <c r="K655" i="16"/>
  <c r="I655" i="16"/>
  <c r="O663" i="16"/>
  <c r="L663" i="16"/>
  <c r="J663" i="16"/>
  <c r="M663" i="16"/>
  <c r="N663" i="16"/>
  <c r="K663" i="16"/>
  <c r="I663" i="16"/>
  <c r="O671" i="16"/>
  <c r="L671" i="16"/>
  <c r="N671" i="16"/>
  <c r="M671" i="16"/>
  <c r="K671" i="16"/>
  <c r="J671" i="16"/>
  <c r="I671" i="16"/>
  <c r="O679" i="16"/>
  <c r="L679" i="16"/>
  <c r="K679" i="16"/>
  <c r="J679" i="16"/>
  <c r="N679" i="16"/>
  <c r="M679" i="16"/>
  <c r="I679" i="16"/>
  <c r="O687" i="16"/>
  <c r="L687" i="16"/>
  <c r="K687" i="16"/>
  <c r="J687" i="16"/>
  <c r="N687" i="16"/>
  <c r="M687" i="16"/>
  <c r="I687" i="16"/>
  <c r="O695" i="16"/>
  <c r="L695" i="16"/>
  <c r="K695" i="16"/>
  <c r="J695" i="16"/>
  <c r="I695" i="16"/>
  <c r="N695" i="16"/>
  <c r="M695" i="16"/>
  <c r="O703" i="16"/>
  <c r="L703" i="16"/>
  <c r="K703" i="16"/>
  <c r="J703" i="16"/>
  <c r="I703" i="16"/>
  <c r="N703" i="16"/>
  <c r="M703" i="16"/>
  <c r="O711" i="16"/>
  <c r="L711" i="16"/>
  <c r="K711" i="16"/>
  <c r="J711" i="16"/>
  <c r="I711" i="16"/>
  <c r="N711" i="16"/>
  <c r="M711" i="16"/>
  <c r="O719" i="16"/>
  <c r="L719" i="16"/>
  <c r="K719" i="16"/>
  <c r="J719" i="16"/>
  <c r="I719" i="16"/>
  <c r="N719" i="16"/>
  <c r="M719" i="16"/>
  <c r="O727" i="16"/>
  <c r="L727" i="16"/>
  <c r="K727" i="16"/>
  <c r="J727" i="16"/>
  <c r="I727" i="16"/>
  <c r="N727" i="16"/>
  <c r="M727" i="16"/>
  <c r="O735" i="16"/>
  <c r="L735" i="16"/>
  <c r="K735" i="16"/>
  <c r="J735" i="16"/>
  <c r="I735" i="16"/>
  <c r="N735" i="16"/>
  <c r="M735" i="16"/>
  <c r="O743" i="16"/>
  <c r="L743" i="16"/>
  <c r="K743" i="16"/>
  <c r="J743" i="16"/>
  <c r="I743" i="16"/>
  <c r="N743" i="16"/>
  <c r="M743" i="16"/>
  <c r="O751" i="16"/>
  <c r="L751" i="16"/>
  <c r="K751" i="16"/>
  <c r="J751" i="16"/>
  <c r="I751" i="16"/>
  <c r="N751" i="16"/>
  <c r="M751" i="16"/>
  <c r="O759" i="16"/>
  <c r="L759" i="16"/>
  <c r="K759" i="16"/>
  <c r="J759" i="16"/>
  <c r="I759" i="16"/>
  <c r="N759" i="16"/>
  <c r="M759" i="16"/>
  <c r="O767" i="16"/>
  <c r="L767" i="16"/>
  <c r="K767" i="16"/>
  <c r="J767" i="16"/>
  <c r="I767" i="16"/>
  <c r="N767" i="16"/>
  <c r="M767" i="16"/>
  <c r="O775" i="16"/>
  <c r="L775" i="16"/>
  <c r="K775" i="16"/>
  <c r="I775" i="16"/>
  <c r="N775" i="16"/>
  <c r="M775" i="16"/>
  <c r="J775" i="16"/>
  <c r="O783" i="16"/>
  <c r="L783" i="16"/>
  <c r="K783" i="16"/>
  <c r="J783" i="16"/>
  <c r="I783" i="16"/>
  <c r="N783" i="16"/>
  <c r="M783" i="16"/>
  <c r="O791" i="16"/>
  <c r="L791" i="16"/>
  <c r="K791" i="16"/>
  <c r="J791" i="16"/>
  <c r="I791" i="16"/>
  <c r="N791" i="16"/>
  <c r="M791" i="16"/>
  <c r="O799" i="16"/>
  <c r="L799" i="16"/>
  <c r="K799" i="16"/>
  <c r="J799" i="16"/>
  <c r="I799" i="16"/>
  <c r="N799" i="16"/>
  <c r="M799" i="16"/>
  <c r="O807" i="16"/>
  <c r="L807" i="16"/>
  <c r="K807" i="16"/>
  <c r="J807" i="16"/>
  <c r="I807" i="16"/>
  <c r="N807" i="16"/>
  <c r="M807" i="16"/>
  <c r="O815" i="16"/>
  <c r="L815" i="16"/>
  <c r="K815" i="16"/>
  <c r="J815" i="16"/>
  <c r="I815" i="16"/>
  <c r="N815" i="16"/>
  <c r="M815" i="16"/>
  <c r="O823" i="16"/>
  <c r="L823" i="16"/>
  <c r="K823" i="16"/>
  <c r="J823" i="16"/>
  <c r="I823" i="16"/>
  <c r="N823" i="16"/>
  <c r="M823" i="16"/>
  <c r="O831" i="16"/>
  <c r="L831" i="16"/>
  <c r="K831" i="16"/>
  <c r="J831" i="16"/>
  <c r="I831" i="16"/>
  <c r="N831" i="16"/>
  <c r="M831" i="16"/>
  <c r="O839" i="16"/>
  <c r="L839" i="16"/>
  <c r="K839" i="16"/>
  <c r="J839" i="16"/>
  <c r="I839" i="16"/>
  <c r="N839" i="16"/>
  <c r="M839" i="16"/>
  <c r="O847" i="16"/>
  <c r="L847" i="16"/>
  <c r="K847" i="16"/>
  <c r="J847" i="16"/>
  <c r="I847" i="16"/>
  <c r="N847" i="16"/>
  <c r="M847" i="16"/>
  <c r="O855" i="16"/>
  <c r="L855" i="16"/>
  <c r="K855" i="16"/>
  <c r="J855" i="16"/>
  <c r="I855" i="16"/>
  <c r="N855" i="16"/>
  <c r="M855" i="16"/>
  <c r="O863" i="16"/>
  <c r="N863" i="16"/>
  <c r="L863" i="16"/>
  <c r="I863" i="16"/>
  <c r="M863" i="16"/>
  <c r="K863" i="16"/>
  <c r="J863" i="16"/>
  <c r="O871" i="16"/>
  <c r="N871" i="16"/>
  <c r="L871" i="16"/>
  <c r="I871" i="16"/>
  <c r="M871" i="16"/>
  <c r="K871" i="16"/>
  <c r="J871" i="16"/>
  <c r="O879" i="16"/>
  <c r="N879" i="16"/>
  <c r="L879" i="16"/>
  <c r="K879" i="16"/>
  <c r="J879" i="16"/>
  <c r="I879" i="16"/>
  <c r="M879" i="16"/>
  <c r="O887" i="16"/>
  <c r="N887" i="16"/>
  <c r="L887" i="16"/>
  <c r="K887" i="16"/>
  <c r="J887" i="16"/>
  <c r="I887" i="16"/>
  <c r="M887" i="16"/>
  <c r="O895" i="16"/>
  <c r="N895" i="16"/>
  <c r="L895" i="16"/>
  <c r="K895" i="16"/>
  <c r="J895" i="16"/>
  <c r="I895" i="16"/>
  <c r="M895" i="16"/>
  <c r="O903" i="16"/>
  <c r="N903" i="16"/>
  <c r="L903" i="16"/>
  <c r="K903" i="16"/>
  <c r="J903" i="16"/>
  <c r="I903" i="16"/>
  <c r="M903" i="16"/>
  <c r="O911" i="16"/>
  <c r="N911" i="16"/>
  <c r="L911" i="16"/>
  <c r="K911" i="16"/>
  <c r="J911" i="16"/>
  <c r="I911" i="16"/>
  <c r="M911" i="16"/>
  <c r="O919" i="16"/>
  <c r="N919" i="16"/>
  <c r="M919" i="16"/>
  <c r="L919" i="16"/>
  <c r="K919" i="16"/>
  <c r="J919" i="16"/>
  <c r="I919" i="16"/>
  <c r="O927" i="16"/>
  <c r="N927" i="16"/>
  <c r="M927" i="16"/>
  <c r="L927" i="16"/>
  <c r="K927" i="16"/>
  <c r="J927" i="16"/>
  <c r="I927" i="16"/>
  <c r="O935" i="16"/>
  <c r="N935" i="16"/>
  <c r="M935" i="16"/>
  <c r="L935" i="16"/>
  <c r="K935" i="16"/>
  <c r="J935" i="16"/>
  <c r="I935" i="16"/>
  <c r="O943" i="16"/>
  <c r="N943" i="16"/>
  <c r="M943" i="16"/>
  <c r="L943" i="16"/>
  <c r="K943" i="16"/>
  <c r="J943" i="16"/>
  <c r="I943" i="16"/>
  <c r="O951" i="16"/>
  <c r="N951" i="16"/>
  <c r="M951" i="16"/>
  <c r="L951" i="16"/>
  <c r="K951" i="16"/>
  <c r="I951" i="16"/>
  <c r="J951" i="16"/>
  <c r="O959" i="16"/>
  <c r="N959" i="16"/>
  <c r="M959" i="16"/>
  <c r="L959" i="16"/>
  <c r="K959" i="16"/>
  <c r="J959" i="16"/>
  <c r="I959" i="16"/>
  <c r="O967" i="16"/>
  <c r="N967" i="16"/>
  <c r="M967" i="16"/>
  <c r="L967" i="16"/>
  <c r="K967" i="16"/>
  <c r="J967" i="16"/>
  <c r="I967" i="16"/>
  <c r="O975" i="16"/>
  <c r="N975" i="16"/>
  <c r="M975" i="16"/>
  <c r="L975" i="16"/>
  <c r="K975" i="16"/>
  <c r="J975" i="16"/>
  <c r="I975" i="16"/>
  <c r="O983" i="16"/>
  <c r="N983" i="16"/>
  <c r="M983" i="16"/>
  <c r="L983" i="16"/>
  <c r="K983" i="16"/>
  <c r="J983" i="16"/>
  <c r="I983" i="16"/>
  <c r="O991" i="16"/>
  <c r="N991" i="16"/>
  <c r="M991" i="16"/>
  <c r="L991" i="16"/>
  <c r="K991" i="16"/>
  <c r="J991" i="16"/>
  <c r="I991" i="16"/>
  <c r="O999" i="16"/>
  <c r="N999" i="16"/>
  <c r="M999" i="16"/>
  <c r="L999" i="16"/>
  <c r="K999" i="16"/>
  <c r="J999" i="16"/>
  <c r="I999" i="16"/>
  <c r="K50" i="16"/>
  <c r="I51" i="16"/>
  <c r="K52" i="16"/>
  <c r="M53" i="16"/>
  <c r="I55" i="16"/>
  <c r="K56" i="16"/>
  <c r="M57" i="16"/>
  <c r="I59" i="16"/>
  <c r="K60" i="16"/>
  <c r="M61" i="16"/>
  <c r="I63" i="16"/>
  <c r="K64" i="16"/>
  <c r="M65" i="16"/>
  <c r="I67" i="16"/>
  <c r="K68" i="16"/>
  <c r="M69" i="16"/>
  <c r="I71" i="16"/>
  <c r="K72" i="16"/>
  <c r="M73" i="16"/>
  <c r="I75" i="16"/>
  <c r="K76" i="16"/>
  <c r="M77" i="16"/>
  <c r="I79" i="16"/>
  <c r="K80" i="16"/>
  <c r="M81" i="16"/>
  <c r="I83" i="16"/>
  <c r="K84" i="16"/>
  <c r="M85" i="16"/>
  <c r="I87" i="16"/>
  <c r="J90" i="16"/>
  <c r="M91" i="16"/>
  <c r="J93" i="16"/>
  <c r="M94" i="16"/>
  <c r="L98" i="16"/>
  <c r="J101" i="16"/>
  <c r="N103" i="16"/>
  <c r="L106" i="16"/>
  <c r="J119" i="16"/>
  <c r="L126" i="16"/>
  <c r="K133" i="16"/>
  <c r="J137" i="16"/>
  <c r="N167" i="16"/>
  <c r="N199" i="16"/>
  <c r="J221" i="16"/>
  <c r="L287" i="16"/>
  <c r="N308" i="16"/>
  <c r="L453" i="16"/>
  <c r="N148" i="16"/>
  <c r="M148" i="16"/>
  <c r="L148" i="16"/>
  <c r="K148" i="16"/>
  <c r="J148" i="16"/>
  <c r="I148" i="16"/>
  <c r="N212" i="16"/>
  <c r="M212" i="16"/>
  <c r="L212" i="16"/>
  <c r="K212" i="16"/>
  <c r="J212" i="16"/>
  <c r="I212" i="16"/>
  <c r="O268" i="16"/>
  <c r="L268" i="16"/>
  <c r="J268" i="16"/>
  <c r="I268" i="16"/>
  <c r="M268" i="16"/>
  <c r="K268" i="16"/>
  <c r="O332" i="16"/>
  <c r="M332" i="16"/>
  <c r="L332" i="16"/>
  <c r="K332" i="16"/>
  <c r="J332" i="16"/>
  <c r="I332" i="16"/>
  <c r="N332" i="16"/>
  <c r="O380" i="16"/>
  <c r="M380" i="16"/>
  <c r="L380" i="16"/>
  <c r="K380" i="16"/>
  <c r="J380" i="16"/>
  <c r="I380" i="16"/>
  <c r="N380" i="16"/>
  <c r="O452" i="16"/>
  <c r="K452" i="16"/>
  <c r="I452" i="16"/>
  <c r="M452" i="16"/>
  <c r="N452" i="16"/>
  <c r="L452" i="16"/>
  <c r="J452" i="16"/>
  <c r="O500" i="16"/>
  <c r="K500" i="16"/>
  <c r="J500" i="16"/>
  <c r="I500" i="16"/>
  <c r="N500" i="16"/>
  <c r="M500" i="16"/>
  <c r="L500" i="16"/>
  <c r="O556" i="16"/>
  <c r="K556" i="16"/>
  <c r="J556" i="16"/>
  <c r="I556" i="16"/>
  <c r="N556" i="16"/>
  <c r="M556" i="16"/>
  <c r="L556" i="16"/>
  <c r="O604" i="16"/>
  <c r="L604" i="16"/>
  <c r="J604" i="16"/>
  <c r="I604" i="16"/>
  <c r="N604" i="16"/>
  <c r="M604" i="16"/>
  <c r="K604" i="16"/>
  <c r="O660" i="16"/>
  <c r="N660" i="16"/>
  <c r="I660" i="16"/>
  <c r="M660" i="16"/>
  <c r="L660" i="16"/>
  <c r="J660" i="16"/>
  <c r="K660" i="16"/>
  <c r="O716" i="16"/>
  <c r="N716" i="16"/>
  <c r="M716" i="16"/>
  <c r="L716" i="16"/>
  <c r="K716" i="16"/>
  <c r="J716" i="16"/>
  <c r="I716" i="16"/>
  <c r="O788" i="16"/>
  <c r="N788" i="16"/>
  <c r="M788" i="16"/>
  <c r="L788" i="16"/>
  <c r="K788" i="16"/>
  <c r="J788" i="16"/>
  <c r="I788" i="16"/>
  <c r="O844" i="16"/>
  <c r="N844" i="16"/>
  <c r="M844" i="16"/>
  <c r="L844" i="16"/>
  <c r="K844" i="16"/>
  <c r="J844" i="16"/>
  <c r="I844" i="16"/>
  <c r="O908" i="16"/>
  <c r="N908" i="16"/>
  <c r="M908" i="16"/>
  <c r="L908" i="16"/>
  <c r="K908" i="16"/>
  <c r="J908" i="16"/>
  <c r="I908" i="16"/>
  <c r="O964" i="16"/>
  <c r="N964" i="16"/>
  <c r="M964" i="16"/>
  <c r="J964" i="16"/>
  <c r="L964" i="16"/>
  <c r="K964" i="16"/>
  <c r="I964" i="16"/>
  <c r="I108" i="16"/>
  <c r="I109" i="16"/>
  <c r="L109" i="16"/>
  <c r="I173" i="16"/>
  <c r="N173" i="16"/>
  <c r="M173" i="16"/>
  <c r="L173" i="16"/>
  <c r="K173" i="16"/>
  <c r="N237" i="16"/>
  <c r="J237" i="16"/>
  <c r="M237" i="16"/>
  <c r="L237" i="16"/>
  <c r="K237" i="16"/>
  <c r="I237" i="16"/>
  <c r="M88" i="16"/>
  <c r="N96" i="16"/>
  <c r="M96" i="16"/>
  <c r="N104" i="16"/>
  <c r="M104" i="16"/>
  <c r="J104" i="16"/>
  <c r="N112" i="16"/>
  <c r="M112" i="16"/>
  <c r="K112" i="16"/>
  <c r="J112" i="16"/>
  <c r="N120" i="16"/>
  <c r="M120" i="16"/>
  <c r="K120" i="16"/>
  <c r="J120" i="16"/>
  <c r="N128" i="16"/>
  <c r="M128" i="16"/>
  <c r="K128" i="16"/>
  <c r="J128" i="16"/>
  <c r="N136" i="16"/>
  <c r="M136" i="16"/>
  <c r="K136" i="16"/>
  <c r="J136" i="16"/>
  <c r="N144" i="16"/>
  <c r="M144" i="16"/>
  <c r="L144" i="16"/>
  <c r="K144" i="16"/>
  <c r="J144" i="16"/>
  <c r="I144" i="16"/>
  <c r="N152" i="16"/>
  <c r="M152" i="16"/>
  <c r="L152" i="16"/>
  <c r="K152" i="16"/>
  <c r="J152" i="16"/>
  <c r="I152" i="16"/>
  <c r="N160" i="16"/>
  <c r="M160" i="16"/>
  <c r="L160" i="16"/>
  <c r="K160" i="16"/>
  <c r="J160" i="16"/>
  <c r="I160" i="16"/>
  <c r="N168" i="16"/>
  <c r="M168" i="16"/>
  <c r="L168" i="16"/>
  <c r="K168" i="16"/>
  <c r="J168" i="16"/>
  <c r="I168" i="16"/>
  <c r="N176" i="16"/>
  <c r="M176" i="16"/>
  <c r="L176" i="16"/>
  <c r="K176" i="16"/>
  <c r="J176" i="16"/>
  <c r="I176" i="16"/>
  <c r="N184" i="16"/>
  <c r="M184" i="16"/>
  <c r="L184" i="16"/>
  <c r="K184" i="16"/>
  <c r="J184" i="16"/>
  <c r="I184" i="16"/>
  <c r="N192" i="16"/>
  <c r="M192" i="16"/>
  <c r="L192" i="16"/>
  <c r="K192" i="16"/>
  <c r="J192" i="16"/>
  <c r="I192" i="16"/>
  <c r="N200" i="16"/>
  <c r="M200" i="16"/>
  <c r="L200" i="16"/>
  <c r="K200" i="16"/>
  <c r="J200" i="16"/>
  <c r="I200" i="16"/>
  <c r="N208" i="16"/>
  <c r="M208" i="16"/>
  <c r="L208" i="16"/>
  <c r="K208" i="16"/>
  <c r="J208" i="16"/>
  <c r="I208" i="16"/>
  <c r="N216" i="16"/>
  <c r="M216" i="16"/>
  <c r="L216" i="16"/>
  <c r="K216" i="16"/>
  <c r="J216" i="16"/>
  <c r="I216" i="16"/>
  <c r="L224" i="16"/>
  <c r="J224" i="16"/>
  <c r="I224" i="16"/>
  <c r="N224" i="16"/>
  <c r="M224" i="16"/>
  <c r="L232" i="16"/>
  <c r="N232" i="16"/>
  <c r="M232" i="16"/>
  <c r="K232" i="16"/>
  <c r="J232" i="16"/>
  <c r="I232" i="16"/>
  <c r="L240" i="16"/>
  <c r="J240" i="16"/>
  <c r="I240" i="16"/>
  <c r="N240" i="16"/>
  <c r="M240" i="16"/>
  <c r="L248" i="16"/>
  <c r="N248" i="16"/>
  <c r="M248" i="16"/>
  <c r="K248" i="16"/>
  <c r="J248" i="16"/>
  <c r="I248" i="16"/>
  <c r="L256" i="16"/>
  <c r="J256" i="16"/>
  <c r="I256" i="16"/>
  <c r="N256" i="16"/>
  <c r="M256" i="16"/>
  <c r="O264" i="16"/>
  <c r="L264" i="16"/>
  <c r="J264" i="16"/>
  <c r="I264" i="16"/>
  <c r="N264" i="16"/>
  <c r="M264" i="16"/>
  <c r="K264" i="16"/>
  <c r="O272" i="16"/>
  <c r="L272" i="16"/>
  <c r="J272" i="16"/>
  <c r="I272" i="16"/>
  <c r="N272" i="16"/>
  <c r="M272" i="16"/>
  <c r="K272" i="16"/>
  <c r="O280" i="16"/>
  <c r="L280" i="16"/>
  <c r="J280" i="16"/>
  <c r="I280" i="16"/>
  <c r="N280" i="16"/>
  <c r="M280" i="16"/>
  <c r="K280" i="16"/>
  <c r="O288" i="16"/>
  <c r="L288" i="16"/>
  <c r="J288" i="16"/>
  <c r="I288" i="16"/>
  <c r="N288" i="16"/>
  <c r="M288" i="16"/>
  <c r="K288" i="16"/>
  <c r="O296" i="16"/>
  <c r="L296" i="16"/>
  <c r="J296" i="16"/>
  <c r="I296" i="16"/>
  <c r="N296" i="16"/>
  <c r="M296" i="16"/>
  <c r="K296" i="16"/>
  <c r="O304" i="16"/>
  <c r="L304" i="16"/>
  <c r="J304" i="16"/>
  <c r="I304" i="16"/>
  <c r="N304" i="16"/>
  <c r="M304" i="16"/>
  <c r="K304" i="16"/>
  <c r="O312" i="16"/>
  <c r="L312" i="16"/>
  <c r="J312" i="16"/>
  <c r="I312" i="16"/>
  <c r="N312" i="16"/>
  <c r="M312" i="16"/>
  <c r="K312" i="16"/>
  <c r="O320" i="16"/>
  <c r="L320" i="16"/>
  <c r="J320" i="16"/>
  <c r="I320" i="16"/>
  <c r="N320" i="16"/>
  <c r="M320" i="16"/>
  <c r="K320" i="16"/>
  <c r="O328" i="16"/>
  <c r="M328" i="16"/>
  <c r="L328" i="16"/>
  <c r="K328" i="16"/>
  <c r="J328" i="16"/>
  <c r="I328" i="16"/>
  <c r="N328" i="16"/>
  <c r="O336" i="16"/>
  <c r="M336" i="16"/>
  <c r="L336" i="16"/>
  <c r="K336" i="16"/>
  <c r="J336" i="16"/>
  <c r="I336" i="16"/>
  <c r="O344" i="16"/>
  <c r="M344" i="16"/>
  <c r="L344" i="16"/>
  <c r="K344" i="16"/>
  <c r="J344" i="16"/>
  <c r="I344" i="16"/>
  <c r="N344" i="16"/>
  <c r="O352" i="16"/>
  <c r="M352" i="16"/>
  <c r="L352" i="16"/>
  <c r="K352" i="16"/>
  <c r="J352" i="16"/>
  <c r="I352" i="16"/>
  <c r="O360" i="16"/>
  <c r="M360" i="16"/>
  <c r="L360" i="16"/>
  <c r="K360" i="16"/>
  <c r="J360" i="16"/>
  <c r="I360" i="16"/>
  <c r="N360" i="16"/>
  <c r="O368" i="16"/>
  <c r="M368" i="16"/>
  <c r="L368" i="16"/>
  <c r="K368" i="16"/>
  <c r="J368" i="16"/>
  <c r="I368" i="16"/>
  <c r="O376" i="16"/>
  <c r="M376" i="16"/>
  <c r="L376" i="16"/>
  <c r="K376" i="16"/>
  <c r="J376" i="16"/>
  <c r="I376" i="16"/>
  <c r="N376" i="16"/>
  <c r="O384" i="16"/>
  <c r="M384" i="16"/>
  <c r="L384" i="16"/>
  <c r="K384" i="16"/>
  <c r="J384" i="16"/>
  <c r="I384" i="16"/>
  <c r="O392" i="16"/>
  <c r="K392" i="16"/>
  <c r="I392" i="16"/>
  <c r="N392" i="16"/>
  <c r="M392" i="16"/>
  <c r="L392" i="16"/>
  <c r="J392" i="16"/>
  <c r="O400" i="16"/>
  <c r="K400" i="16"/>
  <c r="I400" i="16"/>
  <c r="L400" i="16"/>
  <c r="J400" i="16"/>
  <c r="N400" i="16"/>
  <c r="M400" i="16"/>
  <c r="O408" i="16"/>
  <c r="K408" i="16"/>
  <c r="I408" i="16"/>
  <c r="N408" i="16"/>
  <c r="M408" i="16"/>
  <c r="L408" i="16"/>
  <c r="J408" i="16"/>
  <c r="O416" i="16"/>
  <c r="K416" i="16"/>
  <c r="I416" i="16"/>
  <c r="N416" i="16"/>
  <c r="M416" i="16"/>
  <c r="L416" i="16"/>
  <c r="J416" i="16"/>
  <c r="O424" i="16"/>
  <c r="K424" i="16"/>
  <c r="I424" i="16"/>
  <c r="M424" i="16"/>
  <c r="N424" i="16"/>
  <c r="L424" i="16"/>
  <c r="J424" i="16"/>
  <c r="O432" i="16"/>
  <c r="K432" i="16"/>
  <c r="I432" i="16"/>
  <c r="M432" i="16"/>
  <c r="N432" i="16"/>
  <c r="L432" i="16"/>
  <c r="J432" i="16"/>
  <c r="O440" i="16"/>
  <c r="K440" i="16"/>
  <c r="I440" i="16"/>
  <c r="M440" i="16"/>
  <c r="N440" i="16"/>
  <c r="L440" i="16"/>
  <c r="J440" i="16"/>
  <c r="O448" i="16"/>
  <c r="K448" i="16"/>
  <c r="I448" i="16"/>
  <c r="M448" i="16"/>
  <c r="N448" i="16"/>
  <c r="L448" i="16"/>
  <c r="J448" i="16"/>
  <c r="O456" i="16"/>
  <c r="K456" i="16"/>
  <c r="I456" i="16"/>
  <c r="M456" i="16"/>
  <c r="L456" i="16"/>
  <c r="J456" i="16"/>
  <c r="N456" i="16"/>
  <c r="O464" i="16"/>
  <c r="K464" i="16"/>
  <c r="I464" i="16"/>
  <c r="M464" i="16"/>
  <c r="N464" i="16"/>
  <c r="L464" i="16"/>
  <c r="J464" i="16"/>
  <c r="O472" i="16"/>
  <c r="K472" i="16"/>
  <c r="I472" i="16"/>
  <c r="M472" i="16"/>
  <c r="N472" i="16"/>
  <c r="L472" i="16"/>
  <c r="J472" i="16"/>
  <c r="O480" i="16"/>
  <c r="K480" i="16"/>
  <c r="J480" i="16"/>
  <c r="I480" i="16"/>
  <c r="N480" i="16"/>
  <c r="M480" i="16"/>
  <c r="L480" i="16"/>
  <c r="O488" i="16"/>
  <c r="K488" i="16"/>
  <c r="J488" i="16"/>
  <c r="I488" i="16"/>
  <c r="N488" i="16"/>
  <c r="M488" i="16"/>
  <c r="O496" i="16"/>
  <c r="K496" i="16"/>
  <c r="J496" i="16"/>
  <c r="I496" i="16"/>
  <c r="N496" i="16"/>
  <c r="M496" i="16"/>
  <c r="L496" i="16"/>
  <c r="O504" i="16"/>
  <c r="K504" i="16"/>
  <c r="J504" i="16"/>
  <c r="I504" i="16"/>
  <c r="N504" i="16"/>
  <c r="M504" i="16"/>
  <c r="L504" i="16"/>
  <c r="O512" i="16"/>
  <c r="K512" i="16"/>
  <c r="J512" i="16"/>
  <c r="I512" i="16"/>
  <c r="N512" i="16"/>
  <c r="M512" i="16"/>
  <c r="L512" i="16"/>
  <c r="O520" i="16"/>
  <c r="K520" i="16"/>
  <c r="J520" i="16"/>
  <c r="I520" i="16"/>
  <c r="N520" i="16"/>
  <c r="M520" i="16"/>
  <c r="L520" i="16"/>
  <c r="O528" i="16"/>
  <c r="K528" i="16"/>
  <c r="J528" i="16"/>
  <c r="I528" i="16"/>
  <c r="N528" i="16"/>
  <c r="M528" i="16"/>
  <c r="L528" i="16"/>
  <c r="O536" i="16"/>
  <c r="K536" i="16"/>
  <c r="J536" i="16"/>
  <c r="I536" i="16"/>
  <c r="N536" i="16"/>
  <c r="M536" i="16"/>
  <c r="L536" i="16"/>
  <c r="O544" i="16"/>
  <c r="K544" i="16"/>
  <c r="J544" i="16"/>
  <c r="I544" i="16"/>
  <c r="N544" i="16"/>
  <c r="M544" i="16"/>
  <c r="L544" i="16"/>
  <c r="O552" i="16"/>
  <c r="K552" i="16"/>
  <c r="J552" i="16"/>
  <c r="I552" i="16"/>
  <c r="N552" i="16"/>
  <c r="M552" i="16"/>
  <c r="L552" i="16"/>
  <c r="O560" i="16"/>
  <c r="K560" i="16"/>
  <c r="J560" i="16"/>
  <c r="I560" i="16"/>
  <c r="N560" i="16"/>
  <c r="M560" i="16"/>
  <c r="L560" i="16"/>
  <c r="O568" i="16"/>
  <c r="K568" i="16"/>
  <c r="J568" i="16"/>
  <c r="I568" i="16"/>
  <c r="N568" i="16"/>
  <c r="M568" i="16"/>
  <c r="L568" i="16"/>
  <c r="O576" i="16"/>
  <c r="L576" i="16"/>
  <c r="J576" i="16"/>
  <c r="N576" i="16"/>
  <c r="M576" i="16"/>
  <c r="K576" i="16"/>
  <c r="I576" i="16"/>
  <c r="O584" i="16"/>
  <c r="L584" i="16"/>
  <c r="J584" i="16"/>
  <c r="K584" i="16"/>
  <c r="I584" i="16"/>
  <c r="N584" i="16"/>
  <c r="M584" i="16"/>
  <c r="O592" i="16"/>
  <c r="L592" i="16"/>
  <c r="J592" i="16"/>
  <c r="I592" i="16"/>
  <c r="N592" i="16"/>
  <c r="K592" i="16"/>
  <c r="M592" i="16"/>
  <c r="O600" i="16"/>
  <c r="L600" i="16"/>
  <c r="J600" i="16"/>
  <c r="I600" i="16"/>
  <c r="N600" i="16"/>
  <c r="M600" i="16"/>
  <c r="K600" i="16"/>
  <c r="O608" i="16"/>
  <c r="L608" i="16"/>
  <c r="J608" i="16"/>
  <c r="I608" i="16"/>
  <c r="N608" i="16"/>
  <c r="M608" i="16"/>
  <c r="K608" i="16"/>
  <c r="O616" i="16"/>
  <c r="L616" i="16"/>
  <c r="J616" i="16"/>
  <c r="I616" i="16"/>
  <c r="N616" i="16"/>
  <c r="M616" i="16"/>
  <c r="K616" i="16"/>
  <c r="O624" i="16"/>
  <c r="L624" i="16"/>
  <c r="J624" i="16"/>
  <c r="I624" i="16"/>
  <c r="N624" i="16"/>
  <c r="K624" i="16"/>
  <c r="M624" i="16"/>
  <c r="O632" i="16"/>
  <c r="L632" i="16"/>
  <c r="J632" i="16"/>
  <c r="I632" i="16"/>
  <c r="N632" i="16"/>
  <c r="M632" i="16"/>
  <c r="K632" i="16"/>
  <c r="O640" i="16"/>
  <c r="L640" i="16"/>
  <c r="J640" i="16"/>
  <c r="I640" i="16"/>
  <c r="N640" i="16"/>
  <c r="M640" i="16"/>
  <c r="K640" i="16"/>
  <c r="O648" i="16"/>
  <c r="L648" i="16"/>
  <c r="J648" i="16"/>
  <c r="I648" i="16"/>
  <c r="N648" i="16"/>
  <c r="M648" i="16"/>
  <c r="K648" i="16"/>
  <c r="O656" i="16"/>
  <c r="L656" i="16"/>
  <c r="J656" i="16"/>
  <c r="I656" i="16"/>
  <c r="N656" i="16"/>
  <c r="K656" i="16"/>
  <c r="M656" i="16"/>
  <c r="O664" i="16"/>
  <c r="N664" i="16"/>
  <c r="I664" i="16"/>
  <c r="L664" i="16"/>
  <c r="K664" i="16"/>
  <c r="J664" i="16"/>
  <c r="M664" i="16"/>
  <c r="O672" i="16"/>
  <c r="N672" i="16"/>
  <c r="I672" i="16"/>
  <c r="J672" i="16"/>
  <c r="M672" i="16"/>
  <c r="L672" i="16"/>
  <c r="K672" i="16"/>
  <c r="O680" i="16"/>
  <c r="N680" i="16"/>
  <c r="M680" i="16"/>
  <c r="L680" i="16"/>
  <c r="J680" i="16"/>
  <c r="I680" i="16"/>
  <c r="K680" i="16"/>
  <c r="O688" i="16"/>
  <c r="N688" i="16"/>
  <c r="M688" i="16"/>
  <c r="L688" i="16"/>
  <c r="J688" i="16"/>
  <c r="I688" i="16"/>
  <c r="K688" i="16"/>
  <c r="O696" i="16"/>
  <c r="N696" i="16"/>
  <c r="M696" i="16"/>
  <c r="L696" i="16"/>
  <c r="K696" i="16"/>
  <c r="J696" i="16"/>
  <c r="I696" i="16"/>
  <c r="O704" i="16"/>
  <c r="N704" i="16"/>
  <c r="M704" i="16"/>
  <c r="L704" i="16"/>
  <c r="K704" i="16"/>
  <c r="J704" i="16"/>
  <c r="I704" i="16"/>
  <c r="O712" i="16"/>
  <c r="N712" i="16"/>
  <c r="M712" i="16"/>
  <c r="L712" i="16"/>
  <c r="K712" i="16"/>
  <c r="J712" i="16"/>
  <c r="I712" i="16"/>
  <c r="O720" i="16"/>
  <c r="N720" i="16"/>
  <c r="M720" i="16"/>
  <c r="L720" i="16"/>
  <c r="K720" i="16"/>
  <c r="J720" i="16"/>
  <c r="I720" i="16"/>
  <c r="O728" i="16"/>
  <c r="N728" i="16"/>
  <c r="M728" i="16"/>
  <c r="L728" i="16"/>
  <c r="K728" i="16"/>
  <c r="J728" i="16"/>
  <c r="I728" i="16"/>
  <c r="O736" i="16"/>
  <c r="N736" i="16"/>
  <c r="M736" i="16"/>
  <c r="L736" i="16"/>
  <c r="K736" i="16"/>
  <c r="J736" i="16"/>
  <c r="I736" i="16"/>
  <c r="O744" i="16"/>
  <c r="N744" i="16"/>
  <c r="M744" i="16"/>
  <c r="L744" i="16"/>
  <c r="K744" i="16"/>
  <c r="J744" i="16"/>
  <c r="I744" i="16"/>
  <c r="O752" i="16"/>
  <c r="N752" i="16"/>
  <c r="M752" i="16"/>
  <c r="L752" i="16"/>
  <c r="K752" i="16"/>
  <c r="J752" i="16"/>
  <c r="I752" i="16"/>
  <c r="O760" i="16"/>
  <c r="N760" i="16"/>
  <c r="M760" i="16"/>
  <c r="L760" i="16"/>
  <c r="K760" i="16"/>
  <c r="J760" i="16"/>
  <c r="I760" i="16"/>
  <c r="O768" i="16"/>
  <c r="N768" i="16"/>
  <c r="M768" i="16"/>
  <c r="L768" i="16"/>
  <c r="K768" i="16"/>
  <c r="J768" i="16"/>
  <c r="I768" i="16"/>
  <c r="O776" i="16"/>
  <c r="N776" i="16"/>
  <c r="M776" i="16"/>
  <c r="J776" i="16"/>
  <c r="I776" i="16"/>
  <c r="L776" i="16"/>
  <c r="K776" i="16"/>
  <c r="O784" i="16"/>
  <c r="N784" i="16"/>
  <c r="M784" i="16"/>
  <c r="L784" i="16"/>
  <c r="K784" i="16"/>
  <c r="J784" i="16"/>
  <c r="I784" i="16"/>
  <c r="O792" i="16"/>
  <c r="N792" i="16"/>
  <c r="M792" i="16"/>
  <c r="L792" i="16"/>
  <c r="K792" i="16"/>
  <c r="J792" i="16"/>
  <c r="I792" i="16"/>
  <c r="O800" i="16"/>
  <c r="N800" i="16"/>
  <c r="M800" i="16"/>
  <c r="L800" i="16"/>
  <c r="K800" i="16"/>
  <c r="J800" i="16"/>
  <c r="I800" i="16"/>
  <c r="O808" i="16"/>
  <c r="N808" i="16"/>
  <c r="M808" i="16"/>
  <c r="L808" i="16"/>
  <c r="K808" i="16"/>
  <c r="J808" i="16"/>
  <c r="I808" i="16"/>
  <c r="O816" i="16"/>
  <c r="N816" i="16"/>
  <c r="M816" i="16"/>
  <c r="L816" i="16"/>
  <c r="K816" i="16"/>
  <c r="J816" i="16"/>
  <c r="I816" i="16"/>
  <c r="O824" i="16"/>
  <c r="N824" i="16"/>
  <c r="M824" i="16"/>
  <c r="L824" i="16"/>
  <c r="K824" i="16"/>
  <c r="J824" i="16"/>
  <c r="I824" i="16"/>
  <c r="O832" i="16"/>
  <c r="N832" i="16"/>
  <c r="M832" i="16"/>
  <c r="L832" i="16"/>
  <c r="K832" i="16"/>
  <c r="J832" i="16"/>
  <c r="I832" i="16"/>
  <c r="O840" i="16"/>
  <c r="N840" i="16"/>
  <c r="M840" i="16"/>
  <c r="L840" i="16"/>
  <c r="K840" i="16"/>
  <c r="J840" i="16"/>
  <c r="I840" i="16"/>
  <c r="O848" i="16"/>
  <c r="N848" i="16"/>
  <c r="M848" i="16"/>
  <c r="L848" i="16"/>
  <c r="K848" i="16"/>
  <c r="J848" i="16"/>
  <c r="I848" i="16"/>
  <c r="O856" i="16"/>
  <c r="N856" i="16"/>
  <c r="M856" i="16"/>
  <c r="L856" i="16"/>
  <c r="K856" i="16"/>
  <c r="J856" i="16"/>
  <c r="I856" i="16"/>
  <c r="O864" i="16"/>
  <c r="N864" i="16"/>
  <c r="K864" i="16"/>
  <c r="L864" i="16"/>
  <c r="J864" i="16"/>
  <c r="I864" i="16"/>
  <c r="M864" i="16"/>
  <c r="O872" i="16"/>
  <c r="N872" i="16"/>
  <c r="K872" i="16"/>
  <c r="M872" i="16"/>
  <c r="L872" i="16"/>
  <c r="J872" i="16"/>
  <c r="I872" i="16"/>
  <c r="O880" i="16"/>
  <c r="N880" i="16"/>
  <c r="M880" i="16"/>
  <c r="L880" i="16"/>
  <c r="K880" i="16"/>
  <c r="J880" i="16"/>
  <c r="I880" i="16"/>
  <c r="O888" i="16"/>
  <c r="N888" i="16"/>
  <c r="M888" i="16"/>
  <c r="L888" i="16"/>
  <c r="K888" i="16"/>
  <c r="J888" i="16"/>
  <c r="I888" i="16"/>
  <c r="O896" i="16"/>
  <c r="N896" i="16"/>
  <c r="M896" i="16"/>
  <c r="L896" i="16"/>
  <c r="K896" i="16"/>
  <c r="J896" i="16"/>
  <c r="I896" i="16"/>
  <c r="O904" i="16"/>
  <c r="N904" i="16"/>
  <c r="M904" i="16"/>
  <c r="L904" i="16"/>
  <c r="K904" i="16"/>
  <c r="J904" i="16"/>
  <c r="I904" i="16"/>
  <c r="O912" i="16"/>
  <c r="N912" i="16"/>
  <c r="M912" i="16"/>
  <c r="L912" i="16"/>
  <c r="K912" i="16"/>
  <c r="J912" i="16"/>
  <c r="I912" i="16"/>
  <c r="O920" i="16"/>
  <c r="N920" i="16"/>
  <c r="M920" i="16"/>
  <c r="L920" i="16"/>
  <c r="K920" i="16"/>
  <c r="J920" i="16"/>
  <c r="I920" i="16"/>
  <c r="O928" i="16"/>
  <c r="N928" i="16"/>
  <c r="M928" i="16"/>
  <c r="L928" i="16"/>
  <c r="K928" i="16"/>
  <c r="J928" i="16"/>
  <c r="I928" i="16"/>
  <c r="O936" i="16"/>
  <c r="N936" i="16"/>
  <c r="M936" i="16"/>
  <c r="L936" i="16"/>
  <c r="K936" i="16"/>
  <c r="J936" i="16"/>
  <c r="I936" i="16"/>
  <c r="O944" i="16"/>
  <c r="N944" i="16"/>
  <c r="M944" i="16"/>
  <c r="L944" i="16"/>
  <c r="K944" i="16"/>
  <c r="J944" i="16"/>
  <c r="I944" i="16"/>
  <c r="O952" i="16"/>
  <c r="N952" i="16"/>
  <c r="M952" i="16"/>
  <c r="J952" i="16"/>
  <c r="L952" i="16"/>
  <c r="K952" i="16"/>
  <c r="I952" i="16"/>
  <c r="O960" i="16"/>
  <c r="N960" i="16"/>
  <c r="M960" i="16"/>
  <c r="J960" i="16"/>
  <c r="L960" i="16"/>
  <c r="K960" i="16"/>
  <c r="I960" i="16"/>
  <c r="O968" i="16"/>
  <c r="N968" i="16"/>
  <c r="M968" i="16"/>
  <c r="J968" i="16"/>
  <c r="L968" i="16"/>
  <c r="K968" i="16"/>
  <c r="I968" i="16"/>
  <c r="O976" i="16"/>
  <c r="N976" i="16"/>
  <c r="M976" i="16"/>
  <c r="J976" i="16"/>
  <c r="I976" i="16"/>
  <c r="L976" i="16"/>
  <c r="K976" i="16"/>
  <c r="O984" i="16"/>
  <c r="I984" i="16"/>
  <c r="N984" i="16"/>
  <c r="M984" i="16"/>
  <c r="L984" i="16"/>
  <c r="J984" i="16"/>
  <c r="K984" i="16"/>
  <c r="O992" i="16"/>
  <c r="I992" i="16"/>
  <c r="N992" i="16"/>
  <c r="M992" i="16"/>
  <c r="L992" i="16"/>
  <c r="J992" i="16"/>
  <c r="K992" i="16"/>
  <c r="O1000" i="16"/>
  <c r="I1000" i="16"/>
  <c r="N1000" i="16"/>
  <c r="M1000" i="16"/>
  <c r="L1000" i="16"/>
  <c r="J1000" i="16"/>
  <c r="K1000" i="16"/>
  <c r="L50" i="16"/>
  <c r="J51" i="16"/>
  <c r="L52" i="16"/>
  <c r="N53" i="16"/>
  <c r="J55" i="16"/>
  <c r="L56" i="16"/>
  <c r="N57" i="16"/>
  <c r="J59" i="16"/>
  <c r="L60" i="16"/>
  <c r="N61" i="16"/>
  <c r="J63" i="16"/>
  <c r="L64" i="16"/>
  <c r="N65" i="16"/>
  <c r="J67" i="16"/>
  <c r="L68" i="16"/>
  <c r="N69" i="16"/>
  <c r="J71" i="16"/>
  <c r="L72" i="16"/>
  <c r="N73" i="16"/>
  <c r="J75" i="16"/>
  <c r="L76" i="16"/>
  <c r="N77" i="16"/>
  <c r="J79" i="16"/>
  <c r="L80" i="16"/>
  <c r="N81" i="16"/>
  <c r="J83" i="16"/>
  <c r="L84" i="16"/>
  <c r="N85" i="16"/>
  <c r="J87" i="16"/>
  <c r="N88" i="16"/>
  <c r="K90" i="16"/>
  <c r="K93" i="16"/>
  <c r="N94" i="16"/>
  <c r="K96" i="16"/>
  <c r="I104" i="16"/>
  <c r="K109" i="16"/>
  <c r="L112" i="16"/>
  <c r="I116" i="16"/>
  <c r="N119" i="16"/>
  <c r="J123" i="16"/>
  <c r="M126" i="16"/>
  <c r="L130" i="16"/>
  <c r="L158" i="16"/>
  <c r="L190" i="16"/>
  <c r="M222" i="16"/>
  <c r="N268" i="16"/>
  <c r="L311" i="16"/>
  <c r="J342" i="16"/>
  <c r="N384" i="16"/>
  <c r="M92" i="16"/>
  <c r="N132" i="16"/>
  <c r="M132" i="16"/>
  <c r="K132" i="16"/>
  <c r="J132" i="16"/>
  <c r="N196" i="16"/>
  <c r="M196" i="16"/>
  <c r="L196" i="16"/>
  <c r="K196" i="16"/>
  <c r="J196" i="16"/>
  <c r="I196" i="16"/>
  <c r="L252" i="16"/>
  <c r="M252" i="16"/>
  <c r="K252" i="16"/>
  <c r="J252" i="16"/>
  <c r="I252" i="16"/>
  <c r="O316" i="16"/>
  <c r="L316" i="16"/>
  <c r="J316" i="16"/>
  <c r="I316" i="16"/>
  <c r="M316" i="16"/>
  <c r="K316" i="16"/>
  <c r="O372" i="16"/>
  <c r="M372" i="16"/>
  <c r="L372" i="16"/>
  <c r="K372" i="16"/>
  <c r="J372" i="16"/>
  <c r="I372" i="16"/>
  <c r="N372" i="16"/>
  <c r="O428" i="16"/>
  <c r="K428" i="16"/>
  <c r="I428" i="16"/>
  <c r="M428" i="16"/>
  <c r="J428" i="16"/>
  <c r="N428" i="16"/>
  <c r="L428" i="16"/>
  <c r="O476" i="16"/>
  <c r="K476" i="16"/>
  <c r="I476" i="16"/>
  <c r="M476" i="16"/>
  <c r="N476" i="16"/>
  <c r="L476" i="16"/>
  <c r="J476" i="16"/>
  <c r="O524" i="16"/>
  <c r="K524" i="16"/>
  <c r="J524" i="16"/>
  <c r="I524" i="16"/>
  <c r="N524" i="16"/>
  <c r="M524" i="16"/>
  <c r="L524" i="16"/>
  <c r="O580" i="16"/>
  <c r="L580" i="16"/>
  <c r="J580" i="16"/>
  <c r="I580" i="16"/>
  <c r="N580" i="16"/>
  <c r="M580" i="16"/>
  <c r="K580" i="16"/>
  <c r="O628" i="16"/>
  <c r="L628" i="16"/>
  <c r="J628" i="16"/>
  <c r="I628" i="16"/>
  <c r="N628" i="16"/>
  <c r="M628" i="16"/>
  <c r="K628" i="16"/>
  <c r="O700" i="16"/>
  <c r="N700" i="16"/>
  <c r="M700" i="16"/>
  <c r="L700" i="16"/>
  <c r="K700" i="16"/>
  <c r="J700" i="16"/>
  <c r="I700" i="16"/>
  <c r="O748" i="16"/>
  <c r="N748" i="16"/>
  <c r="M748" i="16"/>
  <c r="L748" i="16"/>
  <c r="K748" i="16"/>
  <c r="J748" i="16"/>
  <c r="I748" i="16"/>
  <c r="O804" i="16"/>
  <c r="N804" i="16"/>
  <c r="M804" i="16"/>
  <c r="L804" i="16"/>
  <c r="K804" i="16"/>
  <c r="J804" i="16"/>
  <c r="I804" i="16"/>
  <c r="O852" i="16"/>
  <c r="N852" i="16"/>
  <c r="M852" i="16"/>
  <c r="L852" i="16"/>
  <c r="K852" i="16"/>
  <c r="J852" i="16"/>
  <c r="I852" i="16"/>
  <c r="O884" i="16"/>
  <c r="N884" i="16"/>
  <c r="M884" i="16"/>
  <c r="L884" i="16"/>
  <c r="K884" i="16"/>
  <c r="J884" i="16"/>
  <c r="I884" i="16"/>
  <c r="O916" i="16"/>
  <c r="N916" i="16"/>
  <c r="M916" i="16"/>
  <c r="L916" i="16"/>
  <c r="K916" i="16"/>
  <c r="J916" i="16"/>
  <c r="I916" i="16"/>
  <c r="O972" i="16"/>
  <c r="N972" i="16"/>
  <c r="M972" i="16"/>
  <c r="J972" i="16"/>
  <c r="K972" i="16"/>
  <c r="I972" i="16"/>
  <c r="L972" i="16"/>
  <c r="I101" i="16"/>
  <c r="L101" i="16"/>
  <c r="I157" i="16"/>
  <c r="N157" i="16"/>
  <c r="M157" i="16"/>
  <c r="L157" i="16"/>
  <c r="K157" i="16"/>
  <c r="I189" i="16"/>
  <c r="N189" i="16"/>
  <c r="M189" i="16"/>
  <c r="L189" i="16"/>
  <c r="K189" i="16"/>
  <c r="O261" i="16"/>
  <c r="N261" i="16"/>
  <c r="L261" i="16"/>
  <c r="K261" i="16"/>
  <c r="J261" i="16"/>
  <c r="M261" i="16"/>
  <c r="I261" i="16"/>
  <c r="K110" i="16"/>
  <c r="J110" i="16"/>
  <c r="I110" i="16"/>
  <c r="N110" i="16"/>
  <c r="L97" i="16"/>
  <c r="I105" i="16"/>
  <c r="L105" i="16"/>
  <c r="I113" i="16"/>
  <c r="M113" i="16"/>
  <c r="L113" i="16"/>
  <c r="I121" i="16"/>
  <c r="M121" i="16"/>
  <c r="L121" i="16"/>
  <c r="I129" i="16"/>
  <c r="M129" i="16"/>
  <c r="L129" i="16"/>
  <c r="I137" i="16"/>
  <c r="N137" i="16"/>
  <c r="M137" i="16"/>
  <c r="L137" i="16"/>
  <c r="I145" i="16"/>
  <c r="N145" i="16"/>
  <c r="M145" i="16"/>
  <c r="L145" i="16"/>
  <c r="K145" i="16"/>
  <c r="I153" i="16"/>
  <c r="N153" i="16"/>
  <c r="M153" i="16"/>
  <c r="L153" i="16"/>
  <c r="K153" i="16"/>
  <c r="I161" i="16"/>
  <c r="N161" i="16"/>
  <c r="M161" i="16"/>
  <c r="L161" i="16"/>
  <c r="K161" i="16"/>
  <c r="I169" i="16"/>
  <c r="N169" i="16"/>
  <c r="M169" i="16"/>
  <c r="L169" i="16"/>
  <c r="K169" i="16"/>
  <c r="I177" i="16"/>
  <c r="N177" i="16"/>
  <c r="M177" i="16"/>
  <c r="L177" i="16"/>
  <c r="K177" i="16"/>
  <c r="I185" i="16"/>
  <c r="N185" i="16"/>
  <c r="M185" i="16"/>
  <c r="L185" i="16"/>
  <c r="K185" i="16"/>
  <c r="I193" i="16"/>
  <c r="N193" i="16"/>
  <c r="M193" i="16"/>
  <c r="L193" i="16"/>
  <c r="K193" i="16"/>
  <c r="I201" i="16"/>
  <c r="N201" i="16"/>
  <c r="M201" i="16"/>
  <c r="L201" i="16"/>
  <c r="K201" i="16"/>
  <c r="I209" i="16"/>
  <c r="N209" i="16"/>
  <c r="M209" i="16"/>
  <c r="L209" i="16"/>
  <c r="K209" i="16"/>
  <c r="I217" i="16"/>
  <c r="N217" i="16"/>
  <c r="M217" i="16"/>
  <c r="L217" i="16"/>
  <c r="K217" i="16"/>
  <c r="N225" i="16"/>
  <c r="J225" i="16"/>
  <c r="M225" i="16"/>
  <c r="L225" i="16"/>
  <c r="K225" i="16"/>
  <c r="I225" i="16"/>
  <c r="N233" i="16"/>
  <c r="J233" i="16"/>
  <c r="I233" i="16"/>
  <c r="M233" i="16"/>
  <c r="L233" i="16"/>
  <c r="N241" i="16"/>
  <c r="J241" i="16"/>
  <c r="M241" i="16"/>
  <c r="L241" i="16"/>
  <c r="K241" i="16"/>
  <c r="I241" i="16"/>
  <c r="N249" i="16"/>
  <c r="J249" i="16"/>
  <c r="I249" i="16"/>
  <c r="M249" i="16"/>
  <c r="L249" i="16"/>
  <c r="N257" i="16"/>
  <c r="J257" i="16"/>
  <c r="M257" i="16"/>
  <c r="L257" i="16"/>
  <c r="K257" i="16"/>
  <c r="I257" i="16"/>
  <c r="O265" i="16"/>
  <c r="N265" i="16"/>
  <c r="L265" i="16"/>
  <c r="K265" i="16"/>
  <c r="J265" i="16"/>
  <c r="M265" i="16"/>
  <c r="I265" i="16"/>
  <c r="O273" i="16"/>
  <c r="N273" i="16"/>
  <c r="L273" i="16"/>
  <c r="K273" i="16"/>
  <c r="J273" i="16"/>
  <c r="M273" i="16"/>
  <c r="I273" i="16"/>
  <c r="O281" i="16"/>
  <c r="N281" i="16"/>
  <c r="L281" i="16"/>
  <c r="K281" i="16"/>
  <c r="J281" i="16"/>
  <c r="M281" i="16"/>
  <c r="I281" i="16"/>
  <c r="O289" i="16"/>
  <c r="N289" i="16"/>
  <c r="L289" i="16"/>
  <c r="K289" i="16"/>
  <c r="J289" i="16"/>
  <c r="M289" i="16"/>
  <c r="I289" i="16"/>
  <c r="O297" i="16"/>
  <c r="N297" i="16"/>
  <c r="L297" i="16"/>
  <c r="K297" i="16"/>
  <c r="J297" i="16"/>
  <c r="M297" i="16"/>
  <c r="I297" i="16"/>
  <c r="O305" i="16"/>
  <c r="N305" i="16"/>
  <c r="L305" i="16"/>
  <c r="K305" i="16"/>
  <c r="J305" i="16"/>
  <c r="M305" i="16"/>
  <c r="I305" i="16"/>
  <c r="O313" i="16"/>
  <c r="N313" i="16"/>
  <c r="L313" i="16"/>
  <c r="K313" i="16"/>
  <c r="J313" i="16"/>
  <c r="M313" i="16"/>
  <c r="I313" i="16"/>
  <c r="O321" i="16"/>
  <c r="N321" i="16"/>
  <c r="L321" i="16"/>
  <c r="K321" i="16"/>
  <c r="J321" i="16"/>
  <c r="M321" i="16"/>
  <c r="I321" i="16"/>
  <c r="O329" i="16"/>
  <c r="N329" i="16"/>
  <c r="M329" i="16"/>
  <c r="L329" i="16"/>
  <c r="K329" i="16"/>
  <c r="J329" i="16"/>
  <c r="I329" i="16"/>
  <c r="O337" i="16"/>
  <c r="N337" i="16"/>
  <c r="M337" i="16"/>
  <c r="L337" i="16"/>
  <c r="K337" i="16"/>
  <c r="J337" i="16"/>
  <c r="I337" i="16"/>
  <c r="O345" i="16"/>
  <c r="N345" i="16"/>
  <c r="M345" i="16"/>
  <c r="L345" i="16"/>
  <c r="K345" i="16"/>
  <c r="J345" i="16"/>
  <c r="I345" i="16"/>
  <c r="O353" i="16"/>
  <c r="N353" i="16"/>
  <c r="M353" i="16"/>
  <c r="L353" i="16"/>
  <c r="K353" i="16"/>
  <c r="J353" i="16"/>
  <c r="I353" i="16"/>
  <c r="O361" i="16"/>
  <c r="N361" i="16"/>
  <c r="M361" i="16"/>
  <c r="L361" i="16"/>
  <c r="K361" i="16"/>
  <c r="J361" i="16"/>
  <c r="I361" i="16"/>
  <c r="O369" i="16"/>
  <c r="N369" i="16"/>
  <c r="M369" i="16"/>
  <c r="L369" i="16"/>
  <c r="K369" i="16"/>
  <c r="J369" i="16"/>
  <c r="I369" i="16"/>
  <c r="O377" i="16"/>
  <c r="N377" i="16"/>
  <c r="M377" i="16"/>
  <c r="L377" i="16"/>
  <c r="K377" i="16"/>
  <c r="J377" i="16"/>
  <c r="I377" i="16"/>
  <c r="O385" i="16"/>
  <c r="N385" i="16"/>
  <c r="M385" i="16"/>
  <c r="L385" i="16"/>
  <c r="K385" i="16"/>
  <c r="J385" i="16"/>
  <c r="I385" i="16"/>
  <c r="O393" i="16"/>
  <c r="M393" i="16"/>
  <c r="K393" i="16"/>
  <c r="I393" i="16"/>
  <c r="N393" i="16"/>
  <c r="L393" i="16"/>
  <c r="J393" i="16"/>
  <c r="O401" i="16"/>
  <c r="M401" i="16"/>
  <c r="K401" i="16"/>
  <c r="I401" i="16"/>
  <c r="N401" i="16"/>
  <c r="L401" i="16"/>
  <c r="J401" i="16"/>
  <c r="O409" i="16"/>
  <c r="M409" i="16"/>
  <c r="K409" i="16"/>
  <c r="I409" i="16"/>
  <c r="N409" i="16"/>
  <c r="L409" i="16"/>
  <c r="J409" i="16"/>
  <c r="O417" i="16"/>
  <c r="M417" i="16"/>
  <c r="K417" i="16"/>
  <c r="I417" i="16"/>
  <c r="L417" i="16"/>
  <c r="J417" i="16"/>
  <c r="N417" i="16"/>
  <c r="O425" i="16"/>
  <c r="M425" i="16"/>
  <c r="K425" i="16"/>
  <c r="I425" i="16"/>
  <c r="N425" i="16"/>
  <c r="L425" i="16"/>
  <c r="O433" i="16"/>
  <c r="M433" i="16"/>
  <c r="K433" i="16"/>
  <c r="J433" i="16"/>
  <c r="I433" i="16"/>
  <c r="N433" i="16"/>
  <c r="L433" i="16"/>
  <c r="O441" i="16"/>
  <c r="M441" i="16"/>
  <c r="K441" i="16"/>
  <c r="J441" i="16"/>
  <c r="I441" i="16"/>
  <c r="N441" i="16"/>
  <c r="L441" i="16"/>
  <c r="O449" i="16"/>
  <c r="M449" i="16"/>
  <c r="K449" i="16"/>
  <c r="J449" i="16"/>
  <c r="I449" i="16"/>
  <c r="L449" i="16"/>
  <c r="N449" i="16"/>
  <c r="O457" i="16"/>
  <c r="M457" i="16"/>
  <c r="K457" i="16"/>
  <c r="J457" i="16"/>
  <c r="I457" i="16"/>
  <c r="N457" i="16"/>
  <c r="L457" i="16"/>
  <c r="O465" i="16"/>
  <c r="M465" i="16"/>
  <c r="K465" i="16"/>
  <c r="J465" i="16"/>
  <c r="I465" i="16"/>
  <c r="N465" i="16"/>
  <c r="L465" i="16"/>
  <c r="O473" i="16"/>
  <c r="M473" i="16"/>
  <c r="K473" i="16"/>
  <c r="J473" i="16"/>
  <c r="I473" i="16"/>
  <c r="N473" i="16"/>
  <c r="L473" i="16"/>
  <c r="O481" i="16"/>
  <c r="M481" i="16"/>
  <c r="L481" i="16"/>
  <c r="K481" i="16"/>
  <c r="J481" i="16"/>
  <c r="I481" i="16"/>
  <c r="N481" i="16"/>
  <c r="O489" i="16"/>
  <c r="M489" i="16"/>
  <c r="L489" i="16"/>
  <c r="K489" i="16"/>
  <c r="J489" i="16"/>
  <c r="I489" i="16"/>
  <c r="N489" i="16"/>
  <c r="O497" i="16"/>
  <c r="M497" i="16"/>
  <c r="L497" i="16"/>
  <c r="K497" i="16"/>
  <c r="J497" i="16"/>
  <c r="I497" i="16"/>
  <c r="N497" i="16"/>
  <c r="O505" i="16"/>
  <c r="M505" i="16"/>
  <c r="L505" i="16"/>
  <c r="K505" i="16"/>
  <c r="J505" i="16"/>
  <c r="I505" i="16"/>
  <c r="N505" i="16"/>
  <c r="O513" i="16"/>
  <c r="M513" i="16"/>
  <c r="L513" i="16"/>
  <c r="K513" i="16"/>
  <c r="J513" i="16"/>
  <c r="I513" i="16"/>
  <c r="N513" i="16"/>
  <c r="O521" i="16"/>
  <c r="M521" i="16"/>
  <c r="L521" i="16"/>
  <c r="K521" i="16"/>
  <c r="J521" i="16"/>
  <c r="I521" i="16"/>
  <c r="N521" i="16"/>
  <c r="O529" i="16"/>
  <c r="M529" i="16"/>
  <c r="L529" i="16"/>
  <c r="K529" i="16"/>
  <c r="J529" i="16"/>
  <c r="I529" i="16"/>
  <c r="N529" i="16"/>
  <c r="O537" i="16"/>
  <c r="M537" i="16"/>
  <c r="L537" i="16"/>
  <c r="K537" i="16"/>
  <c r="J537" i="16"/>
  <c r="I537" i="16"/>
  <c r="N537" i="16"/>
  <c r="O545" i="16"/>
  <c r="M545" i="16"/>
  <c r="L545" i="16"/>
  <c r="K545" i="16"/>
  <c r="J545" i="16"/>
  <c r="I545" i="16"/>
  <c r="N545" i="16"/>
  <c r="O553" i="16"/>
  <c r="M553" i="16"/>
  <c r="L553" i="16"/>
  <c r="K553" i="16"/>
  <c r="J553" i="16"/>
  <c r="I553" i="16"/>
  <c r="N553" i="16"/>
  <c r="O561" i="16"/>
  <c r="M561" i="16"/>
  <c r="L561" i="16"/>
  <c r="K561" i="16"/>
  <c r="J561" i="16"/>
  <c r="I561" i="16"/>
  <c r="N561" i="16"/>
  <c r="O569" i="16"/>
  <c r="M569" i="16"/>
  <c r="L569" i="16"/>
  <c r="K569" i="16"/>
  <c r="J569" i="16"/>
  <c r="I569" i="16"/>
  <c r="N569" i="16"/>
  <c r="O577" i="16"/>
  <c r="N577" i="16"/>
  <c r="L577" i="16"/>
  <c r="J577" i="16"/>
  <c r="M577" i="16"/>
  <c r="K577" i="16"/>
  <c r="I577" i="16"/>
  <c r="O585" i="16"/>
  <c r="N585" i="16"/>
  <c r="L585" i="16"/>
  <c r="J585" i="16"/>
  <c r="M585" i="16"/>
  <c r="K585" i="16"/>
  <c r="I585" i="16"/>
  <c r="O593" i="16"/>
  <c r="N593" i="16"/>
  <c r="L593" i="16"/>
  <c r="K593" i="16"/>
  <c r="J593" i="16"/>
  <c r="M593" i="16"/>
  <c r="I593" i="16"/>
  <c r="O601" i="16"/>
  <c r="N601" i="16"/>
  <c r="L601" i="16"/>
  <c r="K601" i="16"/>
  <c r="J601" i="16"/>
  <c r="M601" i="16"/>
  <c r="I601" i="16"/>
  <c r="O609" i="16"/>
  <c r="N609" i="16"/>
  <c r="L609" i="16"/>
  <c r="K609" i="16"/>
  <c r="J609" i="16"/>
  <c r="M609" i="16"/>
  <c r="I609" i="16"/>
  <c r="O617" i="16"/>
  <c r="N617" i="16"/>
  <c r="L617" i="16"/>
  <c r="K617" i="16"/>
  <c r="J617" i="16"/>
  <c r="I617" i="16"/>
  <c r="M617" i="16"/>
  <c r="O625" i="16"/>
  <c r="N625" i="16"/>
  <c r="L625" i="16"/>
  <c r="K625" i="16"/>
  <c r="J625" i="16"/>
  <c r="M625" i="16"/>
  <c r="I625" i="16"/>
  <c r="O633" i="16"/>
  <c r="N633" i="16"/>
  <c r="L633" i="16"/>
  <c r="K633" i="16"/>
  <c r="J633" i="16"/>
  <c r="M633" i="16"/>
  <c r="I633" i="16"/>
  <c r="O641" i="16"/>
  <c r="N641" i="16"/>
  <c r="L641" i="16"/>
  <c r="K641" i="16"/>
  <c r="J641" i="16"/>
  <c r="M641" i="16"/>
  <c r="I641" i="16"/>
  <c r="O649" i="16"/>
  <c r="N649" i="16"/>
  <c r="L649" i="16"/>
  <c r="K649" i="16"/>
  <c r="J649" i="16"/>
  <c r="I649" i="16"/>
  <c r="M649" i="16"/>
  <c r="O657" i="16"/>
  <c r="N657" i="16"/>
  <c r="L657" i="16"/>
  <c r="K657" i="16"/>
  <c r="J657" i="16"/>
  <c r="M657" i="16"/>
  <c r="I657" i="16"/>
  <c r="O665" i="16"/>
  <c r="K665" i="16"/>
  <c r="I665" i="16"/>
  <c r="N665" i="16"/>
  <c r="L665" i="16"/>
  <c r="J665" i="16"/>
  <c r="M665" i="16"/>
  <c r="O673" i="16"/>
  <c r="K673" i="16"/>
  <c r="N673" i="16"/>
  <c r="M673" i="16"/>
  <c r="L673" i="16"/>
  <c r="J673" i="16"/>
  <c r="I673" i="16"/>
  <c r="O681" i="16"/>
  <c r="N681" i="16"/>
  <c r="L681" i="16"/>
  <c r="K681" i="16"/>
  <c r="M681" i="16"/>
  <c r="J681" i="16"/>
  <c r="I681" i="16"/>
  <c r="O689" i="16"/>
  <c r="N689" i="16"/>
  <c r="M689" i="16"/>
  <c r="L689" i="16"/>
  <c r="K689" i="16"/>
  <c r="J689" i="16"/>
  <c r="I689" i="16"/>
  <c r="O697" i="16"/>
  <c r="N697" i="16"/>
  <c r="M697" i="16"/>
  <c r="L697" i="16"/>
  <c r="K697" i="16"/>
  <c r="J697" i="16"/>
  <c r="I697" i="16"/>
  <c r="O705" i="16"/>
  <c r="N705" i="16"/>
  <c r="M705" i="16"/>
  <c r="L705" i="16"/>
  <c r="K705" i="16"/>
  <c r="J705" i="16"/>
  <c r="I705" i="16"/>
  <c r="O713" i="16"/>
  <c r="N713" i="16"/>
  <c r="M713" i="16"/>
  <c r="L713" i="16"/>
  <c r="K713" i="16"/>
  <c r="J713" i="16"/>
  <c r="I713" i="16"/>
  <c r="O721" i="16"/>
  <c r="N721" i="16"/>
  <c r="M721" i="16"/>
  <c r="L721" i="16"/>
  <c r="K721" i="16"/>
  <c r="J721" i="16"/>
  <c r="I721" i="16"/>
  <c r="O729" i="16"/>
  <c r="N729" i="16"/>
  <c r="M729" i="16"/>
  <c r="L729" i="16"/>
  <c r="K729" i="16"/>
  <c r="J729" i="16"/>
  <c r="I729" i="16"/>
  <c r="O737" i="16"/>
  <c r="N737" i="16"/>
  <c r="M737" i="16"/>
  <c r="L737" i="16"/>
  <c r="K737" i="16"/>
  <c r="J737" i="16"/>
  <c r="I737" i="16"/>
  <c r="O745" i="16"/>
  <c r="N745" i="16"/>
  <c r="M745" i="16"/>
  <c r="L745" i="16"/>
  <c r="K745" i="16"/>
  <c r="J745" i="16"/>
  <c r="I745" i="16"/>
  <c r="O753" i="16"/>
  <c r="N753" i="16"/>
  <c r="M753" i="16"/>
  <c r="L753" i="16"/>
  <c r="K753" i="16"/>
  <c r="J753" i="16"/>
  <c r="I753" i="16"/>
  <c r="O761" i="16"/>
  <c r="N761" i="16"/>
  <c r="M761" i="16"/>
  <c r="L761" i="16"/>
  <c r="K761" i="16"/>
  <c r="J761" i="16"/>
  <c r="I761" i="16"/>
  <c r="O769" i="16"/>
  <c r="K769" i="16"/>
  <c r="N769" i="16"/>
  <c r="M769" i="16"/>
  <c r="L769" i="16"/>
  <c r="J769" i="16"/>
  <c r="I769" i="16"/>
  <c r="O777" i="16"/>
  <c r="L777" i="16"/>
  <c r="K777" i="16"/>
  <c r="M777" i="16"/>
  <c r="J777" i="16"/>
  <c r="I777" i="16"/>
  <c r="N777" i="16"/>
  <c r="O785" i="16"/>
  <c r="N785" i="16"/>
  <c r="M785" i="16"/>
  <c r="L785" i="16"/>
  <c r="K785" i="16"/>
  <c r="J785" i="16"/>
  <c r="I785" i="16"/>
  <c r="O793" i="16"/>
  <c r="N793" i="16"/>
  <c r="M793" i="16"/>
  <c r="L793" i="16"/>
  <c r="K793" i="16"/>
  <c r="J793" i="16"/>
  <c r="I793" i="16"/>
  <c r="O801" i="16"/>
  <c r="N801" i="16"/>
  <c r="M801" i="16"/>
  <c r="L801" i="16"/>
  <c r="K801" i="16"/>
  <c r="J801" i="16"/>
  <c r="I801" i="16"/>
  <c r="O809" i="16"/>
  <c r="N809" i="16"/>
  <c r="M809" i="16"/>
  <c r="L809" i="16"/>
  <c r="K809" i="16"/>
  <c r="J809" i="16"/>
  <c r="I809" i="16"/>
  <c r="O817" i="16"/>
  <c r="N817" i="16"/>
  <c r="M817" i="16"/>
  <c r="L817" i="16"/>
  <c r="K817" i="16"/>
  <c r="J817" i="16"/>
  <c r="I817" i="16"/>
  <c r="O825" i="16"/>
  <c r="N825" i="16"/>
  <c r="M825" i="16"/>
  <c r="L825" i="16"/>
  <c r="K825" i="16"/>
  <c r="J825" i="16"/>
  <c r="I825" i="16"/>
  <c r="O833" i="16"/>
  <c r="N833" i="16"/>
  <c r="M833" i="16"/>
  <c r="L833" i="16"/>
  <c r="K833" i="16"/>
  <c r="J833" i="16"/>
  <c r="I833" i="16"/>
  <c r="O841" i="16"/>
  <c r="N841" i="16"/>
  <c r="M841" i="16"/>
  <c r="L841" i="16"/>
  <c r="K841" i="16"/>
  <c r="J841" i="16"/>
  <c r="I841" i="16"/>
  <c r="O849" i="16"/>
  <c r="N849" i="16"/>
  <c r="M849" i="16"/>
  <c r="L849" i="16"/>
  <c r="K849" i="16"/>
  <c r="J849" i="16"/>
  <c r="I849" i="16"/>
  <c r="O857" i="16"/>
  <c r="N857" i="16"/>
  <c r="M857" i="16"/>
  <c r="L857" i="16"/>
  <c r="K857" i="16"/>
  <c r="J857" i="16"/>
  <c r="I857" i="16"/>
  <c r="O865" i="16"/>
  <c r="J865" i="16"/>
  <c r="M865" i="16"/>
  <c r="N865" i="16"/>
  <c r="L865" i="16"/>
  <c r="K865" i="16"/>
  <c r="I865" i="16"/>
  <c r="O873" i="16"/>
  <c r="J873" i="16"/>
  <c r="N873" i="16"/>
  <c r="M873" i="16"/>
  <c r="I873" i="16"/>
  <c r="L873" i="16"/>
  <c r="K873" i="16"/>
  <c r="O881" i="16"/>
  <c r="J881" i="16"/>
  <c r="N881" i="16"/>
  <c r="M881" i="16"/>
  <c r="L881" i="16"/>
  <c r="K881" i="16"/>
  <c r="I881" i="16"/>
  <c r="O889" i="16"/>
  <c r="J889" i="16"/>
  <c r="N889" i="16"/>
  <c r="M889" i="16"/>
  <c r="L889" i="16"/>
  <c r="K889" i="16"/>
  <c r="I889" i="16"/>
  <c r="O897" i="16"/>
  <c r="J897" i="16"/>
  <c r="N897" i="16"/>
  <c r="M897" i="16"/>
  <c r="L897" i="16"/>
  <c r="K897" i="16"/>
  <c r="I897" i="16"/>
  <c r="O905" i="16"/>
  <c r="J905" i="16"/>
  <c r="N905" i="16"/>
  <c r="M905" i="16"/>
  <c r="L905" i="16"/>
  <c r="K905" i="16"/>
  <c r="I905" i="16"/>
  <c r="O913" i="16"/>
  <c r="J913" i="16"/>
  <c r="N913" i="16"/>
  <c r="M913" i="16"/>
  <c r="L913" i="16"/>
  <c r="K913" i="16"/>
  <c r="I913" i="16"/>
  <c r="O921" i="16"/>
  <c r="J921" i="16"/>
  <c r="I921" i="16"/>
  <c r="N921" i="16"/>
  <c r="M921" i="16"/>
  <c r="L921" i="16"/>
  <c r="K921" i="16"/>
  <c r="O929" i="16"/>
  <c r="J929" i="16"/>
  <c r="I929" i="16"/>
  <c r="N929" i="16"/>
  <c r="M929" i="16"/>
  <c r="L929" i="16"/>
  <c r="K929" i="16"/>
  <c r="O937" i="16"/>
  <c r="J937" i="16"/>
  <c r="I937" i="16"/>
  <c r="N937" i="16"/>
  <c r="M937" i="16"/>
  <c r="L937" i="16"/>
  <c r="K937" i="16"/>
  <c r="O945" i="16"/>
  <c r="J945" i="16"/>
  <c r="I945" i="16"/>
  <c r="N945" i="16"/>
  <c r="M945" i="16"/>
  <c r="L945" i="16"/>
  <c r="K945" i="16"/>
  <c r="O953" i="16"/>
  <c r="J953" i="16"/>
  <c r="I953" i="16"/>
  <c r="L953" i="16"/>
  <c r="N953" i="16"/>
  <c r="M953" i="16"/>
  <c r="K953" i="16"/>
  <c r="O961" i="16"/>
  <c r="J961" i="16"/>
  <c r="I961" i="16"/>
  <c r="L961" i="16"/>
  <c r="M961" i="16"/>
  <c r="K961" i="16"/>
  <c r="N961" i="16"/>
  <c r="O969" i="16"/>
  <c r="J969" i="16"/>
  <c r="I969" i="16"/>
  <c r="L969" i="16"/>
  <c r="N969" i="16"/>
  <c r="M969" i="16"/>
  <c r="K969" i="16"/>
  <c r="O977" i="16"/>
  <c r="J977" i="16"/>
  <c r="I977" i="16"/>
  <c r="L977" i="16"/>
  <c r="N977" i="16"/>
  <c r="M977" i="16"/>
  <c r="K977" i="16"/>
  <c r="O985" i="16"/>
  <c r="K985" i="16"/>
  <c r="J985" i="16"/>
  <c r="I985" i="16"/>
  <c r="N985" i="16"/>
  <c r="L985" i="16"/>
  <c r="M985" i="16"/>
  <c r="O993" i="16"/>
  <c r="K993" i="16"/>
  <c r="J993" i="16"/>
  <c r="I993" i="16"/>
  <c r="N993" i="16"/>
  <c r="L993" i="16"/>
  <c r="M993" i="16"/>
  <c r="O1001" i="16"/>
  <c r="K1001" i="16"/>
  <c r="J1001" i="16"/>
  <c r="I1001" i="16"/>
  <c r="N1001" i="16"/>
  <c r="L1001" i="16"/>
  <c r="M1001" i="16"/>
  <c r="M50" i="16"/>
  <c r="K51" i="16"/>
  <c r="M52" i="16"/>
  <c r="I54" i="16"/>
  <c r="K55" i="16"/>
  <c r="M56" i="16"/>
  <c r="I58" i="16"/>
  <c r="K59" i="16"/>
  <c r="M60" i="16"/>
  <c r="I62" i="16"/>
  <c r="K63" i="16"/>
  <c r="M64" i="16"/>
  <c r="I66" i="16"/>
  <c r="K67" i="16"/>
  <c r="M68" i="16"/>
  <c r="I70" i="16"/>
  <c r="K71" i="16"/>
  <c r="M72" i="16"/>
  <c r="I74" i="16"/>
  <c r="K75" i="16"/>
  <c r="M76" i="16"/>
  <c r="I78" i="16"/>
  <c r="K79" i="16"/>
  <c r="M80" i="16"/>
  <c r="I82" i="16"/>
  <c r="K83" i="16"/>
  <c r="M84" i="16"/>
  <c r="I86" i="16"/>
  <c r="L87" i="16"/>
  <c r="I89" i="16"/>
  <c r="I92" i="16"/>
  <c r="L93" i="16"/>
  <c r="I95" i="16"/>
  <c r="L96" i="16"/>
  <c r="I99" i="16"/>
  <c r="M101" i="16"/>
  <c r="K104" i="16"/>
  <c r="I107" i="16"/>
  <c r="M109" i="16"/>
  <c r="J113" i="16"/>
  <c r="L116" i="16"/>
  <c r="I120" i="16"/>
  <c r="J127" i="16"/>
  <c r="L134" i="16"/>
  <c r="J149" i="16"/>
  <c r="N159" i="16"/>
  <c r="J181" i="16"/>
  <c r="N191" i="16"/>
  <c r="J213" i="16"/>
  <c r="K224" i="16"/>
  <c r="M238" i="16"/>
  <c r="N252" i="16"/>
  <c r="L271" i="16"/>
  <c r="J390" i="16"/>
  <c r="L488" i="16"/>
  <c r="N124" i="16"/>
  <c r="M124" i="16"/>
  <c r="K124" i="16"/>
  <c r="J124" i="16"/>
  <c r="N172" i="16"/>
  <c r="M172" i="16"/>
  <c r="L172" i="16"/>
  <c r="K172" i="16"/>
  <c r="J172" i="16"/>
  <c r="I172" i="16"/>
  <c r="N204" i="16"/>
  <c r="M204" i="16"/>
  <c r="L204" i="16"/>
  <c r="K204" i="16"/>
  <c r="J204" i="16"/>
  <c r="I204" i="16"/>
  <c r="L236" i="16"/>
  <c r="M236" i="16"/>
  <c r="K236" i="16"/>
  <c r="J236" i="16"/>
  <c r="I236" i="16"/>
  <c r="O292" i="16"/>
  <c r="L292" i="16"/>
  <c r="J292" i="16"/>
  <c r="I292" i="16"/>
  <c r="M292" i="16"/>
  <c r="K292" i="16"/>
  <c r="O324" i="16"/>
  <c r="M324" i="16"/>
  <c r="L324" i="16"/>
  <c r="K324" i="16"/>
  <c r="J324" i="16"/>
  <c r="I324" i="16"/>
  <c r="N324" i="16"/>
  <c r="O356" i="16"/>
  <c r="M356" i="16"/>
  <c r="L356" i="16"/>
  <c r="K356" i="16"/>
  <c r="J356" i="16"/>
  <c r="I356" i="16"/>
  <c r="N356" i="16"/>
  <c r="O404" i="16"/>
  <c r="K404" i="16"/>
  <c r="I404" i="16"/>
  <c r="M404" i="16"/>
  <c r="L404" i="16"/>
  <c r="J404" i="16"/>
  <c r="N404" i="16"/>
  <c r="O436" i="16"/>
  <c r="K436" i="16"/>
  <c r="I436" i="16"/>
  <c r="M436" i="16"/>
  <c r="N436" i="16"/>
  <c r="L436" i="16"/>
  <c r="J436" i="16"/>
  <c r="O484" i="16"/>
  <c r="K484" i="16"/>
  <c r="J484" i="16"/>
  <c r="I484" i="16"/>
  <c r="N484" i="16"/>
  <c r="M484" i="16"/>
  <c r="L484" i="16"/>
  <c r="O540" i="16"/>
  <c r="K540" i="16"/>
  <c r="J540" i="16"/>
  <c r="I540" i="16"/>
  <c r="N540" i="16"/>
  <c r="M540" i="16"/>
  <c r="L540" i="16"/>
  <c r="O588" i="16"/>
  <c r="L588" i="16"/>
  <c r="J588" i="16"/>
  <c r="N588" i="16"/>
  <c r="M588" i="16"/>
  <c r="K588" i="16"/>
  <c r="I588" i="16"/>
  <c r="O644" i="16"/>
  <c r="L644" i="16"/>
  <c r="J644" i="16"/>
  <c r="I644" i="16"/>
  <c r="N644" i="16"/>
  <c r="M644" i="16"/>
  <c r="K644" i="16"/>
  <c r="O692" i="16"/>
  <c r="N692" i="16"/>
  <c r="M692" i="16"/>
  <c r="L692" i="16"/>
  <c r="K692" i="16"/>
  <c r="J692" i="16"/>
  <c r="I692" i="16"/>
  <c r="O732" i="16"/>
  <c r="N732" i="16"/>
  <c r="M732" i="16"/>
  <c r="L732" i="16"/>
  <c r="K732" i="16"/>
  <c r="J732" i="16"/>
  <c r="I732" i="16"/>
  <c r="O780" i="16"/>
  <c r="N780" i="16"/>
  <c r="M780" i="16"/>
  <c r="J780" i="16"/>
  <c r="I780" i="16"/>
  <c r="K780" i="16"/>
  <c r="L780" i="16"/>
  <c r="O820" i="16"/>
  <c r="N820" i="16"/>
  <c r="M820" i="16"/>
  <c r="L820" i="16"/>
  <c r="K820" i="16"/>
  <c r="J820" i="16"/>
  <c r="I820" i="16"/>
  <c r="O876" i="16"/>
  <c r="N876" i="16"/>
  <c r="M876" i="16"/>
  <c r="L876" i="16"/>
  <c r="K876" i="16"/>
  <c r="J876" i="16"/>
  <c r="I876" i="16"/>
  <c r="O932" i="16"/>
  <c r="N932" i="16"/>
  <c r="M932" i="16"/>
  <c r="L932" i="16"/>
  <c r="K932" i="16"/>
  <c r="J932" i="16"/>
  <c r="I932" i="16"/>
  <c r="O980" i="16"/>
  <c r="N980" i="16"/>
  <c r="M980" i="16"/>
  <c r="J980" i="16"/>
  <c r="L980" i="16"/>
  <c r="K980" i="16"/>
  <c r="I980" i="16"/>
  <c r="I117" i="16"/>
  <c r="M117" i="16"/>
  <c r="L117" i="16"/>
  <c r="I165" i="16"/>
  <c r="N165" i="16"/>
  <c r="M165" i="16"/>
  <c r="L165" i="16"/>
  <c r="K165" i="16"/>
  <c r="I90" i="16"/>
  <c r="K98" i="16"/>
  <c r="J98" i="16"/>
  <c r="I98" i="16"/>
  <c r="N98" i="16"/>
  <c r="K106" i="16"/>
  <c r="J106" i="16"/>
  <c r="I106" i="16"/>
  <c r="N106" i="16"/>
  <c r="K114" i="16"/>
  <c r="J114" i="16"/>
  <c r="I114" i="16"/>
  <c r="N114" i="16"/>
  <c r="K122" i="16"/>
  <c r="J122" i="16"/>
  <c r="I122" i="16"/>
  <c r="N122" i="16"/>
  <c r="K130" i="16"/>
  <c r="J130" i="16"/>
  <c r="I130" i="16"/>
  <c r="N130" i="16"/>
  <c r="K138" i="16"/>
  <c r="J138" i="16"/>
  <c r="I138" i="16"/>
  <c r="N138" i="16"/>
  <c r="M138" i="16"/>
  <c r="K146" i="16"/>
  <c r="J146" i="16"/>
  <c r="I146" i="16"/>
  <c r="N146" i="16"/>
  <c r="M146" i="16"/>
  <c r="K154" i="16"/>
  <c r="J154" i="16"/>
  <c r="I154" i="16"/>
  <c r="N154" i="16"/>
  <c r="M154" i="16"/>
  <c r="K162" i="16"/>
  <c r="J162" i="16"/>
  <c r="I162" i="16"/>
  <c r="N162" i="16"/>
  <c r="M162" i="16"/>
  <c r="K170" i="16"/>
  <c r="J170" i="16"/>
  <c r="I170" i="16"/>
  <c r="N170" i="16"/>
  <c r="M170" i="16"/>
  <c r="K178" i="16"/>
  <c r="J178" i="16"/>
  <c r="I178" i="16"/>
  <c r="N178" i="16"/>
  <c r="M178" i="16"/>
  <c r="K186" i="16"/>
  <c r="J186" i="16"/>
  <c r="I186" i="16"/>
  <c r="N186" i="16"/>
  <c r="M186" i="16"/>
  <c r="K194" i="16"/>
  <c r="J194" i="16"/>
  <c r="I194" i="16"/>
  <c r="N194" i="16"/>
  <c r="M194" i="16"/>
  <c r="K202" i="16"/>
  <c r="J202" i="16"/>
  <c r="I202" i="16"/>
  <c r="N202" i="16"/>
  <c r="M202" i="16"/>
  <c r="K210" i="16"/>
  <c r="J210" i="16"/>
  <c r="I210" i="16"/>
  <c r="N210" i="16"/>
  <c r="M210" i="16"/>
  <c r="K218" i="16"/>
  <c r="J218" i="16"/>
  <c r="I218" i="16"/>
  <c r="N218" i="16"/>
  <c r="M218" i="16"/>
  <c r="L226" i="16"/>
  <c r="I226" i="16"/>
  <c r="N226" i="16"/>
  <c r="M226" i="16"/>
  <c r="K226" i="16"/>
  <c r="L234" i="16"/>
  <c r="N234" i="16"/>
  <c r="M234" i="16"/>
  <c r="K234" i="16"/>
  <c r="J234" i="16"/>
  <c r="I234" i="16"/>
  <c r="L242" i="16"/>
  <c r="I242" i="16"/>
  <c r="N242" i="16"/>
  <c r="M242" i="16"/>
  <c r="K242" i="16"/>
  <c r="L250" i="16"/>
  <c r="N250" i="16"/>
  <c r="M250" i="16"/>
  <c r="K250" i="16"/>
  <c r="J250" i="16"/>
  <c r="I250" i="16"/>
  <c r="N258" i="16"/>
  <c r="M258" i="16"/>
  <c r="L258" i="16"/>
  <c r="I258" i="16"/>
  <c r="K258" i="16"/>
  <c r="O266" i="16"/>
  <c r="N266" i="16"/>
  <c r="M266" i="16"/>
  <c r="L266" i="16"/>
  <c r="I266" i="16"/>
  <c r="K266" i="16"/>
  <c r="O274" i="16"/>
  <c r="N274" i="16"/>
  <c r="M274" i="16"/>
  <c r="L274" i="16"/>
  <c r="I274" i="16"/>
  <c r="K274" i="16"/>
  <c r="O282" i="16"/>
  <c r="N282" i="16"/>
  <c r="M282" i="16"/>
  <c r="L282" i="16"/>
  <c r="I282" i="16"/>
  <c r="K282" i="16"/>
  <c r="O290" i="16"/>
  <c r="N290" i="16"/>
  <c r="M290" i="16"/>
  <c r="L290" i="16"/>
  <c r="I290" i="16"/>
  <c r="K290" i="16"/>
  <c r="O298" i="16"/>
  <c r="N298" i="16"/>
  <c r="M298" i="16"/>
  <c r="L298" i="16"/>
  <c r="I298" i="16"/>
  <c r="K298" i="16"/>
  <c r="O306" i="16"/>
  <c r="N306" i="16"/>
  <c r="M306" i="16"/>
  <c r="L306" i="16"/>
  <c r="I306" i="16"/>
  <c r="K306" i="16"/>
  <c r="O314" i="16"/>
  <c r="N314" i="16"/>
  <c r="M314" i="16"/>
  <c r="L314" i="16"/>
  <c r="I314" i="16"/>
  <c r="K314" i="16"/>
  <c r="O322" i="16"/>
  <c r="N322" i="16"/>
  <c r="M322" i="16"/>
  <c r="L322" i="16"/>
  <c r="I322" i="16"/>
  <c r="K322" i="16"/>
  <c r="O330" i="16"/>
  <c r="I330" i="16"/>
  <c r="N330" i="16"/>
  <c r="M330" i="16"/>
  <c r="L330" i="16"/>
  <c r="K330" i="16"/>
  <c r="J330" i="16"/>
  <c r="O338" i="16"/>
  <c r="I338" i="16"/>
  <c r="N338" i="16"/>
  <c r="M338" i="16"/>
  <c r="L338" i="16"/>
  <c r="K338" i="16"/>
  <c r="J338" i="16"/>
  <c r="O346" i="16"/>
  <c r="I346" i="16"/>
  <c r="N346" i="16"/>
  <c r="M346" i="16"/>
  <c r="L346" i="16"/>
  <c r="K346" i="16"/>
  <c r="J346" i="16"/>
  <c r="O354" i="16"/>
  <c r="I354" i="16"/>
  <c r="N354" i="16"/>
  <c r="M354" i="16"/>
  <c r="L354" i="16"/>
  <c r="K354" i="16"/>
  <c r="J354" i="16"/>
  <c r="O362" i="16"/>
  <c r="I362" i="16"/>
  <c r="N362" i="16"/>
  <c r="M362" i="16"/>
  <c r="L362" i="16"/>
  <c r="K362" i="16"/>
  <c r="J362" i="16"/>
  <c r="O370" i="16"/>
  <c r="I370" i="16"/>
  <c r="N370" i="16"/>
  <c r="M370" i="16"/>
  <c r="L370" i="16"/>
  <c r="K370" i="16"/>
  <c r="J370" i="16"/>
  <c r="O378" i="16"/>
  <c r="I378" i="16"/>
  <c r="N378" i="16"/>
  <c r="M378" i="16"/>
  <c r="L378" i="16"/>
  <c r="K378" i="16"/>
  <c r="J378" i="16"/>
  <c r="O386" i="16"/>
  <c r="I386" i="16"/>
  <c r="N386" i="16"/>
  <c r="M386" i="16"/>
  <c r="L386" i="16"/>
  <c r="K386" i="16"/>
  <c r="J386" i="16"/>
  <c r="O394" i="16"/>
  <c r="M394" i="16"/>
  <c r="K394" i="16"/>
  <c r="I394" i="16"/>
  <c r="N394" i="16"/>
  <c r="L394" i="16"/>
  <c r="J394" i="16"/>
  <c r="O402" i="16"/>
  <c r="M402" i="16"/>
  <c r="K402" i="16"/>
  <c r="L402" i="16"/>
  <c r="J402" i="16"/>
  <c r="I402" i="16"/>
  <c r="N402" i="16"/>
  <c r="O410" i="16"/>
  <c r="M410" i="16"/>
  <c r="K410" i="16"/>
  <c r="N410" i="16"/>
  <c r="L410" i="16"/>
  <c r="J410" i="16"/>
  <c r="I410" i="16"/>
  <c r="O418" i="16"/>
  <c r="M418" i="16"/>
  <c r="K418" i="16"/>
  <c r="N418" i="16"/>
  <c r="L418" i="16"/>
  <c r="J418" i="16"/>
  <c r="I418" i="16"/>
  <c r="O426" i="16"/>
  <c r="M426" i="16"/>
  <c r="L426" i="16"/>
  <c r="K426" i="16"/>
  <c r="I426" i="16"/>
  <c r="N426" i="16"/>
  <c r="J426" i="16"/>
  <c r="O434" i="16"/>
  <c r="M434" i="16"/>
  <c r="L434" i="16"/>
  <c r="K434" i="16"/>
  <c r="I434" i="16"/>
  <c r="N434" i="16"/>
  <c r="J434" i="16"/>
  <c r="O442" i="16"/>
  <c r="M442" i="16"/>
  <c r="L442" i="16"/>
  <c r="K442" i="16"/>
  <c r="I442" i="16"/>
  <c r="J442" i="16"/>
  <c r="N442" i="16"/>
  <c r="O450" i="16"/>
  <c r="M450" i="16"/>
  <c r="L450" i="16"/>
  <c r="K450" i="16"/>
  <c r="I450" i="16"/>
  <c r="N450" i="16"/>
  <c r="J450" i="16"/>
  <c r="O458" i="16"/>
  <c r="M458" i="16"/>
  <c r="L458" i="16"/>
  <c r="K458" i="16"/>
  <c r="I458" i="16"/>
  <c r="N458" i="16"/>
  <c r="J458" i="16"/>
  <c r="O466" i="16"/>
  <c r="M466" i="16"/>
  <c r="L466" i="16"/>
  <c r="K466" i="16"/>
  <c r="I466" i="16"/>
  <c r="N466" i="16"/>
  <c r="J466" i="16"/>
  <c r="O474" i="16"/>
  <c r="M474" i="16"/>
  <c r="L474" i="16"/>
  <c r="K474" i="16"/>
  <c r="I474" i="16"/>
  <c r="J474" i="16"/>
  <c r="N474" i="16"/>
  <c r="O482" i="16"/>
  <c r="N482" i="16"/>
  <c r="M482" i="16"/>
  <c r="L482" i="16"/>
  <c r="K482" i="16"/>
  <c r="J482" i="16"/>
  <c r="I482" i="16"/>
  <c r="O490" i="16"/>
  <c r="N490" i="16"/>
  <c r="M490" i="16"/>
  <c r="L490" i="16"/>
  <c r="K490" i="16"/>
  <c r="J490" i="16"/>
  <c r="I490" i="16"/>
  <c r="O498" i="16"/>
  <c r="N498" i="16"/>
  <c r="M498" i="16"/>
  <c r="L498" i="16"/>
  <c r="K498" i="16"/>
  <c r="J498" i="16"/>
  <c r="I498" i="16"/>
  <c r="O506" i="16"/>
  <c r="N506" i="16"/>
  <c r="M506" i="16"/>
  <c r="L506" i="16"/>
  <c r="K506" i="16"/>
  <c r="J506" i="16"/>
  <c r="I506" i="16"/>
  <c r="O514" i="16"/>
  <c r="N514" i="16"/>
  <c r="M514" i="16"/>
  <c r="L514" i="16"/>
  <c r="K514" i="16"/>
  <c r="J514" i="16"/>
  <c r="I514" i="16"/>
  <c r="O522" i="16"/>
  <c r="N522" i="16"/>
  <c r="M522" i="16"/>
  <c r="L522" i="16"/>
  <c r="K522" i="16"/>
  <c r="J522" i="16"/>
  <c r="I522" i="16"/>
  <c r="O530" i="16"/>
  <c r="N530" i="16"/>
  <c r="M530" i="16"/>
  <c r="L530" i="16"/>
  <c r="K530" i="16"/>
  <c r="J530" i="16"/>
  <c r="I530" i="16"/>
  <c r="O538" i="16"/>
  <c r="N538" i="16"/>
  <c r="M538" i="16"/>
  <c r="L538" i="16"/>
  <c r="K538" i="16"/>
  <c r="J538" i="16"/>
  <c r="I538" i="16"/>
  <c r="O546" i="16"/>
  <c r="N546" i="16"/>
  <c r="M546" i="16"/>
  <c r="L546" i="16"/>
  <c r="K546" i="16"/>
  <c r="J546" i="16"/>
  <c r="I546" i="16"/>
  <c r="O554" i="16"/>
  <c r="N554" i="16"/>
  <c r="M554" i="16"/>
  <c r="L554" i="16"/>
  <c r="K554" i="16"/>
  <c r="J554" i="16"/>
  <c r="I554" i="16"/>
  <c r="O562" i="16"/>
  <c r="N562" i="16"/>
  <c r="M562" i="16"/>
  <c r="L562" i="16"/>
  <c r="K562" i="16"/>
  <c r="J562" i="16"/>
  <c r="I562" i="16"/>
  <c r="O570" i="16"/>
  <c r="N570" i="16"/>
  <c r="M570" i="16"/>
  <c r="L570" i="16"/>
  <c r="K570" i="16"/>
  <c r="J570" i="16"/>
  <c r="I570" i="16"/>
  <c r="O578" i="16"/>
  <c r="N578" i="16"/>
  <c r="L578" i="16"/>
  <c r="I578" i="16"/>
  <c r="M578" i="16"/>
  <c r="K578" i="16"/>
  <c r="J578" i="16"/>
  <c r="O586" i="16"/>
  <c r="N586" i="16"/>
  <c r="L586" i="16"/>
  <c r="K586" i="16"/>
  <c r="J586" i="16"/>
  <c r="I586" i="16"/>
  <c r="M586" i="16"/>
  <c r="O594" i="16"/>
  <c r="N594" i="16"/>
  <c r="M594" i="16"/>
  <c r="L594" i="16"/>
  <c r="J594" i="16"/>
  <c r="K594" i="16"/>
  <c r="I594" i="16"/>
  <c r="O602" i="16"/>
  <c r="N602" i="16"/>
  <c r="M602" i="16"/>
  <c r="L602" i="16"/>
  <c r="J602" i="16"/>
  <c r="K602" i="16"/>
  <c r="I602" i="16"/>
  <c r="O610" i="16"/>
  <c r="N610" i="16"/>
  <c r="M610" i="16"/>
  <c r="L610" i="16"/>
  <c r="J610" i="16"/>
  <c r="I610" i="16"/>
  <c r="K610" i="16"/>
  <c r="O618" i="16"/>
  <c r="N618" i="16"/>
  <c r="M618" i="16"/>
  <c r="L618" i="16"/>
  <c r="J618" i="16"/>
  <c r="K618" i="16"/>
  <c r="I618" i="16"/>
  <c r="O626" i="16"/>
  <c r="N626" i="16"/>
  <c r="M626" i="16"/>
  <c r="L626" i="16"/>
  <c r="J626" i="16"/>
  <c r="K626" i="16"/>
  <c r="I626" i="16"/>
  <c r="O634" i="16"/>
  <c r="N634" i="16"/>
  <c r="M634" i="16"/>
  <c r="L634" i="16"/>
  <c r="J634" i="16"/>
  <c r="K634" i="16"/>
  <c r="I634" i="16"/>
  <c r="O642" i="16"/>
  <c r="N642" i="16"/>
  <c r="M642" i="16"/>
  <c r="L642" i="16"/>
  <c r="J642" i="16"/>
  <c r="I642" i="16"/>
  <c r="K642" i="16"/>
  <c r="O650" i="16"/>
  <c r="N650" i="16"/>
  <c r="M650" i="16"/>
  <c r="L650" i="16"/>
  <c r="J650" i="16"/>
  <c r="K650" i="16"/>
  <c r="I650" i="16"/>
  <c r="O658" i="16"/>
  <c r="J658" i="16"/>
  <c r="M658" i="16"/>
  <c r="N658" i="16"/>
  <c r="K658" i="16"/>
  <c r="L658" i="16"/>
  <c r="I658" i="16"/>
  <c r="O666" i="16"/>
  <c r="J666" i="16"/>
  <c r="M666" i="16"/>
  <c r="N666" i="16"/>
  <c r="K666" i="16"/>
  <c r="I666" i="16"/>
  <c r="L666" i="16"/>
  <c r="O674" i="16"/>
  <c r="J674" i="16"/>
  <c r="M674" i="16"/>
  <c r="N674" i="16"/>
  <c r="L674" i="16"/>
  <c r="K674" i="16"/>
  <c r="I674" i="16"/>
  <c r="O682" i="16"/>
  <c r="J682" i="16"/>
  <c r="I682" i="16"/>
  <c r="N682" i="16"/>
  <c r="M682" i="16"/>
  <c r="K682" i="16"/>
  <c r="L682" i="16"/>
  <c r="O690" i="16"/>
  <c r="J690" i="16"/>
  <c r="I690" i="16"/>
  <c r="N690" i="16"/>
  <c r="M690" i="16"/>
  <c r="L690" i="16"/>
  <c r="K690" i="16"/>
  <c r="O698" i="16"/>
  <c r="J698" i="16"/>
  <c r="I698" i="16"/>
  <c r="N698" i="16"/>
  <c r="M698" i="16"/>
  <c r="L698" i="16"/>
  <c r="K698" i="16"/>
  <c r="O706" i="16"/>
  <c r="J706" i="16"/>
  <c r="I706" i="16"/>
  <c r="N706" i="16"/>
  <c r="M706" i="16"/>
  <c r="L706" i="16"/>
  <c r="K706" i="16"/>
  <c r="O714" i="16"/>
  <c r="J714" i="16"/>
  <c r="I714" i="16"/>
  <c r="N714" i="16"/>
  <c r="M714" i="16"/>
  <c r="L714" i="16"/>
  <c r="K714" i="16"/>
  <c r="O722" i="16"/>
  <c r="J722" i="16"/>
  <c r="I722" i="16"/>
  <c r="N722" i="16"/>
  <c r="M722" i="16"/>
  <c r="L722" i="16"/>
  <c r="K722" i="16"/>
  <c r="O730" i="16"/>
  <c r="J730" i="16"/>
  <c r="I730" i="16"/>
  <c r="N730" i="16"/>
  <c r="M730" i="16"/>
  <c r="L730" i="16"/>
  <c r="K730" i="16"/>
  <c r="O738" i="16"/>
  <c r="J738" i="16"/>
  <c r="I738" i="16"/>
  <c r="N738" i="16"/>
  <c r="M738" i="16"/>
  <c r="L738" i="16"/>
  <c r="K738" i="16"/>
  <c r="O746" i="16"/>
  <c r="J746" i="16"/>
  <c r="I746" i="16"/>
  <c r="N746" i="16"/>
  <c r="M746" i="16"/>
  <c r="L746" i="16"/>
  <c r="K746" i="16"/>
  <c r="O754" i="16"/>
  <c r="J754" i="16"/>
  <c r="I754" i="16"/>
  <c r="N754" i="16"/>
  <c r="M754" i="16"/>
  <c r="L754" i="16"/>
  <c r="K754" i="16"/>
  <c r="O762" i="16"/>
  <c r="J762" i="16"/>
  <c r="I762" i="16"/>
  <c r="N762" i="16"/>
  <c r="M762" i="16"/>
  <c r="L762" i="16"/>
  <c r="K762" i="16"/>
  <c r="O770" i="16"/>
  <c r="I770" i="16"/>
  <c r="M770" i="16"/>
  <c r="L770" i="16"/>
  <c r="K770" i="16"/>
  <c r="J770" i="16"/>
  <c r="N770" i="16"/>
  <c r="O778" i="16"/>
  <c r="J778" i="16"/>
  <c r="I778" i="16"/>
  <c r="N778" i="16"/>
  <c r="M778" i="16"/>
  <c r="L778" i="16"/>
  <c r="K778" i="16"/>
  <c r="O786" i="16"/>
  <c r="J786" i="16"/>
  <c r="I786" i="16"/>
  <c r="N786" i="16"/>
  <c r="M786" i="16"/>
  <c r="L786" i="16"/>
  <c r="K786" i="16"/>
  <c r="O794" i="16"/>
  <c r="J794" i="16"/>
  <c r="I794" i="16"/>
  <c r="N794" i="16"/>
  <c r="M794" i="16"/>
  <c r="L794" i="16"/>
  <c r="K794" i="16"/>
  <c r="O802" i="16"/>
  <c r="J802" i="16"/>
  <c r="I802" i="16"/>
  <c r="N802" i="16"/>
  <c r="M802" i="16"/>
  <c r="L802" i="16"/>
  <c r="K802" i="16"/>
  <c r="O810" i="16"/>
  <c r="J810" i="16"/>
  <c r="I810" i="16"/>
  <c r="N810" i="16"/>
  <c r="M810" i="16"/>
  <c r="L810" i="16"/>
  <c r="K810" i="16"/>
  <c r="O818" i="16"/>
  <c r="J818" i="16"/>
  <c r="I818" i="16"/>
  <c r="N818" i="16"/>
  <c r="M818" i="16"/>
  <c r="L818" i="16"/>
  <c r="K818" i="16"/>
  <c r="O826" i="16"/>
  <c r="J826" i="16"/>
  <c r="I826" i="16"/>
  <c r="N826" i="16"/>
  <c r="M826" i="16"/>
  <c r="L826" i="16"/>
  <c r="K826" i="16"/>
  <c r="O834" i="16"/>
  <c r="J834" i="16"/>
  <c r="I834" i="16"/>
  <c r="N834" i="16"/>
  <c r="M834" i="16"/>
  <c r="L834" i="16"/>
  <c r="K834" i="16"/>
  <c r="O842" i="16"/>
  <c r="J842" i="16"/>
  <c r="I842" i="16"/>
  <c r="N842" i="16"/>
  <c r="M842" i="16"/>
  <c r="L842" i="16"/>
  <c r="K842" i="16"/>
  <c r="O850" i="16"/>
  <c r="J850" i="16"/>
  <c r="I850" i="16"/>
  <c r="N850" i="16"/>
  <c r="M850" i="16"/>
  <c r="L850" i="16"/>
  <c r="K850" i="16"/>
  <c r="O858" i="16"/>
  <c r="L858" i="16"/>
  <c r="J858" i="16"/>
  <c r="I858" i="16"/>
  <c r="N858" i="16"/>
  <c r="M858" i="16"/>
  <c r="K858" i="16"/>
  <c r="O866" i="16"/>
  <c r="L866" i="16"/>
  <c r="J866" i="16"/>
  <c r="M866" i="16"/>
  <c r="K866" i="16"/>
  <c r="I866" i="16"/>
  <c r="N866" i="16"/>
  <c r="O874" i="16"/>
  <c r="L874" i="16"/>
  <c r="J874" i="16"/>
  <c r="I874" i="16"/>
  <c r="N874" i="16"/>
  <c r="M874" i="16"/>
  <c r="K874" i="16"/>
  <c r="O882" i="16"/>
  <c r="L882" i="16"/>
  <c r="J882" i="16"/>
  <c r="I882" i="16"/>
  <c r="N882" i="16"/>
  <c r="M882" i="16"/>
  <c r="K882" i="16"/>
  <c r="O890" i="16"/>
  <c r="L890" i="16"/>
  <c r="J890" i="16"/>
  <c r="I890" i="16"/>
  <c r="N890" i="16"/>
  <c r="M890" i="16"/>
  <c r="K890" i="16"/>
  <c r="O898" i="16"/>
  <c r="L898" i="16"/>
  <c r="J898" i="16"/>
  <c r="I898" i="16"/>
  <c r="N898" i="16"/>
  <c r="M898" i="16"/>
  <c r="K898" i="16"/>
  <c r="O906" i="16"/>
  <c r="L906" i="16"/>
  <c r="J906" i="16"/>
  <c r="I906" i="16"/>
  <c r="N906" i="16"/>
  <c r="M906" i="16"/>
  <c r="K906" i="16"/>
  <c r="O914" i="16"/>
  <c r="L914" i="16"/>
  <c r="J914" i="16"/>
  <c r="I914" i="16"/>
  <c r="N914" i="16"/>
  <c r="M914" i="16"/>
  <c r="K914" i="16"/>
  <c r="O922" i="16"/>
  <c r="L922" i="16"/>
  <c r="K922" i="16"/>
  <c r="J922" i="16"/>
  <c r="I922" i="16"/>
  <c r="N922" i="16"/>
  <c r="M922" i="16"/>
  <c r="O930" i="16"/>
  <c r="L930" i="16"/>
  <c r="K930" i="16"/>
  <c r="J930" i="16"/>
  <c r="I930" i="16"/>
  <c r="N930" i="16"/>
  <c r="M930" i="16"/>
  <c r="O938" i="16"/>
  <c r="L938" i="16"/>
  <c r="K938" i="16"/>
  <c r="J938" i="16"/>
  <c r="I938" i="16"/>
  <c r="N938" i="16"/>
  <c r="M938" i="16"/>
  <c r="O946" i="16"/>
  <c r="L946" i="16"/>
  <c r="K946" i="16"/>
  <c r="J946" i="16"/>
  <c r="I946" i="16"/>
  <c r="N946" i="16"/>
  <c r="M946" i="16"/>
  <c r="O954" i="16"/>
  <c r="L954" i="16"/>
  <c r="K954" i="16"/>
  <c r="J954" i="16"/>
  <c r="I954" i="16"/>
  <c r="N954" i="16"/>
  <c r="M954" i="16"/>
  <c r="O962" i="16"/>
  <c r="L962" i="16"/>
  <c r="K962" i="16"/>
  <c r="J962" i="16"/>
  <c r="I962" i="16"/>
  <c r="N962" i="16"/>
  <c r="M962" i="16"/>
  <c r="O970" i="16"/>
  <c r="L970" i="16"/>
  <c r="K970" i="16"/>
  <c r="J970" i="16"/>
  <c r="I970" i="16"/>
  <c r="N970" i="16"/>
  <c r="M970" i="16"/>
  <c r="O978" i="16"/>
  <c r="L978" i="16"/>
  <c r="K978" i="16"/>
  <c r="J978" i="16"/>
  <c r="I978" i="16"/>
  <c r="N978" i="16"/>
  <c r="M978" i="16"/>
  <c r="O986" i="16"/>
  <c r="M986" i="16"/>
  <c r="L986" i="16"/>
  <c r="K986" i="16"/>
  <c r="J986" i="16"/>
  <c r="I986" i="16"/>
  <c r="N986" i="16"/>
  <c r="O994" i="16"/>
  <c r="M994" i="16"/>
  <c r="L994" i="16"/>
  <c r="K994" i="16"/>
  <c r="J994" i="16"/>
  <c r="I994" i="16"/>
  <c r="N994" i="16"/>
  <c r="O1002" i="16"/>
  <c r="M1002" i="16"/>
  <c r="L1002" i="16"/>
  <c r="K1002" i="16"/>
  <c r="J1002" i="16"/>
  <c r="I1002" i="16"/>
  <c r="N1002" i="16"/>
  <c r="N50" i="16"/>
  <c r="L51" i="16"/>
  <c r="N52" i="16"/>
  <c r="J54" i="16"/>
  <c r="L55" i="16"/>
  <c r="N56" i="16"/>
  <c r="J58" i="16"/>
  <c r="L59" i="16"/>
  <c r="N60" i="16"/>
  <c r="J62" i="16"/>
  <c r="L63" i="16"/>
  <c r="N64" i="16"/>
  <c r="J66" i="16"/>
  <c r="L67" i="16"/>
  <c r="N68" i="16"/>
  <c r="J70" i="16"/>
  <c r="L71" i="16"/>
  <c r="N72" i="16"/>
  <c r="J74" i="16"/>
  <c r="L75" i="16"/>
  <c r="N76" i="16"/>
  <c r="J78" i="16"/>
  <c r="L79" i="16"/>
  <c r="N80" i="16"/>
  <c r="J82" i="16"/>
  <c r="L83" i="16"/>
  <c r="N84" i="16"/>
  <c r="J86" i="16"/>
  <c r="M87" i="16"/>
  <c r="J89" i="16"/>
  <c r="M90" i="16"/>
  <c r="J92" i="16"/>
  <c r="M93" i="16"/>
  <c r="J95" i="16"/>
  <c r="I97" i="16"/>
  <c r="N101" i="16"/>
  <c r="L104" i="16"/>
  <c r="N109" i="16"/>
  <c r="K113" i="16"/>
  <c r="J117" i="16"/>
  <c r="L120" i="16"/>
  <c r="I124" i="16"/>
  <c r="N127" i="16"/>
  <c r="M134" i="16"/>
  <c r="L150" i="16"/>
  <c r="J161" i="16"/>
  <c r="L182" i="16"/>
  <c r="J193" i="16"/>
  <c r="L214" i="16"/>
  <c r="J226" i="16"/>
  <c r="K240" i="16"/>
  <c r="M254" i="16"/>
  <c r="J274" i="16"/>
  <c r="L295" i="16"/>
  <c r="N316" i="16"/>
  <c r="N352" i="16"/>
  <c r="L398" i="16"/>
  <c r="N100" i="16"/>
  <c r="M100" i="16"/>
  <c r="J100" i="16"/>
  <c r="N164" i="16"/>
  <c r="M164" i="16"/>
  <c r="L164" i="16"/>
  <c r="K164" i="16"/>
  <c r="J164" i="16"/>
  <c r="I164" i="16"/>
  <c r="N220" i="16"/>
  <c r="M220" i="16"/>
  <c r="L220" i="16"/>
  <c r="K220" i="16"/>
  <c r="J220" i="16"/>
  <c r="I220" i="16"/>
  <c r="O284" i="16"/>
  <c r="L284" i="16"/>
  <c r="J284" i="16"/>
  <c r="I284" i="16"/>
  <c r="M284" i="16"/>
  <c r="K284" i="16"/>
  <c r="O340" i="16"/>
  <c r="M340" i="16"/>
  <c r="L340" i="16"/>
  <c r="K340" i="16"/>
  <c r="J340" i="16"/>
  <c r="I340" i="16"/>
  <c r="N340" i="16"/>
  <c r="O396" i="16"/>
  <c r="K396" i="16"/>
  <c r="I396" i="16"/>
  <c r="J396" i="16"/>
  <c r="N396" i="16"/>
  <c r="M396" i="16"/>
  <c r="L396" i="16"/>
  <c r="O460" i="16"/>
  <c r="K460" i="16"/>
  <c r="I460" i="16"/>
  <c r="M460" i="16"/>
  <c r="J460" i="16"/>
  <c r="N460" i="16"/>
  <c r="L460" i="16"/>
  <c r="O508" i="16"/>
  <c r="K508" i="16"/>
  <c r="J508" i="16"/>
  <c r="I508" i="16"/>
  <c r="N508" i="16"/>
  <c r="M508" i="16"/>
  <c r="L508" i="16"/>
  <c r="O564" i="16"/>
  <c r="K564" i="16"/>
  <c r="J564" i="16"/>
  <c r="I564" i="16"/>
  <c r="N564" i="16"/>
  <c r="M564" i="16"/>
  <c r="L564" i="16"/>
  <c r="O612" i="16"/>
  <c r="L612" i="16"/>
  <c r="J612" i="16"/>
  <c r="I612" i="16"/>
  <c r="N612" i="16"/>
  <c r="M612" i="16"/>
  <c r="K612" i="16"/>
  <c r="O668" i="16"/>
  <c r="N668" i="16"/>
  <c r="I668" i="16"/>
  <c r="L668" i="16"/>
  <c r="J668" i="16"/>
  <c r="M668" i="16"/>
  <c r="K668" i="16"/>
  <c r="O708" i="16"/>
  <c r="N708" i="16"/>
  <c r="M708" i="16"/>
  <c r="L708" i="16"/>
  <c r="K708" i="16"/>
  <c r="J708" i="16"/>
  <c r="I708" i="16"/>
  <c r="O772" i="16"/>
  <c r="N772" i="16"/>
  <c r="M772" i="16"/>
  <c r="I772" i="16"/>
  <c r="K772" i="16"/>
  <c r="J772" i="16"/>
  <c r="L772" i="16"/>
  <c r="O828" i="16"/>
  <c r="N828" i="16"/>
  <c r="M828" i="16"/>
  <c r="L828" i="16"/>
  <c r="K828" i="16"/>
  <c r="J828" i="16"/>
  <c r="I828" i="16"/>
  <c r="O892" i="16"/>
  <c r="N892" i="16"/>
  <c r="M892" i="16"/>
  <c r="L892" i="16"/>
  <c r="K892" i="16"/>
  <c r="J892" i="16"/>
  <c r="I892" i="16"/>
  <c r="O940" i="16"/>
  <c r="N940" i="16"/>
  <c r="M940" i="16"/>
  <c r="L940" i="16"/>
  <c r="K940" i="16"/>
  <c r="J940" i="16"/>
  <c r="I940" i="16"/>
  <c r="O996" i="16"/>
  <c r="I996" i="16"/>
  <c r="N996" i="16"/>
  <c r="M996" i="16"/>
  <c r="L996" i="16"/>
  <c r="J996" i="16"/>
  <c r="K996" i="16"/>
  <c r="I133" i="16"/>
  <c r="M133" i="16"/>
  <c r="L133" i="16"/>
  <c r="K91" i="16"/>
  <c r="M99" i="16"/>
  <c r="L99" i="16"/>
  <c r="K99" i="16"/>
  <c r="M107" i="16"/>
  <c r="L107" i="16"/>
  <c r="K107" i="16"/>
  <c r="M115" i="16"/>
  <c r="L115" i="16"/>
  <c r="K115" i="16"/>
  <c r="I115" i="16"/>
  <c r="M123" i="16"/>
  <c r="L123" i="16"/>
  <c r="K123" i="16"/>
  <c r="I123" i="16"/>
  <c r="M131" i="16"/>
  <c r="L131" i="16"/>
  <c r="K131" i="16"/>
  <c r="I131" i="16"/>
  <c r="M139" i="16"/>
  <c r="L139" i="16"/>
  <c r="K139" i="16"/>
  <c r="J139" i="16"/>
  <c r="I139" i="16"/>
  <c r="M147" i="16"/>
  <c r="L147" i="16"/>
  <c r="K147" i="16"/>
  <c r="J147" i="16"/>
  <c r="I147" i="16"/>
  <c r="M155" i="16"/>
  <c r="L155" i="16"/>
  <c r="K155" i="16"/>
  <c r="J155" i="16"/>
  <c r="I155" i="16"/>
  <c r="M163" i="16"/>
  <c r="L163" i="16"/>
  <c r="K163" i="16"/>
  <c r="J163" i="16"/>
  <c r="I163" i="16"/>
  <c r="M171" i="16"/>
  <c r="L171" i="16"/>
  <c r="K171" i="16"/>
  <c r="J171" i="16"/>
  <c r="I171" i="16"/>
  <c r="M179" i="16"/>
  <c r="L179" i="16"/>
  <c r="K179" i="16"/>
  <c r="J179" i="16"/>
  <c r="I179" i="16"/>
  <c r="M187" i="16"/>
  <c r="L187" i="16"/>
  <c r="K187" i="16"/>
  <c r="J187" i="16"/>
  <c r="I187" i="16"/>
  <c r="M195" i="16"/>
  <c r="L195" i="16"/>
  <c r="K195" i="16"/>
  <c r="J195" i="16"/>
  <c r="I195" i="16"/>
  <c r="M203" i="16"/>
  <c r="L203" i="16"/>
  <c r="K203" i="16"/>
  <c r="J203" i="16"/>
  <c r="I203" i="16"/>
  <c r="M211" i="16"/>
  <c r="L211" i="16"/>
  <c r="K211" i="16"/>
  <c r="J211" i="16"/>
  <c r="I211" i="16"/>
  <c r="M219" i="16"/>
  <c r="L219" i="16"/>
  <c r="K219" i="16"/>
  <c r="J219" i="16"/>
  <c r="I219" i="16"/>
  <c r="J227" i="16"/>
  <c r="N227" i="16"/>
  <c r="M227" i="16"/>
  <c r="L227" i="16"/>
  <c r="K227" i="16"/>
  <c r="I227" i="16"/>
  <c r="J235" i="16"/>
  <c r="N235" i="16"/>
  <c r="M235" i="16"/>
  <c r="L235" i="16"/>
  <c r="K235" i="16"/>
  <c r="J243" i="16"/>
  <c r="N243" i="16"/>
  <c r="M243" i="16"/>
  <c r="L243" i="16"/>
  <c r="K243" i="16"/>
  <c r="I243" i="16"/>
  <c r="J251" i="16"/>
  <c r="N251" i="16"/>
  <c r="M251" i="16"/>
  <c r="L251" i="16"/>
  <c r="K251" i="16"/>
  <c r="O259" i="16"/>
  <c r="J259" i="16"/>
  <c r="N259" i="16"/>
  <c r="M259" i="16"/>
  <c r="L259" i="16"/>
  <c r="K259" i="16"/>
  <c r="I259" i="16"/>
  <c r="O267" i="16"/>
  <c r="J267" i="16"/>
  <c r="N267" i="16"/>
  <c r="M267" i="16"/>
  <c r="L267" i="16"/>
  <c r="K267" i="16"/>
  <c r="I267" i="16"/>
  <c r="O275" i="16"/>
  <c r="J275" i="16"/>
  <c r="N275" i="16"/>
  <c r="M275" i="16"/>
  <c r="L275" i="16"/>
  <c r="K275" i="16"/>
  <c r="I275" i="16"/>
  <c r="O283" i="16"/>
  <c r="J283" i="16"/>
  <c r="N283" i="16"/>
  <c r="M283" i="16"/>
  <c r="L283" i="16"/>
  <c r="K283" i="16"/>
  <c r="I283" i="16"/>
  <c r="O291" i="16"/>
  <c r="J291" i="16"/>
  <c r="N291" i="16"/>
  <c r="M291" i="16"/>
  <c r="L291" i="16"/>
  <c r="K291" i="16"/>
  <c r="I291" i="16"/>
  <c r="O299" i="16"/>
  <c r="J299" i="16"/>
  <c r="N299" i="16"/>
  <c r="M299" i="16"/>
  <c r="L299" i="16"/>
  <c r="K299" i="16"/>
  <c r="I299" i="16"/>
  <c r="O307" i="16"/>
  <c r="J307" i="16"/>
  <c r="N307" i="16"/>
  <c r="M307" i="16"/>
  <c r="L307" i="16"/>
  <c r="K307" i="16"/>
  <c r="I307" i="16"/>
  <c r="O315" i="16"/>
  <c r="J315" i="16"/>
  <c r="N315" i="16"/>
  <c r="M315" i="16"/>
  <c r="L315" i="16"/>
  <c r="K315" i="16"/>
  <c r="I315" i="16"/>
  <c r="O323" i="16"/>
  <c r="J323" i="16"/>
  <c r="N323" i="16"/>
  <c r="M323" i="16"/>
  <c r="L323" i="16"/>
  <c r="K323" i="16"/>
  <c r="I323" i="16"/>
  <c r="O331" i="16"/>
  <c r="K331" i="16"/>
  <c r="J331" i="16"/>
  <c r="I331" i="16"/>
  <c r="N331" i="16"/>
  <c r="M331" i="16"/>
  <c r="O339" i="16"/>
  <c r="K339" i="16"/>
  <c r="J339" i="16"/>
  <c r="I339" i="16"/>
  <c r="N339" i="16"/>
  <c r="M339" i="16"/>
  <c r="L339" i="16"/>
  <c r="O347" i="16"/>
  <c r="K347" i="16"/>
  <c r="J347" i="16"/>
  <c r="I347" i="16"/>
  <c r="N347" i="16"/>
  <c r="M347" i="16"/>
  <c r="O355" i="16"/>
  <c r="K355" i="16"/>
  <c r="J355" i="16"/>
  <c r="I355" i="16"/>
  <c r="N355" i="16"/>
  <c r="M355" i="16"/>
  <c r="L355" i="16"/>
  <c r="O363" i="16"/>
  <c r="K363" i="16"/>
  <c r="J363" i="16"/>
  <c r="I363" i="16"/>
  <c r="N363" i="16"/>
  <c r="M363" i="16"/>
  <c r="O371" i="16"/>
  <c r="K371" i="16"/>
  <c r="J371" i="16"/>
  <c r="I371" i="16"/>
  <c r="N371" i="16"/>
  <c r="M371" i="16"/>
  <c r="L371" i="16"/>
  <c r="O379" i="16"/>
  <c r="K379" i="16"/>
  <c r="J379" i="16"/>
  <c r="I379" i="16"/>
  <c r="N379" i="16"/>
  <c r="M379" i="16"/>
  <c r="O387" i="16"/>
  <c r="K387" i="16"/>
  <c r="J387" i="16"/>
  <c r="I387" i="16"/>
  <c r="N387" i="16"/>
  <c r="M387" i="16"/>
  <c r="L387" i="16"/>
  <c r="O395" i="16"/>
  <c r="I395" i="16"/>
  <c r="M395" i="16"/>
  <c r="N395" i="16"/>
  <c r="L395" i="16"/>
  <c r="K395" i="16"/>
  <c r="J395" i="16"/>
  <c r="O403" i="16"/>
  <c r="I403" i="16"/>
  <c r="M403" i="16"/>
  <c r="N403" i="16"/>
  <c r="L403" i="16"/>
  <c r="K403" i="16"/>
  <c r="J403" i="16"/>
  <c r="O411" i="16"/>
  <c r="I411" i="16"/>
  <c r="M411" i="16"/>
  <c r="J411" i="16"/>
  <c r="N411" i="16"/>
  <c r="L411" i="16"/>
  <c r="K411" i="16"/>
  <c r="O419" i="16"/>
  <c r="I419" i="16"/>
  <c r="M419" i="16"/>
  <c r="L419" i="16"/>
  <c r="K419" i="16"/>
  <c r="J419" i="16"/>
  <c r="N419" i="16"/>
  <c r="O427" i="16"/>
  <c r="I427" i="16"/>
  <c r="N427" i="16"/>
  <c r="M427" i="16"/>
  <c r="K427" i="16"/>
  <c r="L427" i="16"/>
  <c r="J427" i="16"/>
  <c r="O435" i="16"/>
  <c r="I435" i="16"/>
  <c r="N435" i="16"/>
  <c r="M435" i="16"/>
  <c r="K435" i="16"/>
  <c r="J435" i="16"/>
  <c r="L435" i="16"/>
  <c r="O443" i="16"/>
  <c r="I443" i="16"/>
  <c r="N443" i="16"/>
  <c r="M443" i="16"/>
  <c r="K443" i="16"/>
  <c r="L443" i="16"/>
  <c r="J443" i="16"/>
  <c r="O451" i="16"/>
  <c r="I451" i="16"/>
  <c r="N451" i="16"/>
  <c r="M451" i="16"/>
  <c r="K451" i="16"/>
  <c r="L451" i="16"/>
  <c r="J451" i="16"/>
  <c r="O459" i="16"/>
  <c r="I459" i="16"/>
  <c r="N459" i="16"/>
  <c r="M459" i="16"/>
  <c r="K459" i="16"/>
  <c r="L459" i="16"/>
  <c r="J459" i="16"/>
  <c r="O467" i="16"/>
  <c r="I467" i="16"/>
  <c r="N467" i="16"/>
  <c r="M467" i="16"/>
  <c r="K467" i="16"/>
  <c r="J467" i="16"/>
  <c r="O475" i="16"/>
  <c r="I475" i="16"/>
  <c r="N475" i="16"/>
  <c r="M475" i="16"/>
  <c r="K475" i="16"/>
  <c r="L475" i="16"/>
  <c r="J475" i="16"/>
  <c r="O483" i="16"/>
  <c r="I483" i="16"/>
  <c r="N483" i="16"/>
  <c r="M483" i="16"/>
  <c r="L483" i="16"/>
  <c r="K483" i="16"/>
  <c r="J483" i="16"/>
  <c r="O491" i="16"/>
  <c r="I491" i="16"/>
  <c r="N491" i="16"/>
  <c r="M491" i="16"/>
  <c r="L491" i="16"/>
  <c r="K491" i="16"/>
  <c r="J491" i="16"/>
  <c r="O499" i="16"/>
  <c r="I499" i="16"/>
  <c r="N499" i="16"/>
  <c r="M499" i="16"/>
  <c r="L499" i="16"/>
  <c r="K499" i="16"/>
  <c r="J499" i="16"/>
  <c r="O507" i="16"/>
  <c r="I507" i="16"/>
  <c r="N507" i="16"/>
  <c r="M507" i="16"/>
  <c r="L507" i="16"/>
  <c r="K507" i="16"/>
  <c r="J507" i="16"/>
  <c r="O515" i="16"/>
  <c r="I515" i="16"/>
  <c r="N515" i="16"/>
  <c r="M515" i="16"/>
  <c r="L515" i="16"/>
  <c r="K515" i="16"/>
  <c r="J515" i="16"/>
  <c r="O523" i="16"/>
  <c r="I523" i="16"/>
  <c r="N523" i="16"/>
  <c r="M523" i="16"/>
  <c r="L523" i="16"/>
  <c r="K523" i="16"/>
  <c r="J523" i="16"/>
  <c r="O531" i="16"/>
  <c r="I531" i="16"/>
  <c r="N531" i="16"/>
  <c r="M531" i="16"/>
  <c r="L531" i="16"/>
  <c r="K531" i="16"/>
  <c r="O539" i="16"/>
  <c r="I539" i="16"/>
  <c r="N539" i="16"/>
  <c r="M539" i="16"/>
  <c r="L539" i="16"/>
  <c r="K539" i="16"/>
  <c r="J539" i="16"/>
  <c r="O547" i="16"/>
  <c r="I547" i="16"/>
  <c r="N547" i="16"/>
  <c r="M547" i="16"/>
  <c r="L547" i="16"/>
  <c r="K547" i="16"/>
  <c r="J547" i="16"/>
  <c r="O555" i="16"/>
  <c r="I555" i="16"/>
  <c r="N555" i="16"/>
  <c r="M555" i="16"/>
  <c r="L555" i="16"/>
  <c r="K555" i="16"/>
  <c r="J555" i="16"/>
  <c r="O563" i="16"/>
  <c r="I563" i="16"/>
  <c r="N563" i="16"/>
  <c r="M563" i="16"/>
  <c r="L563" i="16"/>
  <c r="K563" i="16"/>
  <c r="J563" i="16"/>
  <c r="O571" i="16"/>
  <c r="J571" i="16"/>
  <c r="I571" i="16"/>
  <c r="N571" i="16"/>
  <c r="M571" i="16"/>
  <c r="L571" i="16"/>
  <c r="K571" i="16"/>
  <c r="O579" i="16"/>
  <c r="J579" i="16"/>
  <c r="N579" i="16"/>
  <c r="M579" i="16"/>
  <c r="L579" i="16"/>
  <c r="K579" i="16"/>
  <c r="I579" i="16"/>
  <c r="O587" i="16"/>
  <c r="J587" i="16"/>
  <c r="N587" i="16"/>
  <c r="L587" i="16"/>
  <c r="M587" i="16"/>
  <c r="K587" i="16"/>
  <c r="I587" i="16"/>
  <c r="O595" i="16"/>
  <c r="J595" i="16"/>
  <c r="N595" i="16"/>
  <c r="L595" i="16"/>
  <c r="M595" i="16"/>
  <c r="K595" i="16"/>
  <c r="I595" i="16"/>
  <c r="O603" i="16"/>
  <c r="J603" i="16"/>
  <c r="N603" i="16"/>
  <c r="L603" i="16"/>
  <c r="I603" i="16"/>
  <c r="M603" i="16"/>
  <c r="K603" i="16"/>
  <c r="O611" i="16"/>
  <c r="J611" i="16"/>
  <c r="N611" i="16"/>
  <c r="L611" i="16"/>
  <c r="M611" i="16"/>
  <c r="K611" i="16"/>
  <c r="I611" i="16"/>
  <c r="O619" i="16"/>
  <c r="J619" i="16"/>
  <c r="N619" i="16"/>
  <c r="L619" i="16"/>
  <c r="M619" i="16"/>
  <c r="K619" i="16"/>
  <c r="I619" i="16"/>
  <c r="O627" i="16"/>
  <c r="J627" i="16"/>
  <c r="N627" i="16"/>
  <c r="L627" i="16"/>
  <c r="M627" i="16"/>
  <c r="K627" i="16"/>
  <c r="I627" i="16"/>
  <c r="O635" i="16"/>
  <c r="J635" i="16"/>
  <c r="N635" i="16"/>
  <c r="L635" i="16"/>
  <c r="I635" i="16"/>
  <c r="M635" i="16"/>
  <c r="K635" i="16"/>
  <c r="O643" i="16"/>
  <c r="J643" i="16"/>
  <c r="N643" i="16"/>
  <c r="L643" i="16"/>
  <c r="M643" i="16"/>
  <c r="K643" i="16"/>
  <c r="I643" i="16"/>
  <c r="O651" i="16"/>
  <c r="J651" i="16"/>
  <c r="N651" i="16"/>
  <c r="L651" i="16"/>
  <c r="M651" i="16"/>
  <c r="K651" i="16"/>
  <c r="I651" i="16"/>
  <c r="O659" i="16"/>
  <c r="L659" i="16"/>
  <c r="M659" i="16"/>
  <c r="J659" i="16"/>
  <c r="I659" i="16"/>
  <c r="N659" i="16"/>
  <c r="K659" i="16"/>
  <c r="O667" i="16"/>
  <c r="L667" i="16"/>
  <c r="N667" i="16"/>
  <c r="M667" i="16"/>
  <c r="J667" i="16"/>
  <c r="K667" i="16"/>
  <c r="I667" i="16"/>
  <c r="O675" i="16"/>
  <c r="L675" i="16"/>
  <c r="K675" i="16"/>
  <c r="N675" i="16"/>
  <c r="M675" i="16"/>
  <c r="J675" i="16"/>
  <c r="I675" i="16"/>
  <c r="O683" i="16"/>
  <c r="L683" i="16"/>
  <c r="K683" i="16"/>
  <c r="J683" i="16"/>
  <c r="N683" i="16"/>
  <c r="M683" i="16"/>
  <c r="I683" i="16"/>
  <c r="O691" i="16"/>
  <c r="L691" i="16"/>
  <c r="K691" i="16"/>
  <c r="J691" i="16"/>
  <c r="I691" i="16"/>
  <c r="N691" i="16"/>
  <c r="M691" i="16"/>
  <c r="O699" i="16"/>
  <c r="L699" i="16"/>
  <c r="K699" i="16"/>
  <c r="J699" i="16"/>
  <c r="I699" i="16"/>
  <c r="N699" i="16"/>
  <c r="M699" i="16"/>
  <c r="O707" i="16"/>
  <c r="L707" i="16"/>
  <c r="K707" i="16"/>
  <c r="J707" i="16"/>
  <c r="I707" i="16"/>
  <c r="N707" i="16"/>
  <c r="M707" i="16"/>
  <c r="O715" i="16"/>
  <c r="L715" i="16"/>
  <c r="K715" i="16"/>
  <c r="J715" i="16"/>
  <c r="I715" i="16"/>
  <c r="N715" i="16"/>
  <c r="M715" i="16"/>
  <c r="O723" i="16"/>
  <c r="L723" i="16"/>
  <c r="K723" i="16"/>
  <c r="J723" i="16"/>
  <c r="I723" i="16"/>
  <c r="N723" i="16"/>
  <c r="M723" i="16"/>
  <c r="O731" i="16"/>
  <c r="L731" i="16"/>
  <c r="K731" i="16"/>
  <c r="J731" i="16"/>
  <c r="I731" i="16"/>
  <c r="N731" i="16"/>
  <c r="M731" i="16"/>
  <c r="O739" i="16"/>
  <c r="L739" i="16"/>
  <c r="K739" i="16"/>
  <c r="J739" i="16"/>
  <c r="I739" i="16"/>
  <c r="N739" i="16"/>
  <c r="M739" i="16"/>
  <c r="O747" i="16"/>
  <c r="L747" i="16"/>
  <c r="K747" i="16"/>
  <c r="J747" i="16"/>
  <c r="I747" i="16"/>
  <c r="N747" i="16"/>
  <c r="M747" i="16"/>
  <c r="O755" i="16"/>
  <c r="L755" i="16"/>
  <c r="K755" i="16"/>
  <c r="J755" i="16"/>
  <c r="I755" i="16"/>
  <c r="N755" i="16"/>
  <c r="M755" i="16"/>
  <c r="O763" i="16"/>
  <c r="L763" i="16"/>
  <c r="K763" i="16"/>
  <c r="J763" i="16"/>
  <c r="I763" i="16"/>
  <c r="N763" i="16"/>
  <c r="M763" i="16"/>
  <c r="O771" i="16"/>
  <c r="K771" i="16"/>
  <c r="N771" i="16"/>
  <c r="M771" i="16"/>
  <c r="L771" i="16"/>
  <c r="J771" i="16"/>
  <c r="I771" i="16"/>
  <c r="O779" i="16"/>
  <c r="L779" i="16"/>
  <c r="K779" i="16"/>
  <c r="N779" i="16"/>
  <c r="M779" i="16"/>
  <c r="J779" i="16"/>
  <c r="I779" i="16"/>
  <c r="O787" i="16"/>
  <c r="L787" i="16"/>
  <c r="K787" i="16"/>
  <c r="J787" i="16"/>
  <c r="I787" i="16"/>
  <c r="N787" i="16"/>
  <c r="M787" i="16"/>
  <c r="O795" i="16"/>
  <c r="L795" i="16"/>
  <c r="K795" i="16"/>
  <c r="J795" i="16"/>
  <c r="I795" i="16"/>
  <c r="N795" i="16"/>
  <c r="M795" i="16"/>
  <c r="O803" i="16"/>
  <c r="L803" i="16"/>
  <c r="K803" i="16"/>
  <c r="J803" i="16"/>
  <c r="I803" i="16"/>
  <c r="N803" i="16"/>
  <c r="M803" i="16"/>
  <c r="O811" i="16"/>
  <c r="L811" i="16"/>
  <c r="K811" i="16"/>
  <c r="J811" i="16"/>
  <c r="I811" i="16"/>
  <c r="N811" i="16"/>
  <c r="M811" i="16"/>
  <c r="O819" i="16"/>
  <c r="L819" i="16"/>
  <c r="K819" i="16"/>
  <c r="J819" i="16"/>
  <c r="I819" i="16"/>
  <c r="N819" i="16"/>
  <c r="M819" i="16"/>
  <c r="O827" i="16"/>
  <c r="L827" i="16"/>
  <c r="K827" i="16"/>
  <c r="J827" i="16"/>
  <c r="I827" i="16"/>
  <c r="N827" i="16"/>
  <c r="M827" i="16"/>
  <c r="O835" i="16"/>
  <c r="L835" i="16"/>
  <c r="K835" i="16"/>
  <c r="J835" i="16"/>
  <c r="I835" i="16"/>
  <c r="N835" i="16"/>
  <c r="M835" i="16"/>
  <c r="O843" i="16"/>
  <c r="L843" i="16"/>
  <c r="K843" i="16"/>
  <c r="J843" i="16"/>
  <c r="I843" i="16"/>
  <c r="N843" i="16"/>
  <c r="M843" i="16"/>
  <c r="O851" i="16"/>
  <c r="L851" i="16"/>
  <c r="K851" i="16"/>
  <c r="J851" i="16"/>
  <c r="I851" i="16"/>
  <c r="N851" i="16"/>
  <c r="M851" i="16"/>
  <c r="O859" i="16"/>
  <c r="N859" i="16"/>
  <c r="L859" i="16"/>
  <c r="I859" i="16"/>
  <c r="M859" i="16"/>
  <c r="K859" i="16"/>
  <c r="J859" i="16"/>
  <c r="O867" i="16"/>
  <c r="N867" i="16"/>
  <c r="L867" i="16"/>
  <c r="I867" i="16"/>
  <c r="M867" i="16"/>
  <c r="K867" i="16"/>
  <c r="J867" i="16"/>
  <c r="O875" i="16"/>
  <c r="N875" i="16"/>
  <c r="L875" i="16"/>
  <c r="K875" i="16"/>
  <c r="J875" i="16"/>
  <c r="I875" i="16"/>
  <c r="M875" i="16"/>
  <c r="O883" i="16"/>
  <c r="N883" i="16"/>
  <c r="L883" i="16"/>
  <c r="K883" i="16"/>
  <c r="J883" i="16"/>
  <c r="I883" i="16"/>
  <c r="M883" i="16"/>
  <c r="O891" i="16"/>
  <c r="N891" i="16"/>
  <c r="L891" i="16"/>
  <c r="K891" i="16"/>
  <c r="J891" i="16"/>
  <c r="I891" i="16"/>
  <c r="M891" i="16"/>
  <c r="O899" i="16"/>
  <c r="N899" i="16"/>
  <c r="L899" i="16"/>
  <c r="K899" i="16"/>
  <c r="J899" i="16"/>
  <c r="I899" i="16"/>
  <c r="M899" i="16"/>
  <c r="O907" i="16"/>
  <c r="N907" i="16"/>
  <c r="L907" i="16"/>
  <c r="K907" i="16"/>
  <c r="J907" i="16"/>
  <c r="I907" i="16"/>
  <c r="M907" i="16"/>
  <c r="O915" i="16"/>
  <c r="N915" i="16"/>
  <c r="L915" i="16"/>
  <c r="K915" i="16"/>
  <c r="J915" i="16"/>
  <c r="I915" i="16"/>
  <c r="M915" i="16"/>
  <c r="O923" i="16"/>
  <c r="N923" i="16"/>
  <c r="M923" i="16"/>
  <c r="L923" i="16"/>
  <c r="K923" i="16"/>
  <c r="J923" i="16"/>
  <c r="I923" i="16"/>
  <c r="O931" i="16"/>
  <c r="N931" i="16"/>
  <c r="M931" i="16"/>
  <c r="L931" i="16"/>
  <c r="K931" i="16"/>
  <c r="J931" i="16"/>
  <c r="I931" i="16"/>
  <c r="O939" i="16"/>
  <c r="N939" i="16"/>
  <c r="M939" i="16"/>
  <c r="L939" i="16"/>
  <c r="K939" i="16"/>
  <c r="J939" i="16"/>
  <c r="I939" i="16"/>
  <c r="O947" i="16"/>
  <c r="N947" i="16"/>
  <c r="M947" i="16"/>
  <c r="L947" i="16"/>
  <c r="K947" i="16"/>
  <c r="J947" i="16"/>
  <c r="I947" i="16"/>
  <c r="O955" i="16"/>
  <c r="N955" i="16"/>
  <c r="M955" i="16"/>
  <c r="L955" i="16"/>
  <c r="K955" i="16"/>
  <c r="J955" i="16"/>
  <c r="I955" i="16"/>
  <c r="O963" i="16"/>
  <c r="N963" i="16"/>
  <c r="M963" i="16"/>
  <c r="L963" i="16"/>
  <c r="K963" i="16"/>
  <c r="J963" i="16"/>
  <c r="I963" i="16"/>
  <c r="O971" i="16"/>
  <c r="N971" i="16"/>
  <c r="M971" i="16"/>
  <c r="L971" i="16"/>
  <c r="K971" i="16"/>
  <c r="J971" i="16"/>
  <c r="I971" i="16"/>
  <c r="O979" i="16"/>
  <c r="N979" i="16"/>
  <c r="M979" i="16"/>
  <c r="L979" i="16"/>
  <c r="K979" i="16"/>
  <c r="J979" i="16"/>
  <c r="I979" i="16"/>
  <c r="O987" i="16"/>
  <c r="N987" i="16"/>
  <c r="M987" i="16"/>
  <c r="L987" i="16"/>
  <c r="K987" i="16"/>
  <c r="J987" i="16"/>
  <c r="I987" i="16"/>
  <c r="O995" i="16"/>
  <c r="N995" i="16"/>
  <c r="M995" i="16"/>
  <c r="L995" i="16"/>
  <c r="K995" i="16"/>
  <c r="J995" i="16"/>
  <c r="I995" i="16"/>
  <c r="O1003" i="16"/>
  <c r="N1003" i="16"/>
  <c r="M1003" i="16"/>
  <c r="L1003" i="16"/>
  <c r="K1003" i="16"/>
  <c r="J1003" i="16"/>
  <c r="I1003" i="16"/>
  <c r="M51" i="16"/>
  <c r="I53" i="16"/>
  <c r="K54" i="16"/>
  <c r="M55" i="16"/>
  <c r="I57" i="16"/>
  <c r="K58" i="16"/>
  <c r="M59" i="16"/>
  <c r="I61" i="16"/>
  <c r="K62" i="16"/>
  <c r="M63" i="16"/>
  <c r="I65" i="16"/>
  <c r="K66" i="16"/>
  <c r="M67" i="16"/>
  <c r="I69" i="16"/>
  <c r="K70" i="16"/>
  <c r="M71" i="16"/>
  <c r="I73" i="16"/>
  <c r="K74" i="16"/>
  <c r="M75" i="16"/>
  <c r="I77" i="16"/>
  <c r="K78" i="16"/>
  <c r="M79" i="16"/>
  <c r="I81" i="16"/>
  <c r="K82" i="16"/>
  <c r="M83" i="16"/>
  <c r="I85" i="16"/>
  <c r="K86" i="16"/>
  <c r="N87" i="16"/>
  <c r="K89" i="16"/>
  <c r="N90" i="16"/>
  <c r="K92" i="16"/>
  <c r="N93" i="16"/>
  <c r="L95" i="16"/>
  <c r="J97" i="16"/>
  <c r="N99" i="16"/>
  <c r="L102" i="16"/>
  <c r="J105" i="16"/>
  <c r="N107" i="16"/>
  <c r="L110" i="16"/>
  <c r="N113" i="16"/>
  <c r="K117" i="16"/>
  <c r="J121" i="16"/>
  <c r="L124" i="16"/>
  <c r="I128" i="16"/>
  <c r="N131" i="16"/>
  <c r="J135" i="16"/>
  <c r="J141" i="16"/>
  <c r="N151" i="16"/>
  <c r="L162" i="16"/>
  <c r="J173" i="16"/>
  <c r="N183" i="16"/>
  <c r="L194" i="16"/>
  <c r="J205" i="16"/>
  <c r="N215" i="16"/>
  <c r="I228" i="16"/>
  <c r="J242" i="16"/>
  <c r="K256" i="16"/>
  <c r="N276" i="16"/>
  <c r="J298" i="16"/>
  <c r="L319" i="16"/>
  <c r="J358" i="16"/>
  <c r="J407" i="16"/>
  <c r="K574"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M6" i="16" l="1"/>
  <c r="L6" i="16"/>
  <c r="N6" i="16"/>
  <c r="K6" i="16"/>
  <c r="J6" i="16"/>
  <c r="I6" i="16"/>
  <c r="N39" i="16"/>
  <c r="M39" i="16"/>
  <c r="L39" i="16"/>
  <c r="K39" i="16"/>
  <c r="J39" i="16"/>
  <c r="I39" i="16"/>
  <c r="I32" i="16"/>
  <c r="N32" i="16"/>
  <c r="M32" i="16"/>
  <c r="L32" i="16"/>
  <c r="K32" i="16"/>
  <c r="J32" i="16"/>
  <c r="M46" i="16"/>
  <c r="L46" i="16"/>
  <c r="N46" i="16"/>
  <c r="K46" i="16"/>
  <c r="J46" i="16"/>
  <c r="I46" i="16"/>
  <c r="N47" i="16"/>
  <c r="M47" i="16"/>
  <c r="L47" i="16"/>
  <c r="K47" i="16"/>
  <c r="J47" i="16"/>
  <c r="I47" i="16"/>
  <c r="I8" i="16"/>
  <c r="N8" i="16"/>
  <c r="M8" i="16"/>
  <c r="L8" i="16"/>
  <c r="J8" i="16"/>
  <c r="K8" i="16"/>
  <c r="I16" i="16"/>
  <c r="N16" i="16"/>
  <c r="J16" i="16"/>
  <c r="M16" i="16"/>
  <c r="L16" i="16"/>
  <c r="K16" i="16"/>
  <c r="I24" i="16"/>
  <c r="N24" i="16"/>
  <c r="M24" i="16"/>
  <c r="L24" i="16"/>
  <c r="J24" i="16"/>
  <c r="K24" i="16"/>
  <c r="I40" i="16"/>
  <c r="N40" i="16"/>
  <c r="J40" i="16"/>
  <c r="M40" i="16"/>
  <c r="L40" i="16"/>
  <c r="K40" i="16"/>
  <c r="I48" i="16"/>
  <c r="J48" i="16"/>
  <c r="N48" i="16"/>
  <c r="M48" i="16"/>
  <c r="L48" i="16"/>
  <c r="K48" i="16"/>
  <c r="K9" i="16"/>
  <c r="L9" i="16"/>
  <c r="J9" i="16"/>
  <c r="I9" i="16"/>
  <c r="N9" i="16"/>
  <c r="M9" i="16"/>
  <c r="K17" i="16"/>
  <c r="J17" i="16"/>
  <c r="I17" i="16"/>
  <c r="N17" i="16"/>
  <c r="L17" i="16"/>
  <c r="M17" i="16"/>
  <c r="K25" i="16"/>
  <c r="J25" i="16"/>
  <c r="I25" i="16"/>
  <c r="L25" i="16"/>
  <c r="N25" i="16"/>
  <c r="M25" i="16"/>
  <c r="K33" i="16"/>
  <c r="J33" i="16"/>
  <c r="I33" i="16"/>
  <c r="L33" i="16"/>
  <c r="N33" i="16"/>
  <c r="M33" i="16"/>
  <c r="K41" i="16"/>
  <c r="J41" i="16"/>
  <c r="I41" i="16"/>
  <c r="L41" i="16"/>
  <c r="N41" i="16"/>
  <c r="M41" i="16"/>
  <c r="K49" i="16"/>
  <c r="J49" i="16"/>
  <c r="I49" i="16"/>
  <c r="L49" i="16"/>
  <c r="N49" i="16"/>
  <c r="M49" i="16"/>
  <c r="M14" i="16"/>
  <c r="L14" i="16"/>
  <c r="N14" i="16"/>
  <c r="K14" i="16"/>
  <c r="J14" i="16"/>
  <c r="I14" i="16"/>
  <c r="N15" i="16"/>
  <c r="M15" i="16"/>
  <c r="L15" i="16"/>
  <c r="K15" i="16"/>
  <c r="J15" i="16"/>
  <c r="I15" i="16"/>
  <c r="M10" i="16"/>
  <c r="L10" i="16"/>
  <c r="K10" i="16"/>
  <c r="J10" i="16"/>
  <c r="I10" i="16"/>
  <c r="N10" i="16"/>
  <c r="M18" i="16"/>
  <c r="N18" i="16"/>
  <c r="L18" i="16"/>
  <c r="K18" i="16"/>
  <c r="J18" i="16"/>
  <c r="I18" i="16"/>
  <c r="M26" i="16"/>
  <c r="N26" i="16"/>
  <c r="L26" i="16"/>
  <c r="K26" i="16"/>
  <c r="J26" i="16"/>
  <c r="I26" i="16"/>
  <c r="M34" i="16"/>
  <c r="L34" i="16"/>
  <c r="K34" i="16"/>
  <c r="N34" i="16"/>
  <c r="J34" i="16"/>
  <c r="I34" i="16"/>
  <c r="M42" i="16"/>
  <c r="L42" i="16"/>
  <c r="K42" i="16"/>
  <c r="J42" i="16"/>
  <c r="I42" i="16"/>
  <c r="N42" i="16"/>
  <c r="M22" i="16"/>
  <c r="L22" i="16"/>
  <c r="N22" i="16"/>
  <c r="K22" i="16"/>
  <c r="J22" i="16"/>
  <c r="I22" i="16"/>
  <c r="N7" i="16"/>
  <c r="M7" i="16"/>
  <c r="L7" i="16"/>
  <c r="K7" i="16"/>
  <c r="J7" i="16"/>
  <c r="I7" i="16"/>
  <c r="N19" i="16"/>
  <c r="M19" i="16"/>
  <c r="L19" i="16"/>
  <c r="K19" i="16"/>
  <c r="J19" i="16"/>
  <c r="I19" i="16"/>
  <c r="N43" i="16"/>
  <c r="M43" i="16"/>
  <c r="L43" i="16"/>
  <c r="K43" i="16"/>
  <c r="J43" i="16"/>
  <c r="I43" i="16"/>
  <c r="M30" i="16"/>
  <c r="L30" i="16"/>
  <c r="N30" i="16"/>
  <c r="K30" i="16"/>
  <c r="J30" i="16"/>
  <c r="I30" i="16"/>
  <c r="N31" i="16"/>
  <c r="M31" i="16"/>
  <c r="L31" i="16"/>
  <c r="K31" i="16"/>
  <c r="J31" i="16"/>
  <c r="I31" i="16"/>
  <c r="N11" i="16"/>
  <c r="M11" i="16"/>
  <c r="L11" i="16"/>
  <c r="K11" i="16"/>
  <c r="J11" i="16"/>
  <c r="I11" i="16"/>
  <c r="N27" i="16"/>
  <c r="M27" i="16"/>
  <c r="L27" i="16"/>
  <c r="K27" i="16"/>
  <c r="J27" i="16"/>
  <c r="I27" i="16"/>
  <c r="N35" i="16"/>
  <c r="M35" i="16"/>
  <c r="L35" i="16"/>
  <c r="K35" i="16"/>
  <c r="J35" i="16"/>
  <c r="I35" i="16"/>
  <c r="I4" i="16"/>
  <c r="N4" i="16"/>
  <c r="J4" i="16"/>
  <c r="M4" i="16"/>
  <c r="L4" i="16"/>
  <c r="K4" i="16"/>
  <c r="I12" i="16"/>
  <c r="J12" i="16"/>
  <c r="N12" i="16"/>
  <c r="M12" i="16"/>
  <c r="L12" i="16"/>
  <c r="K12" i="16"/>
  <c r="I20" i="16"/>
  <c r="J20" i="16"/>
  <c r="N20" i="16"/>
  <c r="M20" i="16"/>
  <c r="L20" i="16"/>
  <c r="K20" i="16"/>
  <c r="I28" i="16"/>
  <c r="J28" i="16"/>
  <c r="N28" i="16"/>
  <c r="M28" i="16"/>
  <c r="L28" i="16"/>
  <c r="K28" i="16"/>
  <c r="I36" i="16"/>
  <c r="J36" i="16"/>
  <c r="N36" i="16"/>
  <c r="M36" i="16"/>
  <c r="L36" i="16"/>
  <c r="K36" i="16"/>
  <c r="I44" i="16"/>
  <c r="N44" i="16"/>
  <c r="M44" i="16"/>
  <c r="L44" i="16"/>
  <c r="J44" i="16"/>
  <c r="K44" i="16"/>
  <c r="M38" i="16"/>
  <c r="L38" i="16"/>
  <c r="N38" i="16"/>
  <c r="K38" i="16"/>
  <c r="J38" i="16"/>
  <c r="I38" i="16"/>
  <c r="N23" i="16"/>
  <c r="M23" i="16"/>
  <c r="L23" i="16"/>
  <c r="K23" i="16"/>
  <c r="J23" i="16"/>
  <c r="I23" i="16"/>
  <c r="K5" i="16"/>
  <c r="J5" i="16"/>
  <c r="I5" i="16"/>
  <c r="L5" i="16"/>
  <c r="N5" i="16"/>
  <c r="M5" i="16"/>
  <c r="K13" i="16"/>
  <c r="J13" i="16"/>
  <c r="I13" i="16"/>
  <c r="L13" i="16"/>
  <c r="N13" i="16"/>
  <c r="M13" i="16"/>
  <c r="K21" i="16"/>
  <c r="J21" i="16"/>
  <c r="I21" i="16"/>
  <c r="N21" i="16"/>
  <c r="M21" i="16"/>
  <c r="L21" i="16"/>
  <c r="K29" i="16"/>
  <c r="J29" i="16"/>
  <c r="I29" i="16"/>
  <c r="N29" i="16"/>
  <c r="L29" i="16"/>
  <c r="M29" i="16"/>
  <c r="K37" i="16"/>
  <c r="J37" i="16"/>
  <c r="I37" i="16"/>
  <c r="N37" i="16"/>
  <c r="L37" i="16"/>
  <c r="M37" i="16"/>
  <c r="K45" i="16"/>
  <c r="J45" i="16"/>
  <c r="I45" i="16"/>
  <c r="L45" i="16"/>
  <c r="N45" i="16"/>
  <c r="M45" i="16"/>
  <c r="F3" i="16"/>
  <c r="E3" i="16"/>
  <c r="D3" i="16"/>
  <c r="C3" i="16"/>
  <c r="B3" i="16"/>
  <c r="A3" i="16"/>
  <c r="K8" i="2" l="1"/>
  <c r="K7" i="2"/>
  <c r="K6" i="2"/>
  <c r="K5" i="2"/>
  <c r="K4" i="2"/>
  <c r="K3" i="2"/>
  <c r="G11" i="15" l="1"/>
  <c r="A9" i="15"/>
  <c r="F11" i="15"/>
  <c r="A8" i="15"/>
  <c r="E11" i="15"/>
  <c r="A7" i="15"/>
  <c r="D11" i="15"/>
  <c r="A6" i="15"/>
  <c r="C11" i="15"/>
  <c r="A5" i="15"/>
  <c r="B11" i="15"/>
  <c r="A4" i="15"/>
  <c r="K40" i="2" l="1"/>
  <c r="Z1004" i="14" l="1"/>
  <c r="Y1004" i="14"/>
  <c r="X1004" i="14"/>
  <c r="W1004" i="14"/>
  <c r="V1004" i="14"/>
  <c r="U1004" i="14"/>
  <c r="T1004" i="14"/>
  <c r="S1004" i="14"/>
  <c r="R1004" i="14"/>
  <c r="Q1004" i="14"/>
  <c r="P1004" i="14"/>
  <c r="O1004" i="14"/>
  <c r="N1004" i="14"/>
  <c r="M1004" i="14"/>
  <c r="L1004" i="14"/>
  <c r="K1004" i="14"/>
  <c r="J1004" i="14"/>
  <c r="I1004" i="14"/>
  <c r="H1004" i="14"/>
  <c r="G1004" i="14"/>
  <c r="F1004" i="14"/>
  <c r="E1004" i="14"/>
  <c r="D1004" i="14"/>
  <c r="C1004" i="14"/>
  <c r="AH1004" i="14" s="1"/>
  <c r="B1004" i="14"/>
  <c r="A1004" i="14"/>
  <c r="Z1003" i="14"/>
  <c r="Y1003" i="14"/>
  <c r="X1003" i="14"/>
  <c r="W1003" i="14"/>
  <c r="V1003" i="14"/>
  <c r="U1003" i="14"/>
  <c r="T1003" i="14"/>
  <c r="S1003" i="14"/>
  <c r="R1003" i="14"/>
  <c r="Q1003" i="14"/>
  <c r="P1003" i="14"/>
  <c r="O1003" i="14"/>
  <c r="N1003" i="14"/>
  <c r="M1003" i="14"/>
  <c r="L1003" i="14"/>
  <c r="K1003" i="14"/>
  <c r="J1003" i="14"/>
  <c r="I1003" i="14"/>
  <c r="H1003" i="14"/>
  <c r="AF1003" i="14" s="1"/>
  <c r="G1003" i="14"/>
  <c r="F1003" i="14"/>
  <c r="E1003" i="14"/>
  <c r="AG1003" i="14" s="1"/>
  <c r="D1003" i="14"/>
  <c r="C1003" i="14"/>
  <c r="B1003" i="14"/>
  <c r="A1003" i="14"/>
  <c r="Z1002" i="14"/>
  <c r="Y1002" i="14"/>
  <c r="X1002" i="14"/>
  <c r="W1002" i="14"/>
  <c r="V1002" i="14"/>
  <c r="U1002" i="14"/>
  <c r="T1002" i="14"/>
  <c r="S1002" i="14"/>
  <c r="R1002" i="14"/>
  <c r="Q1002" i="14"/>
  <c r="P1002" i="14"/>
  <c r="O1002" i="14"/>
  <c r="N1002" i="14"/>
  <c r="M1002" i="14"/>
  <c r="L1002" i="14"/>
  <c r="K1002" i="14"/>
  <c r="J1002" i="14"/>
  <c r="I1002" i="14"/>
  <c r="H1002" i="14"/>
  <c r="G1002" i="14"/>
  <c r="F1002" i="14"/>
  <c r="E1002" i="14"/>
  <c r="D1002" i="14"/>
  <c r="C1002" i="14"/>
  <c r="B1002" i="14"/>
  <c r="A1002" i="14"/>
  <c r="Z1001" i="14"/>
  <c r="Y1001" i="14"/>
  <c r="X1001" i="14"/>
  <c r="W1001" i="14"/>
  <c r="V1001" i="14"/>
  <c r="U1001" i="14"/>
  <c r="T1001" i="14"/>
  <c r="S1001" i="14"/>
  <c r="R1001" i="14"/>
  <c r="Q1001" i="14"/>
  <c r="P1001" i="14"/>
  <c r="O1001" i="14"/>
  <c r="N1001" i="14"/>
  <c r="M1001" i="14"/>
  <c r="L1001" i="14"/>
  <c r="K1001" i="14"/>
  <c r="J1001" i="14"/>
  <c r="I1001" i="14"/>
  <c r="H1001" i="14"/>
  <c r="G1001" i="14"/>
  <c r="F1001" i="14"/>
  <c r="E1001" i="14"/>
  <c r="D1001" i="14"/>
  <c r="C1001" i="14"/>
  <c r="B1001" i="14"/>
  <c r="A1001" i="14"/>
  <c r="Z1000" i="14"/>
  <c r="Y1000" i="14"/>
  <c r="X1000" i="14"/>
  <c r="W1000" i="14"/>
  <c r="V1000" i="14"/>
  <c r="U1000" i="14"/>
  <c r="T1000" i="14"/>
  <c r="S1000" i="14"/>
  <c r="R1000" i="14"/>
  <c r="Q1000" i="14"/>
  <c r="P1000" i="14"/>
  <c r="O1000" i="14"/>
  <c r="N1000" i="14"/>
  <c r="M1000" i="14"/>
  <c r="L1000" i="14"/>
  <c r="K1000" i="14"/>
  <c r="J1000" i="14"/>
  <c r="I1000" i="14"/>
  <c r="H1000" i="14"/>
  <c r="G1000" i="14"/>
  <c r="F1000" i="14"/>
  <c r="E1000" i="14"/>
  <c r="D1000" i="14"/>
  <c r="C1000" i="14"/>
  <c r="AH1000" i="14" s="1"/>
  <c r="B1000" i="14"/>
  <c r="A1000" i="14"/>
  <c r="Z999" i="14"/>
  <c r="Y999" i="14"/>
  <c r="X999" i="14"/>
  <c r="W999" i="14"/>
  <c r="V999" i="14"/>
  <c r="U999" i="14"/>
  <c r="T999" i="14"/>
  <c r="S999" i="14"/>
  <c r="R999" i="14"/>
  <c r="Q999" i="14"/>
  <c r="P999" i="14"/>
  <c r="O999" i="14"/>
  <c r="N999" i="14"/>
  <c r="M999" i="14"/>
  <c r="L999" i="14"/>
  <c r="K999" i="14"/>
  <c r="J999" i="14"/>
  <c r="I999" i="14"/>
  <c r="H999" i="14"/>
  <c r="AF999" i="14" s="1"/>
  <c r="G999" i="14"/>
  <c r="F999" i="14"/>
  <c r="E999" i="14"/>
  <c r="AG999" i="14" s="1"/>
  <c r="D999" i="14"/>
  <c r="C999" i="14"/>
  <c r="B999" i="14"/>
  <c r="A999" i="14"/>
  <c r="Z998" i="14"/>
  <c r="Y998" i="14"/>
  <c r="X998" i="14"/>
  <c r="W998" i="14"/>
  <c r="V998" i="14"/>
  <c r="U998" i="14"/>
  <c r="T998" i="14"/>
  <c r="S998" i="14"/>
  <c r="R998" i="14"/>
  <c r="Q998" i="14"/>
  <c r="P998" i="14"/>
  <c r="O998" i="14"/>
  <c r="N998" i="14"/>
  <c r="M998" i="14"/>
  <c r="L998" i="14"/>
  <c r="K998" i="14"/>
  <c r="J998" i="14"/>
  <c r="I998" i="14"/>
  <c r="H998" i="14"/>
  <c r="G998" i="14"/>
  <c r="F998" i="14"/>
  <c r="E998" i="14"/>
  <c r="D998" i="14"/>
  <c r="C998" i="14"/>
  <c r="B998" i="14"/>
  <c r="A998" i="14"/>
  <c r="Z997" i="14"/>
  <c r="Y997" i="14"/>
  <c r="X997" i="14"/>
  <c r="W997" i="14"/>
  <c r="V997" i="14"/>
  <c r="U997" i="14"/>
  <c r="T997" i="14"/>
  <c r="S997" i="14"/>
  <c r="R997" i="14"/>
  <c r="Q997" i="14"/>
  <c r="P997" i="14"/>
  <c r="O997" i="14"/>
  <c r="N997" i="14"/>
  <c r="M997" i="14"/>
  <c r="L997" i="14"/>
  <c r="K997" i="14"/>
  <c r="J997" i="14"/>
  <c r="I997" i="14"/>
  <c r="H997" i="14"/>
  <c r="G997" i="14"/>
  <c r="F997" i="14"/>
  <c r="E997" i="14"/>
  <c r="D997" i="14"/>
  <c r="C997" i="14"/>
  <c r="B997" i="14"/>
  <c r="A997" i="14"/>
  <c r="Z996" i="14"/>
  <c r="Y996" i="14"/>
  <c r="X996" i="14"/>
  <c r="W996" i="14"/>
  <c r="V996" i="14"/>
  <c r="U996" i="14"/>
  <c r="T996" i="14"/>
  <c r="S996" i="14"/>
  <c r="R996" i="14"/>
  <c r="Q996" i="14"/>
  <c r="P996" i="14"/>
  <c r="O996" i="14"/>
  <c r="N996" i="14"/>
  <c r="M996" i="14"/>
  <c r="L996" i="14"/>
  <c r="K996" i="14"/>
  <c r="J996" i="14"/>
  <c r="I996" i="14"/>
  <c r="H996" i="14"/>
  <c r="G996" i="14"/>
  <c r="F996" i="14"/>
  <c r="E996" i="14"/>
  <c r="D996" i="14"/>
  <c r="C996" i="14"/>
  <c r="AH996" i="14" s="1"/>
  <c r="B996" i="14"/>
  <c r="A996" i="14"/>
  <c r="Z995" i="14"/>
  <c r="Y995" i="14"/>
  <c r="X995" i="14"/>
  <c r="W995" i="14"/>
  <c r="V995" i="14"/>
  <c r="U995" i="14"/>
  <c r="T995" i="14"/>
  <c r="S995" i="14"/>
  <c r="R995" i="14"/>
  <c r="Q995" i="14"/>
  <c r="P995" i="14"/>
  <c r="O995" i="14"/>
  <c r="N995" i="14"/>
  <c r="M995" i="14"/>
  <c r="L995" i="14"/>
  <c r="K995" i="14"/>
  <c r="J995" i="14"/>
  <c r="I995" i="14"/>
  <c r="H995" i="14"/>
  <c r="G995" i="14"/>
  <c r="F995" i="14"/>
  <c r="E995" i="14"/>
  <c r="AG995" i="14" s="1"/>
  <c r="D995" i="14"/>
  <c r="C995" i="14"/>
  <c r="B995" i="14"/>
  <c r="A995" i="14"/>
  <c r="Z994" i="14"/>
  <c r="Y994" i="14"/>
  <c r="X994" i="14"/>
  <c r="W994" i="14"/>
  <c r="V994" i="14"/>
  <c r="U994" i="14"/>
  <c r="T994" i="14"/>
  <c r="S994" i="14"/>
  <c r="R994" i="14"/>
  <c r="Q994" i="14"/>
  <c r="P994" i="14"/>
  <c r="O994" i="14"/>
  <c r="N994" i="14"/>
  <c r="M994" i="14"/>
  <c r="L994" i="14"/>
  <c r="K994" i="14"/>
  <c r="J994" i="14"/>
  <c r="I994" i="14"/>
  <c r="H994" i="14"/>
  <c r="G994" i="14"/>
  <c r="F994" i="14"/>
  <c r="E994" i="14"/>
  <c r="D994" i="14"/>
  <c r="C994" i="14"/>
  <c r="B994" i="14"/>
  <c r="A994" i="14"/>
  <c r="Z993" i="14"/>
  <c r="Y993" i="14"/>
  <c r="X993" i="14"/>
  <c r="W993" i="14"/>
  <c r="V993" i="14"/>
  <c r="U993" i="14"/>
  <c r="T993" i="14"/>
  <c r="S993" i="14"/>
  <c r="R993" i="14"/>
  <c r="Q993" i="14"/>
  <c r="P993" i="14"/>
  <c r="O993" i="14"/>
  <c r="N993" i="14"/>
  <c r="M993" i="14"/>
  <c r="L993" i="14"/>
  <c r="K993" i="14"/>
  <c r="J993" i="14"/>
  <c r="I993" i="14"/>
  <c r="H993" i="14"/>
  <c r="G993" i="14"/>
  <c r="F993" i="14"/>
  <c r="E993" i="14"/>
  <c r="D993" i="14"/>
  <c r="C993" i="14"/>
  <c r="B993" i="14"/>
  <c r="A993" i="14"/>
  <c r="Z992" i="14"/>
  <c r="Y992" i="14"/>
  <c r="X992" i="14"/>
  <c r="W992" i="14"/>
  <c r="V992" i="14"/>
  <c r="U992" i="14"/>
  <c r="T992" i="14"/>
  <c r="S992" i="14"/>
  <c r="R992" i="14"/>
  <c r="Q992" i="14"/>
  <c r="P992" i="14"/>
  <c r="O992" i="14"/>
  <c r="N992" i="14"/>
  <c r="M992" i="14"/>
  <c r="L992" i="14"/>
  <c r="K992" i="14"/>
  <c r="J992" i="14"/>
  <c r="I992" i="14"/>
  <c r="H992" i="14"/>
  <c r="G992" i="14"/>
  <c r="F992" i="14"/>
  <c r="E992" i="14"/>
  <c r="D992" i="14"/>
  <c r="C992" i="14"/>
  <c r="AH992" i="14" s="1"/>
  <c r="B992" i="14"/>
  <c r="A992" i="14"/>
  <c r="Z991" i="14"/>
  <c r="Y991" i="14"/>
  <c r="X991" i="14"/>
  <c r="W991" i="14"/>
  <c r="V991" i="14"/>
  <c r="U991" i="14"/>
  <c r="T991" i="14"/>
  <c r="S991" i="14"/>
  <c r="R991" i="14"/>
  <c r="Q991" i="14"/>
  <c r="P991" i="14"/>
  <c r="O991" i="14"/>
  <c r="N991" i="14"/>
  <c r="M991" i="14"/>
  <c r="L991" i="14"/>
  <c r="K991" i="14"/>
  <c r="J991" i="14"/>
  <c r="I991" i="14"/>
  <c r="H991" i="14"/>
  <c r="G991" i="14"/>
  <c r="F991" i="14"/>
  <c r="E991" i="14"/>
  <c r="D991" i="14"/>
  <c r="C991" i="14"/>
  <c r="B991" i="14"/>
  <c r="A991" i="14"/>
  <c r="Z990" i="14"/>
  <c r="Y990" i="14"/>
  <c r="X990" i="14"/>
  <c r="W990" i="14"/>
  <c r="V990" i="14"/>
  <c r="U990" i="14"/>
  <c r="T990" i="14"/>
  <c r="S990" i="14"/>
  <c r="R990" i="14"/>
  <c r="Q990" i="14"/>
  <c r="P990" i="14"/>
  <c r="O990" i="14"/>
  <c r="N990" i="14"/>
  <c r="M990" i="14"/>
  <c r="L990" i="14"/>
  <c r="K990" i="14"/>
  <c r="J990" i="14"/>
  <c r="I990" i="14"/>
  <c r="H990" i="14"/>
  <c r="G990" i="14"/>
  <c r="F990" i="14"/>
  <c r="E990" i="14"/>
  <c r="D990" i="14"/>
  <c r="C990" i="14"/>
  <c r="B990" i="14"/>
  <c r="A990" i="14"/>
  <c r="Z989" i="14"/>
  <c r="Y989" i="14"/>
  <c r="X989" i="14"/>
  <c r="W989" i="14"/>
  <c r="V989" i="14"/>
  <c r="U989" i="14"/>
  <c r="T989" i="14"/>
  <c r="S989" i="14"/>
  <c r="R989" i="14"/>
  <c r="Q989" i="14"/>
  <c r="P989" i="14"/>
  <c r="O989" i="14"/>
  <c r="N989" i="14"/>
  <c r="M989" i="14"/>
  <c r="L989" i="14"/>
  <c r="K989" i="14"/>
  <c r="J989" i="14"/>
  <c r="I989" i="14"/>
  <c r="H989" i="14"/>
  <c r="G989" i="14"/>
  <c r="F989" i="14"/>
  <c r="E989" i="14"/>
  <c r="D989" i="14"/>
  <c r="C989" i="14"/>
  <c r="B989" i="14"/>
  <c r="A989" i="14"/>
  <c r="Z988" i="14"/>
  <c r="Y988" i="14"/>
  <c r="X988" i="14"/>
  <c r="W988" i="14"/>
  <c r="V988" i="14"/>
  <c r="U988" i="14"/>
  <c r="T988" i="14"/>
  <c r="S988" i="14"/>
  <c r="R988" i="14"/>
  <c r="Q988" i="14"/>
  <c r="P988" i="14"/>
  <c r="O988" i="14"/>
  <c r="N988" i="14"/>
  <c r="M988" i="14"/>
  <c r="L988" i="14"/>
  <c r="K988" i="14"/>
  <c r="J988" i="14"/>
  <c r="I988" i="14"/>
  <c r="H988" i="14"/>
  <c r="G988" i="14"/>
  <c r="F988" i="14"/>
  <c r="E988" i="14"/>
  <c r="D988" i="14"/>
  <c r="C988" i="14"/>
  <c r="AH988" i="14" s="1"/>
  <c r="B988" i="14"/>
  <c r="A988" i="14"/>
  <c r="Z987" i="14"/>
  <c r="Y987" i="14"/>
  <c r="X987" i="14"/>
  <c r="W987" i="14"/>
  <c r="V987" i="14"/>
  <c r="U987" i="14"/>
  <c r="T987" i="14"/>
  <c r="S987" i="14"/>
  <c r="R987" i="14"/>
  <c r="Q987" i="14"/>
  <c r="P987" i="14"/>
  <c r="O987" i="14"/>
  <c r="N987" i="14"/>
  <c r="M987" i="14"/>
  <c r="L987" i="14"/>
  <c r="K987" i="14"/>
  <c r="J987" i="14"/>
  <c r="I987" i="14"/>
  <c r="H987" i="14"/>
  <c r="G987" i="14"/>
  <c r="F987" i="14"/>
  <c r="E987" i="14"/>
  <c r="D987" i="14"/>
  <c r="C987" i="14"/>
  <c r="B987" i="14"/>
  <c r="A987" i="14"/>
  <c r="Z986" i="14"/>
  <c r="Y986" i="14"/>
  <c r="X986" i="14"/>
  <c r="W986" i="14"/>
  <c r="V986" i="14"/>
  <c r="U986" i="14"/>
  <c r="T986" i="14"/>
  <c r="S986" i="14"/>
  <c r="R986" i="14"/>
  <c r="Q986" i="14"/>
  <c r="P986" i="14"/>
  <c r="O986" i="14"/>
  <c r="N986" i="14"/>
  <c r="M986" i="14"/>
  <c r="L986" i="14"/>
  <c r="K986" i="14"/>
  <c r="J986" i="14"/>
  <c r="I986" i="14"/>
  <c r="H986" i="14"/>
  <c r="G986" i="14"/>
  <c r="F986" i="14"/>
  <c r="E986" i="14"/>
  <c r="D986" i="14"/>
  <c r="C986" i="14"/>
  <c r="B986" i="14"/>
  <c r="A986" i="14"/>
  <c r="Z985" i="14"/>
  <c r="Y985" i="14"/>
  <c r="X985" i="14"/>
  <c r="W985" i="14"/>
  <c r="V985" i="14"/>
  <c r="U985" i="14"/>
  <c r="T985" i="14"/>
  <c r="S985" i="14"/>
  <c r="R985" i="14"/>
  <c r="Q985" i="14"/>
  <c r="P985" i="14"/>
  <c r="O985" i="14"/>
  <c r="N985" i="14"/>
  <c r="M985" i="14"/>
  <c r="L985" i="14"/>
  <c r="K985" i="14"/>
  <c r="J985" i="14"/>
  <c r="I985" i="14"/>
  <c r="H985" i="14"/>
  <c r="G985" i="14"/>
  <c r="F985" i="14"/>
  <c r="E985" i="14"/>
  <c r="D985" i="14"/>
  <c r="C985" i="14"/>
  <c r="B985" i="14"/>
  <c r="A985" i="14"/>
  <c r="Z984" i="14"/>
  <c r="Y984" i="14"/>
  <c r="X984" i="14"/>
  <c r="W984" i="14"/>
  <c r="V984" i="14"/>
  <c r="U984" i="14"/>
  <c r="T984" i="14"/>
  <c r="S984" i="14"/>
  <c r="R984" i="14"/>
  <c r="Q984" i="14"/>
  <c r="P984" i="14"/>
  <c r="O984" i="14"/>
  <c r="N984" i="14"/>
  <c r="M984" i="14"/>
  <c r="L984" i="14"/>
  <c r="K984" i="14"/>
  <c r="J984" i="14"/>
  <c r="I984" i="14"/>
  <c r="H984" i="14"/>
  <c r="G984" i="14"/>
  <c r="F984" i="14"/>
  <c r="E984" i="14"/>
  <c r="D984" i="14"/>
  <c r="C984" i="14"/>
  <c r="AH984" i="14" s="1"/>
  <c r="B984" i="14"/>
  <c r="A984" i="14"/>
  <c r="Z983" i="14"/>
  <c r="Y983" i="14"/>
  <c r="X983" i="14"/>
  <c r="W983" i="14"/>
  <c r="V983" i="14"/>
  <c r="U983" i="14"/>
  <c r="T983" i="14"/>
  <c r="S983" i="14"/>
  <c r="R983" i="14"/>
  <c r="Q983" i="14"/>
  <c r="P983" i="14"/>
  <c r="O983" i="14"/>
  <c r="N983" i="14"/>
  <c r="M983" i="14"/>
  <c r="L983" i="14"/>
  <c r="K983" i="14"/>
  <c r="J983" i="14"/>
  <c r="I983" i="14"/>
  <c r="H983" i="14"/>
  <c r="G983" i="14"/>
  <c r="F983" i="14"/>
  <c r="E983" i="14"/>
  <c r="D983" i="14"/>
  <c r="C983" i="14"/>
  <c r="B983" i="14"/>
  <c r="A983" i="14"/>
  <c r="Z982" i="14"/>
  <c r="Y982" i="14"/>
  <c r="X982" i="14"/>
  <c r="W982" i="14"/>
  <c r="V982" i="14"/>
  <c r="U982" i="14"/>
  <c r="T982" i="14"/>
  <c r="S982" i="14"/>
  <c r="R982" i="14"/>
  <c r="Q982" i="14"/>
  <c r="P982" i="14"/>
  <c r="O982" i="14"/>
  <c r="N982" i="14"/>
  <c r="M982" i="14"/>
  <c r="L982" i="14"/>
  <c r="K982" i="14"/>
  <c r="J982" i="14"/>
  <c r="I982" i="14"/>
  <c r="H982" i="14"/>
  <c r="G982" i="14"/>
  <c r="F982" i="14"/>
  <c r="E982" i="14"/>
  <c r="D982" i="14"/>
  <c r="C982" i="14"/>
  <c r="B982" i="14"/>
  <c r="A982" i="14"/>
  <c r="Z981" i="14"/>
  <c r="Y981" i="14"/>
  <c r="X981" i="14"/>
  <c r="W981" i="14"/>
  <c r="V981" i="14"/>
  <c r="U981" i="14"/>
  <c r="T981" i="14"/>
  <c r="S981" i="14"/>
  <c r="R981" i="14"/>
  <c r="Q981" i="14"/>
  <c r="P981" i="14"/>
  <c r="O981" i="14"/>
  <c r="N981" i="14"/>
  <c r="M981" i="14"/>
  <c r="L981" i="14"/>
  <c r="K981" i="14"/>
  <c r="J981" i="14"/>
  <c r="I981" i="14"/>
  <c r="H981" i="14"/>
  <c r="G981" i="14"/>
  <c r="F981" i="14"/>
  <c r="E981" i="14"/>
  <c r="D981" i="14"/>
  <c r="C981" i="14"/>
  <c r="B981" i="14"/>
  <c r="A981" i="14"/>
  <c r="Z980" i="14"/>
  <c r="Y980" i="14"/>
  <c r="X980" i="14"/>
  <c r="W980" i="14"/>
  <c r="V980" i="14"/>
  <c r="U980" i="14"/>
  <c r="T980" i="14"/>
  <c r="S980" i="14"/>
  <c r="R980" i="14"/>
  <c r="Q980" i="14"/>
  <c r="P980" i="14"/>
  <c r="O980" i="14"/>
  <c r="N980" i="14"/>
  <c r="M980" i="14"/>
  <c r="L980" i="14"/>
  <c r="K980" i="14"/>
  <c r="J980" i="14"/>
  <c r="I980" i="14"/>
  <c r="H980" i="14"/>
  <c r="G980" i="14"/>
  <c r="F980" i="14"/>
  <c r="E980" i="14"/>
  <c r="D980" i="14"/>
  <c r="C980" i="14"/>
  <c r="AH980" i="14" s="1"/>
  <c r="B980" i="14"/>
  <c r="A980" i="14"/>
  <c r="Z979" i="14"/>
  <c r="Y979" i="14"/>
  <c r="X979" i="14"/>
  <c r="W979" i="14"/>
  <c r="V979" i="14"/>
  <c r="U979" i="14"/>
  <c r="T979" i="14"/>
  <c r="S979" i="14"/>
  <c r="R979" i="14"/>
  <c r="Q979" i="14"/>
  <c r="P979" i="14"/>
  <c r="O979" i="14"/>
  <c r="N979" i="14"/>
  <c r="M979" i="14"/>
  <c r="L979" i="14"/>
  <c r="K979" i="14"/>
  <c r="J979" i="14"/>
  <c r="I979" i="14"/>
  <c r="H979" i="14"/>
  <c r="G979" i="14"/>
  <c r="F979" i="14"/>
  <c r="E979" i="14"/>
  <c r="D979" i="14"/>
  <c r="C979" i="14"/>
  <c r="B979" i="14"/>
  <c r="A979" i="14"/>
  <c r="Z978" i="14"/>
  <c r="Y978" i="14"/>
  <c r="X978" i="14"/>
  <c r="W978" i="14"/>
  <c r="V978" i="14"/>
  <c r="U978" i="14"/>
  <c r="T978" i="14"/>
  <c r="S978" i="14"/>
  <c r="R978" i="14"/>
  <c r="Q978" i="14"/>
  <c r="P978" i="14"/>
  <c r="O978" i="14"/>
  <c r="N978" i="14"/>
  <c r="M978" i="14"/>
  <c r="L978" i="14"/>
  <c r="K978" i="14"/>
  <c r="J978" i="14"/>
  <c r="I978" i="14"/>
  <c r="H978" i="14"/>
  <c r="G978" i="14"/>
  <c r="F978" i="14"/>
  <c r="E978" i="14"/>
  <c r="D978" i="14"/>
  <c r="C978" i="14"/>
  <c r="B978" i="14"/>
  <c r="A978" i="14"/>
  <c r="Z977" i="14"/>
  <c r="Y977" i="14"/>
  <c r="X977" i="14"/>
  <c r="W977" i="14"/>
  <c r="V977" i="14"/>
  <c r="U977" i="14"/>
  <c r="T977" i="14"/>
  <c r="S977" i="14"/>
  <c r="R977" i="14"/>
  <c r="Q977" i="14"/>
  <c r="P977" i="14"/>
  <c r="O977" i="14"/>
  <c r="N977" i="14"/>
  <c r="M977" i="14"/>
  <c r="L977" i="14"/>
  <c r="K977" i="14"/>
  <c r="J977" i="14"/>
  <c r="I977" i="14"/>
  <c r="H977" i="14"/>
  <c r="G977" i="14"/>
  <c r="F977" i="14"/>
  <c r="E977" i="14"/>
  <c r="D977" i="14"/>
  <c r="C977" i="14"/>
  <c r="B977" i="14"/>
  <c r="A977" i="14"/>
  <c r="Z976" i="14"/>
  <c r="Y976" i="14"/>
  <c r="X976" i="14"/>
  <c r="W976" i="14"/>
  <c r="V976" i="14"/>
  <c r="U976" i="14"/>
  <c r="T976" i="14"/>
  <c r="S976" i="14"/>
  <c r="R976" i="14"/>
  <c r="Q976" i="14"/>
  <c r="P976" i="14"/>
  <c r="O976" i="14"/>
  <c r="N976" i="14"/>
  <c r="M976" i="14"/>
  <c r="L976" i="14"/>
  <c r="K976" i="14"/>
  <c r="J976" i="14"/>
  <c r="I976" i="14"/>
  <c r="H976" i="14"/>
  <c r="G976" i="14"/>
  <c r="F976" i="14"/>
  <c r="E976" i="14"/>
  <c r="D976" i="14"/>
  <c r="C976" i="14"/>
  <c r="AH976" i="14" s="1"/>
  <c r="B976" i="14"/>
  <c r="A976" i="14"/>
  <c r="Z975" i="14"/>
  <c r="Y975" i="14"/>
  <c r="X975" i="14"/>
  <c r="W975" i="14"/>
  <c r="V975" i="14"/>
  <c r="U975" i="14"/>
  <c r="T975" i="14"/>
  <c r="S975" i="14"/>
  <c r="R975" i="14"/>
  <c r="Q975" i="14"/>
  <c r="P975" i="14"/>
  <c r="O975" i="14"/>
  <c r="N975" i="14"/>
  <c r="M975" i="14"/>
  <c r="L975" i="14"/>
  <c r="K975" i="14"/>
  <c r="J975" i="14"/>
  <c r="I975" i="14"/>
  <c r="H975" i="14"/>
  <c r="G975" i="14"/>
  <c r="F975" i="14"/>
  <c r="E975" i="14"/>
  <c r="AG975" i="14" s="1"/>
  <c r="D975" i="14"/>
  <c r="C975" i="14"/>
  <c r="B975" i="14"/>
  <c r="A975" i="14"/>
  <c r="Z974" i="14"/>
  <c r="Y974" i="14"/>
  <c r="X974" i="14"/>
  <c r="W974" i="14"/>
  <c r="V974" i="14"/>
  <c r="U974" i="14"/>
  <c r="T974" i="14"/>
  <c r="S974" i="14"/>
  <c r="R974" i="14"/>
  <c r="Q974" i="14"/>
  <c r="P974" i="14"/>
  <c r="O974" i="14"/>
  <c r="N974" i="14"/>
  <c r="M974" i="14"/>
  <c r="L974" i="14"/>
  <c r="K974" i="14"/>
  <c r="J974" i="14"/>
  <c r="I974" i="14"/>
  <c r="H974" i="14"/>
  <c r="G974" i="14"/>
  <c r="F974" i="14"/>
  <c r="E974" i="14"/>
  <c r="D974" i="14"/>
  <c r="C974" i="14"/>
  <c r="B974" i="14"/>
  <c r="A974" i="14"/>
  <c r="Z973" i="14"/>
  <c r="Y973" i="14"/>
  <c r="X973" i="14"/>
  <c r="W973" i="14"/>
  <c r="V973" i="14"/>
  <c r="U973" i="14"/>
  <c r="T973" i="14"/>
  <c r="S973" i="14"/>
  <c r="R973" i="14"/>
  <c r="Q973" i="14"/>
  <c r="P973" i="14"/>
  <c r="O973" i="14"/>
  <c r="N973" i="14"/>
  <c r="M973" i="14"/>
  <c r="L973" i="14"/>
  <c r="K973" i="14"/>
  <c r="J973" i="14"/>
  <c r="I973" i="14"/>
  <c r="H973" i="14"/>
  <c r="G973" i="14"/>
  <c r="F973" i="14"/>
  <c r="E973" i="14"/>
  <c r="D973" i="14"/>
  <c r="C973" i="14"/>
  <c r="B973" i="14"/>
  <c r="A973" i="14"/>
  <c r="Z972" i="14"/>
  <c r="Y972" i="14"/>
  <c r="X972" i="14"/>
  <c r="W972" i="14"/>
  <c r="V972" i="14"/>
  <c r="U972" i="14"/>
  <c r="T972" i="14"/>
  <c r="S972" i="14"/>
  <c r="R972" i="14"/>
  <c r="Q972" i="14"/>
  <c r="P972" i="14"/>
  <c r="O972" i="14"/>
  <c r="N972" i="14"/>
  <c r="M972" i="14"/>
  <c r="L972" i="14"/>
  <c r="K972" i="14"/>
  <c r="J972" i="14"/>
  <c r="I972" i="14"/>
  <c r="H972" i="14"/>
  <c r="G972" i="14"/>
  <c r="F972" i="14"/>
  <c r="E972" i="14"/>
  <c r="D972" i="14"/>
  <c r="C972" i="14"/>
  <c r="AH972" i="14" s="1"/>
  <c r="B972" i="14"/>
  <c r="A972" i="14"/>
  <c r="Z971" i="14"/>
  <c r="Y971" i="14"/>
  <c r="X971" i="14"/>
  <c r="W971" i="14"/>
  <c r="V971" i="14"/>
  <c r="U971" i="14"/>
  <c r="T971" i="14"/>
  <c r="S971" i="14"/>
  <c r="R971" i="14"/>
  <c r="Q971" i="14"/>
  <c r="P971" i="14"/>
  <c r="O971" i="14"/>
  <c r="N971" i="14"/>
  <c r="M971" i="14"/>
  <c r="L971" i="14"/>
  <c r="K971" i="14"/>
  <c r="J971" i="14"/>
  <c r="I971" i="14"/>
  <c r="H971" i="14"/>
  <c r="G971" i="14"/>
  <c r="F971" i="14"/>
  <c r="E971" i="14"/>
  <c r="AG971" i="14" s="1"/>
  <c r="D971" i="14"/>
  <c r="C971" i="14"/>
  <c r="B971" i="14"/>
  <c r="A971" i="14"/>
  <c r="Z970" i="14"/>
  <c r="Y970" i="14"/>
  <c r="X970" i="14"/>
  <c r="W970" i="14"/>
  <c r="V970" i="14"/>
  <c r="U970" i="14"/>
  <c r="T970" i="14"/>
  <c r="S970" i="14"/>
  <c r="R970" i="14"/>
  <c r="Q970" i="14"/>
  <c r="P970" i="14"/>
  <c r="O970" i="14"/>
  <c r="N970" i="14"/>
  <c r="M970" i="14"/>
  <c r="L970" i="14"/>
  <c r="K970" i="14"/>
  <c r="J970" i="14"/>
  <c r="I970" i="14"/>
  <c r="H970" i="14"/>
  <c r="G970" i="14"/>
  <c r="F970" i="14"/>
  <c r="E970" i="14"/>
  <c r="D970" i="14"/>
  <c r="C970" i="14"/>
  <c r="B970" i="14"/>
  <c r="A970" i="14"/>
  <c r="Z969" i="14"/>
  <c r="Y969" i="14"/>
  <c r="X969" i="14"/>
  <c r="W969" i="14"/>
  <c r="V969" i="14"/>
  <c r="U969" i="14"/>
  <c r="T969" i="14"/>
  <c r="S969" i="14"/>
  <c r="R969" i="14"/>
  <c r="Q969" i="14"/>
  <c r="P969" i="14"/>
  <c r="O969" i="14"/>
  <c r="N969" i="14"/>
  <c r="M969" i="14"/>
  <c r="L969" i="14"/>
  <c r="K969" i="14"/>
  <c r="J969" i="14"/>
  <c r="I969" i="14"/>
  <c r="H969" i="14"/>
  <c r="G969" i="14"/>
  <c r="F969" i="14"/>
  <c r="E969" i="14"/>
  <c r="D969" i="14"/>
  <c r="C969" i="14"/>
  <c r="B969" i="14"/>
  <c r="A969" i="14"/>
  <c r="Z968" i="14"/>
  <c r="Y968" i="14"/>
  <c r="X968" i="14"/>
  <c r="W968" i="14"/>
  <c r="V968" i="14"/>
  <c r="U968" i="14"/>
  <c r="T968" i="14"/>
  <c r="S968" i="14"/>
  <c r="R968" i="14"/>
  <c r="Q968" i="14"/>
  <c r="P968" i="14"/>
  <c r="O968" i="14"/>
  <c r="N968" i="14"/>
  <c r="M968" i="14"/>
  <c r="L968" i="14"/>
  <c r="K968" i="14"/>
  <c r="J968" i="14"/>
  <c r="I968" i="14"/>
  <c r="H968" i="14"/>
  <c r="G968" i="14"/>
  <c r="F968" i="14"/>
  <c r="E968" i="14"/>
  <c r="D968" i="14"/>
  <c r="C968" i="14"/>
  <c r="AH968" i="14" s="1"/>
  <c r="B968" i="14"/>
  <c r="A968" i="14"/>
  <c r="Z967" i="14"/>
  <c r="Y967" i="14"/>
  <c r="X967" i="14"/>
  <c r="W967" i="14"/>
  <c r="V967" i="14"/>
  <c r="U967" i="14"/>
  <c r="T967" i="14"/>
  <c r="S967" i="14"/>
  <c r="R967" i="14"/>
  <c r="Q967" i="14"/>
  <c r="P967" i="14"/>
  <c r="O967" i="14"/>
  <c r="N967" i="14"/>
  <c r="M967" i="14"/>
  <c r="L967" i="14"/>
  <c r="K967" i="14"/>
  <c r="J967" i="14"/>
  <c r="I967" i="14"/>
  <c r="H967" i="14"/>
  <c r="G967" i="14"/>
  <c r="F967" i="14"/>
  <c r="E967" i="14"/>
  <c r="AG967" i="14" s="1"/>
  <c r="D967" i="14"/>
  <c r="C967" i="14"/>
  <c r="B967" i="14"/>
  <c r="A967" i="14"/>
  <c r="Z966" i="14"/>
  <c r="Y966" i="14"/>
  <c r="X966" i="14"/>
  <c r="W966" i="14"/>
  <c r="V966" i="14"/>
  <c r="U966" i="14"/>
  <c r="T966" i="14"/>
  <c r="S966" i="14"/>
  <c r="R966" i="14"/>
  <c r="Q966" i="14"/>
  <c r="P966" i="14"/>
  <c r="O966" i="14"/>
  <c r="N966" i="14"/>
  <c r="M966" i="14"/>
  <c r="L966" i="14"/>
  <c r="K966" i="14"/>
  <c r="J966" i="14"/>
  <c r="I966" i="14"/>
  <c r="H966" i="14"/>
  <c r="G966" i="14"/>
  <c r="F966" i="14"/>
  <c r="E966" i="14"/>
  <c r="D966" i="14"/>
  <c r="C966" i="14"/>
  <c r="B966" i="14"/>
  <c r="A966" i="14"/>
  <c r="Z965" i="14"/>
  <c r="Y965" i="14"/>
  <c r="X965" i="14"/>
  <c r="W965" i="14"/>
  <c r="V965" i="14"/>
  <c r="U965" i="14"/>
  <c r="T965" i="14"/>
  <c r="S965" i="14"/>
  <c r="R965" i="14"/>
  <c r="Q965" i="14"/>
  <c r="P965" i="14"/>
  <c r="O965" i="14"/>
  <c r="N965" i="14"/>
  <c r="M965" i="14"/>
  <c r="L965" i="14"/>
  <c r="K965" i="14"/>
  <c r="J965" i="14"/>
  <c r="I965" i="14"/>
  <c r="H965" i="14"/>
  <c r="G965" i="14"/>
  <c r="F965" i="14"/>
  <c r="E965" i="14"/>
  <c r="D965" i="14"/>
  <c r="C965" i="14"/>
  <c r="B965" i="14"/>
  <c r="A965" i="14"/>
  <c r="Z964" i="14"/>
  <c r="Y964" i="14"/>
  <c r="X964" i="14"/>
  <c r="W964" i="14"/>
  <c r="V964" i="14"/>
  <c r="U964" i="14"/>
  <c r="T964" i="14"/>
  <c r="S964" i="14"/>
  <c r="R964" i="14"/>
  <c r="Q964" i="14"/>
  <c r="P964" i="14"/>
  <c r="O964" i="14"/>
  <c r="N964" i="14"/>
  <c r="M964" i="14"/>
  <c r="L964" i="14"/>
  <c r="K964" i="14"/>
  <c r="J964" i="14"/>
  <c r="I964" i="14"/>
  <c r="H964" i="14"/>
  <c r="G964" i="14"/>
  <c r="F964" i="14"/>
  <c r="E964" i="14"/>
  <c r="D964" i="14"/>
  <c r="C964" i="14"/>
  <c r="AH964" i="14" s="1"/>
  <c r="B964" i="14"/>
  <c r="A964" i="14"/>
  <c r="Z963" i="14"/>
  <c r="Y963" i="14"/>
  <c r="X963" i="14"/>
  <c r="W963" i="14"/>
  <c r="V963" i="14"/>
  <c r="U963" i="14"/>
  <c r="T963" i="14"/>
  <c r="S963" i="14"/>
  <c r="R963" i="14"/>
  <c r="Q963" i="14"/>
  <c r="P963" i="14"/>
  <c r="O963" i="14"/>
  <c r="N963" i="14"/>
  <c r="M963" i="14"/>
  <c r="L963" i="14"/>
  <c r="K963" i="14"/>
  <c r="J963" i="14"/>
  <c r="I963" i="14"/>
  <c r="H963" i="14"/>
  <c r="G963" i="14"/>
  <c r="F963" i="14"/>
  <c r="E963" i="14"/>
  <c r="D963" i="14"/>
  <c r="C963" i="14"/>
  <c r="B963" i="14"/>
  <c r="A963" i="14"/>
  <c r="Z962" i="14"/>
  <c r="Y962" i="14"/>
  <c r="X962" i="14"/>
  <c r="W962" i="14"/>
  <c r="V962" i="14"/>
  <c r="U962" i="14"/>
  <c r="T962" i="14"/>
  <c r="S962" i="14"/>
  <c r="R962" i="14"/>
  <c r="Q962" i="14"/>
  <c r="P962" i="14"/>
  <c r="O962" i="14"/>
  <c r="N962" i="14"/>
  <c r="M962" i="14"/>
  <c r="L962" i="14"/>
  <c r="K962" i="14"/>
  <c r="J962" i="14"/>
  <c r="I962" i="14"/>
  <c r="H962" i="14"/>
  <c r="G962" i="14"/>
  <c r="F962" i="14"/>
  <c r="E962" i="14"/>
  <c r="D962" i="14"/>
  <c r="C962" i="14"/>
  <c r="B962" i="14"/>
  <c r="A962" i="14"/>
  <c r="Z961" i="14"/>
  <c r="Y961" i="14"/>
  <c r="X961" i="14"/>
  <c r="W961" i="14"/>
  <c r="V961" i="14"/>
  <c r="U961" i="14"/>
  <c r="T961" i="14"/>
  <c r="S961" i="14"/>
  <c r="R961" i="14"/>
  <c r="Q961" i="14"/>
  <c r="P961" i="14"/>
  <c r="O961" i="14"/>
  <c r="N961" i="14"/>
  <c r="M961" i="14"/>
  <c r="L961" i="14"/>
  <c r="K961" i="14"/>
  <c r="J961" i="14"/>
  <c r="I961" i="14"/>
  <c r="H961" i="14"/>
  <c r="G961" i="14"/>
  <c r="F961" i="14"/>
  <c r="E961" i="14"/>
  <c r="D961" i="14"/>
  <c r="C961" i="14"/>
  <c r="B961" i="14"/>
  <c r="A961" i="14"/>
  <c r="Z960" i="14"/>
  <c r="Y960" i="14"/>
  <c r="X960" i="14"/>
  <c r="W960" i="14"/>
  <c r="V960" i="14"/>
  <c r="U960" i="14"/>
  <c r="T960" i="14"/>
  <c r="S960" i="14"/>
  <c r="R960" i="14"/>
  <c r="Q960" i="14"/>
  <c r="P960" i="14"/>
  <c r="O960" i="14"/>
  <c r="N960" i="14"/>
  <c r="M960" i="14"/>
  <c r="L960" i="14"/>
  <c r="K960" i="14"/>
  <c r="J960" i="14"/>
  <c r="I960" i="14"/>
  <c r="H960" i="14"/>
  <c r="G960" i="14"/>
  <c r="F960" i="14"/>
  <c r="E960" i="14"/>
  <c r="D960" i="14"/>
  <c r="C960" i="14"/>
  <c r="AH960" i="14" s="1"/>
  <c r="B960" i="14"/>
  <c r="A960" i="14"/>
  <c r="Z959" i="14"/>
  <c r="Y959" i="14"/>
  <c r="X959" i="14"/>
  <c r="W959" i="14"/>
  <c r="V959" i="14"/>
  <c r="U959" i="14"/>
  <c r="T959" i="14"/>
  <c r="S959" i="14"/>
  <c r="R959" i="14"/>
  <c r="Q959" i="14"/>
  <c r="P959" i="14"/>
  <c r="O959" i="14"/>
  <c r="N959" i="14"/>
  <c r="M959" i="14"/>
  <c r="L959" i="14"/>
  <c r="K959" i="14"/>
  <c r="J959" i="14"/>
  <c r="I959" i="14"/>
  <c r="H959" i="14"/>
  <c r="G959" i="14"/>
  <c r="F959" i="14"/>
  <c r="E959" i="14"/>
  <c r="D959" i="14"/>
  <c r="C959" i="14"/>
  <c r="B959" i="14"/>
  <c r="A959" i="14"/>
  <c r="Z958" i="14"/>
  <c r="Y958" i="14"/>
  <c r="X958" i="14"/>
  <c r="W958" i="14"/>
  <c r="V958" i="14"/>
  <c r="U958" i="14"/>
  <c r="T958" i="14"/>
  <c r="S958" i="14"/>
  <c r="R958" i="14"/>
  <c r="Q958" i="14"/>
  <c r="P958" i="14"/>
  <c r="O958" i="14"/>
  <c r="N958" i="14"/>
  <c r="M958" i="14"/>
  <c r="L958" i="14"/>
  <c r="K958" i="14"/>
  <c r="J958" i="14"/>
  <c r="I958" i="14"/>
  <c r="H958" i="14"/>
  <c r="G958" i="14"/>
  <c r="F958" i="14"/>
  <c r="E958" i="14"/>
  <c r="D958" i="14"/>
  <c r="C958" i="14"/>
  <c r="B958" i="14"/>
  <c r="A958" i="14"/>
  <c r="Z957" i="14"/>
  <c r="Y957" i="14"/>
  <c r="X957" i="14"/>
  <c r="W957" i="14"/>
  <c r="V957" i="14"/>
  <c r="U957" i="14"/>
  <c r="T957" i="14"/>
  <c r="S957" i="14"/>
  <c r="R957" i="14"/>
  <c r="Q957" i="14"/>
  <c r="P957" i="14"/>
  <c r="O957" i="14"/>
  <c r="N957" i="14"/>
  <c r="M957" i="14"/>
  <c r="L957" i="14"/>
  <c r="K957" i="14"/>
  <c r="J957" i="14"/>
  <c r="I957" i="14"/>
  <c r="H957" i="14"/>
  <c r="G957" i="14"/>
  <c r="F957" i="14"/>
  <c r="E957" i="14"/>
  <c r="D957" i="14"/>
  <c r="C957" i="14"/>
  <c r="B957" i="14"/>
  <c r="A957" i="14"/>
  <c r="Z956" i="14"/>
  <c r="Y956" i="14"/>
  <c r="X956" i="14"/>
  <c r="W956" i="14"/>
  <c r="V956" i="14"/>
  <c r="U956" i="14"/>
  <c r="T956" i="14"/>
  <c r="S956" i="14"/>
  <c r="R956" i="14"/>
  <c r="Q956" i="14"/>
  <c r="P956" i="14"/>
  <c r="O956" i="14"/>
  <c r="N956" i="14"/>
  <c r="M956" i="14"/>
  <c r="L956" i="14"/>
  <c r="K956" i="14"/>
  <c r="J956" i="14"/>
  <c r="I956" i="14"/>
  <c r="H956" i="14"/>
  <c r="G956" i="14"/>
  <c r="F956" i="14"/>
  <c r="E956" i="14"/>
  <c r="D956" i="14"/>
  <c r="C956" i="14"/>
  <c r="AH956" i="14" s="1"/>
  <c r="B956" i="14"/>
  <c r="A956" i="14"/>
  <c r="Z955" i="14"/>
  <c r="Y955" i="14"/>
  <c r="X955" i="14"/>
  <c r="W955" i="14"/>
  <c r="V955" i="14"/>
  <c r="U955" i="14"/>
  <c r="T955" i="14"/>
  <c r="S955" i="14"/>
  <c r="R955" i="14"/>
  <c r="Q955" i="14"/>
  <c r="P955" i="14"/>
  <c r="O955" i="14"/>
  <c r="N955" i="14"/>
  <c r="M955" i="14"/>
  <c r="L955" i="14"/>
  <c r="K955" i="14"/>
  <c r="J955" i="14"/>
  <c r="I955" i="14"/>
  <c r="H955" i="14"/>
  <c r="G955" i="14"/>
  <c r="F955" i="14"/>
  <c r="E955" i="14"/>
  <c r="D955" i="14"/>
  <c r="C955" i="14"/>
  <c r="B955" i="14"/>
  <c r="A955" i="14"/>
  <c r="Z954" i="14"/>
  <c r="Y954" i="14"/>
  <c r="X954" i="14"/>
  <c r="W954" i="14"/>
  <c r="V954" i="14"/>
  <c r="U954" i="14"/>
  <c r="T954" i="14"/>
  <c r="S954" i="14"/>
  <c r="R954" i="14"/>
  <c r="Q954" i="14"/>
  <c r="P954" i="14"/>
  <c r="O954" i="14"/>
  <c r="N954" i="14"/>
  <c r="M954" i="14"/>
  <c r="L954" i="14"/>
  <c r="K954" i="14"/>
  <c r="J954" i="14"/>
  <c r="I954" i="14"/>
  <c r="H954" i="14"/>
  <c r="G954" i="14"/>
  <c r="F954" i="14"/>
  <c r="E954" i="14"/>
  <c r="D954" i="14"/>
  <c r="C954" i="14"/>
  <c r="B954" i="14"/>
  <c r="A954" i="14"/>
  <c r="Z953" i="14"/>
  <c r="Y953" i="14"/>
  <c r="X953" i="14"/>
  <c r="W953" i="14"/>
  <c r="V953" i="14"/>
  <c r="U953" i="14"/>
  <c r="T953" i="14"/>
  <c r="S953" i="14"/>
  <c r="R953" i="14"/>
  <c r="Q953" i="14"/>
  <c r="P953" i="14"/>
  <c r="O953" i="14"/>
  <c r="N953" i="14"/>
  <c r="M953" i="14"/>
  <c r="L953" i="14"/>
  <c r="K953" i="14"/>
  <c r="J953" i="14"/>
  <c r="I953" i="14"/>
  <c r="H953" i="14"/>
  <c r="G953" i="14"/>
  <c r="F953" i="14"/>
  <c r="E953" i="14"/>
  <c r="D953" i="14"/>
  <c r="C953" i="14"/>
  <c r="B953" i="14"/>
  <c r="A953" i="14"/>
  <c r="Z952" i="14"/>
  <c r="Y952" i="14"/>
  <c r="X952" i="14"/>
  <c r="W952" i="14"/>
  <c r="V952" i="14"/>
  <c r="U952" i="14"/>
  <c r="T952" i="14"/>
  <c r="S952" i="14"/>
  <c r="R952" i="14"/>
  <c r="Q952" i="14"/>
  <c r="P952" i="14"/>
  <c r="O952" i="14"/>
  <c r="N952" i="14"/>
  <c r="M952" i="14"/>
  <c r="L952" i="14"/>
  <c r="K952" i="14"/>
  <c r="J952" i="14"/>
  <c r="I952" i="14"/>
  <c r="H952" i="14"/>
  <c r="G952" i="14"/>
  <c r="F952" i="14"/>
  <c r="E952" i="14"/>
  <c r="D952" i="14"/>
  <c r="C952" i="14"/>
  <c r="AH952" i="14" s="1"/>
  <c r="B952" i="14"/>
  <c r="A952" i="14"/>
  <c r="Z951" i="14"/>
  <c r="Y951" i="14"/>
  <c r="X951" i="14"/>
  <c r="W951" i="14"/>
  <c r="V951" i="14"/>
  <c r="U951" i="14"/>
  <c r="T951" i="14"/>
  <c r="S951" i="14"/>
  <c r="R951" i="14"/>
  <c r="Q951" i="14"/>
  <c r="P951" i="14"/>
  <c r="O951" i="14"/>
  <c r="N951" i="14"/>
  <c r="M951" i="14"/>
  <c r="L951" i="14"/>
  <c r="K951" i="14"/>
  <c r="J951" i="14"/>
  <c r="I951" i="14"/>
  <c r="H951" i="14"/>
  <c r="G951" i="14"/>
  <c r="F951" i="14"/>
  <c r="E951" i="14"/>
  <c r="AG951" i="14" s="1"/>
  <c r="D951" i="14"/>
  <c r="C951" i="14"/>
  <c r="B951" i="14"/>
  <c r="A951" i="14"/>
  <c r="Z950" i="14"/>
  <c r="Y950" i="14"/>
  <c r="X950" i="14"/>
  <c r="W950" i="14"/>
  <c r="V950" i="14"/>
  <c r="U950" i="14"/>
  <c r="T950" i="14"/>
  <c r="S950" i="14"/>
  <c r="R950" i="14"/>
  <c r="Q950" i="14"/>
  <c r="P950" i="14"/>
  <c r="O950" i="14"/>
  <c r="N950" i="14"/>
  <c r="M950" i="14"/>
  <c r="L950" i="14"/>
  <c r="K950" i="14"/>
  <c r="J950" i="14"/>
  <c r="I950" i="14"/>
  <c r="H950" i="14"/>
  <c r="G950" i="14"/>
  <c r="F950" i="14"/>
  <c r="E950" i="14"/>
  <c r="D950" i="14"/>
  <c r="C950" i="14"/>
  <c r="B950" i="14"/>
  <c r="A950" i="14"/>
  <c r="Z949" i="14"/>
  <c r="Y949" i="14"/>
  <c r="X949" i="14"/>
  <c r="W949" i="14"/>
  <c r="V949" i="14"/>
  <c r="U949" i="14"/>
  <c r="T949" i="14"/>
  <c r="S949" i="14"/>
  <c r="R949" i="14"/>
  <c r="Q949" i="14"/>
  <c r="P949" i="14"/>
  <c r="O949" i="14"/>
  <c r="N949" i="14"/>
  <c r="M949" i="14"/>
  <c r="L949" i="14"/>
  <c r="K949" i="14"/>
  <c r="J949" i="14"/>
  <c r="I949" i="14"/>
  <c r="H949" i="14"/>
  <c r="G949" i="14"/>
  <c r="F949" i="14"/>
  <c r="E949" i="14"/>
  <c r="D949" i="14"/>
  <c r="C949" i="14"/>
  <c r="B949" i="14"/>
  <c r="A949" i="14"/>
  <c r="Z948" i="14"/>
  <c r="Y948" i="14"/>
  <c r="X948" i="14"/>
  <c r="W948" i="14"/>
  <c r="V948" i="14"/>
  <c r="U948" i="14"/>
  <c r="T948" i="14"/>
  <c r="S948" i="14"/>
  <c r="R948" i="14"/>
  <c r="Q948" i="14"/>
  <c r="P948" i="14"/>
  <c r="O948" i="14"/>
  <c r="N948" i="14"/>
  <c r="M948" i="14"/>
  <c r="L948" i="14"/>
  <c r="K948" i="14"/>
  <c r="J948" i="14"/>
  <c r="I948" i="14"/>
  <c r="H948" i="14"/>
  <c r="G948" i="14"/>
  <c r="F948" i="14"/>
  <c r="E948" i="14"/>
  <c r="D948" i="14"/>
  <c r="C948" i="14"/>
  <c r="AH948" i="14" s="1"/>
  <c r="B948" i="14"/>
  <c r="A948" i="14"/>
  <c r="Z947" i="14"/>
  <c r="Y947" i="14"/>
  <c r="X947" i="14"/>
  <c r="W947" i="14"/>
  <c r="V947" i="14"/>
  <c r="U947" i="14"/>
  <c r="T947" i="14"/>
  <c r="S947" i="14"/>
  <c r="R947" i="14"/>
  <c r="Q947" i="14"/>
  <c r="P947" i="14"/>
  <c r="O947" i="14"/>
  <c r="N947" i="14"/>
  <c r="M947" i="14"/>
  <c r="L947" i="14"/>
  <c r="K947" i="14"/>
  <c r="J947" i="14"/>
  <c r="I947" i="14"/>
  <c r="H947" i="14"/>
  <c r="G947" i="14"/>
  <c r="F947" i="14"/>
  <c r="E947" i="14"/>
  <c r="AG947" i="14" s="1"/>
  <c r="D947" i="14"/>
  <c r="C947" i="14"/>
  <c r="B947" i="14"/>
  <c r="A947" i="14"/>
  <c r="Z946" i="14"/>
  <c r="Y946" i="14"/>
  <c r="X946" i="14"/>
  <c r="W946" i="14"/>
  <c r="V946" i="14"/>
  <c r="U946" i="14"/>
  <c r="T946" i="14"/>
  <c r="S946" i="14"/>
  <c r="R946" i="14"/>
  <c r="Q946" i="14"/>
  <c r="P946" i="14"/>
  <c r="O946" i="14"/>
  <c r="N946" i="14"/>
  <c r="M946" i="14"/>
  <c r="L946" i="14"/>
  <c r="K946" i="14"/>
  <c r="J946" i="14"/>
  <c r="I946" i="14"/>
  <c r="H946" i="14"/>
  <c r="G946" i="14"/>
  <c r="F946" i="14"/>
  <c r="E946" i="14"/>
  <c r="D946" i="14"/>
  <c r="C946" i="14"/>
  <c r="B946" i="14"/>
  <c r="A946" i="14"/>
  <c r="Z945" i="14"/>
  <c r="Y945" i="14"/>
  <c r="X945" i="14"/>
  <c r="W945" i="14"/>
  <c r="V945" i="14"/>
  <c r="U945" i="14"/>
  <c r="T945" i="14"/>
  <c r="S945" i="14"/>
  <c r="R945" i="14"/>
  <c r="Q945" i="14"/>
  <c r="P945" i="14"/>
  <c r="O945" i="14"/>
  <c r="N945" i="14"/>
  <c r="M945" i="14"/>
  <c r="L945" i="14"/>
  <c r="K945" i="14"/>
  <c r="J945" i="14"/>
  <c r="I945" i="14"/>
  <c r="H945" i="14"/>
  <c r="G945" i="14"/>
  <c r="F945" i="14"/>
  <c r="E945" i="14"/>
  <c r="D945" i="14"/>
  <c r="C945" i="14"/>
  <c r="B945" i="14"/>
  <c r="A945" i="14"/>
  <c r="Z944" i="14"/>
  <c r="Y944" i="14"/>
  <c r="X944" i="14"/>
  <c r="W944" i="14"/>
  <c r="V944" i="14"/>
  <c r="U944" i="14"/>
  <c r="T944" i="14"/>
  <c r="S944" i="14"/>
  <c r="R944" i="14"/>
  <c r="Q944" i="14"/>
  <c r="P944" i="14"/>
  <c r="O944" i="14"/>
  <c r="N944" i="14"/>
  <c r="M944" i="14"/>
  <c r="L944" i="14"/>
  <c r="K944" i="14"/>
  <c r="J944" i="14"/>
  <c r="I944" i="14"/>
  <c r="H944" i="14"/>
  <c r="G944" i="14"/>
  <c r="F944" i="14"/>
  <c r="E944" i="14"/>
  <c r="D944" i="14"/>
  <c r="C944" i="14"/>
  <c r="AH944" i="14" s="1"/>
  <c r="B944" i="14"/>
  <c r="A944" i="14"/>
  <c r="Z943" i="14"/>
  <c r="Y943" i="14"/>
  <c r="X943" i="14"/>
  <c r="W943" i="14"/>
  <c r="V943" i="14"/>
  <c r="U943" i="14"/>
  <c r="T943" i="14"/>
  <c r="S943" i="14"/>
  <c r="R943" i="14"/>
  <c r="Q943" i="14"/>
  <c r="P943" i="14"/>
  <c r="O943" i="14"/>
  <c r="N943" i="14"/>
  <c r="M943" i="14"/>
  <c r="L943" i="14"/>
  <c r="K943" i="14"/>
  <c r="J943" i="14"/>
  <c r="I943" i="14"/>
  <c r="H943" i="14"/>
  <c r="G943" i="14"/>
  <c r="F943" i="14"/>
  <c r="E943" i="14"/>
  <c r="AG943" i="14" s="1"/>
  <c r="D943" i="14"/>
  <c r="C943" i="14"/>
  <c r="B943" i="14"/>
  <c r="A943" i="14"/>
  <c r="Z942" i="14"/>
  <c r="Y942" i="14"/>
  <c r="X942" i="14"/>
  <c r="W942" i="14"/>
  <c r="V942" i="14"/>
  <c r="U942" i="14"/>
  <c r="T942" i="14"/>
  <c r="S942" i="14"/>
  <c r="R942" i="14"/>
  <c r="Q942" i="14"/>
  <c r="P942" i="14"/>
  <c r="O942" i="14"/>
  <c r="N942" i="14"/>
  <c r="M942" i="14"/>
  <c r="L942" i="14"/>
  <c r="K942" i="14"/>
  <c r="J942" i="14"/>
  <c r="I942" i="14"/>
  <c r="H942" i="14"/>
  <c r="G942" i="14"/>
  <c r="F942" i="14"/>
  <c r="E942" i="14"/>
  <c r="D942" i="14"/>
  <c r="C942" i="14"/>
  <c r="B942" i="14"/>
  <c r="A942" i="14"/>
  <c r="Z941" i="14"/>
  <c r="Y941" i="14"/>
  <c r="X941" i="14"/>
  <c r="W941" i="14"/>
  <c r="V941" i="14"/>
  <c r="U941" i="14"/>
  <c r="T941" i="14"/>
  <c r="S941" i="14"/>
  <c r="R941" i="14"/>
  <c r="Q941" i="14"/>
  <c r="P941" i="14"/>
  <c r="O941" i="14"/>
  <c r="N941" i="14"/>
  <c r="M941" i="14"/>
  <c r="L941" i="14"/>
  <c r="K941" i="14"/>
  <c r="J941" i="14"/>
  <c r="I941" i="14"/>
  <c r="H941" i="14"/>
  <c r="G941" i="14"/>
  <c r="F941" i="14"/>
  <c r="E941" i="14"/>
  <c r="D941" i="14"/>
  <c r="C941" i="14"/>
  <c r="B941" i="14"/>
  <c r="A941" i="14"/>
  <c r="Z940" i="14"/>
  <c r="Y940" i="14"/>
  <c r="X940" i="14"/>
  <c r="W940" i="14"/>
  <c r="V940" i="14"/>
  <c r="U940" i="14"/>
  <c r="T940" i="14"/>
  <c r="S940" i="14"/>
  <c r="R940" i="14"/>
  <c r="Q940" i="14"/>
  <c r="P940" i="14"/>
  <c r="O940" i="14"/>
  <c r="N940" i="14"/>
  <c r="M940" i="14"/>
  <c r="L940" i="14"/>
  <c r="K940" i="14"/>
  <c r="J940" i="14"/>
  <c r="I940" i="14"/>
  <c r="H940" i="14"/>
  <c r="G940" i="14"/>
  <c r="F940" i="14"/>
  <c r="E940" i="14"/>
  <c r="D940" i="14"/>
  <c r="C940" i="14"/>
  <c r="AH940" i="14" s="1"/>
  <c r="B940" i="14"/>
  <c r="A940" i="14"/>
  <c r="Z939" i="14"/>
  <c r="Y939" i="14"/>
  <c r="X939" i="14"/>
  <c r="W939" i="14"/>
  <c r="V939" i="14"/>
  <c r="U939" i="14"/>
  <c r="T939" i="14"/>
  <c r="S939" i="14"/>
  <c r="R939" i="14"/>
  <c r="Q939" i="14"/>
  <c r="P939" i="14"/>
  <c r="O939" i="14"/>
  <c r="N939" i="14"/>
  <c r="M939" i="14"/>
  <c r="L939" i="14"/>
  <c r="K939" i="14"/>
  <c r="J939" i="14"/>
  <c r="I939" i="14"/>
  <c r="H939" i="14"/>
  <c r="G939" i="14"/>
  <c r="F939" i="14"/>
  <c r="E939" i="14"/>
  <c r="AG939" i="14" s="1"/>
  <c r="D939" i="14"/>
  <c r="C939" i="14"/>
  <c r="B939" i="14"/>
  <c r="A939" i="14"/>
  <c r="Z938" i="14"/>
  <c r="Y938" i="14"/>
  <c r="X938" i="14"/>
  <c r="W938" i="14"/>
  <c r="V938" i="14"/>
  <c r="U938" i="14"/>
  <c r="T938" i="14"/>
  <c r="S938" i="14"/>
  <c r="R938" i="14"/>
  <c r="Q938" i="14"/>
  <c r="P938" i="14"/>
  <c r="O938" i="14"/>
  <c r="N938" i="14"/>
  <c r="M938" i="14"/>
  <c r="L938" i="14"/>
  <c r="K938" i="14"/>
  <c r="J938" i="14"/>
  <c r="I938" i="14"/>
  <c r="H938" i="14"/>
  <c r="G938" i="14"/>
  <c r="F938" i="14"/>
  <c r="E938" i="14"/>
  <c r="D938" i="14"/>
  <c r="C938" i="14"/>
  <c r="B938" i="14"/>
  <c r="A938" i="14"/>
  <c r="Z937" i="14"/>
  <c r="Y937" i="14"/>
  <c r="X937" i="14"/>
  <c r="W937" i="14"/>
  <c r="V937" i="14"/>
  <c r="U937" i="14"/>
  <c r="T937" i="14"/>
  <c r="S937" i="14"/>
  <c r="R937" i="14"/>
  <c r="Q937" i="14"/>
  <c r="P937" i="14"/>
  <c r="O937" i="14"/>
  <c r="N937" i="14"/>
  <c r="M937" i="14"/>
  <c r="L937" i="14"/>
  <c r="K937" i="14"/>
  <c r="J937" i="14"/>
  <c r="I937" i="14"/>
  <c r="H937" i="14"/>
  <c r="G937" i="14"/>
  <c r="F937" i="14"/>
  <c r="E937" i="14"/>
  <c r="D937" i="14"/>
  <c r="C937" i="14"/>
  <c r="B937" i="14"/>
  <c r="A937" i="14"/>
  <c r="Z936" i="14"/>
  <c r="Y936" i="14"/>
  <c r="X936" i="14"/>
  <c r="W936" i="14"/>
  <c r="V936" i="14"/>
  <c r="U936" i="14"/>
  <c r="T936" i="14"/>
  <c r="S936" i="14"/>
  <c r="R936" i="14"/>
  <c r="Q936" i="14"/>
  <c r="P936" i="14"/>
  <c r="O936" i="14"/>
  <c r="N936" i="14"/>
  <c r="M936" i="14"/>
  <c r="L936" i="14"/>
  <c r="K936" i="14"/>
  <c r="J936" i="14"/>
  <c r="I936" i="14"/>
  <c r="H936" i="14"/>
  <c r="G936" i="14"/>
  <c r="F936" i="14"/>
  <c r="E936" i="14"/>
  <c r="D936" i="14"/>
  <c r="C936" i="14"/>
  <c r="AH936" i="14" s="1"/>
  <c r="B936" i="14"/>
  <c r="A936" i="14"/>
  <c r="Z935" i="14"/>
  <c r="Y935" i="14"/>
  <c r="X935" i="14"/>
  <c r="W935" i="14"/>
  <c r="V935" i="14"/>
  <c r="U935" i="14"/>
  <c r="T935" i="14"/>
  <c r="S935" i="14"/>
  <c r="R935" i="14"/>
  <c r="Q935" i="14"/>
  <c r="P935" i="14"/>
  <c r="O935" i="14"/>
  <c r="N935" i="14"/>
  <c r="M935" i="14"/>
  <c r="L935" i="14"/>
  <c r="K935" i="14"/>
  <c r="J935" i="14"/>
  <c r="I935" i="14"/>
  <c r="H935" i="14"/>
  <c r="G935" i="14"/>
  <c r="F935" i="14"/>
  <c r="E935" i="14"/>
  <c r="AG935" i="14" s="1"/>
  <c r="D935" i="14"/>
  <c r="C935" i="14"/>
  <c r="B935" i="14"/>
  <c r="A935" i="14"/>
  <c r="Z934" i="14"/>
  <c r="Y934" i="14"/>
  <c r="X934" i="14"/>
  <c r="W934" i="14"/>
  <c r="V934" i="14"/>
  <c r="U934" i="14"/>
  <c r="T934" i="14"/>
  <c r="S934" i="14"/>
  <c r="R934" i="14"/>
  <c r="Q934" i="14"/>
  <c r="P934" i="14"/>
  <c r="O934" i="14"/>
  <c r="N934" i="14"/>
  <c r="M934" i="14"/>
  <c r="L934" i="14"/>
  <c r="K934" i="14"/>
  <c r="J934" i="14"/>
  <c r="I934" i="14"/>
  <c r="H934" i="14"/>
  <c r="G934" i="14"/>
  <c r="F934" i="14"/>
  <c r="E934" i="14"/>
  <c r="D934" i="14"/>
  <c r="C934" i="14"/>
  <c r="B934" i="14"/>
  <c r="A934" i="14"/>
  <c r="Z933" i="14"/>
  <c r="Y933" i="14"/>
  <c r="X933" i="14"/>
  <c r="W933" i="14"/>
  <c r="V933" i="14"/>
  <c r="U933" i="14"/>
  <c r="T933" i="14"/>
  <c r="S933" i="14"/>
  <c r="R933" i="14"/>
  <c r="Q933" i="14"/>
  <c r="P933" i="14"/>
  <c r="O933" i="14"/>
  <c r="N933" i="14"/>
  <c r="M933" i="14"/>
  <c r="L933" i="14"/>
  <c r="K933" i="14"/>
  <c r="J933" i="14"/>
  <c r="I933" i="14"/>
  <c r="H933" i="14"/>
  <c r="G933" i="14"/>
  <c r="F933" i="14"/>
  <c r="E933" i="14"/>
  <c r="D933" i="14"/>
  <c r="C933" i="14"/>
  <c r="B933" i="14"/>
  <c r="A933" i="14"/>
  <c r="Z932" i="14"/>
  <c r="Y932" i="14"/>
  <c r="X932" i="14"/>
  <c r="W932" i="14"/>
  <c r="V932" i="14"/>
  <c r="U932" i="14"/>
  <c r="T932" i="14"/>
  <c r="S932" i="14"/>
  <c r="R932" i="14"/>
  <c r="Q932" i="14"/>
  <c r="P932" i="14"/>
  <c r="O932" i="14"/>
  <c r="N932" i="14"/>
  <c r="M932" i="14"/>
  <c r="L932" i="14"/>
  <c r="K932" i="14"/>
  <c r="J932" i="14"/>
  <c r="I932" i="14"/>
  <c r="H932" i="14"/>
  <c r="G932" i="14"/>
  <c r="F932" i="14"/>
  <c r="E932" i="14"/>
  <c r="D932" i="14"/>
  <c r="C932" i="14"/>
  <c r="AH932" i="14" s="1"/>
  <c r="B932" i="14"/>
  <c r="A932" i="14"/>
  <c r="Z931" i="14"/>
  <c r="Y931" i="14"/>
  <c r="X931" i="14"/>
  <c r="W931" i="14"/>
  <c r="V931" i="14"/>
  <c r="U931" i="14"/>
  <c r="T931" i="14"/>
  <c r="S931" i="14"/>
  <c r="R931" i="14"/>
  <c r="Q931" i="14"/>
  <c r="P931" i="14"/>
  <c r="O931" i="14"/>
  <c r="N931" i="14"/>
  <c r="M931" i="14"/>
  <c r="L931" i="14"/>
  <c r="K931" i="14"/>
  <c r="J931" i="14"/>
  <c r="I931" i="14"/>
  <c r="H931" i="14"/>
  <c r="G931" i="14"/>
  <c r="F931" i="14"/>
  <c r="E931" i="14"/>
  <c r="AG931" i="14" s="1"/>
  <c r="D931" i="14"/>
  <c r="C931" i="14"/>
  <c r="B931" i="14"/>
  <c r="A931" i="14"/>
  <c r="Z930" i="14"/>
  <c r="Y930" i="14"/>
  <c r="X930" i="14"/>
  <c r="W930" i="14"/>
  <c r="V930" i="14"/>
  <c r="U930" i="14"/>
  <c r="T930" i="14"/>
  <c r="S930" i="14"/>
  <c r="R930" i="14"/>
  <c r="Q930" i="14"/>
  <c r="P930" i="14"/>
  <c r="O930" i="14"/>
  <c r="N930" i="14"/>
  <c r="M930" i="14"/>
  <c r="L930" i="14"/>
  <c r="K930" i="14"/>
  <c r="J930" i="14"/>
  <c r="I930" i="14"/>
  <c r="H930" i="14"/>
  <c r="G930" i="14"/>
  <c r="F930" i="14"/>
  <c r="E930" i="14"/>
  <c r="D930" i="14"/>
  <c r="C930" i="14"/>
  <c r="B930" i="14"/>
  <c r="A930" i="14"/>
  <c r="Z929" i="14"/>
  <c r="Y929" i="14"/>
  <c r="X929" i="14"/>
  <c r="W929" i="14"/>
  <c r="V929" i="14"/>
  <c r="U929" i="14"/>
  <c r="T929" i="14"/>
  <c r="S929" i="14"/>
  <c r="R929" i="14"/>
  <c r="Q929" i="14"/>
  <c r="P929" i="14"/>
  <c r="O929" i="14"/>
  <c r="N929" i="14"/>
  <c r="M929" i="14"/>
  <c r="L929" i="14"/>
  <c r="K929" i="14"/>
  <c r="J929" i="14"/>
  <c r="I929" i="14"/>
  <c r="H929" i="14"/>
  <c r="G929" i="14"/>
  <c r="F929" i="14"/>
  <c r="E929" i="14"/>
  <c r="D929" i="14"/>
  <c r="C929" i="14"/>
  <c r="B929" i="14"/>
  <c r="A929" i="14"/>
  <c r="Z928" i="14"/>
  <c r="Y928" i="14"/>
  <c r="X928" i="14"/>
  <c r="W928" i="14"/>
  <c r="V928" i="14"/>
  <c r="U928" i="14"/>
  <c r="T928" i="14"/>
  <c r="S928" i="14"/>
  <c r="R928" i="14"/>
  <c r="Q928" i="14"/>
  <c r="P928" i="14"/>
  <c r="O928" i="14"/>
  <c r="N928" i="14"/>
  <c r="M928" i="14"/>
  <c r="L928" i="14"/>
  <c r="K928" i="14"/>
  <c r="J928" i="14"/>
  <c r="I928" i="14"/>
  <c r="H928" i="14"/>
  <c r="G928" i="14"/>
  <c r="F928" i="14"/>
  <c r="E928" i="14"/>
  <c r="D928" i="14"/>
  <c r="C928" i="14"/>
  <c r="AH928" i="14" s="1"/>
  <c r="B928" i="14"/>
  <c r="A928" i="14"/>
  <c r="Z927" i="14"/>
  <c r="Y927" i="14"/>
  <c r="X927" i="14"/>
  <c r="W927" i="14"/>
  <c r="V927" i="14"/>
  <c r="U927" i="14"/>
  <c r="T927" i="14"/>
  <c r="S927" i="14"/>
  <c r="R927" i="14"/>
  <c r="Q927" i="14"/>
  <c r="P927" i="14"/>
  <c r="O927" i="14"/>
  <c r="N927" i="14"/>
  <c r="M927" i="14"/>
  <c r="L927" i="14"/>
  <c r="K927" i="14"/>
  <c r="J927" i="14"/>
  <c r="I927" i="14"/>
  <c r="H927" i="14"/>
  <c r="G927" i="14"/>
  <c r="F927" i="14"/>
  <c r="E927" i="14"/>
  <c r="AG927" i="14" s="1"/>
  <c r="D927" i="14"/>
  <c r="C927" i="14"/>
  <c r="B927" i="14"/>
  <c r="A927" i="14"/>
  <c r="Z926" i="14"/>
  <c r="Y926" i="14"/>
  <c r="X926" i="14"/>
  <c r="W926" i="14"/>
  <c r="V926" i="14"/>
  <c r="U926" i="14"/>
  <c r="T926" i="14"/>
  <c r="S926" i="14"/>
  <c r="R926" i="14"/>
  <c r="Q926" i="14"/>
  <c r="P926" i="14"/>
  <c r="O926" i="14"/>
  <c r="N926" i="14"/>
  <c r="M926" i="14"/>
  <c r="L926" i="14"/>
  <c r="K926" i="14"/>
  <c r="J926" i="14"/>
  <c r="I926" i="14"/>
  <c r="H926" i="14"/>
  <c r="G926" i="14"/>
  <c r="F926" i="14"/>
  <c r="E926" i="14"/>
  <c r="D926" i="14"/>
  <c r="C926" i="14"/>
  <c r="B926" i="14"/>
  <c r="A926" i="14"/>
  <c r="Z925" i="14"/>
  <c r="Y925" i="14"/>
  <c r="X925" i="14"/>
  <c r="W925" i="14"/>
  <c r="V925" i="14"/>
  <c r="U925" i="14"/>
  <c r="T925" i="14"/>
  <c r="S925" i="14"/>
  <c r="R925" i="14"/>
  <c r="Q925" i="14"/>
  <c r="P925" i="14"/>
  <c r="O925" i="14"/>
  <c r="N925" i="14"/>
  <c r="M925" i="14"/>
  <c r="L925" i="14"/>
  <c r="K925" i="14"/>
  <c r="J925" i="14"/>
  <c r="I925" i="14"/>
  <c r="H925" i="14"/>
  <c r="G925" i="14"/>
  <c r="F925" i="14"/>
  <c r="E925" i="14"/>
  <c r="D925" i="14"/>
  <c r="C925" i="14"/>
  <c r="B925" i="14"/>
  <c r="A925" i="14"/>
  <c r="Z924" i="14"/>
  <c r="Y924" i="14"/>
  <c r="X924" i="14"/>
  <c r="W924" i="14"/>
  <c r="V924" i="14"/>
  <c r="U924" i="14"/>
  <c r="T924" i="14"/>
  <c r="S924" i="14"/>
  <c r="R924" i="14"/>
  <c r="Q924" i="14"/>
  <c r="P924" i="14"/>
  <c r="O924" i="14"/>
  <c r="N924" i="14"/>
  <c r="M924" i="14"/>
  <c r="L924" i="14"/>
  <c r="K924" i="14"/>
  <c r="J924" i="14"/>
  <c r="I924" i="14"/>
  <c r="H924" i="14"/>
  <c r="G924" i="14"/>
  <c r="F924" i="14"/>
  <c r="E924" i="14"/>
  <c r="D924" i="14"/>
  <c r="C924" i="14"/>
  <c r="AH924" i="14" s="1"/>
  <c r="B924" i="14"/>
  <c r="A924" i="14"/>
  <c r="Z923" i="14"/>
  <c r="Y923" i="14"/>
  <c r="X923" i="14"/>
  <c r="W923" i="14"/>
  <c r="V923" i="14"/>
  <c r="U923" i="14"/>
  <c r="T923" i="14"/>
  <c r="S923" i="14"/>
  <c r="R923" i="14"/>
  <c r="Q923" i="14"/>
  <c r="P923" i="14"/>
  <c r="O923" i="14"/>
  <c r="N923" i="14"/>
  <c r="M923" i="14"/>
  <c r="L923" i="14"/>
  <c r="K923" i="14"/>
  <c r="J923" i="14"/>
  <c r="I923" i="14"/>
  <c r="H923" i="14"/>
  <c r="G923" i="14"/>
  <c r="F923" i="14"/>
  <c r="E923" i="14"/>
  <c r="AG923" i="14" s="1"/>
  <c r="D923" i="14"/>
  <c r="C923" i="14"/>
  <c r="B923" i="14"/>
  <c r="A923" i="14"/>
  <c r="Z922" i="14"/>
  <c r="Y922" i="14"/>
  <c r="X922" i="14"/>
  <c r="W922" i="14"/>
  <c r="V922" i="14"/>
  <c r="U922" i="14"/>
  <c r="T922" i="14"/>
  <c r="S922" i="14"/>
  <c r="R922" i="14"/>
  <c r="Q922" i="14"/>
  <c r="P922" i="14"/>
  <c r="O922" i="14"/>
  <c r="N922" i="14"/>
  <c r="M922" i="14"/>
  <c r="L922" i="14"/>
  <c r="K922" i="14"/>
  <c r="J922" i="14"/>
  <c r="I922" i="14"/>
  <c r="H922" i="14"/>
  <c r="G922" i="14"/>
  <c r="F922" i="14"/>
  <c r="E922" i="14"/>
  <c r="D922" i="14"/>
  <c r="C922" i="14"/>
  <c r="B922" i="14"/>
  <c r="A922" i="14"/>
  <c r="Z921" i="14"/>
  <c r="Y921" i="14"/>
  <c r="X921" i="14"/>
  <c r="W921" i="14"/>
  <c r="V921" i="14"/>
  <c r="U921" i="14"/>
  <c r="T921" i="14"/>
  <c r="S921" i="14"/>
  <c r="R921" i="14"/>
  <c r="Q921" i="14"/>
  <c r="P921" i="14"/>
  <c r="O921" i="14"/>
  <c r="N921" i="14"/>
  <c r="M921" i="14"/>
  <c r="L921" i="14"/>
  <c r="K921" i="14"/>
  <c r="J921" i="14"/>
  <c r="I921" i="14"/>
  <c r="H921" i="14"/>
  <c r="G921" i="14"/>
  <c r="F921" i="14"/>
  <c r="E921" i="14"/>
  <c r="D921" i="14"/>
  <c r="C921" i="14"/>
  <c r="B921" i="14"/>
  <c r="A921" i="14"/>
  <c r="Z920" i="14"/>
  <c r="Y920" i="14"/>
  <c r="X920" i="14"/>
  <c r="W920" i="14"/>
  <c r="V920" i="14"/>
  <c r="U920" i="14"/>
  <c r="T920" i="14"/>
  <c r="S920" i="14"/>
  <c r="R920" i="14"/>
  <c r="Q920" i="14"/>
  <c r="P920" i="14"/>
  <c r="O920" i="14"/>
  <c r="N920" i="14"/>
  <c r="M920" i="14"/>
  <c r="L920" i="14"/>
  <c r="K920" i="14"/>
  <c r="J920" i="14"/>
  <c r="I920" i="14"/>
  <c r="H920" i="14"/>
  <c r="G920" i="14"/>
  <c r="F920" i="14"/>
  <c r="E920" i="14"/>
  <c r="D920" i="14"/>
  <c r="C920" i="14"/>
  <c r="AH920" i="14" s="1"/>
  <c r="B920" i="14"/>
  <c r="A920" i="14"/>
  <c r="Z919" i="14"/>
  <c r="Y919" i="14"/>
  <c r="X919" i="14"/>
  <c r="W919" i="14"/>
  <c r="V919" i="14"/>
  <c r="U919" i="14"/>
  <c r="T919" i="14"/>
  <c r="S919" i="14"/>
  <c r="R919" i="14"/>
  <c r="Q919" i="14"/>
  <c r="P919" i="14"/>
  <c r="O919" i="14"/>
  <c r="N919" i="14"/>
  <c r="M919" i="14"/>
  <c r="L919" i="14"/>
  <c r="K919" i="14"/>
  <c r="J919" i="14"/>
  <c r="I919" i="14"/>
  <c r="H919" i="14"/>
  <c r="G919" i="14"/>
  <c r="F919" i="14"/>
  <c r="E919" i="14"/>
  <c r="AG919" i="14" s="1"/>
  <c r="D919" i="14"/>
  <c r="C919" i="14"/>
  <c r="B919" i="14"/>
  <c r="A919" i="14"/>
  <c r="Z918" i="14"/>
  <c r="Y918" i="14"/>
  <c r="X918" i="14"/>
  <c r="W918" i="14"/>
  <c r="V918" i="14"/>
  <c r="U918" i="14"/>
  <c r="T918" i="14"/>
  <c r="S918" i="14"/>
  <c r="R918" i="14"/>
  <c r="Q918" i="14"/>
  <c r="P918" i="14"/>
  <c r="O918" i="14"/>
  <c r="N918" i="14"/>
  <c r="M918" i="14"/>
  <c r="L918" i="14"/>
  <c r="K918" i="14"/>
  <c r="J918" i="14"/>
  <c r="I918" i="14"/>
  <c r="H918" i="14"/>
  <c r="G918" i="14"/>
  <c r="F918" i="14"/>
  <c r="E918" i="14"/>
  <c r="D918" i="14"/>
  <c r="C918" i="14"/>
  <c r="B918" i="14"/>
  <c r="A918" i="14"/>
  <c r="Z917" i="14"/>
  <c r="Y917" i="14"/>
  <c r="X917" i="14"/>
  <c r="W917" i="14"/>
  <c r="V917" i="14"/>
  <c r="U917" i="14"/>
  <c r="T917" i="14"/>
  <c r="S917" i="14"/>
  <c r="R917" i="14"/>
  <c r="Q917" i="14"/>
  <c r="P917" i="14"/>
  <c r="O917" i="14"/>
  <c r="N917" i="14"/>
  <c r="M917" i="14"/>
  <c r="L917" i="14"/>
  <c r="K917" i="14"/>
  <c r="J917" i="14"/>
  <c r="I917" i="14"/>
  <c r="H917" i="14"/>
  <c r="G917" i="14"/>
  <c r="F917" i="14"/>
  <c r="E917" i="14"/>
  <c r="D917" i="14"/>
  <c r="C917" i="14"/>
  <c r="B917" i="14"/>
  <c r="A917" i="14"/>
  <c r="Z916" i="14"/>
  <c r="Y916" i="14"/>
  <c r="X916" i="14"/>
  <c r="W916" i="14"/>
  <c r="V916" i="14"/>
  <c r="U916" i="14"/>
  <c r="T916" i="14"/>
  <c r="S916" i="14"/>
  <c r="R916" i="14"/>
  <c r="Q916" i="14"/>
  <c r="P916" i="14"/>
  <c r="O916" i="14"/>
  <c r="N916" i="14"/>
  <c r="M916" i="14"/>
  <c r="L916" i="14"/>
  <c r="K916" i="14"/>
  <c r="J916" i="14"/>
  <c r="I916" i="14"/>
  <c r="H916" i="14"/>
  <c r="G916" i="14"/>
  <c r="F916" i="14"/>
  <c r="E916" i="14"/>
  <c r="D916" i="14"/>
  <c r="C916" i="14"/>
  <c r="AH916" i="14" s="1"/>
  <c r="B916" i="14"/>
  <c r="A916" i="14"/>
  <c r="Z915" i="14"/>
  <c r="Y915" i="14"/>
  <c r="X915" i="14"/>
  <c r="W915" i="14"/>
  <c r="V915" i="14"/>
  <c r="U915" i="14"/>
  <c r="T915" i="14"/>
  <c r="S915" i="14"/>
  <c r="R915" i="14"/>
  <c r="Q915" i="14"/>
  <c r="P915" i="14"/>
  <c r="O915" i="14"/>
  <c r="N915" i="14"/>
  <c r="M915" i="14"/>
  <c r="L915" i="14"/>
  <c r="K915" i="14"/>
  <c r="J915" i="14"/>
  <c r="I915" i="14"/>
  <c r="H915" i="14"/>
  <c r="G915" i="14"/>
  <c r="F915" i="14"/>
  <c r="E915" i="14"/>
  <c r="AG915" i="14" s="1"/>
  <c r="D915" i="14"/>
  <c r="C915" i="14"/>
  <c r="B915" i="14"/>
  <c r="A915" i="14"/>
  <c r="Z914" i="14"/>
  <c r="Y914" i="14"/>
  <c r="X914" i="14"/>
  <c r="W914" i="14"/>
  <c r="V914" i="14"/>
  <c r="U914" i="14"/>
  <c r="T914" i="14"/>
  <c r="S914" i="14"/>
  <c r="R914" i="14"/>
  <c r="Q914" i="14"/>
  <c r="P914" i="14"/>
  <c r="O914" i="14"/>
  <c r="N914" i="14"/>
  <c r="M914" i="14"/>
  <c r="L914" i="14"/>
  <c r="K914" i="14"/>
  <c r="J914" i="14"/>
  <c r="I914" i="14"/>
  <c r="H914" i="14"/>
  <c r="G914" i="14"/>
  <c r="F914" i="14"/>
  <c r="E914" i="14"/>
  <c r="D914" i="14"/>
  <c r="C914" i="14"/>
  <c r="B914" i="14"/>
  <c r="A914" i="14"/>
  <c r="Z913" i="14"/>
  <c r="Y913" i="14"/>
  <c r="X913" i="14"/>
  <c r="W913" i="14"/>
  <c r="V913" i="14"/>
  <c r="U913" i="14"/>
  <c r="T913" i="14"/>
  <c r="S913" i="14"/>
  <c r="R913" i="14"/>
  <c r="Q913" i="14"/>
  <c r="P913" i="14"/>
  <c r="O913" i="14"/>
  <c r="N913" i="14"/>
  <c r="M913" i="14"/>
  <c r="L913" i="14"/>
  <c r="K913" i="14"/>
  <c r="J913" i="14"/>
  <c r="I913" i="14"/>
  <c r="H913" i="14"/>
  <c r="G913" i="14"/>
  <c r="F913" i="14"/>
  <c r="E913" i="14"/>
  <c r="D913" i="14"/>
  <c r="C913" i="14"/>
  <c r="B913" i="14"/>
  <c r="A913" i="14"/>
  <c r="Z912" i="14"/>
  <c r="Y912" i="14"/>
  <c r="X912" i="14"/>
  <c r="W912" i="14"/>
  <c r="V912" i="14"/>
  <c r="U912" i="14"/>
  <c r="T912" i="14"/>
  <c r="S912" i="14"/>
  <c r="R912" i="14"/>
  <c r="Q912" i="14"/>
  <c r="P912" i="14"/>
  <c r="O912" i="14"/>
  <c r="N912" i="14"/>
  <c r="M912" i="14"/>
  <c r="L912" i="14"/>
  <c r="K912" i="14"/>
  <c r="J912" i="14"/>
  <c r="I912" i="14"/>
  <c r="H912" i="14"/>
  <c r="G912" i="14"/>
  <c r="F912" i="14"/>
  <c r="E912" i="14"/>
  <c r="D912" i="14"/>
  <c r="C912" i="14"/>
  <c r="AH912" i="14" s="1"/>
  <c r="B912" i="14"/>
  <c r="A912" i="14"/>
  <c r="Z911" i="14"/>
  <c r="Y911" i="14"/>
  <c r="X911" i="14"/>
  <c r="W911" i="14"/>
  <c r="V911" i="14"/>
  <c r="U911" i="14"/>
  <c r="T911" i="14"/>
  <c r="S911" i="14"/>
  <c r="R911" i="14"/>
  <c r="Q911" i="14"/>
  <c r="P911" i="14"/>
  <c r="O911" i="14"/>
  <c r="N911" i="14"/>
  <c r="M911" i="14"/>
  <c r="L911" i="14"/>
  <c r="K911" i="14"/>
  <c r="J911" i="14"/>
  <c r="I911" i="14"/>
  <c r="H911" i="14"/>
  <c r="G911" i="14"/>
  <c r="F911" i="14"/>
  <c r="E911" i="14"/>
  <c r="AG911" i="14" s="1"/>
  <c r="D911" i="14"/>
  <c r="C911" i="14"/>
  <c r="B911" i="14"/>
  <c r="A911" i="14"/>
  <c r="Z910" i="14"/>
  <c r="Y910" i="14"/>
  <c r="X910" i="14"/>
  <c r="W910" i="14"/>
  <c r="V910" i="14"/>
  <c r="U910" i="14"/>
  <c r="T910" i="14"/>
  <c r="S910" i="14"/>
  <c r="R910" i="14"/>
  <c r="Q910" i="14"/>
  <c r="P910" i="14"/>
  <c r="O910" i="14"/>
  <c r="N910" i="14"/>
  <c r="M910" i="14"/>
  <c r="L910" i="14"/>
  <c r="K910" i="14"/>
  <c r="J910" i="14"/>
  <c r="I910" i="14"/>
  <c r="H910" i="14"/>
  <c r="G910" i="14"/>
  <c r="F910" i="14"/>
  <c r="E910" i="14"/>
  <c r="D910" i="14"/>
  <c r="C910" i="14"/>
  <c r="B910" i="14"/>
  <c r="A910" i="14"/>
  <c r="Z909" i="14"/>
  <c r="Y909" i="14"/>
  <c r="X909" i="14"/>
  <c r="W909" i="14"/>
  <c r="V909" i="14"/>
  <c r="U909" i="14"/>
  <c r="T909" i="14"/>
  <c r="S909" i="14"/>
  <c r="R909" i="14"/>
  <c r="Q909" i="14"/>
  <c r="P909" i="14"/>
  <c r="O909" i="14"/>
  <c r="N909" i="14"/>
  <c r="M909" i="14"/>
  <c r="L909" i="14"/>
  <c r="K909" i="14"/>
  <c r="J909" i="14"/>
  <c r="I909" i="14"/>
  <c r="H909" i="14"/>
  <c r="G909" i="14"/>
  <c r="F909" i="14"/>
  <c r="E909" i="14"/>
  <c r="D909" i="14"/>
  <c r="C909" i="14"/>
  <c r="B909" i="14"/>
  <c r="A909" i="14"/>
  <c r="Z908" i="14"/>
  <c r="Y908" i="14"/>
  <c r="X908" i="14"/>
  <c r="W908" i="14"/>
  <c r="V908" i="14"/>
  <c r="U908" i="14"/>
  <c r="T908" i="14"/>
  <c r="S908" i="14"/>
  <c r="R908" i="14"/>
  <c r="Q908" i="14"/>
  <c r="P908" i="14"/>
  <c r="O908" i="14"/>
  <c r="N908" i="14"/>
  <c r="M908" i="14"/>
  <c r="L908" i="14"/>
  <c r="K908" i="14"/>
  <c r="J908" i="14"/>
  <c r="I908" i="14"/>
  <c r="H908" i="14"/>
  <c r="G908" i="14"/>
  <c r="F908" i="14"/>
  <c r="E908" i="14"/>
  <c r="D908" i="14"/>
  <c r="C908" i="14"/>
  <c r="AH908" i="14" s="1"/>
  <c r="B908" i="14"/>
  <c r="A908" i="14"/>
  <c r="Z907" i="14"/>
  <c r="Y907" i="14"/>
  <c r="X907" i="14"/>
  <c r="W907" i="14"/>
  <c r="V907" i="14"/>
  <c r="U907" i="14"/>
  <c r="T907" i="14"/>
  <c r="S907" i="14"/>
  <c r="R907" i="14"/>
  <c r="Q907" i="14"/>
  <c r="P907" i="14"/>
  <c r="O907" i="14"/>
  <c r="N907" i="14"/>
  <c r="M907" i="14"/>
  <c r="L907" i="14"/>
  <c r="K907" i="14"/>
  <c r="J907" i="14"/>
  <c r="I907" i="14"/>
  <c r="H907" i="14"/>
  <c r="G907" i="14"/>
  <c r="F907" i="14"/>
  <c r="E907" i="14"/>
  <c r="AG907" i="14" s="1"/>
  <c r="D907" i="14"/>
  <c r="C907" i="14"/>
  <c r="B907" i="14"/>
  <c r="A907" i="14"/>
  <c r="Z906" i="14"/>
  <c r="Y906" i="14"/>
  <c r="X906" i="14"/>
  <c r="W906" i="14"/>
  <c r="V906" i="14"/>
  <c r="U906" i="14"/>
  <c r="T906" i="14"/>
  <c r="S906" i="14"/>
  <c r="R906" i="14"/>
  <c r="Q906" i="14"/>
  <c r="P906" i="14"/>
  <c r="O906" i="14"/>
  <c r="N906" i="14"/>
  <c r="M906" i="14"/>
  <c r="L906" i="14"/>
  <c r="K906" i="14"/>
  <c r="J906" i="14"/>
  <c r="I906" i="14"/>
  <c r="H906" i="14"/>
  <c r="G906" i="14"/>
  <c r="F906" i="14"/>
  <c r="E906" i="14"/>
  <c r="D906" i="14"/>
  <c r="C906" i="14"/>
  <c r="B906" i="14"/>
  <c r="A906" i="14"/>
  <c r="Z905" i="14"/>
  <c r="Y905" i="14"/>
  <c r="X905" i="14"/>
  <c r="W905" i="14"/>
  <c r="V905" i="14"/>
  <c r="U905" i="14"/>
  <c r="T905" i="14"/>
  <c r="S905" i="14"/>
  <c r="R905" i="14"/>
  <c r="Q905" i="14"/>
  <c r="P905" i="14"/>
  <c r="O905" i="14"/>
  <c r="N905" i="14"/>
  <c r="M905" i="14"/>
  <c r="L905" i="14"/>
  <c r="K905" i="14"/>
  <c r="J905" i="14"/>
  <c r="I905" i="14"/>
  <c r="H905" i="14"/>
  <c r="G905" i="14"/>
  <c r="F905" i="14"/>
  <c r="E905" i="14"/>
  <c r="D905" i="14"/>
  <c r="C905" i="14"/>
  <c r="B905" i="14"/>
  <c r="A905" i="14"/>
  <c r="Z904" i="14"/>
  <c r="Y904" i="14"/>
  <c r="X904" i="14"/>
  <c r="W904" i="14"/>
  <c r="V904" i="14"/>
  <c r="U904" i="14"/>
  <c r="T904" i="14"/>
  <c r="S904" i="14"/>
  <c r="R904" i="14"/>
  <c r="Q904" i="14"/>
  <c r="P904" i="14"/>
  <c r="O904" i="14"/>
  <c r="N904" i="14"/>
  <c r="M904" i="14"/>
  <c r="L904" i="14"/>
  <c r="K904" i="14"/>
  <c r="J904" i="14"/>
  <c r="I904" i="14"/>
  <c r="H904" i="14"/>
  <c r="G904" i="14"/>
  <c r="F904" i="14"/>
  <c r="E904" i="14"/>
  <c r="D904" i="14"/>
  <c r="C904" i="14"/>
  <c r="AH904" i="14" s="1"/>
  <c r="B904" i="14"/>
  <c r="A904" i="14"/>
  <c r="Z903" i="14"/>
  <c r="Y903" i="14"/>
  <c r="X903" i="14"/>
  <c r="W903" i="14"/>
  <c r="V903" i="14"/>
  <c r="U903" i="14"/>
  <c r="T903" i="14"/>
  <c r="S903" i="14"/>
  <c r="R903" i="14"/>
  <c r="Q903" i="14"/>
  <c r="P903" i="14"/>
  <c r="O903" i="14"/>
  <c r="N903" i="14"/>
  <c r="M903" i="14"/>
  <c r="L903" i="14"/>
  <c r="K903" i="14"/>
  <c r="J903" i="14"/>
  <c r="I903" i="14"/>
  <c r="H903" i="14"/>
  <c r="G903" i="14"/>
  <c r="F903" i="14"/>
  <c r="E903" i="14"/>
  <c r="AG903" i="14" s="1"/>
  <c r="D903" i="14"/>
  <c r="C903" i="14"/>
  <c r="B903" i="14"/>
  <c r="A903" i="14"/>
  <c r="Z902" i="14"/>
  <c r="Y902" i="14"/>
  <c r="X902" i="14"/>
  <c r="W902" i="14"/>
  <c r="V902" i="14"/>
  <c r="U902" i="14"/>
  <c r="T902" i="14"/>
  <c r="S902" i="14"/>
  <c r="R902" i="14"/>
  <c r="Q902" i="14"/>
  <c r="P902" i="14"/>
  <c r="O902" i="14"/>
  <c r="N902" i="14"/>
  <c r="M902" i="14"/>
  <c r="L902" i="14"/>
  <c r="K902" i="14"/>
  <c r="J902" i="14"/>
  <c r="I902" i="14"/>
  <c r="H902" i="14"/>
  <c r="G902" i="14"/>
  <c r="F902" i="14"/>
  <c r="E902" i="14"/>
  <c r="D902" i="14"/>
  <c r="C902" i="14"/>
  <c r="B902" i="14"/>
  <c r="A902" i="14"/>
  <c r="Z901" i="14"/>
  <c r="Y901" i="14"/>
  <c r="X901" i="14"/>
  <c r="W901" i="14"/>
  <c r="V901" i="14"/>
  <c r="U901" i="14"/>
  <c r="T901" i="14"/>
  <c r="S901" i="14"/>
  <c r="R901" i="14"/>
  <c r="Q901" i="14"/>
  <c r="P901" i="14"/>
  <c r="O901" i="14"/>
  <c r="N901" i="14"/>
  <c r="M901" i="14"/>
  <c r="L901" i="14"/>
  <c r="K901" i="14"/>
  <c r="J901" i="14"/>
  <c r="I901" i="14"/>
  <c r="H901" i="14"/>
  <c r="G901" i="14"/>
  <c r="F901" i="14"/>
  <c r="E901" i="14"/>
  <c r="D901" i="14"/>
  <c r="C901" i="14"/>
  <c r="B901" i="14"/>
  <c r="A901" i="14"/>
  <c r="Z900" i="14"/>
  <c r="Y900" i="14"/>
  <c r="X900" i="14"/>
  <c r="W900" i="14"/>
  <c r="V900" i="14"/>
  <c r="U900" i="14"/>
  <c r="T900" i="14"/>
  <c r="S900" i="14"/>
  <c r="R900" i="14"/>
  <c r="Q900" i="14"/>
  <c r="P900" i="14"/>
  <c r="O900" i="14"/>
  <c r="N900" i="14"/>
  <c r="M900" i="14"/>
  <c r="L900" i="14"/>
  <c r="K900" i="14"/>
  <c r="J900" i="14"/>
  <c r="I900" i="14"/>
  <c r="H900" i="14"/>
  <c r="G900" i="14"/>
  <c r="F900" i="14"/>
  <c r="E900" i="14"/>
  <c r="D900" i="14"/>
  <c r="C900" i="14"/>
  <c r="AH900" i="14" s="1"/>
  <c r="B900" i="14"/>
  <c r="A900" i="14"/>
  <c r="Z899" i="14"/>
  <c r="Y899" i="14"/>
  <c r="X899" i="14"/>
  <c r="W899" i="14"/>
  <c r="V899" i="14"/>
  <c r="U899" i="14"/>
  <c r="T899" i="14"/>
  <c r="S899" i="14"/>
  <c r="R899" i="14"/>
  <c r="Q899" i="14"/>
  <c r="P899" i="14"/>
  <c r="O899" i="14"/>
  <c r="N899" i="14"/>
  <c r="M899" i="14"/>
  <c r="L899" i="14"/>
  <c r="K899" i="14"/>
  <c r="J899" i="14"/>
  <c r="I899" i="14"/>
  <c r="H899" i="14"/>
  <c r="G899" i="14"/>
  <c r="F899" i="14"/>
  <c r="E899" i="14"/>
  <c r="AG899" i="14" s="1"/>
  <c r="D899" i="14"/>
  <c r="C899" i="14"/>
  <c r="B899" i="14"/>
  <c r="A899" i="14"/>
  <c r="Z898" i="14"/>
  <c r="Y898" i="14"/>
  <c r="X898" i="14"/>
  <c r="W898" i="14"/>
  <c r="V898" i="14"/>
  <c r="U898" i="14"/>
  <c r="T898" i="14"/>
  <c r="S898" i="14"/>
  <c r="R898" i="14"/>
  <c r="Q898" i="14"/>
  <c r="P898" i="14"/>
  <c r="O898" i="14"/>
  <c r="N898" i="14"/>
  <c r="M898" i="14"/>
  <c r="L898" i="14"/>
  <c r="K898" i="14"/>
  <c r="J898" i="14"/>
  <c r="I898" i="14"/>
  <c r="H898" i="14"/>
  <c r="G898" i="14"/>
  <c r="F898" i="14"/>
  <c r="E898" i="14"/>
  <c r="D898" i="14"/>
  <c r="C898" i="14"/>
  <c r="B898" i="14"/>
  <c r="A898" i="14"/>
  <c r="Z897" i="14"/>
  <c r="Y897" i="14"/>
  <c r="X897" i="14"/>
  <c r="W897" i="14"/>
  <c r="V897" i="14"/>
  <c r="U897" i="14"/>
  <c r="T897" i="14"/>
  <c r="S897" i="14"/>
  <c r="R897" i="14"/>
  <c r="Q897" i="14"/>
  <c r="P897" i="14"/>
  <c r="O897" i="14"/>
  <c r="N897" i="14"/>
  <c r="M897" i="14"/>
  <c r="L897" i="14"/>
  <c r="K897" i="14"/>
  <c r="J897" i="14"/>
  <c r="I897" i="14"/>
  <c r="H897" i="14"/>
  <c r="G897" i="14"/>
  <c r="F897" i="14"/>
  <c r="E897" i="14"/>
  <c r="D897" i="14"/>
  <c r="C897" i="14"/>
  <c r="B897" i="14"/>
  <c r="A897" i="14"/>
  <c r="Z896" i="14"/>
  <c r="Y896" i="14"/>
  <c r="X896" i="14"/>
  <c r="W896" i="14"/>
  <c r="V896" i="14"/>
  <c r="U896" i="14"/>
  <c r="T896" i="14"/>
  <c r="S896" i="14"/>
  <c r="R896" i="14"/>
  <c r="Q896" i="14"/>
  <c r="P896" i="14"/>
  <c r="O896" i="14"/>
  <c r="N896" i="14"/>
  <c r="M896" i="14"/>
  <c r="L896" i="14"/>
  <c r="K896" i="14"/>
  <c r="J896" i="14"/>
  <c r="I896" i="14"/>
  <c r="H896" i="14"/>
  <c r="G896" i="14"/>
  <c r="F896" i="14"/>
  <c r="E896" i="14"/>
  <c r="D896" i="14"/>
  <c r="C896" i="14"/>
  <c r="AH896" i="14" s="1"/>
  <c r="B896" i="14"/>
  <c r="A896" i="14"/>
  <c r="Z895" i="14"/>
  <c r="Y895" i="14"/>
  <c r="X895" i="14"/>
  <c r="W895" i="14"/>
  <c r="V895" i="14"/>
  <c r="U895" i="14"/>
  <c r="T895" i="14"/>
  <c r="S895" i="14"/>
  <c r="R895" i="14"/>
  <c r="Q895" i="14"/>
  <c r="P895" i="14"/>
  <c r="O895" i="14"/>
  <c r="N895" i="14"/>
  <c r="M895" i="14"/>
  <c r="L895" i="14"/>
  <c r="K895" i="14"/>
  <c r="J895" i="14"/>
  <c r="I895" i="14"/>
  <c r="H895" i="14"/>
  <c r="G895" i="14"/>
  <c r="F895" i="14"/>
  <c r="E895" i="14"/>
  <c r="AG895" i="14" s="1"/>
  <c r="D895" i="14"/>
  <c r="C895" i="14"/>
  <c r="B895" i="14"/>
  <c r="A895" i="14"/>
  <c r="Z894" i="14"/>
  <c r="Y894" i="14"/>
  <c r="X894" i="14"/>
  <c r="W894" i="14"/>
  <c r="V894" i="14"/>
  <c r="U894" i="14"/>
  <c r="T894" i="14"/>
  <c r="S894" i="14"/>
  <c r="R894" i="14"/>
  <c r="Q894" i="14"/>
  <c r="P894" i="14"/>
  <c r="O894" i="14"/>
  <c r="N894" i="14"/>
  <c r="M894" i="14"/>
  <c r="L894" i="14"/>
  <c r="K894" i="14"/>
  <c r="J894" i="14"/>
  <c r="I894" i="14"/>
  <c r="H894" i="14"/>
  <c r="G894" i="14"/>
  <c r="F894" i="14"/>
  <c r="E894" i="14"/>
  <c r="D894" i="14"/>
  <c r="C894" i="14"/>
  <c r="B894" i="14"/>
  <c r="A894" i="14"/>
  <c r="Z893" i="14"/>
  <c r="Y893" i="14"/>
  <c r="X893" i="14"/>
  <c r="W893" i="14"/>
  <c r="V893" i="14"/>
  <c r="U893" i="14"/>
  <c r="T893" i="14"/>
  <c r="S893" i="14"/>
  <c r="R893" i="14"/>
  <c r="Q893" i="14"/>
  <c r="P893" i="14"/>
  <c r="O893" i="14"/>
  <c r="N893" i="14"/>
  <c r="M893" i="14"/>
  <c r="L893" i="14"/>
  <c r="K893" i="14"/>
  <c r="J893" i="14"/>
  <c r="I893" i="14"/>
  <c r="H893" i="14"/>
  <c r="G893" i="14"/>
  <c r="F893" i="14"/>
  <c r="E893" i="14"/>
  <c r="D893" i="14"/>
  <c r="C893" i="14"/>
  <c r="B893" i="14"/>
  <c r="A893" i="14"/>
  <c r="Z892" i="14"/>
  <c r="Y892" i="14"/>
  <c r="X892" i="14"/>
  <c r="W892" i="14"/>
  <c r="V892" i="14"/>
  <c r="U892" i="14"/>
  <c r="T892" i="14"/>
  <c r="S892" i="14"/>
  <c r="R892" i="14"/>
  <c r="Q892" i="14"/>
  <c r="P892" i="14"/>
  <c r="O892" i="14"/>
  <c r="N892" i="14"/>
  <c r="M892" i="14"/>
  <c r="L892" i="14"/>
  <c r="K892" i="14"/>
  <c r="J892" i="14"/>
  <c r="I892" i="14"/>
  <c r="H892" i="14"/>
  <c r="G892" i="14"/>
  <c r="F892" i="14"/>
  <c r="E892" i="14"/>
  <c r="D892" i="14"/>
  <c r="C892" i="14"/>
  <c r="AH892" i="14" s="1"/>
  <c r="B892" i="14"/>
  <c r="A892" i="14"/>
  <c r="Z891" i="14"/>
  <c r="Y891" i="14"/>
  <c r="X891" i="14"/>
  <c r="W891" i="14"/>
  <c r="V891" i="14"/>
  <c r="U891" i="14"/>
  <c r="T891" i="14"/>
  <c r="S891" i="14"/>
  <c r="R891" i="14"/>
  <c r="Q891" i="14"/>
  <c r="P891" i="14"/>
  <c r="O891" i="14"/>
  <c r="N891" i="14"/>
  <c r="M891" i="14"/>
  <c r="L891" i="14"/>
  <c r="K891" i="14"/>
  <c r="J891" i="14"/>
  <c r="I891" i="14"/>
  <c r="H891" i="14"/>
  <c r="G891" i="14"/>
  <c r="F891" i="14"/>
  <c r="E891" i="14"/>
  <c r="AG891" i="14" s="1"/>
  <c r="D891" i="14"/>
  <c r="C891" i="14"/>
  <c r="B891" i="14"/>
  <c r="A891" i="14"/>
  <c r="Z890" i="14"/>
  <c r="Y890" i="14"/>
  <c r="X890" i="14"/>
  <c r="W890" i="14"/>
  <c r="V890" i="14"/>
  <c r="U890" i="14"/>
  <c r="T890" i="14"/>
  <c r="S890" i="14"/>
  <c r="R890" i="14"/>
  <c r="Q890" i="14"/>
  <c r="P890" i="14"/>
  <c r="O890" i="14"/>
  <c r="N890" i="14"/>
  <c r="M890" i="14"/>
  <c r="L890" i="14"/>
  <c r="K890" i="14"/>
  <c r="J890" i="14"/>
  <c r="I890" i="14"/>
  <c r="H890" i="14"/>
  <c r="G890" i="14"/>
  <c r="F890" i="14"/>
  <c r="E890" i="14"/>
  <c r="D890" i="14"/>
  <c r="C890" i="14"/>
  <c r="B890" i="14"/>
  <c r="A890" i="14"/>
  <c r="Z889" i="14"/>
  <c r="Y889" i="14"/>
  <c r="X889" i="14"/>
  <c r="W889" i="14"/>
  <c r="V889" i="14"/>
  <c r="U889" i="14"/>
  <c r="T889" i="14"/>
  <c r="S889" i="14"/>
  <c r="R889" i="14"/>
  <c r="Q889" i="14"/>
  <c r="P889" i="14"/>
  <c r="O889" i="14"/>
  <c r="N889" i="14"/>
  <c r="M889" i="14"/>
  <c r="L889" i="14"/>
  <c r="K889" i="14"/>
  <c r="J889" i="14"/>
  <c r="I889" i="14"/>
  <c r="H889" i="14"/>
  <c r="G889" i="14"/>
  <c r="F889" i="14"/>
  <c r="E889" i="14"/>
  <c r="D889" i="14"/>
  <c r="C889" i="14"/>
  <c r="B889" i="14"/>
  <c r="A889" i="14"/>
  <c r="Z888" i="14"/>
  <c r="Y888" i="14"/>
  <c r="X888" i="14"/>
  <c r="W888" i="14"/>
  <c r="V888" i="14"/>
  <c r="U888" i="14"/>
  <c r="T888" i="14"/>
  <c r="S888" i="14"/>
  <c r="R888" i="14"/>
  <c r="Q888" i="14"/>
  <c r="P888" i="14"/>
  <c r="O888" i="14"/>
  <c r="N888" i="14"/>
  <c r="M888" i="14"/>
  <c r="L888" i="14"/>
  <c r="K888" i="14"/>
  <c r="J888" i="14"/>
  <c r="I888" i="14"/>
  <c r="H888" i="14"/>
  <c r="G888" i="14"/>
  <c r="F888" i="14"/>
  <c r="E888" i="14"/>
  <c r="D888" i="14"/>
  <c r="C888" i="14"/>
  <c r="AH888" i="14" s="1"/>
  <c r="B888" i="14"/>
  <c r="A888" i="14"/>
  <c r="Z887" i="14"/>
  <c r="Y887" i="14"/>
  <c r="X887" i="14"/>
  <c r="W887" i="14"/>
  <c r="V887" i="14"/>
  <c r="U887" i="14"/>
  <c r="T887" i="14"/>
  <c r="S887" i="14"/>
  <c r="R887" i="14"/>
  <c r="Q887" i="14"/>
  <c r="P887" i="14"/>
  <c r="O887" i="14"/>
  <c r="N887" i="14"/>
  <c r="M887" i="14"/>
  <c r="L887" i="14"/>
  <c r="K887" i="14"/>
  <c r="J887" i="14"/>
  <c r="I887" i="14"/>
  <c r="H887" i="14"/>
  <c r="G887" i="14"/>
  <c r="F887" i="14"/>
  <c r="E887" i="14"/>
  <c r="AG887" i="14" s="1"/>
  <c r="D887" i="14"/>
  <c r="C887" i="14"/>
  <c r="B887" i="14"/>
  <c r="A887" i="14"/>
  <c r="Z886" i="14"/>
  <c r="Y886" i="14"/>
  <c r="X886" i="14"/>
  <c r="W886" i="14"/>
  <c r="V886" i="14"/>
  <c r="U886" i="14"/>
  <c r="T886" i="14"/>
  <c r="S886" i="14"/>
  <c r="R886" i="14"/>
  <c r="Q886" i="14"/>
  <c r="P886" i="14"/>
  <c r="O886" i="14"/>
  <c r="N886" i="14"/>
  <c r="M886" i="14"/>
  <c r="L886" i="14"/>
  <c r="K886" i="14"/>
  <c r="J886" i="14"/>
  <c r="I886" i="14"/>
  <c r="H886" i="14"/>
  <c r="G886" i="14"/>
  <c r="F886" i="14"/>
  <c r="E886" i="14"/>
  <c r="D886" i="14"/>
  <c r="C886" i="14"/>
  <c r="B886" i="14"/>
  <c r="A886" i="14"/>
  <c r="Z885" i="14"/>
  <c r="Y885" i="14"/>
  <c r="X885" i="14"/>
  <c r="W885" i="14"/>
  <c r="V885" i="14"/>
  <c r="U885" i="14"/>
  <c r="T885" i="14"/>
  <c r="S885" i="14"/>
  <c r="R885" i="14"/>
  <c r="Q885" i="14"/>
  <c r="P885" i="14"/>
  <c r="O885" i="14"/>
  <c r="N885" i="14"/>
  <c r="M885" i="14"/>
  <c r="L885" i="14"/>
  <c r="K885" i="14"/>
  <c r="J885" i="14"/>
  <c r="I885" i="14"/>
  <c r="H885" i="14"/>
  <c r="G885" i="14"/>
  <c r="F885" i="14"/>
  <c r="E885" i="14"/>
  <c r="D885" i="14"/>
  <c r="C885" i="14"/>
  <c r="B885" i="14"/>
  <c r="A885" i="14"/>
  <c r="Z884" i="14"/>
  <c r="Y884" i="14"/>
  <c r="X884" i="14"/>
  <c r="W884" i="14"/>
  <c r="V884" i="14"/>
  <c r="U884" i="14"/>
  <c r="T884" i="14"/>
  <c r="S884" i="14"/>
  <c r="R884" i="14"/>
  <c r="Q884" i="14"/>
  <c r="P884" i="14"/>
  <c r="O884" i="14"/>
  <c r="N884" i="14"/>
  <c r="M884" i="14"/>
  <c r="L884" i="14"/>
  <c r="K884" i="14"/>
  <c r="J884" i="14"/>
  <c r="I884" i="14"/>
  <c r="H884" i="14"/>
  <c r="G884" i="14"/>
  <c r="F884" i="14"/>
  <c r="E884" i="14"/>
  <c r="D884" i="14"/>
  <c r="C884" i="14"/>
  <c r="AH884" i="14" s="1"/>
  <c r="B884" i="14"/>
  <c r="A884" i="14"/>
  <c r="Z883" i="14"/>
  <c r="Y883" i="14"/>
  <c r="X883" i="14"/>
  <c r="W883" i="14"/>
  <c r="V883" i="14"/>
  <c r="U883" i="14"/>
  <c r="T883" i="14"/>
  <c r="S883" i="14"/>
  <c r="R883" i="14"/>
  <c r="Q883" i="14"/>
  <c r="P883" i="14"/>
  <c r="O883" i="14"/>
  <c r="N883" i="14"/>
  <c r="M883" i="14"/>
  <c r="L883" i="14"/>
  <c r="K883" i="14"/>
  <c r="J883" i="14"/>
  <c r="I883" i="14"/>
  <c r="H883" i="14"/>
  <c r="G883" i="14"/>
  <c r="F883" i="14"/>
  <c r="E883" i="14"/>
  <c r="AG883" i="14" s="1"/>
  <c r="D883" i="14"/>
  <c r="C883" i="14"/>
  <c r="B883" i="14"/>
  <c r="A883" i="14"/>
  <c r="Z882" i="14"/>
  <c r="Y882" i="14"/>
  <c r="X882" i="14"/>
  <c r="W882" i="14"/>
  <c r="V882" i="14"/>
  <c r="U882" i="14"/>
  <c r="T882" i="14"/>
  <c r="S882" i="14"/>
  <c r="R882" i="14"/>
  <c r="Q882" i="14"/>
  <c r="P882" i="14"/>
  <c r="O882" i="14"/>
  <c r="N882" i="14"/>
  <c r="M882" i="14"/>
  <c r="L882" i="14"/>
  <c r="K882" i="14"/>
  <c r="J882" i="14"/>
  <c r="I882" i="14"/>
  <c r="H882" i="14"/>
  <c r="G882" i="14"/>
  <c r="F882" i="14"/>
  <c r="E882" i="14"/>
  <c r="D882" i="14"/>
  <c r="C882" i="14"/>
  <c r="B882" i="14"/>
  <c r="A882" i="14"/>
  <c r="Z881" i="14"/>
  <c r="Y881" i="14"/>
  <c r="X881" i="14"/>
  <c r="W881" i="14"/>
  <c r="V881" i="14"/>
  <c r="U881" i="14"/>
  <c r="T881" i="14"/>
  <c r="S881" i="14"/>
  <c r="R881" i="14"/>
  <c r="Q881" i="14"/>
  <c r="P881" i="14"/>
  <c r="O881" i="14"/>
  <c r="N881" i="14"/>
  <c r="M881" i="14"/>
  <c r="L881" i="14"/>
  <c r="K881" i="14"/>
  <c r="J881" i="14"/>
  <c r="I881" i="14"/>
  <c r="H881" i="14"/>
  <c r="G881" i="14"/>
  <c r="F881" i="14"/>
  <c r="E881" i="14"/>
  <c r="D881" i="14"/>
  <c r="C881" i="14"/>
  <c r="B881" i="14"/>
  <c r="A881" i="14"/>
  <c r="Z880" i="14"/>
  <c r="Y880" i="14"/>
  <c r="X880" i="14"/>
  <c r="W880" i="14"/>
  <c r="V880" i="14"/>
  <c r="U880" i="14"/>
  <c r="T880" i="14"/>
  <c r="S880" i="14"/>
  <c r="R880" i="14"/>
  <c r="Q880" i="14"/>
  <c r="P880" i="14"/>
  <c r="O880" i="14"/>
  <c r="N880" i="14"/>
  <c r="M880" i="14"/>
  <c r="L880" i="14"/>
  <c r="K880" i="14"/>
  <c r="J880" i="14"/>
  <c r="I880" i="14"/>
  <c r="H880" i="14"/>
  <c r="G880" i="14"/>
  <c r="F880" i="14"/>
  <c r="E880" i="14"/>
  <c r="D880" i="14"/>
  <c r="C880" i="14"/>
  <c r="AH880" i="14" s="1"/>
  <c r="B880" i="14"/>
  <c r="A880" i="14"/>
  <c r="Z879" i="14"/>
  <c r="Y879" i="14"/>
  <c r="X879" i="14"/>
  <c r="W879" i="14"/>
  <c r="V879" i="14"/>
  <c r="U879" i="14"/>
  <c r="T879" i="14"/>
  <c r="S879" i="14"/>
  <c r="R879" i="14"/>
  <c r="Q879" i="14"/>
  <c r="P879" i="14"/>
  <c r="O879" i="14"/>
  <c r="N879" i="14"/>
  <c r="M879" i="14"/>
  <c r="L879" i="14"/>
  <c r="K879" i="14"/>
  <c r="J879" i="14"/>
  <c r="I879" i="14"/>
  <c r="H879" i="14"/>
  <c r="G879" i="14"/>
  <c r="F879" i="14"/>
  <c r="E879" i="14"/>
  <c r="AG879" i="14" s="1"/>
  <c r="D879" i="14"/>
  <c r="C879" i="14"/>
  <c r="B879" i="14"/>
  <c r="A879" i="14"/>
  <c r="Z878" i="14"/>
  <c r="Y878" i="14"/>
  <c r="X878" i="14"/>
  <c r="W878" i="14"/>
  <c r="V878" i="14"/>
  <c r="U878" i="14"/>
  <c r="T878" i="14"/>
  <c r="S878" i="14"/>
  <c r="R878" i="14"/>
  <c r="Q878" i="14"/>
  <c r="P878" i="14"/>
  <c r="O878" i="14"/>
  <c r="N878" i="14"/>
  <c r="M878" i="14"/>
  <c r="L878" i="14"/>
  <c r="K878" i="14"/>
  <c r="J878" i="14"/>
  <c r="I878" i="14"/>
  <c r="H878" i="14"/>
  <c r="G878" i="14"/>
  <c r="F878" i="14"/>
  <c r="E878" i="14"/>
  <c r="D878" i="14"/>
  <c r="C878" i="14"/>
  <c r="B878" i="14"/>
  <c r="A878" i="14"/>
  <c r="Z877" i="14"/>
  <c r="Y877" i="14"/>
  <c r="X877" i="14"/>
  <c r="W877" i="14"/>
  <c r="V877" i="14"/>
  <c r="U877" i="14"/>
  <c r="T877" i="14"/>
  <c r="S877" i="14"/>
  <c r="R877" i="14"/>
  <c r="Q877" i="14"/>
  <c r="P877" i="14"/>
  <c r="O877" i="14"/>
  <c r="N877" i="14"/>
  <c r="M877" i="14"/>
  <c r="L877" i="14"/>
  <c r="K877" i="14"/>
  <c r="J877" i="14"/>
  <c r="I877" i="14"/>
  <c r="H877" i="14"/>
  <c r="G877" i="14"/>
  <c r="F877" i="14"/>
  <c r="E877" i="14"/>
  <c r="D877" i="14"/>
  <c r="C877" i="14"/>
  <c r="B877" i="14"/>
  <c r="A877" i="14"/>
  <c r="Z876" i="14"/>
  <c r="Y876" i="14"/>
  <c r="X876" i="14"/>
  <c r="W876" i="14"/>
  <c r="V876" i="14"/>
  <c r="U876" i="14"/>
  <c r="T876" i="14"/>
  <c r="S876" i="14"/>
  <c r="R876" i="14"/>
  <c r="Q876" i="14"/>
  <c r="P876" i="14"/>
  <c r="O876" i="14"/>
  <c r="N876" i="14"/>
  <c r="M876" i="14"/>
  <c r="L876" i="14"/>
  <c r="K876" i="14"/>
  <c r="J876" i="14"/>
  <c r="I876" i="14"/>
  <c r="H876" i="14"/>
  <c r="G876" i="14"/>
  <c r="F876" i="14"/>
  <c r="E876" i="14"/>
  <c r="D876" i="14"/>
  <c r="C876" i="14"/>
  <c r="AH876" i="14" s="1"/>
  <c r="B876" i="14"/>
  <c r="A876" i="14"/>
  <c r="Z875" i="14"/>
  <c r="Y875" i="14"/>
  <c r="X875" i="14"/>
  <c r="W875" i="14"/>
  <c r="V875" i="14"/>
  <c r="U875" i="14"/>
  <c r="T875" i="14"/>
  <c r="S875" i="14"/>
  <c r="R875" i="14"/>
  <c r="Q875" i="14"/>
  <c r="P875" i="14"/>
  <c r="O875" i="14"/>
  <c r="N875" i="14"/>
  <c r="M875" i="14"/>
  <c r="L875" i="14"/>
  <c r="K875" i="14"/>
  <c r="J875" i="14"/>
  <c r="I875" i="14"/>
  <c r="H875" i="14"/>
  <c r="G875" i="14"/>
  <c r="F875" i="14"/>
  <c r="E875" i="14"/>
  <c r="AG875" i="14" s="1"/>
  <c r="D875" i="14"/>
  <c r="C875" i="14"/>
  <c r="B875" i="14"/>
  <c r="A875" i="14"/>
  <c r="Z874" i="14"/>
  <c r="Y874" i="14"/>
  <c r="X874" i="14"/>
  <c r="W874" i="14"/>
  <c r="V874" i="14"/>
  <c r="U874" i="14"/>
  <c r="T874" i="14"/>
  <c r="S874" i="14"/>
  <c r="R874" i="14"/>
  <c r="Q874" i="14"/>
  <c r="P874" i="14"/>
  <c r="O874" i="14"/>
  <c r="N874" i="14"/>
  <c r="M874" i="14"/>
  <c r="L874" i="14"/>
  <c r="K874" i="14"/>
  <c r="J874" i="14"/>
  <c r="I874" i="14"/>
  <c r="H874" i="14"/>
  <c r="G874" i="14"/>
  <c r="F874" i="14"/>
  <c r="E874" i="14"/>
  <c r="D874" i="14"/>
  <c r="C874" i="14"/>
  <c r="B874" i="14"/>
  <c r="A874" i="14"/>
  <c r="Z873" i="14"/>
  <c r="Y873" i="14"/>
  <c r="X873" i="14"/>
  <c r="W873" i="14"/>
  <c r="V873" i="14"/>
  <c r="U873" i="14"/>
  <c r="T873" i="14"/>
  <c r="S873" i="14"/>
  <c r="R873" i="14"/>
  <c r="Q873" i="14"/>
  <c r="P873" i="14"/>
  <c r="O873" i="14"/>
  <c r="N873" i="14"/>
  <c r="M873" i="14"/>
  <c r="L873" i="14"/>
  <c r="K873" i="14"/>
  <c r="J873" i="14"/>
  <c r="I873" i="14"/>
  <c r="H873" i="14"/>
  <c r="G873" i="14"/>
  <c r="F873" i="14"/>
  <c r="E873" i="14"/>
  <c r="D873" i="14"/>
  <c r="C873" i="14"/>
  <c r="B873" i="14"/>
  <c r="A873" i="14"/>
  <c r="Z872" i="14"/>
  <c r="Y872" i="14"/>
  <c r="X872" i="14"/>
  <c r="W872" i="14"/>
  <c r="V872" i="14"/>
  <c r="U872" i="14"/>
  <c r="T872" i="14"/>
  <c r="S872" i="14"/>
  <c r="R872" i="14"/>
  <c r="Q872" i="14"/>
  <c r="P872" i="14"/>
  <c r="O872" i="14"/>
  <c r="N872" i="14"/>
  <c r="M872" i="14"/>
  <c r="L872" i="14"/>
  <c r="K872" i="14"/>
  <c r="J872" i="14"/>
  <c r="I872" i="14"/>
  <c r="H872" i="14"/>
  <c r="G872" i="14"/>
  <c r="F872" i="14"/>
  <c r="E872" i="14"/>
  <c r="D872" i="14"/>
  <c r="C872" i="14"/>
  <c r="AH872" i="14" s="1"/>
  <c r="B872" i="14"/>
  <c r="A872" i="14"/>
  <c r="Z871" i="14"/>
  <c r="Y871" i="14"/>
  <c r="X871" i="14"/>
  <c r="W871" i="14"/>
  <c r="V871" i="14"/>
  <c r="U871" i="14"/>
  <c r="T871" i="14"/>
  <c r="S871" i="14"/>
  <c r="R871" i="14"/>
  <c r="Q871" i="14"/>
  <c r="P871" i="14"/>
  <c r="O871" i="14"/>
  <c r="N871" i="14"/>
  <c r="M871" i="14"/>
  <c r="L871" i="14"/>
  <c r="K871" i="14"/>
  <c r="J871" i="14"/>
  <c r="I871" i="14"/>
  <c r="H871" i="14"/>
  <c r="G871" i="14"/>
  <c r="F871" i="14"/>
  <c r="E871" i="14"/>
  <c r="AG871" i="14" s="1"/>
  <c r="D871" i="14"/>
  <c r="C871" i="14"/>
  <c r="AH871" i="14" s="1"/>
  <c r="B871" i="14"/>
  <c r="A871" i="14"/>
  <c r="Z870" i="14"/>
  <c r="Y870" i="14"/>
  <c r="X870" i="14"/>
  <c r="W870" i="14"/>
  <c r="V870" i="14"/>
  <c r="U870" i="14"/>
  <c r="T870" i="14"/>
  <c r="S870" i="14"/>
  <c r="R870" i="14"/>
  <c r="Q870" i="14"/>
  <c r="P870" i="14"/>
  <c r="O870" i="14"/>
  <c r="N870" i="14"/>
  <c r="M870" i="14"/>
  <c r="L870" i="14"/>
  <c r="K870" i="14"/>
  <c r="J870" i="14"/>
  <c r="I870" i="14"/>
  <c r="H870" i="14"/>
  <c r="G870" i="14"/>
  <c r="F870" i="14"/>
  <c r="E870" i="14"/>
  <c r="D870" i="14"/>
  <c r="C870" i="14"/>
  <c r="B870" i="14"/>
  <c r="A870" i="14"/>
  <c r="Z869" i="14"/>
  <c r="Y869" i="14"/>
  <c r="X869" i="14"/>
  <c r="W869" i="14"/>
  <c r="V869" i="14"/>
  <c r="U869" i="14"/>
  <c r="T869" i="14"/>
  <c r="S869" i="14"/>
  <c r="R869" i="14"/>
  <c r="Q869" i="14"/>
  <c r="P869" i="14"/>
  <c r="O869" i="14"/>
  <c r="N869" i="14"/>
  <c r="M869" i="14"/>
  <c r="L869" i="14"/>
  <c r="K869" i="14"/>
  <c r="J869" i="14"/>
  <c r="I869" i="14"/>
  <c r="H869" i="14"/>
  <c r="G869" i="14"/>
  <c r="F869" i="14"/>
  <c r="E869" i="14"/>
  <c r="D869" i="14"/>
  <c r="C869" i="14"/>
  <c r="B869" i="14"/>
  <c r="A869" i="14"/>
  <c r="Z868" i="14"/>
  <c r="Y868" i="14"/>
  <c r="X868" i="14"/>
  <c r="W868" i="14"/>
  <c r="V868" i="14"/>
  <c r="U868" i="14"/>
  <c r="T868" i="14"/>
  <c r="S868" i="14"/>
  <c r="R868" i="14"/>
  <c r="Q868" i="14"/>
  <c r="P868" i="14"/>
  <c r="O868" i="14"/>
  <c r="N868" i="14"/>
  <c r="M868" i="14"/>
  <c r="L868" i="14"/>
  <c r="K868" i="14"/>
  <c r="J868" i="14"/>
  <c r="I868" i="14"/>
  <c r="H868" i="14"/>
  <c r="G868" i="14"/>
  <c r="F868" i="14"/>
  <c r="E868" i="14"/>
  <c r="D868" i="14"/>
  <c r="C868" i="14"/>
  <c r="AH868" i="14" s="1"/>
  <c r="B868" i="14"/>
  <c r="A868" i="14"/>
  <c r="Z867" i="14"/>
  <c r="Y867" i="14"/>
  <c r="X867" i="14"/>
  <c r="W867" i="14"/>
  <c r="V867" i="14"/>
  <c r="U867" i="14"/>
  <c r="T867" i="14"/>
  <c r="S867" i="14"/>
  <c r="R867" i="14"/>
  <c r="Q867" i="14"/>
  <c r="P867" i="14"/>
  <c r="O867" i="14"/>
  <c r="N867" i="14"/>
  <c r="M867" i="14"/>
  <c r="L867" i="14"/>
  <c r="K867" i="14"/>
  <c r="J867" i="14"/>
  <c r="I867" i="14"/>
  <c r="H867" i="14"/>
  <c r="G867" i="14"/>
  <c r="F867" i="14"/>
  <c r="E867" i="14"/>
  <c r="AG867" i="14" s="1"/>
  <c r="D867" i="14"/>
  <c r="C867" i="14"/>
  <c r="AH867" i="14" s="1"/>
  <c r="B867" i="14"/>
  <c r="A867" i="14"/>
  <c r="Z866" i="14"/>
  <c r="Y866" i="14"/>
  <c r="X866" i="14"/>
  <c r="W866" i="14"/>
  <c r="V866" i="14"/>
  <c r="U866" i="14"/>
  <c r="T866" i="14"/>
  <c r="S866" i="14"/>
  <c r="R866" i="14"/>
  <c r="Q866" i="14"/>
  <c r="P866" i="14"/>
  <c r="O866" i="14"/>
  <c r="N866" i="14"/>
  <c r="M866" i="14"/>
  <c r="L866" i="14"/>
  <c r="K866" i="14"/>
  <c r="J866" i="14"/>
  <c r="I866" i="14"/>
  <c r="H866" i="14"/>
  <c r="G866" i="14"/>
  <c r="F866" i="14"/>
  <c r="E866" i="14"/>
  <c r="D866" i="14"/>
  <c r="C866" i="14"/>
  <c r="B866" i="14"/>
  <c r="A866" i="14"/>
  <c r="Z865" i="14"/>
  <c r="Y865" i="14"/>
  <c r="X865" i="14"/>
  <c r="W865" i="14"/>
  <c r="V865" i="14"/>
  <c r="U865" i="14"/>
  <c r="T865" i="14"/>
  <c r="S865" i="14"/>
  <c r="R865" i="14"/>
  <c r="Q865" i="14"/>
  <c r="P865" i="14"/>
  <c r="O865" i="14"/>
  <c r="N865" i="14"/>
  <c r="M865" i="14"/>
  <c r="L865" i="14"/>
  <c r="K865" i="14"/>
  <c r="J865" i="14"/>
  <c r="I865" i="14"/>
  <c r="H865" i="14"/>
  <c r="G865" i="14"/>
  <c r="F865" i="14"/>
  <c r="E865" i="14"/>
  <c r="D865" i="14"/>
  <c r="C865" i="14"/>
  <c r="B865" i="14"/>
  <c r="A865" i="14"/>
  <c r="Z864" i="14"/>
  <c r="Y864" i="14"/>
  <c r="X864" i="14"/>
  <c r="W864" i="14"/>
  <c r="V864" i="14"/>
  <c r="U864" i="14"/>
  <c r="T864" i="14"/>
  <c r="S864" i="14"/>
  <c r="R864" i="14"/>
  <c r="Q864" i="14"/>
  <c r="P864" i="14"/>
  <c r="O864" i="14"/>
  <c r="N864" i="14"/>
  <c r="M864" i="14"/>
  <c r="L864" i="14"/>
  <c r="K864" i="14"/>
  <c r="J864" i="14"/>
  <c r="I864" i="14"/>
  <c r="H864" i="14"/>
  <c r="G864" i="14"/>
  <c r="F864" i="14"/>
  <c r="E864" i="14"/>
  <c r="D864" i="14"/>
  <c r="C864" i="14"/>
  <c r="AH864" i="14" s="1"/>
  <c r="B864" i="14"/>
  <c r="A864" i="14"/>
  <c r="Z863" i="14"/>
  <c r="Y863" i="14"/>
  <c r="X863" i="14"/>
  <c r="W863" i="14"/>
  <c r="V863" i="14"/>
  <c r="U863" i="14"/>
  <c r="T863" i="14"/>
  <c r="S863" i="14"/>
  <c r="R863" i="14"/>
  <c r="Q863" i="14"/>
  <c r="P863" i="14"/>
  <c r="O863" i="14"/>
  <c r="N863" i="14"/>
  <c r="M863" i="14"/>
  <c r="L863" i="14"/>
  <c r="K863" i="14"/>
  <c r="J863" i="14"/>
  <c r="I863" i="14"/>
  <c r="H863" i="14"/>
  <c r="G863" i="14"/>
  <c r="F863" i="14"/>
  <c r="E863" i="14"/>
  <c r="AG863" i="14" s="1"/>
  <c r="D863" i="14"/>
  <c r="C863" i="14"/>
  <c r="AH863" i="14" s="1"/>
  <c r="B863" i="14"/>
  <c r="A863" i="14"/>
  <c r="Z862" i="14"/>
  <c r="Y862" i="14"/>
  <c r="X862" i="14"/>
  <c r="W862" i="14"/>
  <c r="V862" i="14"/>
  <c r="U862" i="14"/>
  <c r="T862" i="14"/>
  <c r="S862" i="14"/>
  <c r="R862" i="14"/>
  <c r="Q862" i="14"/>
  <c r="P862" i="14"/>
  <c r="O862" i="14"/>
  <c r="N862" i="14"/>
  <c r="M862" i="14"/>
  <c r="L862" i="14"/>
  <c r="K862" i="14"/>
  <c r="J862" i="14"/>
  <c r="I862" i="14"/>
  <c r="H862" i="14"/>
  <c r="G862" i="14"/>
  <c r="F862" i="14"/>
  <c r="E862" i="14"/>
  <c r="D862" i="14"/>
  <c r="C862" i="14"/>
  <c r="B862" i="14"/>
  <c r="A862" i="14"/>
  <c r="Z861" i="14"/>
  <c r="Y861" i="14"/>
  <c r="X861" i="14"/>
  <c r="W861" i="14"/>
  <c r="V861" i="14"/>
  <c r="U861" i="14"/>
  <c r="T861" i="14"/>
  <c r="S861" i="14"/>
  <c r="R861" i="14"/>
  <c r="Q861" i="14"/>
  <c r="P861" i="14"/>
  <c r="O861" i="14"/>
  <c r="N861" i="14"/>
  <c r="M861" i="14"/>
  <c r="L861" i="14"/>
  <c r="K861" i="14"/>
  <c r="J861" i="14"/>
  <c r="I861" i="14"/>
  <c r="H861" i="14"/>
  <c r="G861" i="14"/>
  <c r="F861" i="14"/>
  <c r="E861" i="14"/>
  <c r="D861" i="14"/>
  <c r="C861" i="14"/>
  <c r="B861" i="14"/>
  <c r="A861" i="14"/>
  <c r="Z860" i="14"/>
  <c r="Y860" i="14"/>
  <c r="X860" i="14"/>
  <c r="W860" i="14"/>
  <c r="V860" i="14"/>
  <c r="U860" i="14"/>
  <c r="T860" i="14"/>
  <c r="S860" i="14"/>
  <c r="R860" i="14"/>
  <c r="Q860" i="14"/>
  <c r="P860" i="14"/>
  <c r="O860" i="14"/>
  <c r="N860" i="14"/>
  <c r="M860" i="14"/>
  <c r="L860" i="14"/>
  <c r="K860" i="14"/>
  <c r="J860" i="14"/>
  <c r="I860" i="14"/>
  <c r="H860" i="14"/>
  <c r="G860" i="14"/>
  <c r="F860" i="14"/>
  <c r="E860" i="14"/>
  <c r="D860" i="14"/>
  <c r="C860" i="14"/>
  <c r="AH860" i="14" s="1"/>
  <c r="B860" i="14"/>
  <c r="A860" i="14"/>
  <c r="Z859" i="14"/>
  <c r="Y859" i="14"/>
  <c r="X859" i="14"/>
  <c r="W859" i="14"/>
  <c r="V859" i="14"/>
  <c r="U859" i="14"/>
  <c r="T859" i="14"/>
  <c r="S859" i="14"/>
  <c r="R859" i="14"/>
  <c r="Q859" i="14"/>
  <c r="P859" i="14"/>
  <c r="O859" i="14"/>
  <c r="N859" i="14"/>
  <c r="M859" i="14"/>
  <c r="L859" i="14"/>
  <c r="K859" i="14"/>
  <c r="J859" i="14"/>
  <c r="I859" i="14"/>
  <c r="H859" i="14"/>
  <c r="G859" i="14"/>
  <c r="F859" i="14"/>
  <c r="E859" i="14"/>
  <c r="AG859" i="14" s="1"/>
  <c r="D859" i="14"/>
  <c r="C859" i="14"/>
  <c r="AH859" i="14" s="1"/>
  <c r="B859" i="14"/>
  <c r="A859" i="14"/>
  <c r="Z858" i="14"/>
  <c r="Y858" i="14"/>
  <c r="X858" i="14"/>
  <c r="W858" i="14"/>
  <c r="V858" i="14"/>
  <c r="U858" i="14"/>
  <c r="T858" i="14"/>
  <c r="S858" i="14"/>
  <c r="R858" i="14"/>
  <c r="Q858" i="14"/>
  <c r="P858" i="14"/>
  <c r="O858" i="14"/>
  <c r="N858" i="14"/>
  <c r="M858" i="14"/>
  <c r="L858" i="14"/>
  <c r="K858" i="14"/>
  <c r="J858" i="14"/>
  <c r="I858" i="14"/>
  <c r="H858" i="14"/>
  <c r="G858" i="14"/>
  <c r="F858" i="14"/>
  <c r="E858" i="14"/>
  <c r="D858" i="14"/>
  <c r="C858" i="14"/>
  <c r="B858" i="14"/>
  <c r="A858" i="14"/>
  <c r="Z857" i="14"/>
  <c r="Y857" i="14"/>
  <c r="X857" i="14"/>
  <c r="W857" i="14"/>
  <c r="V857" i="14"/>
  <c r="U857" i="14"/>
  <c r="T857" i="14"/>
  <c r="S857" i="14"/>
  <c r="R857" i="14"/>
  <c r="Q857" i="14"/>
  <c r="P857" i="14"/>
  <c r="O857" i="14"/>
  <c r="N857" i="14"/>
  <c r="M857" i="14"/>
  <c r="L857" i="14"/>
  <c r="K857" i="14"/>
  <c r="J857" i="14"/>
  <c r="I857" i="14"/>
  <c r="H857" i="14"/>
  <c r="G857" i="14"/>
  <c r="F857" i="14"/>
  <c r="E857" i="14"/>
  <c r="D857" i="14"/>
  <c r="C857" i="14"/>
  <c r="B857" i="14"/>
  <c r="A857" i="14"/>
  <c r="Z856" i="14"/>
  <c r="Y856" i="14"/>
  <c r="X856" i="14"/>
  <c r="W856" i="14"/>
  <c r="V856" i="14"/>
  <c r="U856" i="14"/>
  <c r="T856" i="14"/>
  <c r="S856" i="14"/>
  <c r="R856" i="14"/>
  <c r="Q856" i="14"/>
  <c r="P856" i="14"/>
  <c r="O856" i="14"/>
  <c r="N856" i="14"/>
  <c r="M856" i="14"/>
  <c r="L856" i="14"/>
  <c r="K856" i="14"/>
  <c r="J856" i="14"/>
  <c r="I856" i="14"/>
  <c r="H856" i="14"/>
  <c r="G856" i="14"/>
  <c r="F856" i="14"/>
  <c r="E856" i="14"/>
  <c r="D856" i="14"/>
  <c r="C856" i="14"/>
  <c r="AH856" i="14" s="1"/>
  <c r="B856" i="14"/>
  <c r="A856" i="14"/>
  <c r="Z855" i="14"/>
  <c r="Y855" i="14"/>
  <c r="X855" i="14"/>
  <c r="W855" i="14"/>
  <c r="V855" i="14"/>
  <c r="U855" i="14"/>
  <c r="T855" i="14"/>
  <c r="S855" i="14"/>
  <c r="R855" i="14"/>
  <c r="Q855" i="14"/>
  <c r="P855" i="14"/>
  <c r="O855" i="14"/>
  <c r="N855" i="14"/>
  <c r="M855" i="14"/>
  <c r="L855" i="14"/>
  <c r="K855" i="14"/>
  <c r="J855" i="14"/>
  <c r="I855" i="14"/>
  <c r="H855" i="14"/>
  <c r="G855" i="14"/>
  <c r="F855" i="14"/>
  <c r="E855" i="14"/>
  <c r="AG855" i="14" s="1"/>
  <c r="D855" i="14"/>
  <c r="C855" i="14"/>
  <c r="AH855" i="14" s="1"/>
  <c r="B855" i="14"/>
  <c r="A855" i="14"/>
  <c r="Z854" i="14"/>
  <c r="Y854" i="14"/>
  <c r="X854" i="14"/>
  <c r="W854" i="14"/>
  <c r="V854" i="14"/>
  <c r="U854" i="14"/>
  <c r="T854" i="14"/>
  <c r="S854" i="14"/>
  <c r="R854" i="14"/>
  <c r="Q854" i="14"/>
  <c r="P854" i="14"/>
  <c r="O854" i="14"/>
  <c r="N854" i="14"/>
  <c r="M854" i="14"/>
  <c r="L854" i="14"/>
  <c r="K854" i="14"/>
  <c r="J854" i="14"/>
  <c r="I854" i="14"/>
  <c r="H854" i="14"/>
  <c r="G854" i="14"/>
  <c r="F854" i="14"/>
  <c r="E854" i="14"/>
  <c r="D854" i="14"/>
  <c r="C854" i="14"/>
  <c r="B854" i="14"/>
  <c r="A854" i="14"/>
  <c r="Z853" i="14"/>
  <c r="Y853" i="14"/>
  <c r="X853" i="14"/>
  <c r="W853" i="14"/>
  <c r="V853" i="14"/>
  <c r="U853" i="14"/>
  <c r="T853" i="14"/>
  <c r="S853" i="14"/>
  <c r="R853" i="14"/>
  <c r="Q853" i="14"/>
  <c r="P853" i="14"/>
  <c r="O853" i="14"/>
  <c r="N853" i="14"/>
  <c r="M853" i="14"/>
  <c r="L853" i="14"/>
  <c r="K853" i="14"/>
  <c r="J853" i="14"/>
  <c r="I853" i="14"/>
  <c r="H853" i="14"/>
  <c r="G853" i="14"/>
  <c r="F853" i="14"/>
  <c r="E853" i="14"/>
  <c r="D853" i="14"/>
  <c r="C853" i="14"/>
  <c r="B853" i="14"/>
  <c r="A853" i="14"/>
  <c r="Z852" i="14"/>
  <c r="Y852" i="14"/>
  <c r="X852" i="14"/>
  <c r="W852" i="14"/>
  <c r="V852" i="14"/>
  <c r="U852" i="14"/>
  <c r="T852" i="14"/>
  <c r="S852" i="14"/>
  <c r="R852" i="14"/>
  <c r="Q852" i="14"/>
  <c r="P852" i="14"/>
  <c r="O852" i="14"/>
  <c r="N852" i="14"/>
  <c r="M852" i="14"/>
  <c r="L852" i="14"/>
  <c r="K852" i="14"/>
  <c r="J852" i="14"/>
  <c r="I852" i="14"/>
  <c r="H852" i="14"/>
  <c r="G852" i="14"/>
  <c r="F852" i="14"/>
  <c r="E852" i="14"/>
  <c r="D852" i="14"/>
  <c r="C852" i="14"/>
  <c r="AH852" i="14" s="1"/>
  <c r="B852" i="14"/>
  <c r="A852" i="14"/>
  <c r="Z851" i="14"/>
  <c r="Y851" i="14"/>
  <c r="X851" i="14"/>
  <c r="W851" i="14"/>
  <c r="V851" i="14"/>
  <c r="U851" i="14"/>
  <c r="T851" i="14"/>
  <c r="S851" i="14"/>
  <c r="R851" i="14"/>
  <c r="Q851" i="14"/>
  <c r="P851" i="14"/>
  <c r="O851" i="14"/>
  <c r="N851" i="14"/>
  <c r="M851" i="14"/>
  <c r="L851" i="14"/>
  <c r="K851" i="14"/>
  <c r="J851" i="14"/>
  <c r="I851" i="14"/>
  <c r="H851" i="14"/>
  <c r="G851" i="14"/>
  <c r="F851" i="14"/>
  <c r="E851" i="14"/>
  <c r="AG851" i="14" s="1"/>
  <c r="D851" i="14"/>
  <c r="C851" i="14"/>
  <c r="AH851" i="14" s="1"/>
  <c r="B851" i="14"/>
  <c r="A851" i="14"/>
  <c r="Z850" i="14"/>
  <c r="Y850" i="14"/>
  <c r="X850" i="14"/>
  <c r="W850" i="14"/>
  <c r="V850" i="14"/>
  <c r="U850" i="14"/>
  <c r="T850" i="14"/>
  <c r="S850" i="14"/>
  <c r="R850" i="14"/>
  <c r="Q850" i="14"/>
  <c r="P850" i="14"/>
  <c r="O850" i="14"/>
  <c r="N850" i="14"/>
  <c r="M850" i="14"/>
  <c r="L850" i="14"/>
  <c r="K850" i="14"/>
  <c r="J850" i="14"/>
  <c r="I850" i="14"/>
  <c r="H850" i="14"/>
  <c r="G850" i="14"/>
  <c r="F850" i="14"/>
  <c r="E850" i="14"/>
  <c r="D850" i="14"/>
  <c r="C850" i="14"/>
  <c r="B850" i="14"/>
  <c r="A850" i="14"/>
  <c r="Z849" i="14"/>
  <c r="Y849" i="14"/>
  <c r="X849" i="14"/>
  <c r="W849" i="14"/>
  <c r="V849" i="14"/>
  <c r="U849" i="14"/>
  <c r="T849" i="14"/>
  <c r="S849" i="14"/>
  <c r="R849" i="14"/>
  <c r="Q849" i="14"/>
  <c r="P849" i="14"/>
  <c r="O849" i="14"/>
  <c r="N849" i="14"/>
  <c r="M849" i="14"/>
  <c r="L849" i="14"/>
  <c r="K849" i="14"/>
  <c r="J849" i="14"/>
  <c r="I849" i="14"/>
  <c r="H849" i="14"/>
  <c r="G849" i="14"/>
  <c r="F849" i="14"/>
  <c r="E849" i="14"/>
  <c r="D849" i="14"/>
  <c r="C849" i="14"/>
  <c r="B849" i="14"/>
  <c r="A849" i="14"/>
  <c r="Z848" i="14"/>
  <c r="Y848" i="14"/>
  <c r="X848" i="14"/>
  <c r="W848" i="14"/>
  <c r="V848" i="14"/>
  <c r="U848" i="14"/>
  <c r="T848" i="14"/>
  <c r="S848" i="14"/>
  <c r="R848" i="14"/>
  <c r="Q848" i="14"/>
  <c r="P848" i="14"/>
  <c r="O848" i="14"/>
  <c r="N848" i="14"/>
  <c r="M848" i="14"/>
  <c r="L848" i="14"/>
  <c r="K848" i="14"/>
  <c r="J848" i="14"/>
  <c r="I848" i="14"/>
  <c r="H848" i="14"/>
  <c r="G848" i="14"/>
  <c r="F848" i="14"/>
  <c r="E848" i="14"/>
  <c r="D848" i="14"/>
  <c r="C848" i="14"/>
  <c r="AH848" i="14" s="1"/>
  <c r="B848" i="14"/>
  <c r="A848" i="14"/>
  <c r="Z847" i="14"/>
  <c r="Y847" i="14"/>
  <c r="X847" i="14"/>
  <c r="W847" i="14"/>
  <c r="V847" i="14"/>
  <c r="U847" i="14"/>
  <c r="T847" i="14"/>
  <c r="S847" i="14"/>
  <c r="R847" i="14"/>
  <c r="Q847" i="14"/>
  <c r="P847" i="14"/>
  <c r="O847" i="14"/>
  <c r="N847" i="14"/>
  <c r="M847" i="14"/>
  <c r="L847" i="14"/>
  <c r="K847" i="14"/>
  <c r="J847" i="14"/>
  <c r="I847" i="14"/>
  <c r="H847" i="14"/>
  <c r="G847" i="14"/>
  <c r="F847" i="14"/>
  <c r="E847" i="14"/>
  <c r="AG847" i="14" s="1"/>
  <c r="D847" i="14"/>
  <c r="C847" i="14"/>
  <c r="AH847" i="14" s="1"/>
  <c r="B847" i="14"/>
  <c r="A847" i="14"/>
  <c r="Z846" i="14"/>
  <c r="Y846" i="14"/>
  <c r="X846" i="14"/>
  <c r="W846" i="14"/>
  <c r="V846" i="14"/>
  <c r="U846" i="14"/>
  <c r="T846" i="14"/>
  <c r="S846" i="14"/>
  <c r="R846" i="14"/>
  <c r="Q846" i="14"/>
  <c r="P846" i="14"/>
  <c r="O846" i="14"/>
  <c r="N846" i="14"/>
  <c r="M846" i="14"/>
  <c r="L846" i="14"/>
  <c r="K846" i="14"/>
  <c r="J846" i="14"/>
  <c r="I846" i="14"/>
  <c r="H846" i="14"/>
  <c r="G846" i="14"/>
  <c r="F846" i="14"/>
  <c r="E846" i="14"/>
  <c r="D846" i="14"/>
  <c r="C846" i="14"/>
  <c r="B846" i="14"/>
  <c r="A846" i="14"/>
  <c r="Z845" i="14"/>
  <c r="Y845" i="14"/>
  <c r="X845" i="14"/>
  <c r="W845" i="14"/>
  <c r="V845" i="14"/>
  <c r="U845" i="14"/>
  <c r="T845" i="14"/>
  <c r="S845" i="14"/>
  <c r="R845" i="14"/>
  <c r="Q845" i="14"/>
  <c r="P845" i="14"/>
  <c r="O845" i="14"/>
  <c r="N845" i="14"/>
  <c r="M845" i="14"/>
  <c r="L845" i="14"/>
  <c r="K845" i="14"/>
  <c r="J845" i="14"/>
  <c r="I845" i="14"/>
  <c r="H845" i="14"/>
  <c r="G845" i="14"/>
  <c r="F845" i="14"/>
  <c r="E845" i="14"/>
  <c r="D845" i="14"/>
  <c r="C845" i="14"/>
  <c r="B845" i="14"/>
  <c r="A845" i="14"/>
  <c r="Z844" i="14"/>
  <c r="Y844" i="14"/>
  <c r="X844" i="14"/>
  <c r="W844" i="14"/>
  <c r="V844" i="14"/>
  <c r="U844" i="14"/>
  <c r="T844" i="14"/>
  <c r="S844" i="14"/>
  <c r="R844" i="14"/>
  <c r="Q844" i="14"/>
  <c r="P844" i="14"/>
  <c r="O844" i="14"/>
  <c r="N844" i="14"/>
  <c r="M844" i="14"/>
  <c r="L844" i="14"/>
  <c r="K844" i="14"/>
  <c r="J844" i="14"/>
  <c r="I844" i="14"/>
  <c r="H844" i="14"/>
  <c r="G844" i="14"/>
  <c r="F844" i="14"/>
  <c r="E844" i="14"/>
  <c r="D844" i="14"/>
  <c r="C844" i="14"/>
  <c r="AH844" i="14" s="1"/>
  <c r="B844" i="14"/>
  <c r="A844" i="14"/>
  <c r="Z843" i="14"/>
  <c r="Y843" i="14"/>
  <c r="X843" i="14"/>
  <c r="W843" i="14"/>
  <c r="V843" i="14"/>
  <c r="U843" i="14"/>
  <c r="T843" i="14"/>
  <c r="S843" i="14"/>
  <c r="R843" i="14"/>
  <c r="Q843" i="14"/>
  <c r="P843" i="14"/>
  <c r="O843" i="14"/>
  <c r="N843" i="14"/>
  <c r="M843" i="14"/>
  <c r="L843" i="14"/>
  <c r="K843" i="14"/>
  <c r="J843" i="14"/>
  <c r="I843" i="14"/>
  <c r="H843" i="14"/>
  <c r="G843" i="14"/>
  <c r="F843" i="14"/>
  <c r="E843" i="14"/>
  <c r="AG843" i="14" s="1"/>
  <c r="D843" i="14"/>
  <c r="C843" i="14"/>
  <c r="AH843" i="14" s="1"/>
  <c r="B843" i="14"/>
  <c r="A843" i="14"/>
  <c r="Z842" i="14"/>
  <c r="Y842" i="14"/>
  <c r="X842" i="14"/>
  <c r="W842" i="14"/>
  <c r="V842" i="14"/>
  <c r="U842" i="14"/>
  <c r="T842" i="14"/>
  <c r="S842" i="14"/>
  <c r="R842" i="14"/>
  <c r="Q842" i="14"/>
  <c r="P842" i="14"/>
  <c r="O842" i="14"/>
  <c r="N842" i="14"/>
  <c r="M842" i="14"/>
  <c r="L842" i="14"/>
  <c r="K842" i="14"/>
  <c r="J842" i="14"/>
  <c r="I842" i="14"/>
  <c r="H842" i="14"/>
  <c r="G842" i="14"/>
  <c r="F842" i="14"/>
  <c r="E842" i="14"/>
  <c r="D842" i="14"/>
  <c r="C842" i="14"/>
  <c r="B842" i="14"/>
  <c r="A842" i="14"/>
  <c r="Z841" i="14"/>
  <c r="Y841" i="14"/>
  <c r="X841" i="14"/>
  <c r="W841" i="14"/>
  <c r="V841" i="14"/>
  <c r="U841" i="14"/>
  <c r="T841" i="14"/>
  <c r="S841" i="14"/>
  <c r="R841" i="14"/>
  <c r="Q841" i="14"/>
  <c r="P841" i="14"/>
  <c r="O841" i="14"/>
  <c r="N841" i="14"/>
  <c r="M841" i="14"/>
  <c r="L841" i="14"/>
  <c r="K841" i="14"/>
  <c r="J841" i="14"/>
  <c r="I841" i="14"/>
  <c r="H841" i="14"/>
  <c r="G841" i="14"/>
  <c r="F841" i="14"/>
  <c r="E841" i="14"/>
  <c r="D841" i="14"/>
  <c r="C841" i="14"/>
  <c r="B841" i="14"/>
  <c r="A841" i="14"/>
  <c r="Z840" i="14"/>
  <c r="Y840" i="14"/>
  <c r="X840" i="14"/>
  <c r="W840" i="14"/>
  <c r="V840" i="14"/>
  <c r="U840" i="14"/>
  <c r="T840" i="14"/>
  <c r="S840" i="14"/>
  <c r="R840" i="14"/>
  <c r="Q840" i="14"/>
  <c r="P840" i="14"/>
  <c r="O840" i="14"/>
  <c r="N840" i="14"/>
  <c r="M840" i="14"/>
  <c r="L840" i="14"/>
  <c r="K840" i="14"/>
  <c r="J840" i="14"/>
  <c r="I840" i="14"/>
  <c r="H840" i="14"/>
  <c r="G840" i="14"/>
  <c r="F840" i="14"/>
  <c r="E840" i="14"/>
  <c r="D840" i="14"/>
  <c r="C840" i="14"/>
  <c r="AH840" i="14" s="1"/>
  <c r="B840" i="14"/>
  <c r="A840" i="14"/>
  <c r="Z839" i="14"/>
  <c r="Y839" i="14"/>
  <c r="X839" i="14"/>
  <c r="W839" i="14"/>
  <c r="V839" i="14"/>
  <c r="U839" i="14"/>
  <c r="T839" i="14"/>
  <c r="S839" i="14"/>
  <c r="R839" i="14"/>
  <c r="Q839" i="14"/>
  <c r="P839" i="14"/>
  <c r="O839" i="14"/>
  <c r="N839" i="14"/>
  <c r="M839" i="14"/>
  <c r="L839" i="14"/>
  <c r="K839" i="14"/>
  <c r="J839" i="14"/>
  <c r="I839" i="14"/>
  <c r="H839" i="14"/>
  <c r="G839" i="14"/>
  <c r="F839" i="14"/>
  <c r="E839" i="14"/>
  <c r="AG839" i="14" s="1"/>
  <c r="D839" i="14"/>
  <c r="C839" i="14"/>
  <c r="AH839" i="14" s="1"/>
  <c r="B839" i="14"/>
  <c r="A839" i="14"/>
  <c r="Z838" i="14"/>
  <c r="Y838" i="14"/>
  <c r="X838" i="14"/>
  <c r="W838" i="14"/>
  <c r="V838" i="14"/>
  <c r="U838" i="14"/>
  <c r="T838" i="14"/>
  <c r="S838" i="14"/>
  <c r="R838" i="14"/>
  <c r="Q838" i="14"/>
  <c r="P838" i="14"/>
  <c r="O838" i="14"/>
  <c r="N838" i="14"/>
  <c r="M838" i="14"/>
  <c r="L838" i="14"/>
  <c r="K838" i="14"/>
  <c r="J838" i="14"/>
  <c r="I838" i="14"/>
  <c r="H838" i="14"/>
  <c r="G838" i="14"/>
  <c r="F838" i="14"/>
  <c r="E838" i="14"/>
  <c r="D838" i="14"/>
  <c r="C838" i="14"/>
  <c r="B838" i="14"/>
  <c r="A838" i="14"/>
  <c r="Z837" i="14"/>
  <c r="Y837" i="14"/>
  <c r="X837" i="14"/>
  <c r="W837" i="14"/>
  <c r="V837" i="14"/>
  <c r="U837" i="14"/>
  <c r="T837" i="14"/>
  <c r="S837" i="14"/>
  <c r="R837" i="14"/>
  <c r="Q837" i="14"/>
  <c r="P837" i="14"/>
  <c r="O837" i="14"/>
  <c r="N837" i="14"/>
  <c r="M837" i="14"/>
  <c r="L837" i="14"/>
  <c r="K837" i="14"/>
  <c r="J837" i="14"/>
  <c r="I837" i="14"/>
  <c r="H837" i="14"/>
  <c r="G837" i="14"/>
  <c r="F837" i="14"/>
  <c r="E837" i="14"/>
  <c r="D837" i="14"/>
  <c r="C837" i="14"/>
  <c r="B837" i="14"/>
  <c r="A837" i="14"/>
  <c r="Z836" i="14"/>
  <c r="Y836" i="14"/>
  <c r="X836" i="14"/>
  <c r="W836" i="14"/>
  <c r="V836" i="14"/>
  <c r="U836" i="14"/>
  <c r="T836" i="14"/>
  <c r="S836" i="14"/>
  <c r="R836" i="14"/>
  <c r="Q836" i="14"/>
  <c r="P836" i="14"/>
  <c r="O836" i="14"/>
  <c r="N836" i="14"/>
  <c r="M836" i="14"/>
  <c r="L836" i="14"/>
  <c r="K836" i="14"/>
  <c r="J836" i="14"/>
  <c r="I836" i="14"/>
  <c r="H836" i="14"/>
  <c r="G836" i="14"/>
  <c r="F836" i="14"/>
  <c r="E836" i="14"/>
  <c r="D836" i="14"/>
  <c r="C836" i="14"/>
  <c r="AH836" i="14" s="1"/>
  <c r="B836" i="14"/>
  <c r="A836" i="14"/>
  <c r="Z835" i="14"/>
  <c r="Y835" i="14"/>
  <c r="X835" i="14"/>
  <c r="W835" i="14"/>
  <c r="V835" i="14"/>
  <c r="U835" i="14"/>
  <c r="T835" i="14"/>
  <c r="S835" i="14"/>
  <c r="R835" i="14"/>
  <c r="Q835" i="14"/>
  <c r="P835" i="14"/>
  <c r="O835" i="14"/>
  <c r="N835" i="14"/>
  <c r="M835" i="14"/>
  <c r="L835" i="14"/>
  <c r="K835" i="14"/>
  <c r="J835" i="14"/>
  <c r="I835" i="14"/>
  <c r="H835" i="14"/>
  <c r="G835" i="14"/>
  <c r="F835" i="14"/>
  <c r="E835" i="14"/>
  <c r="AG835" i="14" s="1"/>
  <c r="D835" i="14"/>
  <c r="C835" i="14"/>
  <c r="AH835" i="14" s="1"/>
  <c r="B835" i="14"/>
  <c r="A835" i="14"/>
  <c r="Z834" i="14"/>
  <c r="Y834" i="14"/>
  <c r="X834" i="14"/>
  <c r="W834" i="14"/>
  <c r="V834" i="14"/>
  <c r="U834" i="14"/>
  <c r="T834" i="14"/>
  <c r="S834" i="14"/>
  <c r="R834" i="14"/>
  <c r="Q834" i="14"/>
  <c r="P834" i="14"/>
  <c r="O834" i="14"/>
  <c r="N834" i="14"/>
  <c r="M834" i="14"/>
  <c r="L834" i="14"/>
  <c r="K834" i="14"/>
  <c r="J834" i="14"/>
  <c r="I834" i="14"/>
  <c r="H834" i="14"/>
  <c r="G834" i="14"/>
  <c r="F834" i="14"/>
  <c r="E834" i="14"/>
  <c r="D834" i="14"/>
  <c r="C834" i="14"/>
  <c r="B834" i="14"/>
  <c r="A834" i="14"/>
  <c r="Z833" i="14"/>
  <c r="Y833" i="14"/>
  <c r="X833" i="14"/>
  <c r="W833" i="14"/>
  <c r="V833" i="14"/>
  <c r="U833" i="14"/>
  <c r="T833" i="14"/>
  <c r="S833" i="14"/>
  <c r="R833" i="14"/>
  <c r="Q833" i="14"/>
  <c r="P833" i="14"/>
  <c r="O833" i="14"/>
  <c r="N833" i="14"/>
  <c r="M833" i="14"/>
  <c r="L833" i="14"/>
  <c r="K833" i="14"/>
  <c r="J833" i="14"/>
  <c r="I833" i="14"/>
  <c r="H833" i="14"/>
  <c r="G833" i="14"/>
  <c r="F833" i="14"/>
  <c r="E833" i="14"/>
  <c r="D833" i="14"/>
  <c r="C833" i="14"/>
  <c r="B833" i="14"/>
  <c r="A833" i="14"/>
  <c r="Z832" i="14"/>
  <c r="Y832" i="14"/>
  <c r="X832" i="14"/>
  <c r="W832" i="14"/>
  <c r="V832" i="14"/>
  <c r="U832" i="14"/>
  <c r="T832" i="14"/>
  <c r="S832" i="14"/>
  <c r="R832" i="14"/>
  <c r="Q832" i="14"/>
  <c r="P832" i="14"/>
  <c r="O832" i="14"/>
  <c r="N832" i="14"/>
  <c r="M832" i="14"/>
  <c r="L832" i="14"/>
  <c r="K832" i="14"/>
  <c r="J832" i="14"/>
  <c r="I832" i="14"/>
  <c r="H832" i="14"/>
  <c r="G832" i="14"/>
  <c r="F832" i="14"/>
  <c r="E832" i="14"/>
  <c r="D832" i="14"/>
  <c r="C832" i="14"/>
  <c r="AH832" i="14" s="1"/>
  <c r="B832" i="14"/>
  <c r="A832" i="14"/>
  <c r="Z831" i="14"/>
  <c r="Y831" i="14"/>
  <c r="X831" i="14"/>
  <c r="W831" i="14"/>
  <c r="V831" i="14"/>
  <c r="U831" i="14"/>
  <c r="T831" i="14"/>
  <c r="S831" i="14"/>
  <c r="R831" i="14"/>
  <c r="Q831" i="14"/>
  <c r="P831" i="14"/>
  <c r="O831" i="14"/>
  <c r="N831" i="14"/>
  <c r="M831" i="14"/>
  <c r="L831" i="14"/>
  <c r="K831" i="14"/>
  <c r="J831" i="14"/>
  <c r="I831" i="14"/>
  <c r="H831" i="14"/>
  <c r="G831" i="14"/>
  <c r="F831" i="14"/>
  <c r="E831" i="14"/>
  <c r="AG831" i="14" s="1"/>
  <c r="D831" i="14"/>
  <c r="C831" i="14"/>
  <c r="AH831" i="14" s="1"/>
  <c r="B831" i="14"/>
  <c r="A831" i="14"/>
  <c r="Z830" i="14"/>
  <c r="Y830" i="14"/>
  <c r="X830" i="14"/>
  <c r="W830" i="14"/>
  <c r="V830" i="14"/>
  <c r="U830" i="14"/>
  <c r="T830" i="14"/>
  <c r="S830" i="14"/>
  <c r="R830" i="14"/>
  <c r="Q830" i="14"/>
  <c r="P830" i="14"/>
  <c r="O830" i="14"/>
  <c r="N830" i="14"/>
  <c r="M830" i="14"/>
  <c r="L830" i="14"/>
  <c r="K830" i="14"/>
  <c r="J830" i="14"/>
  <c r="I830" i="14"/>
  <c r="H830" i="14"/>
  <c r="G830" i="14"/>
  <c r="F830" i="14"/>
  <c r="E830" i="14"/>
  <c r="D830" i="14"/>
  <c r="C830" i="14"/>
  <c r="B830" i="14"/>
  <c r="A830" i="14"/>
  <c r="Z829" i="14"/>
  <c r="Y829" i="14"/>
  <c r="X829" i="14"/>
  <c r="W829" i="14"/>
  <c r="V829" i="14"/>
  <c r="U829" i="14"/>
  <c r="T829" i="14"/>
  <c r="S829" i="14"/>
  <c r="R829" i="14"/>
  <c r="Q829" i="14"/>
  <c r="P829" i="14"/>
  <c r="O829" i="14"/>
  <c r="N829" i="14"/>
  <c r="M829" i="14"/>
  <c r="L829" i="14"/>
  <c r="K829" i="14"/>
  <c r="J829" i="14"/>
  <c r="I829" i="14"/>
  <c r="H829" i="14"/>
  <c r="G829" i="14"/>
  <c r="F829" i="14"/>
  <c r="E829" i="14"/>
  <c r="D829" i="14"/>
  <c r="C829" i="14"/>
  <c r="B829" i="14"/>
  <c r="A829" i="14"/>
  <c r="Z828" i="14"/>
  <c r="Y828" i="14"/>
  <c r="X828" i="14"/>
  <c r="W828" i="14"/>
  <c r="V828" i="14"/>
  <c r="U828" i="14"/>
  <c r="T828" i="14"/>
  <c r="S828" i="14"/>
  <c r="R828" i="14"/>
  <c r="Q828" i="14"/>
  <c r="P828" i="14"/>
  <c r="O828" i="14"/>
  <c r="N828" i="14"/>
  <c r="M828" i="14"/>
  <c r="L828" i="14"/>
  <c r="K828" i="14"/>
  <c r="J828" i="14"/>
  <c r="I828" i="14"/>
  <c r="H828" i="14"/>
  <c r="G828" i="14"/>
  <c r="F828" i="14"/>
  <c r="E828" i="14"/>
  <c r="D828" i="14"/>
  <c r="C828" i="14"/>
  <c r="AH828" i="14" s="1"/>
  <c r="B828" i="14"/>
  <c r="A828" i="14"/>
  <c r="Z827" i="14"/>
  <c r="Y827" i="14"/>
  <c r="X827" i="14"/>
  <c r="W827" i="14"/>
  <c r="V827" i="14"/>
  <c r="U827" i="14"/>
  <c r="T827" i="14"/>
  <c r="S827" i="14"/>
  <c r="R827" i="14"/>
  <c r="Q827" i="14"/>
  <c r="P827" i="14"/>
  <c r="O827" i="14"/>
  <c r="N827" i="14"/>
  <c r="M827" i="14"/>
  <c r="L827" i="14"/>
  <c r="K827" i="14"/>
  <c r="J827" i="14"/>
  <c r="I827" i="14"/>
  <c r="H827" i="14"/>
  <c r="G827" i="14"/>
  <c r="F827" i="14"/>
  <c r="E827" i="14"/>
  <c r="AG827" i="14" s="1"/>
  <c r="D827" i="14"/>
  <c r="C827" i="14"/>
  <c r="AH827" i="14" s="1"/>
  <c r="B827" i="14"/>
  <c r="A827" i="14"/>
  <c r="Z826" i="14"/>
  <c r="Y826" i="14"/>
  <c r="X826" i="14"/>
  <c r="W826" i="14"/>
  <c r="V826" i="14"/>
  <c r="U826" i="14"/>
  <c r="T826" i="14"/>
  <c r="S826" i="14"/>
  <c r="R826" i="14"/>
  <c r="Q826" i="14"/>
  <c r="P826" i="14"/>
  <c r="O826" i="14"/>
  <c r="N826" i="14"/>
  <c r="M826" i="14"/>
  <c r="L826" i="14"/>
  <c r="K826" i="14"/>
  <c r="J826" i="14"/>
  <c r="I826" i="14"/>
  <c r="H826" i="14"/>
  <c r="G826" i="14"/>
  <c r="F826" i="14"/>
  <c r="E826" i="14"/>
  <c r="D826" i="14"/>
  <c r="C826" i="14"/>
  <c r="B826" i="14"/>
  <c r="A826" i="14"/>
  <c r="Z825" i="14"/>
  <c r="Y825" i="14"/>
  <c r="X825" i="14"/>
  <c r="W825" i="14"/>
  <c r="V825" i="14"/>
  <c r="U825" i="14"/>
  <c r="T825" i="14"/>
  <c r="S825" i="14"/>
  <c r="R825" i="14"/>
  <c r="Q825" i="14"/>
  <c r="P825" i="14"/>
  <c r="O825" i="14"/>
  <c r="N825" i="14"/>
  <c r="M825" i="14"/>
  <c r="L825" i="14"/>
  <c r="K825" i="14"/>
  <c r="J825" i="14"/>
  <c r="I825" i="14"/>
  <c r="H825" i="14"/>
  <c r="G825" i="14"/>
  <c r="F825" i="14"/>
  <c r="E825" i="14"/>
  <c r="D825" i="14"/>
  <c r="C825" i="14"/>
  <c r="B825" i="14"/>
  <c r="A825" i="14"/>
  <c r="Z824" i="14"/>
  <c r="Y824" i="14"/>
  <c r="X824" i="14"/>
  <c r="W824" i="14"/>
  <c r="V824" i="14"/>
  <c r="U824" i="14"/>
  <c r="T824" i="14"/>
  <c r="S824" i="14"/>
  <c r="R824" i="14"/>
  <c r="Q824" i="14"/>
  <c r="P824" i="14"/>
  <c r="O824" i="14"/>
  <c r="N824" i="14"/>
  <c r="M824" i="14"/>
  <c r="L824" i="14"/>
  <c r="K824" i="14"/>
  <c r="J824" i="14"/>
  <c r="I824" i="14"/>
  <c r="H824" i="14"/>
  <c r="G824" i="14"/>
  <c r="F824" i="14"/>
  <c r="E824" i="14"/>
  <c r="D824" i="14"/>
  <c r="C824" i="14"/>
  <c r="AH824" i="14" s="1"/>
  <c r="B824" i="14"/>
  <c r="A824" i="14"/>
  <c r="Z823" i="14"/>
  <c r="Y823" i="14"/>
  <c r="X823" i="14"/>
  <c r="W823" i="14"/>
  <c r="V823" i="14"/>
  <c r="U823" i="14"/>
  <c r="T823" i="14"/>
  <c r="S823" i="14"/>
  <c r="R823" i="14"/>
  <c r="Q823" i="14"/>
  <c r="P823" i="14"/>
  <c r="O823" i="14"/>
  <c r="N823" i="14"/>
  <c r="M823" i="14"/>
  <c r="L823" i="14"/>
  <c r="K823" i="14"/>
  <c r="J823" i="14"/>
  <c r="I823" i="14"/>
  <c r="H823" i="14"/>
  <c r="G823" i="14"/>
  <c r="F823" i="14"/>
  <c r="E823" i="14"/>
  <c r="AG823" i="14" s="1"/>
  <c r="D823" i="14"/>
  <c r="C823" i="14"/>
  <c r="AH823" i="14" s="1"/>
  <c r="B823" i="14"/>
  <c r="A823" i="14"/>
  <c r="Z822" i="14"/>
  <c r="Y822" i="14"/>
  <c r="X822" i="14"/>
  <c r="W822" i="14"/>
  <c r="V822" i="14"/>
  <c r="U822" i="14"/>
  <c r="T822" i="14"/>
  <c r="S822" i="14"/>
  <c r="R822" i="14"/>
  <c r="Q822" i="14"/>
  <c r="P822" i="14"/>
  <c r="O822" i="14"/>
  <c r="N822" i="14"/>
  <c r="M822" i="14"/>
  <c r="L822" i="14"/>
  <c r="K822" i="14"/>
  <c r="J822" i="14"/>
  <c r="I822" i="14"/>
  <c r="H822" i="14"/>
  <c r="G822" i="14"/>
  <c r="F822" i="14"/>
  <c r="E822" i="14"/>
  <c r="D822" i="14"/>
  <c r="C822" i="14"/>
  <c r="B822" i="14"/>
  <c r="A822" i="14"/>
  <c r="Z821" i="14"/>
  <c r="Y821" i="14"/>
  <c r="X821" i="14"/>
  <c r="W821" i="14"/>
  <c r="V821" i="14"/>
  <c r="U821" i="14"/>
  <c r="T821" i="14"/>
  <c r="S821" i="14"/>
  <c r="R821" i="14"/>
  <c r="Q821" i="14"/>
  <c r="P821" i="14"/>
  <c r="O821" i="14"/>
  <c r="N821" i="14"/>
  <c r="M821" i="14"/>
  <c r="L821" i="14"/>
  <c r="K821" i="14"/>
  <c r="J821" i="14"/>
  <c r="I821" i="14"/>
  <c r="H821" i="14"/>
  <c r="G821" i="14"/>
  <c r="F821" i="14"/>
  <c r="E821" i="14"/>
  <c r="D821" i="14"/>
  <c r="C821" i="14"/>
  <c r="B821" i="14"/>
  <c r="A821" i="14"/>
  <c r="Z820" i="14"/>
  <c r="Y820" i="14"/>
  <c r="X820" i="14"/>
  <c r="W820" i="14"/>
  <c r="V820" i="14"/>
  <c r="U820" i="14"/>
  <c r="T820" i="14"/>
  <c r="S820" i="14"/>
  <c r="R820" i="14"/>
  <c r="Q820" i="14"/>
  <c r="P820" i="14"/>
  <c r="O820" i="14"/>
  <c r="N820" i="14"/>
  <c r="M820" i="14"/>
  <c r="L820" i="14"/>
  <c r="K820" i="14"/>
  <c r="J820" i="14"/>
  <c r="I820" i="14"/>
  <c r="H820" i="14"/>
  <c r="G820" i="14"/>
  <c r="F820" i="14"/>
  <c r="E820" i="14"/>
  <c r="D820" i="14"/>
  <c r="C820" i="14"/>
  <c r="AH820" i="14" s="1"/>
  <c r="B820" i="14"/>
  <c r="A820" i="14"/>
  <c r="Z819" i="14"/>
  <c r="Y819" i="14"/>
  <c r="X819" i="14"/>
  <c r="W819" i="14"/>
  <c r="V819" i="14"/>
  <c r="U819" i="14"/>
  <c r="T819" i="14"/>
  <c r="S819" i="14"/>
  <c r="R819" i="14"/>
  <c r="Q819" i="14"/>
  <c r="P819" i="14"/>
  <c r="O819" i="14"/>
  <c r="N819" i="14"/>
  <c r="M819" i="14"/>
  <c r="L819" i="14"/>
  <c r="K819" i="14"/>
  <c r="J819" i="14"/>
  <c r="I819" i="14"/>
  <c r="H819" i="14"/>
  <c r="G819" i="14"/>
  <c r="F819" i="14"/>
  <c r="E819" i="14"/>
  <c r="D819" i="14"/>
  <c r="C819" i="14"/>
  <c r="AH819" i="14" s="1"/>
  <c r="B819" i="14"/>
  <c r="A819" i="14"/>
  <c r="Z818" i="14"/>
  <c r="Y818" i="14"/>
  <c r="X818" i="14"/>
  <c r="W818" i="14"/>
  <c r="V818" i="14"/>
  <c r="U818" i="14"/>
  <c r="T818" i="14"/>
  <c r="S818" i="14"/>
  <c r="R818" i="14"/>
  <c r="Q818" i="14"/>
  <c r="P818" i="14"/>
  <c r="O818" i="14"/>
  <c r="N818" i="14"/>
  <c r="M818" i="14"/>
  <c r="L818" i="14"/>
  <c r="K818" i="14"/>
  <c r="J818" i="14"/>
  <c r="I818" i="14"/>
  <c r="H818" i="14"/>
  <c r="G818" i="14"/>
  <c r="F818" i="14"/>
  <c r="E818" i="14"/>
  <c r="D818" i="14"/>
  <c r="C818" i="14"/>
  <c r="B818" i="14"/>
  <c r="A818" i="14"/>
  <c r="Z817" i="14"/>
  <c r="Y817" i="14"/>
  <c r="X817" i="14"/>
  <c r="W817" i="14"/>
  <c r="V817" i="14"/>
  <c r="U817" i="14"/>
  <c r="T817" i="14"/>
  <c r="S817" i="14"/>
  <c r="R817" i="14"/>
  <c r="Q817" i="14"/>
  <c r="P817" i="14"/>
  <c r="O817" i="14"/>
  <c r="N817" i="14"/>
  <c r="M817" i="14"/>
  <c r="L817" i="14"/>
  <c r="K817" i="14"/>
  <c r="J817" i="14"/>
  <c r="I817" i="14"/>
  <c r="H817" i="14"/>
  <c r="G817" i="14"/>
  <c r="F817" i="14"/>
  <c r="E817" i="14"/>
  <c r="D817" i="14"/>
  <c r="C817" i="14"/>
  <c r="B817" i="14"/>
  <c r="A817" i="14"/>
  <c r="Z816" i="14"/>
  <c r="Y816" i="14"/>
  <c r="X816" i="14"/>
  <c r="W816" i="14"/>
  <c r="V816" i="14"/>
  <c r="U816" i="14"/>
  <c r="T816" i="14"/>
  <c r="S816" i="14"/>
  <c r="R816" i="14"/>
  <c r="Q816" i="14"/>
  <c r="P816" i="14"/>
  <c r="O816" i="14"/>
  <c r="N816" i="14"/>
  <c r="M816" i="14"/>
  <c r="L816" i="14"/>
  <c r="K816" i="14"/>
  <c r="J816" i="14"/>
  <c r="I816" i="14"/>
  <c r="H816" i="14"/>
  <c r="G816" i="14"/>
  <c r="F816" i="14"/>
  <c r="E816" i="14"/>
  <c r="D816" i="14"/>
  <c r="C816" i="14"/>
  <c r="AH816" i="14" s="1"/>
  <c r="B816" i="14"/>
  <c r="A816" i="14"/>
  <c r="Z815" i="14"/>
  <c r="Y815" i="14"/>
  <c r="X815" i="14"/>
  <c r="W815" i="14"/>
  <c r="V815" i="14"/>
  <c r="U815" i="14"/>
  <c r="T815" i="14"/>
  <c r="S815" i="14"/>
  <c r="R815" i="14"/>
  <c r="Q815" i="14"/>
  <c r="P815" i="14"/>
  <c r="O815" i="14"/>
  <c r="N815" i="14"/>
  <c r="M815" i="14"/>
  <c r="L815" i="14"/>
  <c r="K815" i="14"/>
  <c r="J815" i="14"/>
  <c r="I815" i="14"/>
  <c r="H815" i="14"/>
  <c r="G815" i="14"/>
  <c r="F815" i="14"/>
  <c r="E815" i="14"/>
  <c r="D815" i="14"/>
  <c r="C815" i="14"/>
  <c r="B815" i="14"/>
  <c r="A815" i="14"/>
  <c r="Z814" i="14"/>
  <c r="Y814" i="14"/>
  <c r="X814" i="14"/>
  <c r="W814" i="14"/>
  <c r="V814" i="14"/>
  <c r="U814" i="14"/>
  <c r="T814" i="14"/>
  <c r="S814" i="14"/>
  <c r="R814" i="14"/>
  <c r="Q814" i="14"/>
  <c r="P814" i="14"/>
  <c r="O814" i="14"/>
  <c r="N814" i="14"/>
  <c r="M814" i="14"/>
  <c r="L814" i="14"/>
  <c r="K814" i="14"/>
  <c r="J814" i="14"/>
  <c r="I814" i="14"/>
  <c r="H814" i="14"/>
  <c r="G814" i="14"/>
  <c r="F814" i="14"/>
  <c r="E814" i="14"/>
  <c r="D814" i="14"/>
  <c r="C814" i="14"/>
  <c r="B814" i="14"/>
  <c r="A814" i="14"/>
  <c r="Z813" i="14"/>
  <c r="Y813" i="14"/>
  <c r="X813" i="14"/>
  <c r="W813" i="14"/>
  <c r="V813" i="14"/>
  <c r="U813" i="14"/>
  <c r="T813" i="14"/>
  <c r="S813" i="14"/>
  <c r="R813" i="14"/>
  <c r="Q813" i="14"/>
  <c r="P813" i="14"/>
  <c r="O813" i="14"/>
  <c r="N813" i="14"/>
  <c r="M813" i="14"/>
  <c r="L813" i="14"/>
  <c r="K813" i="14"/>
  <c r="J813" i="14"/>
  <c r="I813" i="14"/>
  <c r="H813" i="14"/>
  <c r="G813" i="14"/>
  <c r="F813" i="14"/>
  <c r="E813" i="14"/>
  <c r="D813" i="14"/>
  <c r="C813" i="14"/>
  <c r="B813" i="14"/>
  <c r="A813" i="14"/>
  <c r="Z812" i="14"/>
  <c r="Y812" i="14"/>
  <c r="X812" i="14"/>
  <c r="W812" i="14"/>
  <c r="V812" i="14"/>
  <c r="U812" i="14"/>
  <c r="T812" i="14"/>
  <c r="S812" i="14"/>
  <c r="R812" i="14"/>
  <c r="Q812" i="14"/>
  <c r="P812" i="14"/>
  <c r="O812" i="14"/>
  <c r="N812" i="14"/>
  <c r="M812" i="14"/>
  <c r="L812" i="14"/>
  <c r="K812" i="14"/>
  <c r="J812" i="14"/>
  <c r="I812" i="14"/>
  <c r="H812" i="14"/>
  <c r="G812" i="14"/>
  <c r="F812" i="14"/>
  <c r="E812" i="14"/>
  <c r="D812" i="14"/>
  <c r="C812" i="14"/>
  <c r="AH812" i="14" s="1"/>
  <c r="B812" i="14"/>
  <c r="A812" i="14"/>
  <c r="Z811" i="14"/>
  <c r="Y811" i="14"/>
  <c r="X811" i="14"/>
  <c r="W811" i="14"/>
  <c r="V811" i="14"/>
  <c r="U811" i="14"/>
  <c r="T811" i="14"/>
  <c r="S811" i="14"/>
  <c r="R811" i="14"/>
  <c r="Q811" i="14"/>
  <c r="P811" i="14"/>
  <c r="O811" i="14"/>
  <c r="N811" i="14"/>
  <c r="M811" i="14"/>
  <c r="L811" i="14"/>
  <c r="K811" i="14"/>
  <c r="J811" i="14"/>
  <c r="I811" i="14"/>
  <c r="H811" i="14"/>
  <c r="G811" i="14"/>
  <c r="F811" i="14"/>
  <c r="E811" i="14"/>
  <c r="D811" i="14"/>
  <c r="C811" i="14"/>
  <c r="B811" i="14"/>
  <c r="A811" i="14"/>
  <c r="Z810" i="14"/>
  <c r="Y810" i="14"/>
  <c r="X810" i="14"/>
  <c r="W810" i="14"/>
  <c r="V810" i="14"/>
  <c r="U810" i="14"/>
  <c r="T810" i="14"/>
  <c r="S810" i="14"/>
  <c r="R810" i="14"/>
  <c r="Q810" i="14"/>
  <c r="P810" i="14"/>
  <c r="O810" i="14"/>
  <c r="N810" i="14"/>
  <c r="M810" i="14"/>
  <c r="L810" i="14"/>
  <c r="K810" i="14"/>
  <c r="J810" i="14"/>
  <c r="I810" i="14"/>
  <c r="H810" i="14"/>
  <c r="G810" i="14"/>
  <c r="F810" i="14"/>
  <c r="E810" i="14"/>
  <c r="D810" i="14"/>
  <c r="C810" i="14"/>
  <c r="B810" i="14"/>
  <c r="A810" i="14"/>
  <c r="Z809" i="14"/>
  <c r="Y809" i="14"/>
  <c r="X809" i="14"/>
  <c r="W809" i="14"/>
  <c r="V809" i="14"/>
  <c r="U809" i="14"/>
  <c r="T809" i="14"/>
  <c r="S809" i="14"/>
  <c r="R809" i="14"/>
  <c r="Q809" i="14"/>
  <c r="P809" i="14"/>
  <c r="O809" i="14"/>
  <c r="N809" i="14"/>
  <c r="M809" i="14"/>
  <c r="L809" i="14"/>
  <c r="K809" i="14"/>
  <c r="J809" i="14"/>
  <c r="I809" i="14"/>
  <c r="H809" i="14"/>
  <c r="G809" i="14"/>
  <c r="F809" i="14"/>
  <c r="E809" i="14"/>
  <c r="D809" i="14"/>
  <c r="C809" i="14"/>
  <c r="B809" i="14"/>
  <c r="A809" i="14"/>
  <c r="Z808" i="14"/>
  <c r="Y808" i="14"/>
  <c r="X808" i="14"/>
  <c r="W808" i="14"/>
  <c r="V808" i="14"/>
  <c r="U808" i="14"/>
  <c r="T808" i="14"/>
  <c r="S808" i="14"/>
  <c r="R808" i="14"/>
  <c r="Q808" i="14"/>
  <c r="P808" i="14"/>
  <c r="O808" i="14"/>
  <c r="N808" i="14"/>
  <c r="M808" i="14"/>
  <c r="L808" i="14"/>
  <c r="K808" i="14"/>
  <c r="J808" i="14"/>
  <c r="I808" i="14"/>
  <c r="H808" i="14"/>
  <c r="G808" i="14"/>
  <c r="F808" i="14"/>
  <c r="E808" i="14"/>
  <c r="D808" i="14"/>
  <c r="C808" i="14"/>
  <c r="AH808" i="14" s="1"/>
  <c r="B808" i="14"/>
  <c r="A808" i="14"/>
  <c r="Z807" i="14"/>
  <c r="Y807" i="14"/>
  <c r="X807" i="14"/>
  <c r="W807" i="14"/>
  <c r="V807" i="14"/>
  <c r="U807" i="14"/>
  <c r="T807" i="14"/>
  <c r="S807" i="14"/>
  <c r="R807" i="14"/>
  <c r="Q807" i="14"/>
  <c r="P807" i="14"/>
  <c r="O807" i="14"/>
  <c r="N807" i="14"/>
  <c r="M807" i="14"/>
  <c r="L807" i="14"/>
  <c r="K807" i="14"/>
  <c r="J807" i="14"/>
  <c r="I807" i="14"/>
  <c r="H807" i="14"/>
  <c r="G807" i="14"/>
  <c r="F807" i="14"/>
  <c r="E807" i="14"/>
  <c r="D807" i="14"/>
  <c r="C807" i="14"/>
  <c r="B807" i="14"/>
  <c r="A807" i="14"/>
  <c r="Z806" i="14"/>
  <c r="Y806" i="14"/>
  <c r="X806" i="14"/>
  <c r="W806" i="14"/>
  <c r="V806" i="14"/>
  <c r="U806" i="14"/>
  <c r="T806" i="14"/>
  <c r="S806" i="14"/>
  <c r="R806" i="14"/>
  <c r="Q806" i="14"/>
  <c r="P806" i="14"/>
  <c r="O806" i="14"/>
  <c r="N806" i="14"/>
  <c r="M806" i="14"/>
  <c r="L806" i="14"/>
  <c r="K806" i="14"/>
  <c r="J806" i="14"/>
  <c r="I806" i="14"/>
  <c r="H806" i="14"/>
  <c r="G806" i="14"/>
  <c r="F806" i="14"/>
  <c r="E806" i="14"/>
  <c r="D806" i="14"/>
  <c r="C806" i="14"/>
  <c r="B806" i="14"/>
  <c r="A806" i="14"/>
  <c r="Z805" i="14"/>
  <c r="Y805" i="14"/>
  <c r="X805" i="14"/>
  <c r="W805" i="14"/>
  <c r="V805" i="14"/>
  <c r="U805" i="14"/>
  <c r="T805" i="14"/>
  <c r="S805" i="14"/>
  <c r="R805" i="14"/>
  <c r="Q805" i="14"/>
  <c r="P805" i="14"/>
  <c r="O805" i="14"/>
  <c r="N805" i="14"/>
  <c r="M805" i="14"/>
  <c r="L805" i="14"/>
  <c r="K805" i="14"/>
  <c r="J805" i="14"/>
  <c r="I805" i="14"/>
  <c r="H805" i="14"/>
  <c r="G805" i="14"/>
  <c r="F805" i="14"/>
  <c r="E805" i="14"/>
  <c r="D805" i="14"/>
  <c r="C805" i="14"/>
  <c r="B805" i="14"/>
  <c r="A805" i="14"/>
  <c r="Z804" i="14"/>
  <c r="Y804" i="14"/>
  <c r="X804" i="14"/>
  <c r="W804" i="14"/>
  <c r="V804" i="14"/>
  <c r="U804" i="14"/>
  <c r="T804" i="14"/>
  <c r="S804" i="14"/>
  <c r="R804" i="14"/>
  <c r="Q804" i="14"/>
  <c r="P804" i="14"/>
  <c r="O804" i="14"/>
  <c r="N804" i="14"/>
  <c r="M804" i="14"/>
  <c r="L804" i="14"/>
  <c r="K804" i="14"/>
  <c r="J804" i="14"/>
  <c r="I804" i="14"/>
  <c r="H804" i="14"/>
  <c r="G804" i="14"/>
  <c r="F804" i="14"/>
  <c r="E804" i="14"/>
  <c r="D804" i="14"/>
  <c r="C804" i="14"/>
  <c r="AH804" i="14" s="1"/>
  <c r="B804" i="14"/>
  <c r="A804" i="14"/>
  <c r="Z803" i="14"/>
  <c r="Y803" i="14"/>
  <c r="X803" i="14"/>
  <c r="W803" i="14"/>
  <c r="V803" i="14"/>
  <c r="U803" i="14"/>
  <c r="T803" i="14"/>
  <c r="S803" i="14"/>
  <c r="R803" i="14"/>
  <c r="Q803" i="14"/>
  <c r="P803" i="14"/>
  <c r="O803" i="14"/>
  <c r="N803" i="14"/>
  <c r="M803" i="14"/>
  <c r="L803" i="14"/>
  <c r="K803" i="14"/>
  <c r="J803" i="14"/>
  <c r="I803" i="14"/>
  <c r="H803" i="14"/>
  <c r="G803" i="14"/>
  <c r="F803" i="14"/>
  <c r="E803" i="14"/>
  <c r="D803" i="14"/>
  <c r="C803" i="14"/>
  <c r="B803" i="14"/>
  <c r="A803" i="14"/>
  <c r="Z802" i="14"/>
  <c r="Y802" i="14"/>
  <c r="X802" i="14"/>
  <c r="W802" i="14"/>
  <c r="V802" i="14"/>
  <c r="U802" i="14"/>
  <c r="T802" i="14"/>
  <c r="S802" i="14"/>
  <c r="R802" i="14"/>
  <c r="Q802" i="14"/>
  <c r="P802" i="14"/>
  <c r="O802" i="14"/>
  <c r="N802" i="14"/>
  <c r="M802" i="14"/>
  <c r="L802" i="14"/>
  <c r="K802" i="14"/>
  <c r="J802" i="14"/>
  <c r="I802" i="14"/>
  <c r="H802" i="14"/>
  <c r="G802" i="14"/>
  <c r="F802" i="14"/>
  <c r="E802" i="14"/>
  <c r="D802" i="14"/>
  <c r="C802" i="14"/>
  <c r="B802" i="14"/>
  <c r="A802" i="14"/>
  <c r="Z801" i="14"/>
  <c r="Y801" i="14"/>
  <c r="X801" i="14"/>
  <c r="W801" i="14"/>
  <c r="V801" i="14"/>
  <c r="U801" i="14"/>
  <c r="T801" i="14"/>
  <c r="S801" i="14"/>
  <c r="R801" i="14"/>
  <c r="Q801" i="14"/>
  <c r="P801" i="14"/>
  <c r="O801" i="14"/>
  <c r="N801" i="14"/>
  <c r="M801" i="14"/>
  <c r="L801" i="14"/>
  <c r="K801" i="14"/>
  <c r="J801" i="14"/>
  <c r="I801" i="14"/>
  <c r="H801" i="14"/>
  <c r="G801" i="14"/>
  <c r="F801" i="14"/>
  <c r="E801" i="14"/>
  <c r="D801" i="14"/>
  <c r="C801" i="14"/>
  <c r="B801" i="14"/>
  <c r="A801" i="14"/>
  <c r="Z800" i="14"/>
  <c r="Y800" i="14"/>
  <c r="X800" i="14"/>
  <c r="W800" i="14"/>
  <c r="V800" i="14"/>
  <c r="U800" i="14"/>
  <c r="T800" i="14"/>
  <c r="S800" i="14"/>
  <c r="R800" i="14"/>
  <c r="Q800" i="14"/>
  <c r="P800" i="14"/>
  <c r="O800" i="14"/>
  <c r="N800" i="14"/>
  <c r="M800" i="14"/>
  <c r="L800" i="14"/>
  <c r="K800" i="14"/>
  <c r="J800" i="14"/>
  <c r="I800" i="14"/>
  <c r="H800" i="14"/>
  <c r="G800" i="14"/>
  <c r="F800" i="14"/>
  <c r="E800" i="14"/>
  <c r="D800" i="14"/>
  <c r="C800" i="14"/>
  <c r="AH800" i="14" s="1"/>
  <c r="B800" i="14"/>
  <c r="A800" i="14"/>
  <c r="Z799" i="14"/>
  <c r="Y799" i="14"/>
  <c r="X799" i="14"/>
  <c r="W799" i="14"/>
  <c r="V799" i="14"/>
  <c r="U799" i="14"/>
  <c r="T799" i="14"/>
  <c r="S799" i="14"/>
  <c r="R799" i="14"/>
  <c r="Q799" i="14"/>
  <c r="P799" i="14"/>
  <c r="O799" i="14"/>
  <c r="N799" i="14"/>
  <c r="M799" i="14"/>
  <c r="L799" i="14"/>
  <c r="K799" i="14"/>
  <c r="J799" i="14"/>
  <c r="I799" i="14"/>
  <c r="H799" i="14"/>
  <c r="G799" i="14"/>
  <c r="F799" i="14"/>
  <c r="E799" i="14"/>
  <c r="D799" i="14"/>
  <c r="C799" i="14"/>
  <c r="B799" i="14"/>
  <c r="A799" i="14"/>
  <c r="Z798" i="14"/>
  <c r="Y798" i="14"/>
  <c r="X798" i="14"/>
  <c r="W798" i="14"/>
  <c r="V798" i="14"/>
  <c r="U798" i="14"/>
  <c r="T798" i="14"/>
  <c r="S798" i="14"/>
  <c r="R798" i="14"/>
  <c r="Q798" i="14"/>
  <c r="P798" i="14"/>
  <c r="O798" i="14"/>
  <c r="N798" i="14"/>
  <c r="M798" i="14"/>
  <c r="L798" i="14"/>
  <c r="K798" i="14"/>
  <c r="J798" i="14"/>
  <c r="I798" i="14"/>
  <c r="H798" i="14"/>
  <c r="G798" i="14"/>
  <c r="F798" i="14"/>
  <c r="E798" i="14"/>
  <c r="D798" i="14"/>
  <c r="C798" i="14"/>
  <c r="B798" i="14"/>
  <c r="A798" i="14"/>
  <c r="Z797" i="14"/>
  <c r="Y797" i="14"/>
  <c r="X797" i="14"/>
  <c r="W797" i="14"/>
  <c r="V797" i="14"/>
  <c r="U797" i="14"/>
  <c r="T797" i="14"/>
  <c r="S797" i="14"/>
  <c r="R797" i="14"/>
  <c r="Q797" i="14"/>
  <c r="P797" i="14"/>
  <c r="O797" i="14"/>
  <c r="N797" i="14"/>
  <c r="M797" i="14"/>
  <c r="L797" i="14"/>
  <c r="K797" i="14"/>
  <c r="J797" i="14"/>
  <c r="I797" i="14"/>
  <c r="H797" i="14"/>
  <c r="G797" i="14"/>
  <c r="F797" i="14"/>
  <c r="E797" i="14"/>
  <c r="D797" i="14"/>
  <c r="C797" i="14"/>
  <c r="B797" i="14"/>
  <c r="A797" i="14"/>
  <c r="Z796" i="14"/>
  <c r="Y796" i="14"/>
  <c r="X796" i="14"/>
  <c r="W796" i="14"/>
  <c r="V796" i="14"/>
  <c r="U796" i="14"/>
  <c r="T796" i="14"/>
  <c r="S796" i="14"/>
  <c r="R796" i="14"/>
  <c r="Q796" i="14"/>
  <c r="P796" i="14"/>
  <c r="O796" i="14"/>
  <c r="N796" i="14"/>
  <c r="M796" i="14"/>
  <c r="L796" i="14"/>
  <c r="K796" i="14"/>
  <c r="J796" i="14"/>
  <c r="I796" i="14"/>
  <c r="H796" i="14"/>
  <c r="G796" i="14"/>
  <c r="F796" i="14"/>
  <c r="E796" i="14"/>
  <c r="D796" i="14"/>
  <c r="C796" i="14"/>
  <c r="AH796" i="14" s="1"/>
  <c r="B796" i="14"/>
  <c r="A796" i="14"/>
  <c r="Z795" i="14"/>
  <c r="Y795" i="14"/>
  <c r="X795" i="14"/>
  <c r="W795" i="14"/>
  <c r="V795" i="14"/>
  <c r="U795" i="14"/>
  <c r="T795" i="14"/>
  <c r="S795" i="14"/>
  <c r="R795" i="14"/>
  <c r="Q795" i="14"/>
  <c r="P795" i="14"/>
  <c r="O795" i="14"/>
  <c r="N795" i="14"/>
  <c r="M795" i="14"/>
  <c r="L795" i="14"/>
  <c r="K795" i="14"/>
  <c r="J795" i="14"/>
  <c r="I795" i="14"/>
  <c r="H795" i="14"/>
  <c r="G795" i="14"/>
  <c r="F795" i="14"/>
  <c r="E795" i="14"/>
  <c r="D795" i="14"/>
  <c r="C795" i="14"/>
  <c r="B795" i="14"/>
  <c r="A795" i="14"/>
  <c r="Z794" i="14"/>
  <c r="Y794" i="14"/>
  <c r="X794" i="14"/>
  <c r="W794" i="14"/>
  <c r="V794" i="14"/>
  <c r="U794" i="14"/>
  <c r="T794" i="14"/>
  <c r="S794" i="14"/>
  <c r="R794" i="14"/>
  <c r="Q794" i="14"/>
  <c r="P794" i="14"/>
  <c r="O794" i="14"/>
  <c r="N794" i="14"/>
  <c r="M794" i="14"/>
  <c r="L794" i="14"/>
  <c r="K794" i="14"/>
  <c r="J794" i="14"/>
  <c r="I794" i="14"/>
  <c r="H794" i="14"/>
  <c r="G794" i="14"/>
  <c r="F794" i="14"/>
  <c r="E794" i="14"/>
  <c r="D794" i="14"/>
  <c r="C794" i="14"/>
  <c r="B794" i="14"/>
  <c r="A794" i="14"/>
  <c r="Z793" i="14"/>
  <c r="Y793" i="14"/>
  <c r="X793" i="14"/>
  <c r="W793" i="14"/>
  <c r="V793" i="14"/>
  <c r="U793" i="14"/>
  <c r="T793" i="14"/>
  <c r="S793" i="14"/>
  <c r="R793" i="14"/>
  <c r="Q793" i="14"/>
  <c r="P793" i="14"/>
  <c r="O793" i="14"/>
  <c r="N793" i="14"/>
  <c r="M793" i="14"/>
  <c r="L793" i="14"/>
  <c r="K793" i="14"/>
  <c r="J793" i="14"/>
  <c r="I793" i="14"/>
  <c r="H793" i="14"/>
  <c r="G793" i="14"/>
  <c r="F793" i="14"/>
  <c r="E793" i="14"/>
  <c r="D793" i="14"/>
  <c r="C793" i="14"/>
  <c r="B793" i="14"/>
  <c r="A793" i="14"/>
  <c r="Z792" i="14"/>
  <c r="Y792" i="14"/>
  <c r="X792" i="14"/>
  <c r="W792" i="14"/>
  <c r="V792" i="14"/>
  <c r="U792" i="14"/>
  <c r="T792" i="14"/>
  <c r="S792" i="14"/>
  <c r="R792" i="14"/>
  <c r="Q792" i="14"/>
  <c r="P792" i="14"/>
  <c r="O792" i="14"/>
  <c r="N792" i="14"/>
  <c r="M792" i="14"/>
  <c r="L792" i="14"/>
  <c r="K792" i="14"/>
  <c r="J792" i="14"/>
  <c r="I792" i="14"/>
  <c r="H792" i="14"/>
  <c r="G792" i="14"/>
  <c r="F792" i="14"/>
  <c r="E792" i="14"/>
  <c r="D792" i="14"/>
  <c r="C792" i="14"/>
  <c r="AH792" i="14" s="1"/>
  <c r="B792" i="14"/>
  <c r="A792" i="14"/>
  <c r="Z791" i="14"/>
  <c r="Y791" i="14"/>
  <c r="X791" i="14"/>
  <c r="W791" i="14"/>
  <c r="V791" i="14"/>
  <c r="U791" i="14"/>
  <c r="T791" i="14"/>
  <c r="S791" i="14"/>
  <c r="R791" i="14"/>
  <c r="Q791" i="14"/>
  <c r="P791" i="14"/>
  <c r="O791" i="14"/>
  <c r="N791" i="14"/>
  <c r="M791" i="14"/>
  <c r="L791" i="14"/>
  <c r="K791" i="14"/>
  <c r="J791" i="14"/>
  <c r="I791" i="14"/>
  <c r="H791" i="14"/>
  <c r="G791" i="14"/>
  <c r="F791" i="14"/>
  <c r="E791" i="14"/>
  <c r="D791" i="14"/>
  <c r="C791" i="14"/>
  <c r="B791" i="14"/>
  <c r="A791" i="14"/>
  <c r="Z790" i="14"/>
  <c r="Y790" i="14"/>
  <c r="X790" i="14"/>
  <c r="W790" i="14"/>
  <c r="V790" i="14"/>
  <c r="U790" i="14"/>
  <c r="T790" i="14"/>
  <c r="S790" i="14"/>
  <c r="R790" i="14"/>
  <c r="Q790" i="14"/>
  <c r="P790" i="14"/>
  <c r="O790" i="14"/>
  <c r="N790" i="14"/>
  <c r="M790" i="14"/>
  <c r="L790" i="14"/>
  <c r="K790" i="14"/>
  <c r="J790" i="14"/>
  <c r="I790" i="14"/>
  <c r="H790" i="14"/>
  <c r="G790" i="14"/>
  <c r="F790" i="14"/>
  <c r="E790" i="14"/>
  <c r="D790" i="14"/>
  <c r="C790" i="14"/>
  <c r="B790" i="14"/>
  <c r="A790" i="14"/>
  <c r="Z789" i="14"/>
  <c r="Y789" i="14"/>
  <c r="X789" i="14"/>
  <c r="W789" i="14"/>
  <c r="V789" i="14"/>
  <c r="U789" i="14"/>
  <c r="T789" i="14"/>
  <c r="S789" i="14"/>
  <c r="R789" i="14"/>
  <c r="Q789" i="14"/>
  <c r="P789" i="14"/>
  <c r="O789" i="14"/>
  <c r="N789" i="14"/>
  <c r="M789" i="14"/>
  <c r="L789" i="14"/>
  <c r="K789" i="14"/>
  <c r="J789" i="14"/>
  <c r="I789" i="14"/>
  <c r="H789" i="14"/>
  <c r="G789" i="14"/>
  <c r="F789" i="14"/>
  <c r="E789" i="14"/>
  <c r="D789" i="14"/>
  <c r="C789" i="14"/>
  <c r="B789" i="14"/>
  <c r="A789" i="14"/>
  <c r="Z788" i="14"/>
  <c r="Y788" i="14"/>
  <c r="X788" i="14"/>
  <c r="W788" i="14"/>
  <c r="V788" i="14"/>
  <c r="U788" i="14"/>
  <c r="T788" i="14"/>
  <c r="S788" i="14"/>
  <c r="R788" i="14"/>
  <c r="Q788" i="14"/>
  <c r="P788" i="14"/>
  <c r="O788" i="14"/>
  <c r="N788" i="14"/>
  <c r="M788" i="14"/>
  <c r="L788" i="14"/>
  <c r="K788" i="14"/>
  <c r="J788" i="14"/>
  <c r="I788" i="14"/>
  <c r="H788" i="14"/>
  <c r="G788" i="14"/>
  <c r="F788" i="14"/>
  <c r="E788" i="14"/>
  <c r="D788" i="14"/>
  <c r="C788" i="14"/>
  <c r="AH788" i="14" s="1"/>
  <c r="B788" i="14"/>
  <c r="A788" i="14"/>
  <c r="Z787" i="14"/>
  <c r="Y787" i="14"/>
  <c r="X787" i="14"/>
  <c r="W787" i="14"/>
  <c r="V787" i="14"/>
  <c r="U787" i="14"/>
  <c r="T787" i="14"/>
  <c r="S787" i="14"/>
  <c r="R787" i="14"/>
  <c r="Q787" i="14"/>
  <c r="P787" i="14"/>
  <c r="O787" i="14"/>
  <c r="N787" i="14"/>
  <c r="M787" i="14"/>
  <c r="L787" i="14"/>
  <c r="K787" i="14"/>
  <c r="J787" i="14"/>
  <c r="I787" i="14"/>
  <c r="H787" i="14"/>
  <c r="G787" i="14"/>
  <c r="F787" i="14"/>
  <c r="E787" i="14"/>
  <c r="D787" i="14"/>
  <c r="C787" i="14"/>
  <c r="B787" i="14"/>
  <c r="A787" i="14"/>
  <c r="Z786" i="14"/>
  <c r="Y786" i="14"/>
  <c r="X786" i="14"/>
  <c r="W786" i="14"/>
  <c r="V786" i="14"/>
  <c r="U786" i="14"/>
  <c r="T786" i="14"/>
  <c r="S786" i="14"/>
  <c r="R786" i="14"/>
  <c r="Q786" i="14"/>
  <c r="P786" i="14"/>
  <c r="O786" i="14"/>
  <c r="N786" i="14"/>
  <c r="M786" i="14"/>
  <c r="L786" i="14"/>
  <c r="K786" i="14"/>
  <c r="J786" i="14"/>
  <c r="I786" i="14"/>
  <c r="H786" i="14"/>
  <c r="G786" i="14"/>
  <c r="F786" i="14"/>
  <c r="E786" i="14"/>
  <c r="D786" i="14"/>
  <c r="C786" i="14"/>
  <c r="B786" i="14"/>
  <c r="A786" i="14"/>
  <c r="Z785" i="14"/>
  <c r="Y785" i="14"/>
  <c r="X785" i="14"/>
  <c r="W785" i="14"/>
  <c r="V785" i="14"/>
  <c r="U785" i="14"/>
  <c r="T785" i="14"/>
  <c r="S785" i="14"/>
  <c r="R785" i="14"/>
  <c r="Q785" i="14"/>
  <c r="P785" i="14"/>
  <c r="O785" i="14"/>
  <c r="N785" i="14"/>
  <c r="M785" i="14"/>
  <c r="L785" i="14"/>
  <c r="K785" i="14"/>
  <c r="J785" i="14"/>
  <c r="I785" i="14"/>
  <c r="H785" i="14"/>
  <c r="G785" i="14"/>
  <c r="F785" i="14"/>
  <c r="E785" i="14"/>
  <c r="D785" i="14"/>
  <c r="C785" i="14"/>
  <c r="B785" i="14"/>
  <c r="A785" i="14"/>
  <c r="Z784" i="14"/>
  <c r="Y784" i="14"/>
  <c r="X784" i="14"/>
  <c r="W784" i="14"/>
  <c r="V784" i="14"/>
  <c r="U784" i="14"/>
  <c r="T784" i="14"/>
  <c r="S784" i="14"/>
  <c r="R784" i="14"/>
  <c r="Q784" i="14"/>
  <c r="P784" i="14"/>
  <c r="O784" i="14"/>
  <c r="N784" i="14"/>
  <c r="M784" i="14"/>
  <c r="L784" i="14"/>
  <c r="K784" i="14"/>
  <c r="J784" i="14"/>
  <c r="I784" i="14"/>
  <c r="H784" i="14"/>
  <c r="G784" i="14"/>
  <c r="F784" i="14"/>
  <c r="E784" i="14"/>
  <c r="D784" i="14"/>
  <c r="C784" i="14"/>
  <c r="AH784" i="14" s="1"/>
  <c r="B784" i="14"/>
  <c r="A784" i="14"/>
  <c r="Z783" i="14"/>
  <c r="Y783" i="14"/>
  <c r="X783" i="14"/>
  <c r="W783" i="14"/>
  <c r="V783" i="14"/>
  <c r="U783" i="14"/>
  <c r="T783" i="14"/>
  <c r="S783" i="14"/>
  <c r="R783" i="14"/>
  <c r="Q783" i="14"/>
  <c r="P783" i="14"/>
  <c r="O783" i="14"/>
  <c r="N783" i="14"/>
  <c r="M783" i="14"/>
  <c r="L783" i="14"/>
  <c r="K783" i="14"/>
  <c r="J783" i="14"/>
  <c r="I783" i="14"/>
  <c r="H783" i="14"/>
  <c r="G783" i="14"/>
  <c r="F783" i="14"/>
  <c r="E783" i="14"/>
  <c r="D783" i="14"/>
  <c r="C783" i="14"/>
  <c r="B783" i="14"/>
  <c r="A783" i="14"/>
  <c r="Z782" i="14"/>
  <c r="Y782" i="14"/>
  <c r="X782" i="14"/>
  <c r="W782" i="14"/>
  <c r="V782" i="14"/>
  <c r="U782" i="14"/>
  <c r="T782" i="14"/>
  <c r="S782" i="14"/>
  <c r="R782" i="14"/>
  <c r="Q782" i="14"/>
  <c r="P782" i="14"/>
  <c r="O782" i="14"/>
  <c r="N782" i="14"/>
  <c r="M782" i="14"/>
  <c r="L782" i="14"/>
  <c r="K782" i="14"/>
  <c r="J782" i="14"/>
  <c r="I782" i="14"/>
  <c r="H782" i="14"/>
  <c r="G782" i="14"/>
  <c r="F782" i="14"/>
  <c r="E782" i="14"/>
  <c r="D782" i="14"/>
  <c r="C782" i="14"/>
  <c r="B782" i="14"/>
  <c r="A782" i="14"/>
  <c r="Z781" i="14"/>
  <c r="Y781" i="14"/>
  <c r="X781" i="14"/>
  <c r="W781" i="14"/>
  <c r="V781" i="14"/>
  <c r="U781" i="14"/>
  <c r="T781" i="14"/>
  <c r="S781" i="14"/>
  <c r="R781" i="14"/>
  <c r="Q781" i="14"/>
  <c r="P781" i="14"/>
  <c r="O781" i="14"/>
  <c r="N781" i="14"/>
  <c r="M781" i="14"/>
  <c r="L781" i="14"/>
  <c r="K781" i="14"/>
  <c r="J781" i="14"/>
  <c r="I781" i="14"/>
  <c r="H781" i="14"/>
  <c r="G781" i="14"/>
  <c r="F781" i="14"/>
  <c r="E781" i="14"/>
  <c r="D781" i="14"/>
  <c r="C781" i="14"/>
  <c r="B781" i="14"/>
  <c r="A781" i="14"/>
  <c r="Z780" i="14"/>
  <c r="Y780" i="14"/>
  <c r="X780" i="14"/>
  <c r="W780" i="14"/>
  <c r="V780" i="14"/>
  <c r="U780" i="14"/>
  <c r="T780" i="14"/>
  <c r="S780" i="14"/>
  <c r="R780" i="14"/>
  <c r="Q780" i="14"/>
  <c r="P780" i="14"/>
  <c r="O780" i="14"/>
  <c r="N780" i="14"/>
  <c r="M780" i="14"/>
  <c r="L780" i="14"/>
  <c r="K780" i="14"/>
  <c r="J780" i="14"/>
  <c r="I780" i="14"/>
  <c r="H780" i="14"/>
  <c r="G780" i="14"/>
  <c r="F780" i="14"/>
  <c r="E780" i="14"/>
  <c r="D780" i="14"/>
  <c r="C780" i="14"/>
  <c r="AH780" i="14" s="1"/>
  <c r="B780" i="14"/>
  <c r="A780" i="14"/>
  <c r="Z779" i="14"/>
  <c r="Y779" i="14"/>
  <c r="X779" i="14"/>
  <c r="W779" i="14"/>
  <c r="V779" i="14"/>
  <c r="U779" i="14"/>
  <c r="T779" i="14"/>
  <c r="S779" i="14"/>
  <c r="R779" i="14"/>
  <c r="Q779" i="14"/>
  <c r="P779" i="14"/>
  <c r="O779" i="14"/>
  <c r="N779" i="14"/>
  <c r="M779" i="14"/>
  <c r="L779" i="14"/>
  <c r="K779" i="14"/>
  <c r="J779" i="14"/>
  <c r="I779" i="14"/>
  <c r="H779" i="14"/>
  <c r="G779" i="14"/>
  <c r="F779" i="14"/>
  <c r="E779" i="14"/>
  <c r="D779" i="14"/>
  <c r="C779" i="14"/>
  <c r="B779" i="14"/>
  <c r="A779" i="14"/>
  <c r="Z778" i="14"/>
  <c r="Y778" i="14"/>
  <c r="X778" i="14"/>
  <c r="W778" i="14"/>
  <c r="V778" i="14"/>
  <c r="U778" i="14"/>
  <c r="T778" i="14"/>
  <c r="S778" i="14"/>
  <c r="R778" i="14"/>
  <c r="Q778" i="14"/>
  <c r="P778" i="14"/>
  <c r="O778" i="14"/>
  <c r="N778" i="14"/>
  <c r="M778" i="14"/>
  <c r="L778" i="14"/>
  <c r="K778" i="14"/>
  <c r="J778" i="14"/>
  <c r="I778" i="14"/>
  <c r="H778" i="14"/>
  <c r="G778" i="14"/>
  <c r="F778" i="14"/>
  <c r="E778" i="14"/>
  <c r="D778" i="14"/>
  <c r="C778" i="14"/>
  <c r="B778" i="14"/>
  <c r="A778" i="14"/>
  <c r="Z777" i="14"/>
  <c r="Y777" i="14"/>
  <c r="X777" i="14"/>
  <c r="W777" i="14"/>
  <c r="V777" i="14"/>
  <c r="U777" i="14"/>
  <c r="T777" i="14"/>
  <c r="S777" i="14"/>
  <c r="R777" i="14"/>
  <c r="Q777" i="14"/>
  <c r="P777" i="14"/>
  <c r="O777" i="14"/>
  <c r="N777" i="14"/>
  <c r="M777" i="14"/>
  <c r="L777" i="14"/>
  <c r="K777" i="14"/>
  <c r="J777" i="14"/>
  <c r="I777" i="14"/>
  <c r="H777" i="14"/>
  <c r="G777" i="14"/>
  <c r="F777" i="14"/>
  <c r="E777" i="14"/>
  <c r="D777" i="14"/>
  <c r="C777" i="14"/>
  <c r="B777" i="14"/>
  <c r="A777" i="14"/>
  <c r="Z776" i="14"/>
  <c r="Y776" i="14"/>
  <c r="X776" i="14"/>
  <c r="W776" i="14"/>
  <c r="V776" i="14"/>
  <c r="U776" i="14"/>
  <c r="T776" i="14"/>
  <c r="S776" i="14"/>
  <c r="R776" i="14"/>
  <c r="Q776" i="14"/>
  <c r="P776" i="14"/>
  <c r="O776" i="14"/>
  <c r="N776" i="14"/>
  <c r="M776" i="14"/>
  <c r="L776" i="14"/>
  <c r="K776" i="14"/>
  <c r="J776" i="14"/>
  <c r="I776" i="14"/>
  <c r="H776" i="14"/>
  <c r="G776" i="14"/>
  <c r="F776" i="14"/>
  <c r="E776" i="14"/>
  <c r="D776" i="14"/>
  <c r="C776" i="14"/>
  <c r="AH776" i="14" s="1"/>
  <c r="B776" i="14"/>
  <c r="A776" i="14"/>
  <c r="Z775" i="14"/>
  <c r="Y775" i="14"/>
  <c r="X775" i="14"/>
  <c r="W775" i="14"/>
  <c r="V775" i="14"/>
  <c r="U775" i="14"/>
  <c r="T775" i="14"/>
  <c r="S775" i="14"/>
  <c r="R775" i="14"/>
  <c r="Q775" i="14"/>
  <c r="P775" i="14"/>
  <c r="O775" i="14"/>
  <c r="N775" i="14"/>
  <c r="M775" i="14"/>
  <c r="L775" i="14"/>
  <c r="K775" i="14"/>
  <c r="J775" i="14"/>
  <c r="I775" i="14"/>
  <c r="H775" i="14"/>
  <c r="G775" i="14"/>
  <c r="F775" i="14"/>
  <c r="E775" i="14"/>
  <c r="D775" i="14"/>
  <c r="C775" i="14"/>
  <c r="B775" i="14"/>
  <c r="A775" i="14"/>
  <c r="Z774" i="14"/>
  <c r="Y774" i="14"/>
  <c r="X774" i="14"/>
  <c r="W774" i="14"/>
  <c r="V774" i="14"/>
  <c r="U774" i="14"/>
  <c r="T774" i="14"/>
  <c r="S774" i="14"/>
  <c r="R774" i="14"/>
  <c r="Q774" i="14"/>
  <c r="P774" i="14"/>
  <c r="O774" i="14"/>
  <c r="N774" i="14"/>
  <c r="M774" i="14"/>
  <c r="L774" i="14"/>
  <c r="K774" i="14"/>
  <c r="J774" i="14"/>
  <c r="I774" i="14"/>
  <c r="H774" i="14"/>
  <c r="G774" i="14"/>
  <c r="F774" i="14"/>
  <c r="E774" i="14"/>
  <c r="D774" i="14"/>
  <c r="C774" i="14"/>
  <c r="B774" i="14"/>
  <c r="A774" i="14"/>
  <c r="Z773" i="14"/>
  <c r="Y773" i="14"/>
  <c r="X773" i="14"/>
  <c r="W773" i="14"/>
  <c r="V773" i="14"/>
  <c r="U773" i="14"/>
  <c r="T773" i="14"/>
  <c r="S773" i="14"/>
  <c r="R773" i="14"/>
  <c r="Q773" i="14"/>
  <c r="P773" i="14"/>
  <c r="O773" i="14"/>
  <c r="N773" i="14"/>
  <c r="M773" i="14"/>
  <c r="L773" i="14"/>
  <c r="K773" i="14"/>
  <c r="J773" i="14"/>
  <c r="I773" i="14"/>
  <c r="H773" i="14"/>
  <c r="G773" i="14"/>
  <c r="F773" i="14"/>
  <c r="E773" i="14"/>
  <c r="D773" i="14"/>
  <c r="C773" i="14"/>
  <c r="B773" i="14"/>
  <c r="A773" i="14"/>
  <c r="Z772" i="14"/>
  <c r="Y772" i="14"/>
  <c r="X772" i="14"/>
  <c r="W772" i="14"/>
  <c r="V772" i="14"/>
  <c r="U772" i="14"/>
  <c r="T772" i="14"/>
  <c r="S772" i="14"/>
  <c r="R772" i="14"/>
  <c r="Q772" i="14"/>
  <c r="P772" i="14"/>
  <c r="O772" i="14"/>
  <c r="N772" i="14"/>
  <c r="M772" i="14"/>
  <c r="L772" i="14"/>
  <c r="K772" i="14"/>
  <c r="J772" i="14"/>
  <c r="I772" i="14"/>
  <c r="H772" i="14"/>
  <c r="G772" i="14"/>
  <c r="F772" i="14"/>
  <c r="E772" i="14"/>
  <c r="D772" i="14"/>
  <c r="C772" i="14"/>
  <c r="AH772" i="14" s="1"/>
  <c r="B772" i="14"/>
  <c r="A772" i="14"/>
  <c r="Z771" i="14"/>
  <c r="Y771" i="14"/>
  <c r="X771" i="14"/>
  <c r="W771" i="14"/>
  <c r="V771" i="14"/>
  <c r="U771" i="14"/>
  <c r="T771" i="14"/>
  <c r="S771" i="14"/>
  <c r="R771" i="14"/>
  <c r="Q771" i="14"/>
  <c r="P771" i="14"/>
  <c r="O771" i="14"/>
  <c r="N771" i="14"/>
  <c r="M771" i="14"/>
  <c r="L771" i="14"/>
  <c r="K771" i="14"/>
  <c r="J771" i="14"/>
  <c r="I771" i="14"/>
  <c r="H771" i="14"/>
  <c r="G771" i="14"/>
  <c r="F771" i="14"/>
  <c r="E771" i="14"/>
  <c r="D771" i="14"/>
  <c r="C771" i="14"/>
  <c r="B771" i="14"/>
  <c r="A771" i="14"/>
  <c r="Z770" i="14"/>
  <c r="Y770" i="14"/>
  <c r="X770" i="14"/>
  <c r="W770" i="14"/>
  <c r="V770" i="14"/>
  <c r="U770" i="14"/>
  <c r="T770" i="14"/>
  <c r="S770" i="14"/>
  <c r="R770" i="14"/>
  <c r="Q770" i="14"/>
  <c r="P770" i="14"/>
  <c r="O770" i="14"/>
  <c r="N770" i="14"/>
  <c r="M770" i="14"/>
  <c r="L770" i="14"/>
  <c r="K770" i="14"/>
  <c r="J770" i="14"/>
  <c r="I770" i="14"/>
  <c r="H770" i="14"/>
  <c r="G770" i="14"/>
  <c r="F770" i="14"/>
  <c r="E770" i="14"/>
  <c r="D770" i="14"/>
  <c r="C770" i="14"/>
  <c r="B770" i="14"/>
  <c r="A770" i="14"/>
  <c r="Z769" i="14"/>
  <c r="Y769" i="14"/>
  <c r="X769" i="14"/>
  <c r="W769" i="14"/>
  <c r="V769" i="14"/>
  <c r="U769" i="14"/>
  <c r="T769" i="14"/>
  <c r="S769" i="14"/>
  <c r="R769" i="14"/>
  <c r="Q769" i="14"/>
  <c r="P769" i="14"/>
  <c r="O769" i="14"/>
  <c r="N769" i="14"/>
  <c r="M769" i="14"/>
  <c r="L769" i="14"/>
  <c r="K769" i="14"/>
  <c r="J769" i="14"/>
  <c r="I769" i="14"/>
  <c r="H769" i="14"/>
  <c r="G769" i="14"/>
  <c r="F769" i="14"/>
  <c r="E769" i="14"/>
  <c r="D769" i="14"/>
  <c r="C769" i="14"/>
  <c r="B769" i="14"/>
  <c r="A769" i="14"/>
  <c r="Z768" i="14"/>
  <c r="Y768" i="14"/>
  <c r="X768" i="14"/>
  <c r="W768" i="14"/>
  <c r="V768" i="14"/>
  <c r="U768" i="14"/>
  <c r="T768" i="14"/>
  <c r="S768" i="14"/>
  <c r="R768" i="14"/>
  <c r="Q768" i="14"/>
  <c r="P768" i="14"/>
  <c r="O768" i="14"/>
  <c r="N768" i="14"/>
  <c r="M768" i="14"/>
  <c r="L768" i="14"/>
  <c r="K768" i="14"/>
  <c r="J768" i="14"/>
  <c r="I768" i="14"/>
  <c r="H768" i="14"/>
  <c r="G768" i="14"/>
  <c r="F768" i="14"/>
  <c r="E768" i="14"/>
  <c r="D768" i="14"/>
  <c r="C768" i="14"/>
  <c r="AH768" i="14" s="1"/>
  <c r="B768" i="14"/>
  <c r="A768" i="14"/>
  <c r="Z767" i="14"/>
  <c r="Y767" i="14"/>
  <c r="X767" i="14"/>
  <c r="W767" i="14"/>
  <c r="V767" i="14"/>
  <c r="U767" i="14"/>
  <c r="T767" i="14"/>
  <c r="S767" i="14"/>
  <c r="R767" i="14"/>
  <c r="Q767" i="14"/>
  <c r="P767" i="14"/>
  <c r="O767" i="14"/>
  <c r="N767" i="14"/>
  <c r="M767" i="14"/>
  <c r="L767" i="14"/>
  <c r="K767" i="14"/>
  <c r="J767" i="14"/>
  <c r="I767" i="14"/>
  <c r="H767" i="14"/>
  <c r="G767" i="14"/>
  <c r="F767" i="14"/>
  <c r="E767" i="14"/>
  <c r="D767" i="14"/>
  <c r="C767" i="14"/>
  <c r="B767" i="14"/>
  <c r="A767" i="14"/>
  <c r="Z766" i="14"/>
  <c r="Y766" i="14"/>
  <c r="X766" i="14"/>
  <c r="W766" i="14"/>
  <c r="V766" i="14"/>
  <c r="U766" i="14"/>
  <c r="T766" i="14"/>
  <c r="S766" i="14"/>
  <c r="R766" i="14"/>
  <c r="Q766" i="14"/>
  <c r="P766" i="14"/>
  <c r="O766" i="14"/>
  <c r="N766" i="14"/>
  <c r="M766" i="14"/>
  <c r="L766" i="14"/>
  <c r="K766" i="14"/>
  <c r="J766" i="14"/>
  <c r="I766" i="14"/>
  <c r="H766" i="14"/>
  <c r="G766" i="14"/>
  <c r="F766" i="14"/>
  <c r="E766" i="14"/>
  <c r="D766" i="14"/>
  <c r="C766" i="14"/>
  <c r="B766" i="14"/>
  <c r="A766" i="14"/>
  <c r="Z765" i="14"/>
  <c r="Y765" i="14"/>
  <c r="X765" i="14"/>
  <c r="W765" i="14"/>
  <c r="V765" i="14"/>
  <c r="U765" i="14"/>
  <c r="T765" i="14"/>
  <c r="S765" i="14"/>
  <c r="R765" i="14"/>
  <c r="Q765" i="14"/>
  <c r="P765" i="14"/>
  <c r="O765" i="14"/>
  <c r="N765" i="14"/>
  <c r="M765" i="14"/>
  <c r="L765" i="14"/>
  <c r="K765" i="14"/>
  <c r="J765" i="14"/>
  <c r="I765" i="14"/>
  <c r="H765" i="14"/>
  <c r="G765" i="14"/>
  <c r="F765" i="14"/>
  <c r="E765" i="14"/>
  <c r="D765" i="14"/>
  <c r="C765" i="14"/>
  <c r="B765" i="14"/>
  <c r="A765" i="14"/>
  <c r="Z764" i="14"/>
  <c r="Y764" i="14"/>
  <c r="X764" i="14"/>
  <c r="W764" i="14"/>
  <c r="V764" i="14"/>
  <c r="U764" i="14"/>
  <c r="T764" i="14"/>
  <c r="S764" i="14"/>
  <c r="R764" i="14"/>
  <c r="Q764" i="14"/>
  <c r="P764" i="14"/>
  <c r="O764" i="14"/>
  <c r="N764" i="14"/>
  <c r="M764" i="14"/>
  <c r="L764" i="14"/>
  <c r="K764" i="14"/>
  <c r="J764" i="14"/>
  <c r="I764" i="14"/>
  <c r="H764" i="14"/>
  <c r="G764" i="14"/>
  <c r="F764" i="14"/>
  <c r="E764" i="14"/>
  <c r="D764" i="14"/>
  <c r="C764" i="14"/>
  <c r="AH764" i="14" s="1"/>
  <c r="B764" i="14"/>
  <c r="A764" i="14"/>
  <c r="Z763" i="14"/>
  <c r="Y763" i="14"/>
  <c r="X763" i="14"/>
  <c r="W763" i="14"/>
  <c r="V763" i="14"/>
  <c r="U763" i="14"/>
  <c r="T763" i="14"/>
  <c r="S763" i="14"/>
  <c r="R763" i="14"/>
  <c r="Q763" i="14"/>
  <c r="P763" i="14"/>
  <c r="O763" i="14"/>
  <c r="N763" i="14"/>
  <c r="M763" i="14"/>
  <c r="L763" i="14"/>
  <c r="K763" i="14"/>
  <c r="J763" i="14"/>
  <c r="I763" i="14"/>
  <c r="H763" i="14"/>
  <c r="G763" i="14"/>
  <c r="F763" i="14"/>
  <c r="E763" i="14"/>
  <c r="D763" i="14"/>
  <c r="C763" i="14"/>
  <c r="B763" i="14"/>
  <c r="A763" i="14"/>
  <c r="Z762" i="14"/>
  <c r="Y762" i="14"/>
  <c r="X762" i="14"/>
  <c r="W762" i="14"/>
  <c r="V762" i="14"/>
  <c r="U762" i="14"/>
  <c r="T762" i="14"/>
  <c r="S762" i="14"/>
  <c r="R762" i="14"/>
  <c r="Q762" i="14"/>
  <c r="P762" i="14"/>
  <c r="O762" i="14"/>
  <c r="N762" i="14"/>
  <c r="M762" i="14"/>
  <c r="L762" i="14"/>
  <c r="K762" i="14"/>
  <c r="J762" i="14"/>
  <c r="I762" i="14"/>
  <c r="H762" i="14"/>
  <c r="G762" i="14"/>
  <c r="F762" i="14"/>
  <c r="E762" i="14"/>
  <c r="D762" i="14"/>
  <c r="C762" i="14"/>
  <c r="B762" i="14"/>
  <c r="A762" i="14"/>
  <c r="Z761" i="14"/>
  <c r="Y761" i="14"/>
  <c r="X761" i="14"/>
  <c r="W761" i="14"/>
  <c r="V761" i="14"/>
  <c r="U761" i="14"/>
  <c r="T761" i="14"/>
  <c r="S761" i="14"/>
  <c r="R761" i="14"/>
  <c r="Q761" i="14"/>
  <c r="P761" i="14"/>
  <c r="O761" i="14"/>
  <c r="N761" i="14"/>
  <c r="M761" i="14"/>
  <c r="L761" i="14"/>
  <c r="K761" i="14"/>
  <c r="J761" i="14"/>
  <c r="I761" i="14"/>
  <c r="H761" i="14"/>
  <c r="G761" i="14"/>
  <c r="F761" i="14"/>
  <c r="E761" i="14"/>
  <c r="D761" i="14"/>
  <c r="C761" i="14"/>
  <c r="B761" i="14"/>
  <c r="A761" i="14"/>
  <c r="Z760" i="14"/>
  <c r="Y760" i="14"/>
  <c r="X760" i="14"/>
  <c r="W760" i="14"/>
  <c r="V760" i="14"/>
  <c r="U760" i="14"/>
  <c r="T760" i="14"/>
  <c r="S760" i="14"/>
  <c r="R760" i="14"/>
  <c r="Q760" i="14"/>
  <c r="P760" i="14"/>
  <c r="O760" i="14"/>
  <c r="N760" i="14"/>
  <c r="M760" i="14"/>
  <c r="L760" i="14"/>
  <c r="K760" i="14"/>
  <c r="J760" i="14"/>
  <c r="I760" i="14"/>
  <c r="H760" i="14"/>
  <c r="G760" i="14"/>
  <c r="F760" i="14"/>
  <c r="E760" i="14"/>
  <c r="D760" i="14"/>
  <c r="C760" i="14"/>
  <c r="AH760" i="14" s="1"/>
  <c r="B760" i="14"/>
  <c r="A760" i="14"/>
  <c r="Z759" i="14"/>
  <c r="Y759" i="14"/>
  <c r="X759" i="14"/>
  <c r="W759" i="14"/>
  <c r="V759" i="14"/>
  <c r="U759" i="14"/>
  <c r="T759" i="14"/>
  <c r="S759" i="14"/>
  <c r="R759" i="14"/>
  <c r="Q759" i="14"/>
  <c r="P759" i="14"/>
  <c r="O759" i="14"/>
  <c r="N759" i="14"/>
  <c r="M759" i="14"/>
  <c r="L759" i="14"/>
  <c r="K759" i="14"/>
  <c r="J759" i="14"/>
  <c r="I759" i="14"/>
  <c r="H759" i="14"/>
  <c r="G759" i="14"/>
  <c r="F759" i="14"/>
  <c r="E759" i="14"/>
  <c r="D759" i="14"/>
  <c r="C759" i="14"/>
  <c r="B759" i="14"/>
  <c r="A759" i="14"/>
  <c r="Z758" i="14"/>
  <c r="Y758" i="14"/>
  <c r="X758" i="14"/>
  <c r="W758" i="14"/>
  <c r="V758" i="14"/>
  <c r="U758" i="14"/>
  <c r="T758" i="14"/>
  <c r="S758" i="14"/>
  <c r="R758" i="14"/>
  <c r="Q758" i="14"/>
  <c r="P758" i="14"/>
  <c r="O758" i="14"/>
  <c r="N758" i="14"/>
  <c r="M758" i="14"/>
  <c r="L758" i="14"/>
  <c r="K758" i="14"/>
  <c r="J758" i="14"/>
  <c r="I758" i="14"/>
  <c r="H758" i="14"/>
  <c r="G758" i="14"/>
  <c r="F758" i="14"/>
  <c r="E758" i="14"/>
  <c r="D758" i="14"/>
  <c r="C758" i="14"/>
  <c r="B758" i="14"/>
  <c r="A758" i="14"/>
  <c r="Z757" i="14"/>
  <c r="Y757" i="14"/>
  <c r="X757" i="14"/>
  <c r="W757" i="14"/>
  <c r="V757" i="14"/>
  <c r="U757" i="14"/>
  <c r="T757" i="14"/>
  <c r="S757" i="14"/>
  <c r="R757" i="14"/>
  <c r="Q757" i="14"/>
  <c r="P757" i="14"/>
  <c r="O757" i="14"/>
  <c r="N757" i="14"/>
  <c r="M757" i="14"/>
  <c r="L757" i="14"/>
  <c r="K757" i="14"/>
  <c r="J757" i="14"/>
  <c r="I757" i="14"/>
  <c r="H757" i="14"/>
  <c r="G757" i="14"/>
  <c r="F757" i="14"/>
  <c r="E757" i="14"/>
  <c r="D757" i="14"/>
  <c r="C757" i="14"/>
  <c r="B757" i="14"/>
  <c r="A757" i="14"/>
  <c r="Z756" i="14"/>
  <c r="Y756" i="14"/>
  <c r="X756" i="14"/>
  <c r="W756" i="14"/>
  <c r="V756" i="14"/>
  <c r="U756" i="14"/>
  <c r="T756" i="14"/>
  <c r="S756" i="14"/>
  <c r="R756" i="14"/>
  <c r="Q756" i="14"/>
  <c r="P756" i="14"/>
  <c r="O756" i="14"/>
  <c r="N756" i="14"/>
  <c r="M756" i="14"/>
  <c r="L756" i="14"/>
  <c r="K756" i="14"/>
  <c r="J756" i="14"/>
  <c r="I756" i="14"/>
  <c r="H756" i="14"/>
  <c r="G756" i="14"/>
  <c r="F756" i="14"/>
  <c r="E756" i="14"/>
  <c r="D756" i="14"/>
  <c r="C756" i="14"/>
  <c r="AH756" i="14" s="1"/>
  <c r="B756" i="14"/>
  <c r="A756" i="14"/>
  <c r="Z755" i="14"/>
  <c r="Y755" i="14"/>
  <c r="X755" i="14"/>
  <c r="W755" i="14"/>
  <c r="V755" i="14"/>
  <c r="U755" i="14"/>
  <c r="T755" i="14"/>
  <c r="S755" i="14"/>
  <c r="R755" i="14"/>
  <c r="Q755" i="14"/>
  <c r="P755" i="14"/>
  <c r="O755" i="14"/>
  <c r="N755" i="14"/>
  <c r="M755" i="14"/>
  <c r="L755" i="14"/>
  <c r="K755" i="14"/>
  <c r="J755" i="14"/>
  <c r="I755" i="14"/>
  <c r="H755" i="14"/>
  <c r="G755" i="14"/>
  <c r="F755" i="14"/>
  <c r="E755" i="14"/>
  <c r="D755" i="14"/>
  <c r="C755" i="14"/>
  <c r="B755" i="14"/>
  <c r="A755" i="14"/>
  <c r="Z754" i="14"/>
  <c r="Y754" i="14"/>
  <c r="X754" i="14"/>
  <c r="W754" i="14"/>
  <c r="V754" i="14"/>
  <c r="U754" i="14"/>
  <c r="T754" i="14"/>
  <c r="S754" i="14"/>
  <c r="R754" i="14"/>
  <c r="Q754" i="14"/>
  <c r="P754" i="14"/>
  <c r="O754" i="14"/>
  <c r="N754" i="14"/>
  <c r="M754" i="14"/>
  <c r="L754" i="14"/>
  <c r="K754" i="14"/>
  <c r="J754" i="14"/>
  <c r="I754" i="14"/>
  <c r="H754" i="14"/>
  <c r="G754" i="14"/>
  <c r="F754" i="14"/>
  <c r="E754" i="14"/>
  <c r="D754" i="14"/>
  <c r="C754" i="14"/>
  <c r="B754" i="14"/>
  <c r="A754" i="14"/>
  <c r="Z753" i="14"/>
  <c r="Y753" i="14"/>
  <c r="X753" i="14"/>
  <c r="W753" i="14"/>
  <c r="V753" i="14"/>
  <c r="U753" i="14"/>
  <c r="T753" i="14"/>
  <c r="S753" i="14"/>
  <c r="R753" i="14"/>
  <c r="Q753" i="14"/>
  <c r="P753" i="14"/>
  <c r="O753" i="14"/>
  <c r="N753" i="14"/>
  <c r="M753" i="14"/>
  <c r="L753" i="14"/>
  <c r="K753" i="14"/>
  <c r="J753" i="14"/>
  <c r="I753" i="14"/>
  <c r="H753" i="14"/>
  <c r="G753" i="14"/>
  <c r="F753" i="14"/>
  <c r="E753" i="14"/>
  <c r="D753" i="14"/>
  <c r="C753" i="14"/>
  <c r="B753" i="14"/>
  <c r="A753" i="14"/>
  <c r="Z752" i="14"/>
  <c r="Y752" i="14"/>
  <c r="X752" i="14"/>
  <c r="W752" i="14"/>
  <c r="V752" i="14"/>
  <c r="U752" i="14"/>
  <c r="T752" i="14"/>
  <c r="S752" i="14"/>
  <c r="R752" i="14"/>
  <c r="Q752" i="14"/>
  <c r="P752" i="14"/>
  <c r="O752" i="14"/>
  <c r="N752" i="14"/>
  <c r="M752" i="14"/>
  <c r="L752" i="14"/>
  <c r="K752" i="14"/>
  <c r="J752" i="14"/>
  <c r="I752" i="14"/>
  <c r="H752" i="14"/>
  <c r="G752" i="14"/>
  <c r="F752" i="14"/>
  <c r="E752" i="14"/>
  <c r="D752" i="14"/>
  <c r="C752" i="14"/>
  <c r="AH752" i="14" s="1"/>
  <c r="B752" i="14"/>
  <c r="A752" i="14"/>
  <c r="Z751" i="14"/>
  <c r="Y751" i="14"/>
  <c r="X751" i="14"/>
  <c r="W751" i="14"/>
  <c r="V751" i="14"/>
  <c r="U751" i="14"/>
  <c r="T751" i="14"/>
  <c r="S751" i="14"/>
  <c r="R751" i="14"/>
  <c r="Q751" i="14"/>
  <c r="P751" i="14"/>
  <c r="O751" i="14"/>
  <c r="N751" i="14"/>
  <c r="M751" i="14"/>
  <c r="L751" i="14"/>
  <c r="K751" i="14"/>
  <c r="J751" i="14"/>
  <c r="I751" i="14"/>
  <c r="H751" i="14"/>
  <c r="G751" i="14"/>
  <c r="F751" i="14"/>
  <c r="E751" i="14"/>
  <c r="D751" i="14"/>
  <c r="C751" i="14"/>
  <c r="B751" i="14"/>
  <c r="A751" i="14"/>
  <c r="Z750" i="14"/>
  <c r="Y750" i="14"/>
  <c r="X750" i="14"/>
  <c r="W750" i="14"/>
  <c r="V750" i="14"/>
  <c r="U750" i="14"/>
  <c r="T750" i="14"/>
  <c r="S750" i="14"/>
  <c r="R750" i="14"/>
  <c r="Q750" i="14"/>
  <c r="P750" i="14"/>
  <c r="O750" i="14"/>
  <c r="N750" i="14"/>
  <c r="M750" i="14"/>
  <c r="L750" i="14"/>
  <c r="K750" i="14"/>
  <c r="J750" i="14"/>
  <c r="I750" i="14"/>
  <c r="H750" i="14"/>
  <c r="G750" i="14"/>
  <c r="F750" i="14"/>
  <c r="E750" i="14"/>
  <c r="D750" i="14"/>
  <c r="C750" i="14"/>
  <c r="B750" i="14"/>
  <c r="A750" i="14"/>
  <c r="Z749" i="14"/>
  <c r="Y749" i="14"/>
  <c r="X749" i="14"/>
  <c r="W749" i="14"/>
  <c r="V749" i="14"/>
  <c r="U749" i="14"/>
  <c r="T749" i="14"/>
  <c r="S749" i="14"/>
  <c r="R749" i="14"/>
  <c r="Q749" i="14"/>
  <c r="P749" i="14"/>
  <c r="O749" i="14"/>
  <c r="N749" i="14"/>
  <c r="M749" i="14"/>
  <c r="L749" i="14"/>
  <c r="K749" i="14"/>
  <c r="J749" i="14"/>
  <c r="I749" i="14"/>
  <c r="H749" i="14"/>
  <c r="G749" i="14"/>
  <c r="F749" i="14"/>
  <c r="E749" i="14"/>
  <c r="D749" i="14"/>
  <c r="C749" i="14"/>
  <c r="B749" i="14"/>
  <c r="A749" i="14"/>
  <c r="Z748" i="14"/>
  <c r="Y748" i="14"/>
  <c r="X748" i="14"/>
  <c r="W748" i="14"/>
  <c r="V748" i="14"/>
  <c r="U748" i="14"/>
  <c r="T748" i="14"/>
  <c r="S748" i="14"/>
  <c r="R748" i="14"/>
  <c r="Q748" i="14"/>
  <c r="P748" i="14"/>
  <c r="O748" i="14"/>
  <c r="N748" i="14"/>
  <c r="M748" i="14"/>
  <c r="L748" i="14"/>
  <c r="K748" i="14"/>
  <c r="J748" i="14"/>
  <c r="I748" i="14"/>
  <c r="H748" i="14"/>
  <c r="G748" i="14"/>
  <c r="F748" i="14"/>
  <c r="E748" i="14"/>
  <c r="D748" i="14"/>
  <c r="C748" i="14"/>
  <c r="AH748" i="14" s="1"/>
  <c r="B748" i="14"/>
  <c r="A748" i="14"/>
  <c r="Z747" i="14"/>
  <c r="Y747" i="14"/>
  <c r="X747" i="14"/>
  <c r="W747" i="14"/>
  <c r="V747" i="14"/>
  <c r="U747" i="14"/>
  <c r="T747" i="14"/>
  <c r="S747" i="14"/>
  <c r="R747" i="14"/>
  <c r="Q747" i="14"/>
  <c r="P747" i="14"/>
  <c r="O747" i="14"/>
  <c r="N747" i="14"/>
  <c r="M747" i="14"/>
  <c r="L747" i="14"/>
  <c r="K747" i="14"/>
  <c r="J747" i="14"/>
  <c r="I747" i="14"/>
  <c r="H747" i="14"/>
  <c r="G747" i="14"/>
  <c r="F747" i="14"/>
  <c r="E747" i="14"/>
  <c r="D747" i="14"/>
  <c r="C747" i="14"/>
  <c r="B747" i="14"/>
  <c r="A747" i="14"/>
  <c r="Z746" i="14"/>
  <c r="Y746" i="14"/>
  <c r="X746" i="14"/>
  <c r="W746" i="14"/>
  <c r="V746" i="14"/>
  <c r="U746" i="14"/>
  <c r="T746" i="14"/>
  <c r="S746" i="14"/>
  <c r="R746" i="14"/>
  <c r="Q746" i="14"/>
  <c r="P746" i="14"/>
  <c r="O746" i="14"/>
  <c r="N746" i="14"/>
  <c r="M746" i="14"/>
  <c r="L746" i="14"/>
  <c r="K746" i="14"/>
  <c r="J746" i="14"/>
  <c r="I746" i="14"/>
  <c r="H746" i="14"/>
  <c r="G746" i="14"/>
  <c r="F746" i="14"/>
  <c r="E746" i="14"/>
  <c r="D746" i="14"/>
  <c r="C746" i="14"/>
  <c r="B746" i="14"/>
  <c r="A746" i="14"/>
  <c r="Z745" i="14"/>
  <c r="Y745" i="14"/>
  <c r="X745" i="14"/>
  <c r="W745" i="14"/>
  <c r="V745" i="14"/>
  <c r="U745" i="14"/>
  <c r="T745" i="14"/>
  <c r="S745" i="14"/>
  <c r="R745" i="14"/>
  <c r="Q745" i="14"/>
  <c r="P745" i="14"/>
  <c r="O745" i="14"/>
  <c r="N745" i="14"/>
  <c r="M745" i="14"/>
  <c r="L745" i="14"/>
  <c r="K745" i="14"/>
  <c r="J745" i="14"/>
  <c r="I745" i="14"/>
  <c r="H745" i="14"/>
  <c r="G745" i="14"/>
  <c r="F745" i="14"/>
  <c r="E745" i="14"/>
  <c r="D745" i="14"/>
  <c r="C745" i="14"/>
  <c r="B745" i="14"/>
  <c r="A745" i="14"/>
  <c r="Z744" i="14"/>
  <c r="Y744" i="14"/>
  <c r="X744" i="14"/>
  <c r="W744" i="14"/>
  <c r="V744" i="14"/>
  <c r="U744" i="14"/>
  <c r="T744" i="14"/>
  <c r="S744" i="14"/>
  <c r="R744" i="14"/>
  <c r="Q744" i="14"/>
  <c r="P744" i="14"/>
  <c r="O744" i="14"/>
  <c r="N744" i="14"/>
  <c r="M744" i="14"/>
  <c r="L744" i="14"/>
  <c r="K744" i="14"/>
  <c r="J744" i="14"/>
  <c r="I744" i="14"/>
  <c r="H744" i="14"/>
  <c r="G744" i="14"/>
  <c r="F744" i="14"/>
  <c r="E744" i="14"/>
  <c r="D744" i="14"/>
  <c r="C744" i="14"/>
  <c r="AH744" i="14" s="1"/>
  <c r="B744" i="14"/>
  <c r="A744" i="14"/>
  <c r="Z743" i="14"/>
  <c r="Y743" i="14"/>
  <c r="X743" i="14"/>
  <c r="W743" i="14"/>
  <c r="V743" i="14"/>
  <c r="U743" i="14"/>
  <c r="T743" i="14"/>
  <c r="S743" i="14"/>
  <c r="R743" i="14"/>
  <c r="Q743" i="14"/>
  <c r="P743" i="14"/>
  <c r="O743" i="14"/>
  <c r="N743" i="14"/>
  <c r="M743" i="14"/>
  <c r="L743" i="14"/>
  <c r="K743" i="14"/>
  <c r="J743" i="14"/>
  <c r="I743" i="14"/>
  <c r="H743" i="14"/>
  <c r="G743" i="14"/>
  <c r="F743" i="14"/>
  <c r="E743" i="14"/>
  <c r="D743" i="14"/>
  <c r="C743" i="14"/>
  <c r="B743" i="14"/>
  <c r="A743" i="14"/>
  <c r="Z742" i="14"/>
  <c r="Y742" i="14"/>
  <c r="X742" i="14"/>
  <c r="W742" i="14"/>
  <c r="V742" i="14"/>
  <c r="U742" i="14"/>
  <c r="T742" i="14"/>
  <c r="S742" i="14"/>
  <c r="R742" i="14"/>
  <c r="Q742" i="14"/>
  <c r="P742" i="14"/>
  <c r="O742" i="14"/>
  <c r="N742" i="14"/>
  <c r="M742" i="14"/>
  <c r="L742" i="14"/>
  <c r="K742" i="14"/>
  <c r="J742" i="14"/>
  <c r="I742" i="14"/>
  <c r="H742" i="14"/>
  <c r="G742" i="14"/>
  <c r="F742" i="14"/>
  <c r="E742" i="14"/>
  <c r="D742" i="14"/>
  <c r="C742" i="14"/>
  <c r="B742" i="14"/>
  <c r="A742" i="14"/>
  <c r="Z741" i="14"/>
  <c r="Y741" i="14"/>
  <c r="X741" i="14"/>
  <c r="W741" i="14"/>
  <c r="V741" i="14"/>
  <c r="U741" i="14"/>
  <c r="T741" i="14"/>
  <c r="S741" i="14"/>
  <c r="R741" i="14"/>
  <c r="Q741" i="14"/>
  <c r="P741" i="14"/>
  <c r="O741" i="14"/>
  <c r="N741" i="14"/>
  <c r="M741" i="14"/>
  <c r="L741" i="14"/>
  <c r="K741" i="14"/>
  <c r="J741" i="14"/>
  <c r="I741" i="14"/>
  <c r="H741" i="14"/>
  <c r="G741" i="14"/>
  <c r="F741" i="14"/>
  <c r="E741" i="14"/>
  <c r="D741" i="14"/>
  <c r="C741" i="14"/>
  <c r="B741" i="14"/>
  <c r="A741" i="14"/>
  <c r="Z740" i="14"/>
  <c r="Y740" i="14"/>
  <c r="X740" i="14"/>
  <c r="W740" i="14"/>
  <c r="V740" i="14"/>
  <c r="U740" i="14"/>
  <c r="T740" i="14"/>
  <c r="S740" i="14"/>
  <c r="R740" i="14"/>
  <c r="Q740" i="14"/>
  <c r="P740" i="14"/>
  <c r="O740" i="14"/>
  <c r="N740" i="14"/>
  <c r="M740" i="14"/>
  <c r="L740" i="14"/>
  <c r="K740" i="14"/>
  <c r="J740" i="14"/>
  <c r="I740" i="14"/>
  <c r="H740" i="14"/>
  <c r="G740" i="14"/>
  <c r="F740" i="14"/>
  <c r="E740" i="14"/>
  <c r="AG740" i="14" s="1"/>
  <c r="D740" i="14"/>
  <c r="C740" i="14"/>
  <c r="AH740" i="14" s="1"/>
  <c r="B740" i="14"/>
  <c r="A740" i="14"/>
  <c r="Z739" i="14"/>
  <c r="Y739" i="14"/>
  <c r="X739" i="14"/>
  <c r="W739" i="14"/>
  <c r="V739" i="14"/>
  <c r="U739" i="14"/>
  <c r="T739" i="14"/>
  <c r="S739" i="14"/>
  <c r="R739" i="14"/>
  <c r="Q739" i="14"/>
  <c r="P739" i="14"/>
  <c r="O739" i="14"/>
  <c r="N739" i="14"/>
  <c r="M739" i="14"/>
  <c r="L739" i="14"/>
  <c r="K739" i="14"/>
  <c r="J739" i="14"/>
  <c r="I739" i="14"/>
  <c r="H739" i="14"/>
  <c r="G739" i="14"/>
  <c r="F739" i="14"/>
  <c r="E739" i="14"/>
  <c r="D739" i="14"/>
  <c r="C739" i="14"/>
  <c r="B739" i="14"/>
  <c r="A739" i="14"/>
  <c r="Z738" i="14"/>
  <c r="Y738" i="14"/>
  <c r="X738" i="14"/>
  <c r="W738" i="14"/>
  <c r="V738" i="14"/>
  <c r="U738" i="14"/>
  <c r="T738" i="14"/>
  <c r="S738" i="14"/>
  <c r="R738" i="14"/>
  <c r="Q738" i="14"/>
  <c r="P738" i="14"/>
  <c r="O738" i="14"/>
  <c r="N738" i="14"/>
  <c r="M738" i="14"/>
  <c r="L738" i="14"/>
  <c r="K738" i="14"/>
  <c r="J738" i="14"/>
  <c r="I738" i="14"/>
  <c r="H738" i="14"/>
  <c r="G738" i="14"/>
  <c r="F738" i="14"/>
  <c r="E738" i="14"/>
  <c r="D738" i="14"/>
  <c r="C738" i="14"/>
  <c r="B738" i="14"/>
  <c r="A738" i="14"/>
  <c r="Z737" i="14"/>
  <c r="Y737" i="14"/>
  <c r="X737" i="14"/>
  <c r="W737" i="14"/>
  <c r="V737" i="14"/>
  <c r="U737" i="14"/>
  <c r="T737" i="14"/>
  <c r="S737" i="14"/>
  <c r="R737" i="14"/>
  <c r="Q737" i="14"/>
  <c r="P737" i="14"/>
  <c r="O737" i="14"/>
  <c r="N737" i="14"/>
  <c r="M737" i="14"/>
  <c r="L737" i="14"/>
  <c r="K737" i="14"/>
  <c r="J737" i="14"/>
  <c r="I737" i="14"/>
  <c r="H737" i="14"/>
  <c r="G737" i="14"/>
  <c r="F737" i="14"/>
  <c r="E737" i="14"/>
  <c r="D737" i="14"/>
  <c r="C737" i="14"/>
  <c r="B737" i="14"/>
  <c r="A737" i="14"/>
  <c r="Z736" i="14"/>
  <c r="Y736" i="14"/>
  <c r="X736" i="14"/>
  <c r="W736" i="14"/>
  <c r="V736" i="14"/>
  <c r="U736" i="14"/>
  <c r="T736" i="14"/>
  <c r="S736" i="14"/>
  <c r="R736" i="14"/>
  <c r="Q736" i="14"/>
  <c r="P736" i="14"/>
  <c r="O736" i="14"/>
  <c r="N736" i="14"/>
  <c r="M736" i="14"/>
  <c r="L736" i="14"/>
  <c r="K736" i="14"/>
  <c r="J736" i="14"/>
  <c r="I736" i="14"/>
  <c r="H736" i="14"/>
  <c r="G736" i="14"/>
  <c r="F736" i="14"/>
  <c r="E736" i="14"/>
  <c r="AG736" i="14" s="1"/>
  <c r="D736" i="14"/>
  <c r="C736" i="14"/>
  <c r="AH736" i="14" s="1"/>
  <c r="B736" i="14"/>
  <c r="A736" i="14"/>
  <c r="Z735" i="14"/>
  <c r="Y735" i="14"/>
  <c r="X735" i="14"/>
  <c r="W735" i="14"/>
  <c r="V735" i="14"/>
  <c r="U735" i="14"/>
  <c r="T735" i="14"/>
  <c r="S735" i="14"/>
  <c r="R735" i="14"/>
  <c r="Q735" i="14"/>
  <c r="P735" i="14"/>
  <c r="O735" i="14"/>
  <c r="N735" i="14"/>
  <c r="M735" i="14"/>
  <c r="L735" i="14"/>
  <c r="K735" i="14"/>
  <c r="J735" i="14"/>
  <c r="I735" i="14"/>
  <c r="H735" i="14"/>
  <c r="G735" i="14"/>
  <c r="F735" i="14"/>
  <c r="E735" i="14"/>
  <c r="D735" i="14"/>
  <c r="C735" i="14"/>
  <c r="B735" i="14"/>
  <c r="A735" i="14"/>
  <c r="Z734" i="14"/>
  <c r="Y734" i="14"/>
  <c r="X734" i="14"/>
  <c r="W734" i="14"/>
  <c r="V734" i="14"/>
  <c r="U734" i="14"/>
  <c r="T734" i="14"/>
  <c r="S734" i="14"/>
  <c r="R734" i="14"/>
  <c r="Q734" i="14"/>
  <c r="P734" i="14"/>
  <c r="O734" i="14"/>
  <c r="N734" i="14"/>
  <c r="M734" i="14"/>
  <c r="L734" i="14"/>
  <c r="K734" i="14"/>
  <c r="J734" i="14"/>
  <c r="I734" i="14"/>
  <c r="H734" i="14"/>
  <c r="G734" i="14"/>
  <c r="F734" i="14"/>
  <c r="E734" i="14"/>
  <c r="D734" i="14"/>
  <c r="C734" i="14"/>
  <c r="B734" i="14"/>
  <c r="A734" i="14"/>
  <c r="Z733" i="14"/>
  <c r="Y733" i="14"/>
  <c r="X733" i="14"/>
  <c r="W733" i="14"/>
  <c r="V733" i="14"/>
  <c r="U733" i="14"/>
  <c r="T733" i="14"/>
  <c r="S733" i="14"/>
  <c r="R733" i="14"/>
  <c r="Q733" i="14"/>
  <c r="P733" i="14"/>
  <c r="O733" i="14"/>
  <c r="N733" i="14"/>
  <c r="M733" i="14"/>
  <c r="L733" i="14"/>
  <c r="K733" i="14"/>
  <c r="J733" i="14"/>
  <c r="I733" i="14"/>
  <c r="H733" i="14"/>
  <c r="G733" i="14"/>
  <c r="F733" i="14"/>
  <c r="E733" i="14"/>
  <c r="D733" i="14"/>
  <c r="C733" i="14"/>
  <c r="B733" i="14"/>
  <c r="A733" i="14"/>
  <c r="Z732" i="14"/>
  <c r="Y732" i="14"/>
  <c r="X732" i="14"/>
  <c r="W732" i="14"/>
  <c r="V732" i="14"/>
  <c r="U732" i="14"/>
  <c r="T732" i="14"/>
  <c r="S732" i="14"/>
  <c r="R732" i="14"/>
  <c r="Q732" i="14"/>
  <c r="P732" i="14"/>
  <c r="O732" i="14"/>
  <c r="N732" i="14"/>
  <c r="M732" i="14"/>
  <c r="L732" i="14"/>
  <c r="K732" i="14"/>
  <c r="J732" i="14"/>
  <c r="I732" i="14"/>
  <c r="H732" i="14"/>
  <c r="G732" i="14"/>
  <c r="F732" i="14"/>
  <c r="E732" i="14"/>
  <c r="D732" i="14"/>
  <c r="C732" i="14"/>
  <c r="B732" i="14"/>
  <c r="A732" i="14"/>
  <c r="Z731" i="14"/>
  <c r="Y731" i="14"/>
  <c r="X731" i="14"/>
  <c r="W731" i="14"/>
  <c r="V731" i="14"/>
  <c r="U731" i="14"/>
  <c r="T731" i="14"/>
  <c r="S731" i="14"/>
  <c r="R731" i="14"/>
  <c r="Q731" i="14"/>
  <c r="P731" i="14"/>
  <c r="O731" i="14"/>
  <c r="N731" i="14"/>
  <c r="M731" i="14"/>
  <c r="L731" i="14"/>
  <c r="K731" i="14"/>
  <c r="J731" i="14"/>
  <c r="I731" i="14"/>
  <c r="H731" i="14"/>
  <c r="G731" i="14"/>
  <c r="F731" i="14"/>
  <c r="E731" i="14"/>
  <c r="D731" i="14"/>
  <c r="C731" i="14"/>
  <c r="B731" i="14"/>
  <c r="A731" i="14"/>
  <c r="Z730" i="14"/>
  <c r="Y730" i="14"/>
  <c r="X730" i="14"/>
  <c r="W730" i="14"/>
  <c r="V730" i="14"/>
  <c r="U730" i="14"/>
  <c r="T730" i="14"/>
  <c r="S730" i="14"/>
  <c r="R730" i="14"/>
  <c r="Q730" i="14"/>
  <c r="P730" i="14"/>
  <c r="O730" i="14"/>
  <c r="N730" i="14"/>
  <c r="M730" i="14"/>
  <c r="L730" i="14"/>
  <c r="K730" i="14"/>
  <c r="J730" i="14"/>
  <c r="I730" i="14"/>
  <c r="H730" i="14"/>
  <c r="G730" i="14"/>
  <c r="F730" i="14"/>
  <c r="E730" i="14"/>
  <c r="D730" i="14"/>
  <c r="C730" i="14"/>
  <c r="B730" i="14"/>
  <c r="A730" i="14"/>
  <c r="Z729" i="14"/>
  <c r="Y729" i="14"/>
  <c r="X729" i="14"/>
  <c r="W729" i="14"/>
  <c r="V729" i="14"/>
  <c r="U729" i="14"/>
  <c r="T729" i="14"/>
  <c r="S729" i="14"/>
  <c r="R729" i="14"/>
  <c r="Q729" i="14"/>
  <c r="P729" i="14"/>
  <c r="O729" i="14"/>
  <c r="N729" i="14"/>
  <c r="M729" i="14"/>
  <c r="L729" i="14"/>
  <c r="K729" i="14"/>
  <c r="J729" i="14"/>
  <c r="I729" i="14"/>
  <c r="H729" i="14"/>
  <c r="G729" i="14"/>
  <c r="F729" i="14"/>
  <c r="E729" i="14"/>
  <c r="D729" i="14"/>
  <c r="C729" i="14"/>
  <c r="B729" i="14"/>
  <c r="A729" i="14"/>
  <c r="Z728" i="14"/>
  <c r="Y728" i="14"/>
  <c r="X728" i="14"/>
  <c r="W728" i="14"/>
  <c r="V728" i="14"/>
  <c r="U728" i="14"/>
  <c r="T728" i="14"/>
  <c r="S728" i="14"/>
  <c r="R728" i="14"/>
  <c r="Q728" i="14"/>
  <c r="P728" i="14"/>
  <c r="O728" i="14"/>
  <c r="N728" i="14"/>
  <c r="M728" i="14"/>
  <c r="L728" i="14"/>
  <c r="K728" i="14"/>
  <c r="J728" i="14"/>
  <c r="I728" i="14"/>
  <c r="H728" i="14"/>
  <c r="G728" i="14"/>
  <c r="F728" i="14"/>
  <c r="E728" i="14"/>
  <c r="D728" i="14"/>
  <c r="C728" i="14"/>
  <c r="B728" i="14"/>
  <c r="A728" i="14"/>
  <c r="Z727" i="14"/>
  <c r="Y727" i="14"/>
  <c r="X727" i="14"/>
  <c r="W727" i="14"/>
  <c r="V727" i="14"/>
  <c r="U727" i="14"/>
  <c r="T727" i="14"/>
  <c r="S727" i="14"/>
  <c r="R727" i="14"/>
  <c r="Q727" i="14"/>
  <c r="P727" i="14"/>
  <c r="O727" i="14"/>
  <c r="N727" i="14"/>
  <c r="M727" i="14"/>
  <c r="L727" i="14"/>
  <c r="K727" i="14"/>
  <c r="J727" i="14"/>
  <c r="I727" i="14"/>
  <c r="H727" i="14"/>
  <c r="G727" i="14"/>
  <c r="F727" i="14"/>
  <c r="E727" i="14"/>
  <c r="D727" i="14"/>
  <c r="C727" i="14"/>
  <c r="B727" i="14"/>
  <c r="A727" i="14"/>
  <c r="Z726" i="14"/>
  <c r="Y726" i="14"/>
  <c r="X726" i="14"/>
  <c r="W726" i="14"/>
  <c r="V726" i="14"/>
  <c r="U726" i="14"/>
  <c r="T726" i="14"/>
  <c r="S726" i="14"/>
  <c r="R726" i="14"/>
  <c r="Q726" i="14"/>
  <c r="P726" i="14"/>
  <c r="O726" i="14"/>
  <c r="N726" i="14"/>
  <c r="M726" i="14"/>
  <c r="L726" i="14"/>
  <c r="K726" i="14"/>
  <c r="J726" i="14"/>
  <c r="I726" i="14"/>
  <c r="H726" i="14"/>
  <c r="G726" i="14"/>
  <c r="F726" i="14"/>
  <c r="E726" i="14"/>
  <c r="D726" i="14"/>
  <c r="C726" i="14"/>
  <c r="B726" i="14"/>
  <c r="A726" i="14"/>
  <c r="Z725" i="14"/>
  <c r="Y725" i="14"/>
  <c r="X725" i="14"/>
  <c r="W725" i="14"/>
  <c r="V725" i="14"/>
  <c r="U725" i="14"/>
  <c r="T725" i="14"/>
  <c r="S725" i="14"/>
  <c r="R725" i="14"/>
  <c r="Q725" i="14"/>
  <c r="P725" i="14"/>
  <c r="O725" i="14"/>
  <c r="N725" i="14"/>
  <c r="M725" i="14"/>
  <c r="L725" i="14"/>
  <c r="K725" i="14"/>
  <c r="J725" i="14"/>
  <c r="I725" i="14"/>
  <c r="H725" i="14"/>
  <c r="G725" i="14"/>
  <c r="F725" i="14"/>
  <c r="E725" i="14"/>
  <c r="D725" i="14"/>
  <c r="C725" i="14"/>
  <c r="B725" i="14"/>
  <c r="A725" i="14"/>
  <c r="Z724" i="14"/>
  <c r="Y724" i="14"/>
  <c r="X724" i="14"/>
  <c r="W724" i="14"/>
  <c r="V724" i="14"/>
  <c r="U724" i="14"/>
  <c r="T724" i="14"/>
  <c r="S724" i="14"/>
  <c r="R724" i="14"/>
  <c r="Q724" i="14"/>
  <c r="P724" i="14"/>
  <c r="O724" i="14"/>
  <c r="N724" i="14"/>
  <c r="M724" i="14"/>
  <c r="L724" i="14"/>
  <c r="K724" i="14"/>
  <c r="J724" i="14"/>
  <c r="I724" i="14"/>
  <c r="H724" i="14"/>
  <c r="G724" i="14"/>
  <c r="F724" i="14"/>
  <c r="E724" i="14"/>
  <c r="D724" i="14"/>
  <c r="C724" i="14"/>
  <c r="B724" i="14"/>
  <c r="A724" i="14"/>
  <c r="Z723" i="14"/>
  <c r="Y723" i="14"/>
  <c r="X723" i="14"/>
  <c r="W723" i="14"/>
  <c r="V723" i="14"/>
  <c r="U723" i="14"/>
  <c r="T723" i="14"/>
  <c r="S723" i="14"/>
  <c r="R723" i="14"/>
  <c r="Q723" i="14"/>
  <c r="P723" i="14"/>
  <c r="O723" i="14"/>
  <c r="N723" i="14"/>
  <c r="M723" i="14"/>
  <c r="L723" i="14"/>
  <c r="K723" i="14"/>
  <c r="J723" i="14"/>
  <c r="I723" i="14"/>
  <c r="H723" i="14"/>
  <c r="G723" i="14"/>
  <c r="F723" i="14"/>
  <c r="E723" i="14"/>
  <c r="D723" i="14"/>
  <c r="C723" i="14"/>
  <c r="B723" i="14"/>
  <c r="A723" i="14"/>
  <c r="Z722" i="14"/>
  <c r="Y722" i="14"/>
  <c r="X722" i="14"/>
  <c r="W722" i="14"/>
  <c r="V722" i="14"/>
  <c r="U722" i="14"/>
  <c r="T722" i="14"/>
  <c r="S722" i="14"/>
  <c r="R722" i="14"/>
  <c r="Q722" i="14"/>
  <c r="P722" i="14"/>
  <c r="O722" i="14"/>
  <c r="N722" i="14"/>
  <c r="M722" i="14"/>
  <c r="L722" i="14"/>
  <c r="K722" i="14"/>
  <c r="J722" i="14"/>
  <c r="I722" i="14"/>
  <c r="H722" i="14"/>
  <c r="G722" i="14"/>
  <c r="F722" i="14"/>
  <c r="E722" i="14"/>
  <c r="D722" i="14"/>
  <c r="C722" i="14"/>
  <c r="B722" i="14"/>
  <c r="A722" i="14"/>
  <c r="Z721" i="14"/>
  <c r="Y721" i="14"/>
  <c r="X721" i="14"/>
  <c r="W721" i="14"/>
  <c r="V721" i="14"/>
  <c r="U721" i="14"/>
  <c r="T721" i="14"/>
  <c r="S721" i="14"/>
  <c r="R721" i="14"/>
  <c r="Q721" i="14"/>
  <c r="P721" i="14"/>
  <c r="O721" i="14"/>
  <c r="N721" i="14"/>
  <c r="M721" i="14"/>
  <c r="L721" i="14"/>
  <c r="K721" i="14"/>
  <c r="J721" i="14"/>
  <c r="I721" i="14"/>
  <c r="H721" i="14"/>
  <c r="G721" i="14"/>
  <c r="F721" i="14"/>
  <c r="E721" i="14"/>
  <c r="D721" i="14"/>
  <c r="C721" i="14"/>
  <c r="B721" i="14"/>
  <c r="A721" i="14"/>
  <c r="Z720" i="14"/>
  <c r="Y720" i="14"/>
  <c r="X720" i="14"/>
  <c r="W720" i="14"/>
  <c r="V720" i="14"/>
  <c r="U720" i="14"/>
  <c r="T720" i="14"/>
  <c r="S720" i="14"/>
  <c r="R720" i="14"/>
  <c r="Q720" i="14"/>
  <c r="P720" i="14"/>
  <c r="O720" i="14"/>
  <c r="N720" i="14"/>
  <c r="M720" i="14"/>
  <c r="L720" i="14"/>
  <c r="K720" i="14"/>
  <c r="J720" i="14"/>
  <c r="I720" i="14"/>
  <c r="H720" i="14"/>
  <c r="G720" i="14"/>
  <c r="F720" i="14"/>
  <c r="E720" i="14"/>
  <c r="D720" i="14"/>
  <c r="C720" i="14"/>
  <c r="B720" i="14"/>
  <c r="A720" i="14"/>
  <c r="Z719" i="14"/>
  <c r="Y719" i="14"/>
  <c r="X719" i="14"/>
  <c r="W719" i="14"/>
  <c r="V719" i="14"/>
  <c r="U719" i="14"/>
  <c r="T719" i="14"/>
  <c r="S719" i="14"/>
  <c r="R719" i="14"/>
  <c r="Q719" i="14"/>
  <c r="P719" i="14"/>
  <c r="O719" i="14"/>
  <c r="N719" i="14"/>
  <c r="M719" i="14"/>
  <c r="L719" i="14"/>
  <c r="K719" i="14"/>
  <c r="J719" i="14"/>
  <c r="I719" i="14"/>
  <c r="H719" i="14"/>
  <c r="G719" i="14"/>
  <c r="F719" i="14"/>
  <c r="E719" i="14"/>
  <c r="D719" i="14"/>
  <c r="C719" i="14"/>
  <c r="B719" i="14"/>
  <c r="A719" i="14"/>
  <c r="Z718" i="14"/>
  <c r="Y718" i="14"/>
  <c r="X718" i="14"/>
  <c r="W718" i="14"/>
  <c r="V718" i="14"/>
  <c r="U718" i="14"/>
  <c r="T718" i="14"/>
  <c r="S718" i="14"/>
  <c r="R718" i="14"/>
  <c r="Q718" i="14"/>
  <c r="P718" i="14"/>
  <c r="O718" i="14"/>
  <c r="N718" i="14"/>
  <c r="M718" i="14"/>
  <c r="L718" i="14"/>
  <c r="K718" i="14"/>
  <c r="J718" i="14"/>
  <c r="I718" i="14"/>
  <c r="H718" i="14"/>
  <c r="G718" i="14"/>
  <c r="F718" i="14"/>
  <c r="E718" i="14"/>
  <c r="D718" i="14"/>
  <c r="C718" i="14"/>
  <c r="B718" i="14"/>
  <c r="A718" i="14"/>
  <c r="Z717" i="14"/>
  <c r="Y717" i="14"/>
  <c r="X717" i="14"/>
  <c r="W717" i="14"/>
  <c r="V717" i="14"/>
  <c r="U717" i="14"/>
  <c r="T717" i="14"/>
  <c r="S717" i="14"/>
  <c r="R717" i="14"/>
  <c r="Q717" i="14"/>
  <c r="P717" i="14"/>
  <c r="O717" i="14"/>
  <c r="N717" i="14"/>
  <c r="M717" i="14"/>
  <c r="L717" i="14"/>
  <c r="K717" i="14"/>
  <c r="J717" i="14"/>
  <c r="I717" i="14"/>
  <c r="H717" i="14"/>
  <c r="G717" i="14"/>
  <c r="F717" i="14"/>
  <c r="E717" i="14"/>
  <c r="D717" i="14"/>
  <c r="C717" i="14"/>
  <c r="B717" i="14"/>
  <c r="A717" i="14"/>
  <c r="Z716" i="14"/>
  <c r="Y716" i="14"/>
  <c r="X716" i="14"/>
  <c r="W716" i="14"/>
  <c r="V716" i="14"/>
  <c r="U716" i="14"/>
  <c r="T716" i="14"/>
  <c r="S716" i="14"/>
  <c r="R716" i="14"/>
  <c r="Q716" i="14"/>
  <c r="P716" i="14"/>
  <c r="O716" i="14"/>
  <c r="N716" i="14"/>
  <c r="M716" i="14"/>
  <c r="L716" i="14"/>
  <c r="K716" i="14"/>
  <c r="J716" i="14"/>
  <c r="I716" i="14"/>
  <c r="H716" i="14"/>
  <c r="G716" i="14"/>
  <c r="F716" i="14"/>
  <c r="E716" i="14"/>
  <c r="D716" i="14"/>
  <c r="C716" i="14"/>
  <c r="B716" i="14"/>
  <c r="A716" i="14"/>
  <c r="Z715" i="14"/>
  <c r="Y715" i="14"/>
  <c r="X715" i="14"/>
  <c r="W715" i="14"/>
  <c r="V715" i="14"/>
  <c r="U715" i="14"/>
  <c r="T715" i="14"/>
  <c r="S715" i="14"/>
  <c r="R715" i="14"/>
  <c r="Q715" i="14"/>
  <c r="P715" i="14"/>
  <c r="O715" i="14"/>
  <c r="N715" i="14"/>
  <c r="M715" i="14"/>
  <c r="L715" i="14"/>
  <c r="K715" i="14"/>
  <c r="J715" i="14"/>
  <c r="I715" i="14"/>
  <c r="H715" i="14"/>
  <c r="G715" i="14"/>
  <c r="F715" i="14"/>
  <c r="E715" i="14"/>
  <c r="D715" i="14"/>
  <c r="C715" i="14"/>
  <c r="B715" i="14"/>
  <c r="A715" i="14"/>
  <c r="Z714" i="14"/>
  <c r="Y714" i="14"/>
  <c r="X714" i="14"/>
  <c r="W714" i="14"/>
  <c r="V714" i="14"/>
  <c r="U714" i="14"/>
  <c r="T714" i="14"/>
  <c r="S714" i="14"/>
  <c r="R714" i="14"/>
  <c r="Q714" i="14"/>
  <c r="P714" i="14"/>
  <c r="O714" i="14"/>
  <c r="N714" i="14"/>
  <c r="M714" i="14"/>
  <c r="L714" i="14"/>
  <c r="K714" i="14"/>
  <c r="J714" i="14"/>
  <c r="I714" i="14"/>
  <c r="H714" i="14"/>
  <c r="G714" i="14"/>
  <c r="F714" i="14"/>
  <c r="E714" i="14"/>
  <c r="D714" i="14"/>
  <c r="C714" i="14"/>
  <c r="B714" i="14"/>
  <c r="A714" i="14"/>
  <c r="Z713" i="14"/>
  <c r="Y713" i="14"/>
  <c r="X713" i="14"/>
  <c r="W713" i="14"/>
  <c r="V713" i="14"/>
  <c r="U713" i="14"/>
  <c r="T713" i="14"/>
  <c r="S713" i="14"/>
  <c r="R713" i="14"/>
  <c r="Q713" i="14"/>
  <c r="P713" i="14"/>
  <c r="O713" i="14"/>
  <c r="N713" i="14"/>
  <c r="M713" i="14"/>
  <c r="L713" i="14"/>
  <c r="K713" i="14"/>
  <c r="J713" i="14"/>
  <c r="I713" i="14"/>
  <c r="H713" i="14"/>
  <c r="G713" i="14"/>
  <c r="F713" i="14"/>
  <c r="E713" i="14"/>
  <c r="D713" i="14"/>
  <c r="C713" i="14"/>
  <c r="B713" i="14"/>
  <c r="A713" i="14"/>
  <c r="Z712" i="14"/>
  <c r="Y712" i="14"/>
  <c r="X712" i="14"/>
  <c r="W712" i="14"/>
  <c r="V712" i="14"/>
  <c r="U712" i="14"/>
  <c r="T712" i="14"/>
  <c r="S712" i="14"/>
  <c r="R712" i="14"/>
  <c r="Q712" i="14"/>
  <c r="P712" i="14"/>
  <c r="O712" i="14"/>
  <c r="N712" i="14"/>
  <c r="M712" i="14"/>
  <c r="L712" i="14"/>
  <c r="K712" i="14"/>
  <c r="J712" i="14"/>
  <c r="I712" i="14"/>
  <c r="H712" i="14"/>
  <c r="G712" i="14"/>
  <c r="F712" i="14"/>
  <c r="E712" i="14"/>
  <c r="D712" i="14"/>
  <c r="C712" i="14"/>
  <c r="B712" i="14"/>
  <c r="A712" i="14"/>
  <c r="Z711" i="14"/>
  <c r="Y711" i="14"/>
  <c r="X711" i="14"/>
  <c r="W711" i="14"/>
  <c r="V711" i="14"/>
  <c r="U711" i="14"/>
  <c r="T711" i="14"/>
  <c r="S711" i="14"/>
  <c r="R711" i="14"/>
  <c r="Q711" i="14"/>
  <c r="P711" i="14"/>
  <c r="O711" i="14"/>
  <c r="N711" i="14"/>
  <c r="M711" i="14"/>
  <c r="L711" i="14"/>
  <c r="K711" i="14"/>
  <c r="J711" i="14"/>
  <c r="I711" i="14"/>
  <c r="H711" i="14"/>
  <c r="G711" i="14"/>
  <c r="F711" i="14"/>
  <c r="E711" i="14"/>
  <c r="D711" i="14"/>
  <c r="C711" i="14"/>
  <c r="B711" i="14"/>
  <c r="A711" i="14"/>
  <c r="Z710" i="14"/>
  <c r="Y710" i="14"/>
  <c r="X710" i="14"/>
  <c r="W710" i="14"/>
  <c r="V710" i="14"/>
  <c r="U710" i="14"/>
  <c r="T710" i="14"/>
  <c r="S710" i="14"/>
  <c r="R710" i="14"/>
  <c r="Q710" i="14"/>
  <c r="P710" i="14"/>
  <c r="O710" i="14"/>
  <c r="N710" i="14"/>
  <c r="M710" i="14"/>
  <c r="L710" i="14"/>
  <c r="K710" i="14"/>
  <c r="J710" i="14"/>
  <c r="I710" i="14"/>
  <c r="H710" i="14"/>
  <c r="G710" i="14"/>
  <c r="F710" i="14"/>
  <c r="E710" i="14"/>
  <c r="D710" i="14"/>
  <c r="C710" i="14"/>
  <c r="B710" i="14"/>
  <c r="A710" i="14"/>
  <c r="Z709" i="14"/>
  <c r="Y709" i="14"/>
  <c r="X709" i="14"/>
  <c r="W709" i="14"/>
  <c r="V709" i="14"/>
  <c r="U709" i="14"/>
  <c r="T709" i="14"/>
  <c r="S709" i="14"/>
  <c r="R709" i="14"/>
  <c r="Q709" i="14"/>
  <c r="P709" i="14"/>
  <c r="O709" i="14"/>
  <c r="N709" i="14"/>
  <c r="M709" i="14"/>
  <c r="L709" i="14"/>
  <c r="K709" i="14"/>
  <c r="J709" i="14"/>
  <c r="I709" i="14"/>
  <c r="H709" i="14"/>
  <c r="G709" i="14"/>
  <c r="F709" i="14"/>
  <c r="E709" i="14"/>
  <c r="D709" i="14"/>
  <c r="C709" i="14"/>
  <c r="B709" i="14"/>
  <c r="A709" i="14"/>
  <c r="Z708" i="14"/>
  <c r="Y708" i="14"/>
  <c r="X708" i="14"/>
  <c r="W708" i="14"/>
  <c r="V708" i="14"/>
  <c r="U708" i="14"/>
  <c r="T708" i="14"/>
  <c r="S708" i="14"/>
  <c r="R708" i="14"/>
  <c r="Q708" i="14"/>
  <c r="P708" i="14"/>
  <c r="O708" i="14"/>
  <c r="N708" i="14"/>
  <c r="M708" i="14"/>
  <c r="L708" i="14"/>
  <c r="K708" i="14"/>
  <c r="J708" i="14"/>
  <c r="I708" i="14"/>
  <c r="H708" i="14"/>
  <c r="G708" i="14"/>
  <c r="F708" i="14"/>
  <c r="E708" i="14"/>
  <c r="D708" i="14"/>
  <c r="C708" i="14"/>
  <c r="B708" i="14"/>
  <c r="A708" i="14"/>
  <c r="Z707" i="14"/>
  <c r="Y707" i="14"/>
  <c r="X707" i="14"/>
  <c r="W707" i="14"/>
  <c r="V707" i="14"/>
  <c r="U707" i="14"/>
  <c r="T707" i="14"/>
  <c r="S707" i="14"/>
  <c r="R707" i="14"/>
  <c r="Q707" i="14"/>
  <c r="P707" i="14"/>
  <c r="O707" i="14"/>
  <c r="N707" i="14"/>
  <c r="M707" i="14"/>
  <c r="L707" i="14"/>
  <c r="K707" i="14"/>
  <c r="J707" i="14"/>
  <c r="I707" i="14"/>
  <c r="H707" i="14"/>
  <c r="G707" i="14"/>
  <c r="F707" i="14"/>
  <c r="E707" i="14"/>
  <c r="D707" i="14"/>
  <c r="C707" i="14"/>
  <c r="B707" i="14"/>
  <c r="A707" i="14"/>
  <c r="Z706" i="14"/>
  <c r="Y706" i="14"/>
  <c r="X706" i="14"/>
  <c r="W706" i="14"/>
  <c r="V706" i="14"/>
  <c r="U706" i="14"/>
  <c r="T706" i="14"/>
  <c r="S706" i="14"/>
  <c r="R706" i="14"/>
  <c r="Q706" i="14"/>
  <c r="P706" i="14"/>
  <c r="O706" i="14"/>
  <c r="N706" i="14"/>
  <c r="M706" i="14"/>
  <c r="L706" i="14"/>
  <c r="K706" i="14"/>
  <c r="J706" i="14"/>
  <c r="I706" i="14"/>
  <c r="H706" i="14"/>
  <c r="G706" i="14"/>
  <c r="F706" i="14"/>
  <c r="E706" i="14"/>
  <c r="D706" i="14"/>
  <c r="C706" i="14"/>
  <c r="B706" i="14"/>
  <c r="A706" i="14"/>
  <c r="Z705" i="14"/>
  <c r="Y705" i="14"/>
  <c r="X705" i="14"/>
  <c r="W705" i="14"/>
  <c r="V705" i="14"/>
  <c r="U705" i="14"/>
  <c r="T705" i="14"/>
  <c r="S705" i="14"/>
  <c r="R705" i="14"/>
  <c r="Q705" i="14"/>
  <c r="P705" i="14"/>
  <c r="O705" i="14"/>
  <c r="N705" i="14"/>
  <c r="M705" i="14"/>
  <c r="L705" i="14"/>
  <c r="K705" i="14"/>
  <c r="J705" i="14"/>
  <c r="I705" i="14"/>
  <c r="H705" i="14"/>
  <c r="G705" i="14"/>
  <c r="F705" i="14"/>
  <c r="E705" i="14"/>
  <c r="D705" i="14"/>
  <c r="C705" i="14"/>
  <c r="B705" i="14"/>
  <c r="A705" i="14"/>
  <c r="Z704" i="14"/>
  <c r="Y704" i="14"/>
  <c r="X704" i="14"/>
  <c r="W704" i="14"/>
  <c r="V704" i="14"/>
  <c r="U704" i="14"/>
  <c r="T704" i="14"/>
  <c r="S704" i="14"/>
  <c r="R704" i="14"/>
  <c r="Q704" i="14"/>
  <c r="P704" i="14"/>
  <c r="O704" i="14"/>
  <c r="N704" i="14"/>
  <c r="M704" i="14"/>
  <c r="L704" i="14"/>
  <c r="K704" i="14"/>
  <c r="J704" i="14"/>
  <c r="I704" i="14"/>
  <c r="H704" i="14"/>
  <c r="G704" i="14"/>
  <c r="F704" i="14"/>
  <c r="E704" i="14"/>
  <c r="D704" i="14"/>
  <c r="C704" i="14"/>
  <c r="B704" i="14"/>
  <c r="A704" i="14"/>
  <c r="Z703" i="14"/>
  <c r="Y703" i="14"/>
  <c r="X703" i="14"/>
  <c r="W703" i="14"/>
  <c r="V703" i="14"/>
  <c r="U703" i="14"/>
  <c r="T703" i="14"/>
  <c r="S703" i="14"/>
  <c r="R703" i="14"/>
  <c r="Q703" i="14"/>
  <c r="P703" i="14"/>
  <c r="O703" i="14"/>
  <c r="N703" i="14"/>
  <c r="M703" i="14"/>
  <c r="L703" i="14"/>
  <c r="K703" i="14"/>
  <c r="J703" i="14"/>
  <c r="I703" i="14"/>
  <c r="H703" i="14"/>
  <c r="G703" i="14"/>
  <c r="F703" i="14"/>
  <c r="E703" i="14"/>
  <c r="D703" i="14"/>
  <c r="C703" i="14"/>
  <c r="B703" i="14"/>
  <c r="A703" i="14"/>
  <c r="Z702" i="14"/>
  <c r="Y702" i="14"/>
  <c r="X702" i="14"/>
  <c r="W702" i="14"/>
  <c r="V702" i="14"/>
  <c r="U702" i="14"/>
  <c r="T702" i="14"/>
  <c r="S702" i="14"/>
  <c r="R702" i="14"/>
  <c r="Q702" i="14"/>
  <c r="P702" i="14"/>
  <c r="O702" i="14"/>
  <c r="N702" i="14"/>
  <c r="M702" i="14"/>
  <c r="L702" i="14"/>
  <c r="K702" i="14"/>
  <c r="J702" i="14"/>
  <c r="I702" i="14"/>
  <c r="H702" i="14"/>
  <c r="G702" i="14"/>
  <c r="F702" i="14"/>
  <c r="E702" i="14"/>
  <c r="D702" i="14"/>
  <c r="C702" i="14"/>
  <c r="B702" i="14"/>
  <c r="A702" i="14"/>
  <c r="Z701" i="14"/>
  <c r="Y701" i="14"/>
  <c r="X701" i="14"/>
  <c r="W701" i="14"/>
  <c r="V701" i="14"/>
  <c r="U701" i="14"/>
  <c r="T701" i="14"/>
  <c r="S701" i="14"/>
  <c r="R701" i="14"/>
  <c r="Q701" i="14"/>
  <c r="P701" i="14"/>
  <c r="O701" i="14"/>
  <c r="N701" i="14"/>
  <c r="M701" i="14"/>
  <c r="L701" i="14"/>
  <c r="K701" i="14"/>
  <c r="J701" i="14"/>
  <c r="I701" i="14"/>
  <c r="H701" i="14"/>
  <c r="G701" i="14"/>
  <c r="F701" i="14"/>
  <c r="E701" i="14"/>
  <c r="D701" i="14"/>
  <c r="C701" i="14"/>
  <c r="B701" i="14"/>
  <c r="A701" i="14"/>
  <c r="Z700" i="14"/>
  <c r="Y700" i="14"/>
  <c r="X700" i="14"/>
  <c r="W700" i="14"/>
  <c r="V700" i="14"/>
  <c r="U700" i="14"/>
  <c r="T700" i="14"/>
  <c r="S700" i="14"/>
  <c r="R700" i="14"/>
  <c r="Q700" i="14"/>
  <c r="P700" i="14"/>
  <c r="O700" i="14"/>
  <c r="N700" i="14"/>
  <c r="M700" i="14"/>
  <c r="L700" i="14"/>
  <c r="K700" i="14"/>
  <c r="J700" i="14"/>
  <c r="I700" i="14"/>
  <c r="H700" i="14"/>
  <c r="G700" i="14"/>
  <c r="F700" i="14"/>
  <c r="E700" i="14"/>
  <c r="D700" i="14"/>
  <c r="C700" i="14"/>
  <c r="B700" i="14"/>
  <c r="A700" i="14"/>
  <c r="Z699" i="14"/>
  <c r="Y699" i="14"/>
  <c r="X699" i="14"/>
  <c r="W699" i="14"/>
  <c r="V699" i="14"/>
  <c r="U699" i="14"/>
  <c r="T699" i="14"/>
  <c r="S699" i="14"/>
  <c r="R699" i="14"/>
  <c r="Q699" i="14"/>
  <c r="P699" i="14"/>
  <c r="O699" i="14"/>
  <c r="N699" i="14"/>
  <c r="M699" i="14"/>
  <c r="L699" i="14"/>
  <c r="K699" i="14"/>
  <c r="J699" i="14"/>
  <c r="I699" i="14"/>
  <c r="H699" i="14"/>
  <c r="G699" i="14"/>
  <c r="F699" i="14"/>
  <c r="E699" i="14"/>
  <c r="D699" i="14"/>
  <c r="C699" i="14"/>
  <c r="B699" i="14"/>
  <c r="A699" i="14"/>
  <c r="Z698" i="14"/>
  <c r="Y698" i="14"/>
  <c r="X698" i="14"/>
  <c r="W698" i="14"/>
  <c r="V698" i="14"/>
  <c r="U698" i="14"/>
  <c r="T698" i="14"/>
  <c r="S698" i="14"/>
  <c r="R698" i="14"/>
  <c r="Q698" i="14"/>
  <c r="P698" i="14"/>
  <c r="O698" i="14"/>
  <c r="N698" i="14"/>
  <c r="M698" i="14"/>
  <c r="L698" i="14"/>
  <c r="K698" i="14"/>
  <c r="J698" i="14"/>
  <c r="I698" i="14"/>
  <c r="H698" i="14"/>
  <c r="G698" i="14"/>
  <c r="F698" i="14"/>
  <c r="E698" i="14"/>
  <c r="D698" i="14"/>
  <c r="C698" i="14"/>
  <c r="B698" i="14"/>
  <c r="A698" i="14"/>
  <c r="Z697" i="14"/>
  <c r="Y697" i="14"/>
  <c r="X697" i="14"/>
  <c r="W697" i="14"/>
  <c r="V697" i="14"/>
  <c r="U697" i="14"/>
  <c r="T697" i="14"/>
  <c r="S697" i="14"/>
  <c r="R697" i="14"/>
  <c r="Q697" i="14"/>
  <c r="P697" i="14"/>
  <c r="O697" i="14"/>
  <c r="N697" i="14"/>
  <c r="M697" i="14"/>
  <c r="L697" i="14"/>
  <c r="K697" i="14"/>
  <c r="J697" i="14"/>
  <c r="I697" i="14"/>
  <c r="H697" i="14"/>
  <c r="G697" i="14"/>
  <c r="F697" i="14"/>
  <c r="E697" i="14"/>
  <c r="D697" i="14"/>
  <c r="C697" i="14"/>
  <c r="B697" i="14"/>
  <c r="A697" i="14"/>
  <c r="Z696" i="14"/>
  <c r="Y696" i="14"/>
  <c r="X696" i="14"/>
  <c r="W696" i="14"/>
  <c r="V696" i="14"/>
  <c r="U696" i="14"/>
  <c r="T696" i="14"/>
  <c r="S696" i="14"/>
  <c r="R696" i="14"/>
  <c r="Q696" i="14"/>
  <c r="P696" i="14"/>
  <c r="O696" i="14"/>
  <c r="N696" i="14"/>
  <c r="M696" i="14"/>
  <c r="L696" i="14"/>
  <c r="K696" i="14"/>
  <c r="J696" i="14"/>
  <c r="I696" i="14"/>
  <c r="H696" i="14"/>
  <c r="G696" i="14"/>
  <c r="F696" i="14"/>
  <c r="E696" i="14"/>
  <c r="D696" i="14"/>
  <c r="C696" i="14"/>
  <c r="B696" i="14"/>
  <c r="A696" i="14"/>
  <c r="Z695" i="14"/>
  <c r="Y695" i="14"/>
  <c r="X695" i="14"/>
  <c r="W695" i="14"/>
  <c r="V695" i="14"/>
  <c r="U695" i="14"/>
  <c r="T695" i="14"/>
  <c r="S695" i="14"/>
  <c r="R695" i="14"/>
  <c r="Q695" i="14"/>
  <c r="P695" i="14"/>
  <c r="O695" i="14"/>
  <c r="N695" i="14"/>
  <c r="M695" i="14"/>
  <c r="L695" i="14"/>
  <c r="K695" i="14"/>
  <c r="J695" i="14"/>
  <c r="I695" i="14"/>
  <c r="H695" i="14"/>
  <c r="G695" i="14"/>
  <c r="F695" i="14"/>
  <c r="E695" i="14"/>
  <c r="D695" i="14"/>
  <c r="C695" i="14"/>
  <c r="B695" i="14"/>
  <c r="A695" i="14"/>
  <c r="Z694" i="14"/>
  <c r="Y694" i="14"/>
  <c r="X694" i="14"/>
  <c r="W694" i="14"/>
  <c r="V694" i="14"/>
  <c r="U694" i="14"/>
  <c r="T694" i="14"/>
  <c r="S694" i="14"/>
  <c r="R694" i="14"/>
  <c r="Q694" i="14"/>
  <c r="P694" i="14"/>
  <c r="O694" i="14"/>
  <c r="N694" i="14"/>
  <c r="M694" i="14"/>
  <c r="L694" i="14"/>
  <c r="K694" i="14"/>
  <c r="J694" i="14"/>
  <c r="I694" i="14"/>
  <c r="H694" i="14"/>
  <c r="G694" i="14"/>
  <c r="F694" i="14"/>
  <c r="E694" i="14"/>
  <c r="D694" i="14"/>
  <c r="C694" i="14"/>
  <c r="B694" i="14"/>
  <c r="A694" i="14"/>
  <c r="Z693" i="14"/>
  <c r="Y693" i="14"/>
  <c r="X693" i="14"/>
  <c r="W693" i="14"/>
  <c r="V693" i="14"/>
  <c r="U693" i="14"/>
  <c r="T693" i="14"/>
  <c r="S693" i="14"/>
  <c r="R693" i="14"/>
  <c r="Q693" i="14"/>
  <c r="P693" i="14"/>
  <c r="O693" i="14"/>
  <c r="N693" i="14"/>
  <c r="M693" i="14"/>
  <c r="L693" i="14"/>
  <c r="K693" i="14"/>
  <c r="J693" i="14"/>
  <c r="I693" i="14"/>
  <c r="H693" i="14"/>
  <c r="G693" i="14"/>
  <c r="F693" i="14"/>
  <c r="E693" i="14"/>
  <c r="D693" i="14"/>
  <c r="C693" i="14"/>
  <c r="B693" i="14"/>
  <c r="A693" i="14"/>
  <c r="Z692" i="14"/>
  <c r="Y692" i="14"/>
  <c r="X692" i="14"/>
  <c r="W692" i="14"/>
  <c r="V692" i="14"/>
  <c r="U692" i="14"/>
  <c r="T692" i="14"/>
  <c r="S692" i="14"/>
  <c r="R692" i="14"/>
  <c r="Q692" i="14"/>
  <c r="P692" i="14"/>
  <c r="O692" i="14"/>
  <c r="N692" i="14"/>
  <c r="M692" i="14"/>
  <c r="L692" i="14"/>
  <c r="K692" i="14"/>
  <c r="J692" i="14"/>
  <c r="I692" i="14"/>
  <c r="H692" i="14"/>
  <c r="G692" i="14"/>
  <c r="F692" i="14"/>
  <c r="E692" i="14"/>
  <c r="D692" i="14"/>
  <c r="C692" i="14"/>
  <c r="B692" i="14"/>
  <c r="A692" i="14"/>
  <c r="Z691" i="14"/>
  <c r="Y691" i="14"/>
  <c r="X691" i="14"/>
  <c r="W691" i="14"/>
  <c r="V691" i="14"/>
  <c r="U691" i="14"/>
  <c r="T691" i="14"/>
  <c r="S691" i="14"/>
  <c r="R691" i="14"/>
  <c r="Q691" i="14"/>
  <c r="P691" i="14"/>
  <c r="O691" i="14"/>
  <c r="N691" i="14"/>
  <c r="M691" i="14"/>
  <c r="L691" i="14"/>
  <c r="K691" i="14"/>
  <c r="J691" i="14"/>
  <c r="I691" i="14"/>
  <c r="H691" i="14"/>
  <c r="G691" i="14"/>
  <c r="F691" i="14"/>
  <c r="E691" i="14"/>
  <c r="D691" i="14"/>
  <c r="C691" i="14"/>
  <c r="B691" i="14"/>
  <c r="A691" i="14"/>
  <c r="Z690" i="14"/>
  <c r="Y690" i="14"/>
  <c r="X690" i="14"/>
  <c r="W690" i="14"/>
  <c r="V690" i="14"/>
  <c r="U690" i="14"/>
  <c r="T690" i="14"/>
  <c r="S690" i="14"/>
  <c r="R690" i="14"/>
  <c r="Q690" i="14"/>
  <c r="P690" i="14"/>
  <c r="O690" i="14"/>
  <c r="N690" i="14"/>
  <c r="M690" i="14"/>
  <c r="L690" i="14"/>
  <c r="K690" i="14"/>
  <c r="J690" i="14"/>
  <c r="I690" i="14"/>
  <c r="H690" i="14"/>
  <c r="G690" i="14"/>
  <c r="F690" i="14"/>
  <c r="E690" i="14"/>
  <c r="D690" i="14"/>
  <c r="C690" i="14"/>
  <c r="B690" i="14"/>
  <c r="A690" i="14"/>
  <c r="Z689" i="14"/>
  <c r="Y689" i="14"/>
  <c r="X689" i="14"/>
  <c r="W689" i="14"/>
  <c r="V689" i="14"/>
  <c r="U689" i="14"/>
  <c r="T689" i="14"/>
  <c r="S689" i="14"/>
  <c r="R689" i="14"/>
  <c r="Q689" i="14"/>
  <c r="P689" i="14"/>
  <c r="O689" i="14"/>
  <c r="N689" i="14"/>
  <c r="M689" i="14"/>
  <c r="L689" i="14"/>
  <c r="K689" i="14"/>
  <c r="J689" i="14"/>
  <c r="I689" i="14"/>
  <c r="H689" i="14"/>
  <c r="G689" i="14"/>
  <c r="F689" i="14"/>
  <c r="E689" i="14"/>
  <c r="D689" i="14"/>
  <c r="C689" i="14"/>
  <c r="B689" i="14"/>
  <c r="A689" i="14"/>
  <c r="Z688" i="14"/>
  <c r="Y688" i="14"/>
  <c r="X688" i="14"/>
  <c r="W688" i="14"/>
  <c r="V688" i="14"/>
  <c r="U688" i="14"/>
  <c r="T688" i="14"/>
  <c r="S688" i="14"/>
  <c r="R688" i="14"/>
  <c r="Q688" i="14"/>
  <c r="P688" i="14"/>
  <c r="O688" i="14"/>
  <c r="N688" i="14"/>
  <c r="M688" i="14"/>
  <c r="L688" i="14"/>
  <c r="K688" i="14"/>
  <c r="J688" i="14"/>
  <c r="I688" i="14"/>
  <c r="H688" i="14"/>
  <c r="G688" i="14"/>
  <c r="F688" i="14"/>
  <c r="E688" i="14"/>
  <c r="D688" i="14"/>
  <c r="C688" i="14"/>
  <c r="B688" i="14"/>
  <c r="A688" i="14"/>
  <c r="Z687" i="14"/>
  <c r="Y687" i="14"/>
  <c r="X687" i="14"/>
  <c r="W687" i="14"/>
  <c r="V687" i="14"/>
  <c r="U687" i="14"/>
  <c r="T687" i="14"/>
  <c r="S687" i="14"/>
  <c r="R687" i="14"/>
  <c r="Q687" i="14"/>
  <c r="P687" i="14"/>
  <c r="O687" i="14"/>
  <c r="N687" i="14"/>
  <c r="M687" i="14"/>
  <c r="L687" i="14"/>
  <c r="K687" i="14"/>
  <c r="J687" i="14"/>
  <c r="I687" i="14"/>
  <c r="H687" i="14"/>
  <c r="G687" i="14"/>
  <c r="F687" i="14"/>
  <c r="E687" i="14"/>
  <c r="D687" i="14"/>
  <c r="C687" i="14"/>
  <c r="B687" i="14"/>
  <c r="A687" i="14"/>
  <c r="Z686" i="14"/>
  <c r="Y686" i="14"/>
  <c r="X686" i="14"/>
  <c r="W686" i="14"/>
  <c r="V686" i="14"/>
  <c r="U686" i="14"/>
  <c r="T686" i="14"/>
  <c r="S686" i="14"/>
  <c r="R686" i="14"/>
  <c r="Q686" i="14"/>
  <c r="P686" i="14"/>
  <c r="O686" i="14"/>
  <c r="N686" i="14"/>
  <c r="M686" i="14"/>
  <c r="L686" i="14"/>
  <c r="K686" i="14"/>
  <c r="J686" i="14"/>
  <c r="I686" i="14"/>
  <c r="H686" i="14"/>
  <c r="G686" i="14"/>
  <c r="F686" i="14"/>
  <c r="E686" i="14"/>
  <c r="D686" i="14"/>
  <c r="C686" i="14"/>
  <c r="B686" i="14"/>
  <c r="A686" i="14"/>
  <c r="Z685" i="14"/>
  <c r="Y685" i="14"/>
  <c r="X685" i="14"/>
  <c r="W685" i="14"/>
  <c r="V685" i="14"/>
  <c r="U685" i="14"/>
  <c r="T685" i="14"/>
  <c r="S685" i="14"/>
  <c r="R685" i="14"/>
  <c r="Q685" i="14"/>
  <c r="P685" i="14"/>
  <c r="O685" i="14"/>
  <c r="N685" i="14"/>
  <c r="M685" i="14"/>
  <c r="L685" i="14"/>
  <c r="K685" i="14"/>
  <c r="J685" i="14"/>
  <c r="I685" i="14"/>
  <c r="H685" i="14"/>
  <c r="G685" i="14"/>
  <c r="F685" i="14"/>
  <c r="E685" i="14"/>
  <c r="D685" i="14"/>
  <c r="C685" i="14"/>
  <c r="B685" i="14"/>
  <c r="A685" i="14"/>
  <c r="Z684" i="14"/>
  <c r="Y684" i="14"/>
  <c r="X684" i="14"/>
  <c r="W684" i="14"/>
  <c r="V684" i="14"/>
  <c r="U684" i="14"/>
  <c r="T684" i="14"/>
  <c r="S684" i="14"/>
  <c r="R684" i="14"/>
  <c r="Q684" i="14"/>
  <c r="P684" i="14"/>
  <c r="O684" i="14"/>
  <c r="N684" i="14"/>
  <c r="M684" i="14"/>
  <c r="L684" i="14"/>
  <c r="K684" i="14"/>
  <c r="J684" i="14"/>
  <c r="I684" i="14"/>
  <c r="H684" i="14"/>
  <c r="G684" i="14"/>
  <c r="F684" i="14"/>
  <c r="E684" i="14"/>
  <c r="D684" i="14"/>
  <c r="C684" i="14"/>
  <c r="B684" i="14"/>
  <c r="A684" i="14"/>
  <c r="Z683" i="14"/>
  <c r="Y683" i="14"/>
  <c r="X683" i="14"/>
  <c r="W683" i="14"/>
  <c r="V683" i="14"/>
  <c r="U683" i="14"/>
  <c r="T683" i="14"/>
  <c r="S683" i="14"/>
  <c r="R683" i="14"/>
  <c r="Q683" i="14"/>
  <c r="P683" i="14"/>
  <c r="O683" i="14"/>
  <c r="N683" i="14"/>
  <c r="M683" i="14"/>
  <c r="L683" i="14"/>
  <c r="K683" i="14"/>
  <c r="J683" i="14"/>
  <c r="I683" i="14"/>
  <c r="H683" i="14"/>
  <c r="G683" i="14"/>
  <c r="F683" i="14"/>
  <c r="E683" i="14"/>
  <c r="D683" i="14"/>
  <c r="C683" i="14"/>
  <c r="B683" i="14"/>
  <c r="A683" i="14"/>
  <c r="Z682" i="14"/>
  <c r="Y682" i="14"/>
  <c r="X682" i="14"/>
  <c r="W682" i="14"/>
  <c r="V682" i="14"/>
  <c r="U682" i="14"/>
  <c r="T682" i="14"/>
  <c r="S682" i="14"/>
  <c r="R682" i="14"/>
  <c r="Q682" i="14"/>
  <c r="P682" i="14"/>
  <c r="O682" i="14"/>
  <c r="N682" i="14"/>
  <c r="M682" i="14"/>
  <c r="L682" i="14"/>
  <c r="K682" i="14"/>
  <c r="J682" i="14"/>
  <c r="I682" i="14"/>
  <c r="H682" i="14"/>
  <c r="G682" i="14"/>
  <c r="F682" i="14"/>
  <c r="E682" i="14"/>
  <c r="D682" i="14"/>
  <c r="C682" i="14"/>
  <c r="B682" i="14"/>
  <c r="A682" i="14"/>
  <c r="Z681" i="14"/>
  <c r="Y681" i="14"/>
  <c r="X681" i="14"/>
  <c r="W681" i="14"/>
  <c r="V681" i="14"/>
  <c r="U681" i="14"/>
  <c r="T681" i="14"/>
  <c r="S681" i="14"/>
  <c r="R681" i="14"/>
  <c r="Q681" i="14"/>
  <c r="P681" i="14"/>
  <c r="O681" i="14"/>
  <c r="N681" i="14"/>
  <c r="M681" i="14"/>
  <c r="L681" i="14"/>
  <c r="K681" i="14"/>
  <c r="J681" i="14"/>
  <c r="I681" i="14"/>
  <c r="H681" i="14"/>
  <c r="G681" i="14"/>
  <c r="F681" i="14"/>
  <c r="E681" i="14"/>
  <c r="D681" i="14"/>
  <c r="C681" i="14"/>
  <c r="B681" i="14"/>
  <c r="A681" i="14"/>
  <c r="Z680" i="14"/>
  <c r="Y680" i="14"/>
  <c r="X680" i="14"/>
  <c r="W680" i="14"/>
  <c r="V680" i="14"/>
  <c r="U680" i="14"/>
  <c r="T680" i="14"/>
  <c r="S680" i="14"/>
  <c r="R680" i="14"/>
  <c r="Q680" i="14"/>
  <c r="P680" i="14"/>
  <c r="O680" i="14"/>
  <c r="N680" i="14"/>
  <c r="M680" i="14"/>
  <c r="L680" i="14"/>
  <c r="K680" i="14"/>
  <c r="J680" i="14"/>
  <c r="I680" i="14"/>
  <c r="H680" i="14"/>
  <c r="G680" i="14"/>
  <c r="F680" i="14"/>
  <c r="E680" i="14"/>
  <c r="D680" i="14"/>
  <c r="C680" i="14"/>
  <c r="B680" i="14"/>
  <c r="A680" i="14"/>
  <c r="Z679" i="14"/>
  <c r="Y679" i="14"/>
  <c r="X679" i="14"/>
  <c r="W679" i="14"/>
  <c r="V679" i="14"/>
  <c r="U679" i="14"/>
  <c r="T679" i="14"/>
  <c r="S679" i="14"/>
  <c r="R679" i="14"/>
  <c r="Q679" i="14"/>
  <c r="P679" i="14"/>
  <c r="O679" i="14"/>
  <c r="N679" i="14"/>
  <c r="M679" i="14"/>
  <c r="L679" i="14"/>
  <c r="K679" i="14"/>
  <c r="J679" i="14"/>
  <c r="I679" i="14"/>
  <c r="H679" i="14"/>
  <c r="G679" i="14"/>
  <c r="F679" i="14"/>
  <c r="E679" i="14"/>
  <c r="D679" i="14"/>
  <c r="C679" i="14"/>
  <c r="B679" i="14"/>
  <c r="A679" i="14"/>
  <c r="Z678" i="14"/>
  <c r="Y678" i="14"/>
  <c r="X678" i="14"/>
  <c r="W678" i="14"/>
  <c r="V678" i="14"/>
  <c r="U678" i="14"/>
  <c r="T678" i="14"/>
  <c r="S678" i="14"/>
  <c r="R678" i="14"/>
  <c r="Q678" i="14"/>
  <c r="P678" i="14"/>
  <c r="O678" i="14"/>
  <c r="N678" i="14"/>
  <c r="M678" i="14"/>
  <c r="L678" i="14"/>
  <c r="K678" i="14"/>
  <c r="J678" i="14"/>
  <c r="I678" i="14"/>
  <c r="H678" i="14"/>
  <c r="G678" i="14"/>
  <c r="F678" i="14"/>
  <c r="E678" i="14"/>
  <c r="D678" i="14"/>
  <c r="C678" i="14"/>
  <c r="B678" i="14"/>
  <c r="A678" i="14"/>
  <c r="Z677" i="14"/>
  <c r="Y677" i="14"/>
  <c r="X677" i="14"/>
  <c r="W677" i="14"/>
  <c r="V677" i="14"/>
  <c r="U677" i="14"/>
  <c r="T677" i="14"/>
  <c r="S677" i="14"/>
  <c r="R677" i="14"/>
  <c r="Q677" i="14"/>
  <c r="P677" i="14"/>
  <c r="O677" i="14"/>
  <c r="N677" i="14"/>
  <c r="M677" i="14"/>
  <c r="L677" i="14"/>
  <c r="K677" i="14"/>
  <c r="J677" i="14"/>
  <c r="I677" i="14"/>
  <c r="H677" i="14"/>
  <c r="G677" i="14"/>
  <c r="F677" i="14"/>
  <c r="E677" i="14"/>
  <c r="D677" i="14"/>
  <c r="C677" i="14"/>
  <c r="B677" i="14"/>
  <c r="A677" i="14"/>
  <c r="Z676" i="14"/>
  <c r="Y676" i="14"/>
  <c r="X676" i="14"/>
  <c r="W676" i="14"/>
  <c r="V676" i="14"/>
  <c r="U676" i="14"/>
  <c r="T676" i="14"/>
  <c r="S676" i="14"/>
  <c r="R676" i="14"/>
  <c r="Q676" i="14"/>
  <c r="P676" i="14"/>
  <c r="O676" i="14"/>
  <c r="N676" i="14"/>
  <c r="M676" i="14"/>
  <c r="L676" i="14"/>
  <c r="K676" i="14"/>
  <c r="J676" i="14"/>
  <c r="I676" i="14"/>
  <c r="H676" i="14"/>
  <c r="G676" i="14"/>
  <c r="F676" i="14"/>
  <c r="E676" i="14"/>
  <c r="D676" i="14"/>
  <c r="C676" i="14"/>
  <c r="B676" i="14"/>
  <c r="A676" i="14"/>
  <c r="Z675" i="14"/>
  <c r="Y675" i="14"/>
  <c r="X675" i="14"/>
  <c r="W675" i="14"/>
  <c r="V675" i="14"/>
  <c r="U675" i="14"/>
  <c r="T675" i="14"/>
  <c r="S675" i="14"/>
  <c r="R675" i="14"/>
  <c r="Q675" i="14"/>
  <c r="P675" i="14"/>
  <c r="O675" i="14"/>
  <c r="N675" i="14"/>
  <c r="M675" i="14"/>
  <c r="L675" i="14"/>
  <c r="K675" i="14"/>
  <c r="J675" i="14"/>
  <c r="I675" i="14"/>
  <c r="H675" i="14"/>
  <c r="G675" i="14"/>
  <c r="F675" i="14"/>
  <c r="E675" i="14"/>
  <c r="D675" i="14"/>
  <c r="C675" i="14"/>
  <c r="B675" i="14"/>
  <c r="A675" i="14"/>
  <c r="Z674" i="14"/>
  <c r="Y674" i="14"/>
  <c r="X674" i="14"/>
  <c r="W674" i="14"/>
  <c r="V674" i="14"/>
  <c r="U674" i="14"/>
  <c r="T674" i="14"/>
  <c r="S674" i="14"/>
  <c r="R674" i="14"/>
  <c r="Q674" i="14"/>
  <c r="P674" i="14"/>
  <c r="O674" i="14"/>
  <c r="N674" i="14"/>
  <c r="M674" i="14"/>
  <c r="L674" i="14"/>
  <c r="K674" i="14"/>
  <c r="J674" i="14"/>
  <c r="I674" i="14"/>
  <c r="H674" i="14"/>
  <c r="G674" i="14"/>
  <c r="F674" i="14"/>
  <c r="E674" i="14"/>
  <c r="D674" i="14"/>
  <c r="C674" i="14"/>
  <c r="B674" i="14"/>
  <c r="A674" i="14"/>
  <c r="Z673" i="14"/>
  <c r="Y673" i="14"/>
  <c r="X673" i="14"/>
  <c r="W673" i="14"/>
  <c r="V673" i="14"/>
  <c r="U673" i="14"/>
  <c r="T673" i="14"/>
  <c r="S673" i="14"/>
  <c r="R673" i="14"/>
  <c r="Q673" i="14"/>
  <c r="P673" i="14"/>
  <c r="O673" i="14"/>
  <c r="N673" i="14"/>
  <c r="M673" i="14"/>
  <c r="L673" i="14"/>
  <c r="K673" i="14"/>
  <c r="J673" i="14"/>
  <c r="I673" i="14"/>
  <c r="H673" i="14"/>
  <c r="G673" i="14"/>
  <c r="F673" i="14"/>
  <c r="E673" i="14"/>
  <c r="D673" i="14"/>
  <c r="C673" i="14"/>
  <c r="B673" i="14"/>
  <c r="A673" i="14"/>
  <c r="Z672" i="14"/>
  <c r="Y672" i="14"/>
  <c r="X672" i="14"/>
  <c r="W672" i="14"/>
  <c r="V672" i="14"/>
  <c r="U672" i="14"/>
  <c r="T672" i="14"/>
  <c r="S672" i="14"/>
  <c r="R672" i="14"/>
  <c r="Q672" i="14"/>
  <c r="P672" i="14"/>
  <c r="O672" i="14"/>
  <c r="N672" i="14"/>
  <c r="M672" i="14"/>
  <c r="L672" i="14"/>
  <c r="K672" i="14"/>
  <c r="J672" i="14"/>
  <c r="I672" i="14"/>
  <c r="H672" i="14"/>
  <c r="G672" i="14"/>
  <c r="F672" i="14"/>
  <c r="E672" i="14"/>
  <c r="D672" i="14"/>
  <c r="C672" i="14"/>
  <c r="B672" i="14"/>
  <c r="A672" i="14"/>
  <c r="Z671" i="14"/>
  <c r="Y671" i="14"/>
  <c r="X671" i="14"/>
  <c r="W671" i="14"/>
  <c r="V671" i="14"/>
  <c r="U671" i="14"/>
  <c r="T671" i="14"/>
  <c r="S671" i="14"/>
  <c r="R671" i="14"/>
  <c r="Q671" i="14"/>
  <c r="P671" i="14"/>
  <c r="O671" i="14"/>
  <c r="N671" i="14"/>
  <c r="M671" i="14"/>
  <c r="L671" i="14"/>
  <c r="K671" i="14"/>
  <c r="J671" i="14"/>
  <c r="I671" i="14"/>
  <c r="H671" i="14"/>
  <c r="G671" i="14"/>
  <c r="F671" i="14"/>
  <c r="E671" i="14"/>
  <c r="D671" i="14"/>
  <c r="C671" i="14"/>
  <c r="B671" i="14"/>
  <c r="A671" i="14"/>
  <c r="Z670" i="14"/>
  <c r="Y670" i="14"/>
  <c r="X670" i="14"/>
  <c r="W670" i="14"/>
  <c r="V670" i="14"/>
  <c r="U670" i="14"/>
  <c r="T670" i="14"/>
  <c r="S670" i="14"/>
  <c r="R670" i="14"/>
  <c r="Q670" i="14"/>
  <c r="P670" i="14"/>
  <c r="O670" i="14"/>
  <c r="N670" i="14"/>
  <c r="M670" i="14"/>
  <c r="L670" i="14"/>
  <c r="K670" i="14"/>
  <c r="J670" i="14"/>
  <c r="I670" i="14"/>
  <c r="H670" i="14"/>
  <c r="G670" i="14"/>
  <c r="F670" i="14"/>
  <c r="E670" i="14"/>
  <c r="D670" i="14"/>
  <c r="C670" i="14"/>
  <c r="B670" i="14"/>
  <c r="A670" i="14"/>
  <c r="Z669" i="14"/>
  <c r="Y669" i="14"/>
  <c r="X669" i="14"/>
  <c r="W669" i="14"/>
  <c r="V669" i="14"/>
  <c r="U669" i="14"/>
  <c r="T669" i="14"/>
  <c r="S669" i="14"/>
  <c r="R669" i="14"/>
  <c r="Q669" i="14"/>
  <c r="P669" i="14"/>
  <c r="O669" i="14"/>
  <c r="N669" i="14"/>
  <c r="M669" i="14"/>
  <c r="L669" i="14"/>
  <c r="K669" i="14"/>
  <c r="J669" i="14"/>
  <c r="I669" i="14"/>
  <c r="H669" i="14"/>
  <c r="G669" i="14"/>
  <c r="F669" i="14"/>
  <c r="E669" i="14"/>
  <c r="D669" i="14"/>
  <c r="C669" i="14"/>
  <c r="B669" i="14"/>
  <c r="A669" i="14"/>
  <c r="Z668" i="14"/>
  <c r="Y668" i="14"/>
  <c r="X668" i="14"/>
  <c r="W668" i="14"/>
  <c r="V668" i="14"/>
  <c r="U668" i="14"/>
  <c r="T668" i="14"/>
  <c r="S668" i="14"/>
  <c r="R668" i="14"/>
  <c r="Q668" i="14"/>
  <c r="P668" i="14"/>
  <c r="O668" i="14"/>
  <c r="N668" i="14"/>
  <c r="M668" i="14"/>
  <c r="L668" i="14"/>
  <c r="K668" i="14"/>
  <c r="J668" i="14"/>
  <c r="I668" i="14"/>
  <c r="H668" i="14"/>
  <c r="G668" i="14"/>
  <c r="F668" i="14"/>
  <c r="E668" i="14"/>
  <c r="D668" i="14"/>
  <c r="C668" i="14"/>
  <c r="B668" i="14"/>
  <c r="A668" i="14"/>
  <c r="Z667" i="14"/>
  <c r="Y667" i="14"/>
  <c r="X667" i="14"/>
  <c r="W667" i="14"/>
  <c r="V667" i="14"/>
  <c r="U667" i="14"/>
  <c r="T667" i="14"/>
  <c r="S667" i="14"/>
  <c r="R667" i="14"/>
  <c r="Q667" i="14"/>
  <c r="P667" i="14"/>
  <c r="O667" i="14"/>
  <c r="N667" i="14"/>
  <c r="M667" i="14"/>
  <c r="L667" i="14"/>
  <c r="K667" i="14"/>
  <c r="J667" i="14"/>
  <c r="I667" i="14"/>
  <c r="H667" i="14"/>
  <c r="G667" i="14"/>
  <c r="F667" i="14"/>
  <c r="E667" i="14"/>
  <c r="D667" i="14"/>
  <c r="C667" i="14"/>
  <c r="B667" i="14"/>
  <c r="A667" i="14"/>
  <c r="Z666" i="14"/>
  <c r="Y666" i="14"/>
  <c r="X666" i="14"/>
  <c r="W666" i="14"/>
  <c r="V666" i="14"/>
  <c r="U666" i="14"/>
  <c r="T666" i="14"/>
  <c r="S666" i="14"/>
  <c r="R666" i="14"/>
  <c r="Q666" i="14"/>
  <c r="P666" i="14"/>
  <c r="O666" i="14"/>
  <c r="N666" i="14"/>
  <c r="M666" i="14"/>
  <c r="L666" i="14"/>
  <c r="K666" i="14"/>
  <c r="J666" i="14"/>
  <c r="I666" i="14"/>
  <c r="H666" i="14"/>
  <c r="G666" i="14"/>
  <c r="F666" i="14"/>
  <c r="E666" i="14"/>
  <c r="D666" i="14"/>
  <c r="C666" i="14"/>
  <c r="B666" i="14"/>
  <c r="A666" i="14"/>
  <c r="Z665" i="14"/>
  <c r="Y665" i="14"/>
  <c r="X665" i="14"/>
  <c r="W665" i="14"/>
  <c r="V665" i="14"/>
  <c r="U665" i="14"/>
  <c r="T665" i="14"/>
  <c r="S665" i="14"/>
  <c r="R665" i="14"/>
  <c r="Q665" i="14"/>
  <c r="P665" i="14"/>
  <c r="O665" i="14"/>
  <c r="N665" i="14"/>
  <c r="M665" i="14"/>
  <c r="L665" i="14"/>
  <c r="K665" i="14"/>
  <c r="J665" i="14"/>
  <c r="I665" i="14"/>
  <c r="H665" i="14"/>
  <c r="G665" i="14"/>
  <c r="F665" i="14"/>
  <c r="E665" i="14"/>
  <c r="D665" i="14"/>
  <c r="C665" i="14"/>
  <c r="B665" i="14"/>
  <c r="A665" i="14"/>
  <c r="Z664" i="14"/>
  <c r="Y664" i="14"/>
  <c r="X664" i="14"/>
  <c r="W664" i="14"/>
  <c r="V664" i="14"/>
  <c r="U664" i="14"/>
  <c r="T664" i="14"/>
  <c r="S664" i="14"/>
  <c r="R664" i="14"/>
  <c r="Q664" i="14"/>
  <c r="P664" i="14"/>
  <c r="O664" i="14"/>
  <c r="N664" i="14"/>
  <c r="M664" i="14"/>
  <c r="L664" i="14"/>
  <c r="K664" i="14"/>
  <c r="J664" i="14"/>
  <c r="I664" i="14"/>
  <c r="H664" i="14"/>
  <c r="G664" i="14"/>
  <c r="F664" i="14"/>
  <c r="E664" i="14"/>
  <c r="D664" i="14"/>
  <c r="C664" i="14"/>
  <c r="B664" i="14"/>
  <c r="A664" i="14"/>
  <c r="Z663" i="14"/>
  <c r="Y663" i="14"/>
  <c r="X663" i="14"/>
  <c r="W663" i="14"/>
  <c r="V663" i="14"/>
  <c r="U663" i="14"/>
  <c r="T663" i="14"/>
  <c r="S663" i="14"/>
  <c r="R663" i="14"/>
  <c r="Q663" i="14"/>
  <c r="P663" i="14"/>
  <c r="O663" i="14"/>
  <c r="N663" i="14"/>
  <c r="M663" i="14"/>
  <c r="L663" i="14"/>
  <c r="K663" i="14"/>
  <c r="J663" i="14"/>
  <c r="I663" i="14"/>
  <c r="H663" i="14"/>
  <c r="G663" i="14"/>
  <c r="F663" i="14"/>
  <c r="E663" i="14"/>
  <c r="D663" i="14"/>
  <c r="C663" i="14"/>
  <c r="B663" i="14"/>
  <c r="A663" i="14"/>
  <c r="Z662" i="14"/>
  <c r="Y662" i="14"/>
  <c r="X662" i="14"/>
  <c r="W662" i="14"/>
  <c r="V662" i="14"/>
  <c r="U662" i="14"/>
  <c r="T662" i="14"/>
  <c r="S662" i="14"/>
  <c r="R662" i="14"/>
  <c r="Q662" i="14"/>
  <c r="P662" i="14"/>
  <c r="O662" i="14"/>
  <c r="N662" i="14"/>
  <c r="M662" i="14"/>
  <c r="L662" i="14"/>
  <c r="K662" i="14"/>
  <c r="J662" i="14"/>
  <c r="I662" i="14"/>
  <c r="H662" i="14"/>
  <c r="G662" i="14"/>
  <c r="F662" i="14"/>
  <c r="E662" i="14"/>
  <c r="D662" i="14"/>
  <c r="C662" i="14"/>
  <c r="B662" i="14"/>
  <c r="A662" i="14"/>
  <c r="Z661" i="14"/>
  <c r="Y661" i="14"/>
  <c r="X661" i="14"/>
  <c r="W661" i="14"/>
  <c r="V661" i="14"/>
  <c r="U661" i="14"/>
  <c r="T661" i="14"/>
  <c r="S661" i="14"/>
  <c r="R661" i="14"/>
  <c r="Q661" i="14"/>
  <c r="P661" i="14"/>
  <c r="O661" i="14"/>
  <c r="N661" i="14"/>
  <c r="M661" i="14"/>
  <c r="L661" i="14"/>
  <c r="K661" i="14"/>
  <c r="J661" i="14"/>
  <c r="I661" i="14"/>
  <c r="H661" i="14"/>
  <c r="G661" i="14"/>
  <c r="F661" i="14"/>
  <c r="E661" i="14"/>
  <c r="D661" i="14"/>
  <c r="C661" i="14"/>
  <c r="B661" i="14"/>
  <c r="A661" i="14"/>
  <c r="Z660" i="14"/>
  <c r="Y660" i="14"/>
  <c r="X660" i="14"/>
  <c r="W660" i="14"/>
  <c r="V660" i="14"/>
  <c r="U660" i="14"/>
  <c r="T660" i="14"/>
  <c r="S660" i="14"/>
  <c r="R660" i="14"/>
  <c r="Q660" i="14"/>
  <c r="P660" i="14"/>
  <c r="O660" i="14"/>
  <c r="N660" i="14"/>
  <c r="M660" i="14"/>
  <c r="L660" i="14"/>
  <c r="K660" i="14"/>
  <c r="J660" i="14"/>
  <c r="I660" i="14"/>
  <c r="H660" i="14"/>
  <c r="G660" i="14"/>
  <c r="F660" i="14"/>
  <c r="E660" i="14"/>
  <c r="D660" i="14"/>
  <c r="C660" i="14"/>
  <c r="B660" i="14"/>
  <c r="A660" i="14"/>
  <c r="Z659" i="14"/>
  <c r="Y659" i="14"/>
  <c r="X659" i="14"/>
  <c r="W659" i="14"/>
  <c r="V659" i="14"/>
  <c r="U659" i="14"/>
  <c r="T659" i="14"/>
  <c r="S659" i="14"/>
  <c r="R659" i="14"/>
  <c r="Q659" i="14"/>
  <c r="P659" i="14"/>
  <c r="O659" i="14"/>
  <c r="N659" i="14"/>
  <c r="M659" i="14"/>
  <c r="L659" i="14"/>
  <c r="K659" i="14"/>
  <c r="J659" i="14"/>
  <c r="I659" i="14"/>
  <c r="H659" i="14"/>
  <c r="G659" i="14"/>
  <c r="F659" i="14"/>
  <c r="E659" i="14"/>
  <c r="D659" i="14"/>
  <c r="C659" i="14"/>
  <c r="B659" i="14"/>
  <c r="A659" i="14"/>
  <c r="Z658" i="14"/>
  <c r="Y658" i="14"/>
  <c r="X658" i="14"/>
  <c r="W658" i="14"/>
  <c r="V658" i="14"/>
  <c r="U658" i="14"/>
  <c r="T658" i="14"/>
  <c r="S658" i="14"/>
  <c r="R658" i="14"/>
  <c r="Q658" i="14"/>
  <c r="P658" i="14"/>
  <c r="O658" i="14"/>
  <c r="N658" i="14"/>
  <c r="M658" i="14"/>
  <c r="L658" i="14"/>
  <c r="K658" i="14"/>
  <c r="J658" i="14"/>
  <c r="I658" i="14"/>
  <c r="H658" i="14"/>
  <c r="G658" i="14"/>
  <c r="F658" i="14"/>
  <c r="E658" i="14"/>
  <c r="D658" i="14"/>
  <c r="C658" i="14"/>
  <c r="B658" i="14"/>
  <c r="A658" i="14"/>
  <c r="Z657" i="14"/>
  <c r="Y657" i="14"/>
  <c r="X657" i="14"/>
  <c r="W657" i="14"/>
  <c r="V657" i="14"/>
  <c r="U657" i="14"/>
  <c r="T657" i="14"/>
  <c r="S657" i="14"/>
  <c r="R657" i="14"/>
  <c r="Q657" i="14"/>
  <c r="P657" i="14"/>
  <c r="O657" i="14"/>
  <c r="N657" i="14"/>
  <c r="M657" i="14"/>
  <c r="L657" i="14"/>
  <c r="K657" i="14"/>
  <c r="J657" i="14"/>
  <c r="I657" i="14"/>
  <c r="H657" i="14"/>
  <c r="G657" i="14"/>
  <c r="F657" i="14"/>
  <c r="E657" i="14"/>
  <c r="D657" i="14"/>
  <c r="C657" i="14"/>
  <c r="B657" i="14"/>
  <c r="A657" i="14"/>
  <c r="Z656" i="14"/>
  <c r="Y656" i="14"/>
  <c r="X656" i="14"/>
  <c r="W656" i="14"/>
  <c r="V656" i="14"/>
  <c r="U656" i="14"/>
  <c r="T656" i="14"/>
  <c r="S656" i="14"/>
  <c r="R656" i="14"/>
  <c r="Q656" i="14"/>
  <c r="P656" i="14"/>
  <c r="O656" i="14"/>
  <c r="N656" i="14"/>
  <c r="M656" i="14"/>
  <c r="L656" i="14"/>
  <c r="K656" i="14"/>
  <c r="J656" i="14"/>
  <c r="I656" i="14"/>
  <c r="H656" i="14"/>
  <c r="G656" i="14"/>
  <c r="F656" i="14"/>
  <c r="E656" i="14"/>
  <c r="D656" i="14"/>
  <c r="C656" i="14"/>
  <c r="B656" i="14"/>
  <c r="A656" i="14"/>
  <c r="Z655" i="14"/>
  <c r="Y655" i="14"/>
  <c r="X655" i="14"/>
  <c r="W655" i="14"/>
  <c r="V655" i="14"/>
  <c r="U655" i="14"/>
  <c r="T655" i="14"/>
  <c r="S655" i="14"/>
  <c r="R655" i="14"/>
  <c r="Q655" i="14"/>
  <c r="P655" i="14"/>
  <c r="O655" i="14"/>
  <c r="N655" i="14"/>
  <c r="M655" i="14"/>
  <c r="L655" i="14"/>
  <c r="K655" i="14"/>
  <c r="J655" i="14"/>
  <c r="I655" i="14"/>
  <c r="H655" i="14"/>
  <c r="G655" i="14"/>
  <c r="F655" i="14"/>
  <c r="E655" i="14"/>
  <c r="D655" i="14"/>
  <c r="C655" i="14"/>
  <c r="B655" i="14"/>
  <c r="A655" i="14"/>
  <c r="Z654" i="14"/>
  <c r="Y654" i="14"/>
  <c r="X654" i="14"/>
  <c r="W654" i="14"/>
  <c r="V654" i="14"/>
  <c r="U654" i="14"/>
  <c r="T654" i="14"/>
  <c r="S654" i="14"/>
  <c r="R654" i="14"/>
  <c r="Q654" i="14"/>
  <c r="P654" i="14"/>
  <c r="O654" i="14"/>
  <c r="N654" i="14"/>
  <c r="M654" i="14"/>
  <c r="L654" i="14"/>
  <c r="K654" i="14"/>
  <c r="J654" i="14"/>
  <c r="I654" i="14"/>
  <c r="H654" i="14"/>
  <c r="G654" i="14"/>
  <c r="F654" i="14"/>
  <c r="E654" i="14"/>
  <c r="D654" i="14"/>
  <c r="C654" i="14"/>
  <c r="B654" i="14"/>
  <c r="A654" i="14"/>
  <c r="Z653" i="14"/>
  <c r="Y653" i="14"/>
  <c r="X653" i="14"/>
  <c r="W653" i="14"/>
  <c r="V653" i="14"/>
  <c r="U653" i="14"/>
  <c r="T653" i="14"/>
  <c r="S653" i="14"/>
  <c r="R653" i="14"/>
  <c r="Q653" i="14"/>
  <c r="P653" i="14"/>
  <c r="O653" i="14"/>
  <c r="N653" i="14"/>
  <c r="M653" i="14"/>
  <c r="L653" i="14"/>
  <c r="K653" i="14"/>
  <c r="J653" i="14"/>
  <c r="I653" i="14"/>
  <c r="H653" i="14"/>
  <c r="G653" i="14"/>
  <c r="F653" i="14"/>
  <c r="E653" i="14"/>
  <c r="D653" i="14"/>
  <c r="C653" i="14"/>
  <c r="B653" i="14"/>
  <c r="A653" i="14"/>
  <c r="Z652" i="14"/>
  <c r="Y652" i="14"/>
  <c r="X652" i="14"/>
  <c r="W652" i="14"/>
  <c r="V652" i="14"/>
  <c r="U652" i="14"/>
  <c r="T652" i="14"/>
  <c r="S652" i="14"/>
  <c r="R652" i="14"/>
  <c r="Q652" i="14"/>
  <c r="P652" i="14"/>
  <c r="O652" i="14"/>
  <c r="N652" i="14"/>
  <c r="M652" i="14"/>
  <c r="L652" i="14"/>
  <c r="K652" i="14"/>
  <c r="J652" i="14"/>
  <c r="I652" i="14"/>
  <c r="H652" i="14"/>
  <c r="G652" i="14"/>
  <c r="F652" i="14"/>
  <c r="E652" i="14"/>
  <c r="D652" i="14"/>
  <c r="C652" i="14"/>
  <c r="B652" i="14"/>
  <c r="A652" i="14"/>
  <c r="Z651" i="14"/>
  <c r="Y651" i="14"/>
  <c r="X651" i="14"/>
  <c r="W651" i="14"/>
  <c r="V651" i="14"/>
  <c r="U651" i="14"/>
  <c r="T651" i="14"/>
  <c r="S651" i="14"/>
  <c r="R651" i="14"/>
  <c r="Q651" i="14"/>
  <c r="P651" i="14"/>
  <c r="O651" i="14"/>
  <c r="N651" i="14"/>
  <c r="M651" i="14"/>
  <c r="L651" i="14"/>
  <c r="K651" i="14"/>
  <c r="J651" i="14"/>
  <c r="I651" i="14"/>
  <c r="H651" i="14"/>
  <c r="G651" i="14"/>
  <c r="F651" i="14"/>
  <c r="E651" i="14"/>
  <c r="D651" i="14"/>
  <c r="C651" i="14"/>
  <c r="B651" i="14"/>
  <c r="A651" i="14"/>
  <c r="Z650" i="14"/>
  <c r="Y650" i="14"/>
  <c r="X650" i="14"/>
  <c r="W650" i="14"/>
  <c r="V650" i="14"/>
  <c r="U650" i="14"/>
  <c r="T650" i="14"/>
  <c r="S650" i="14"/>
  <c r="R650" i="14"/>
  <c r="Q650" i="14"/>
  <c r="P650" i="14"/>
  <c r="O650" i="14"/>
  <c r="N650" i="14"/>
  <c r="M650" i="14"/>
  <c r="L650" i="14"/>
  <c r="K650" i="14"/>
  <c r="J650" i="14"/>
  <c r="I650" i="14"/>
  <c r="H650" i="14"/>
  <c r="G650" i="14"/>
  <c r="F650" i="14"/>
  <c r="E650" i="14"/>
  <c r="D650" i="14"/>
  <c r="C650" i="14"/>
  <c r="B650" i="14"/>
  <c r="A650" i="14"/>
  <c r="Z649" i="14"/>
  <c r="Y649" i="14"/>
  <c r="X649" i="14"/>
  <c r="W649" i="14"/>
  <c r="V649" i="14"/>
  <c r="U649" i="14"/>
  <c r="T649" i="14"/>
  <c r="S649" i="14"/>
  <c r="R649" i="14"/>
  <c r="Q649" i="14"/>
  <c r="P649" i="14"/>
  <c r="O649" i="14"/>
  <c r="N649" i="14"/>
  <c r="M649" i="14"/>
  <c r="L649" i="14"/>
  <c r="K649" i="14"/>
  <c r="J649" i="14"/>
  <c r="I649" i="14"/>
  <c r="H649" i="14"/>
  <c r="G649" i="14"/>
  <c r="F649" i="14"/>
  <c r="E649" i="14"/>
  <c r="D649" i="14"/>
  <c r="C649" i="14"/>
  <c r="B649" i="14"/>
  <c r="A649" i="14"/>
  <c r="Z648" i="14"/>
  <c r="Y648" i="14"/>
  <c r="X648" i="14"/>
  <c r="W648" i="14"/>
  <c r="V648" i="14"/>
  <c r="U648" i="14"/>
  <c r="T648" i="14"/>
  <c r="S648" i="14"/>
  <c r="R648" i="14"/>
  <c r="Q648" i="14"/>
  <c r="P648" i="14"/>
  <c r="O648" i="14"/>
  <c r="N648" i="14"/>
  <c r="M648" i="14"/>
  <c r="L648" i="14"/>
  <c r="K648" i="14"/>
  <c r="J648" i="14"/>
  <c r="I648" i="14"/>
  <c r="H648" i="14"/>
  <c r="G648" i="14"/>
  <c r="F648" i="14"/>
  <c r="E648" i="14"/>
  <c r="D648" i="14"/>
  <c r="C648" i="14"/>
  <c r="B648" i="14"/>
  <c r="A648" i="14"/>
  <c r="Z647" i="14"/>
  <c r="Y647" i="14"/>
  <c r="X647" i="14"/>
  <c r="W647" i="14"/>
  <c r="V647" i="14"/>
  <c r="U647" i="14"/>
  <c r="T647" i="14"/>
  <c r="S647" i="14"/>
  <c r="R647" i="14"/>
  <c r="Q647" i="14"/>
  <c r="P647" i="14"/>
  <c r="O647" i="14"/>
  <c r="N647" i="14"/>
  <c r="M647" i="14"/>
  <c r="L647" i="14"/>
  <c r="K647" i="14"/>
  <c r="J647" i="14"/>
  <c r="I647" i="14"/>
  <c r="H647" i="14"/>
  <c r="G647" i="14"/>
  <c r="F647" i="14"/>
  <c r="E647" i="14"/>
  <c r="D647" i="14"/>
  <c r="C647" i="14"/>
  <c r="B647" i="14"/>
  <c r="A647" i="14"/>
  <c r="Z646" i="14"/>
  <c r="Y646" i="14"/>
  <c r="X646" i="14"/>
  <c r="W646" i="14"/>
  <c r="V646" i="14"/>
  <c r="U646" i="14"/>
  <c r="T646" i="14"/>
  <c r="S646" i="14"/>
  <c r="R646" i="14"/>
  <c r="Q646" i="14"/>
  <c r="P646" i="14"/>
  <c r="O646" i="14"/>
  <c r="N646" i="14"/>
  <c r="M646" i="14"/>
  <c r="L646" i="14"/>
  <c r="K646" i="14"/>
  <c r="J646" i="14"/>
  <c r="I646" i="14"/>
  <c r="H646" i="14"/>
  <c r="G646" i="14"/>
  <c r="F646" i="14"/>
  <c r="E646" i="14"/>
  <c r="D646" i="14"/>
  <c r="C646" i="14"/>
  <c r="B646" i="14"/>
  <c r="A646" i="14"/>
  <c r="Z645" i="14"/>
  <c r="Y645" i="14"/>
  <c r="X645" i="14"/>
  <c r="W645" i="14"/>
  <c r="V645" i="14"/>
  <c r="U645" i="14"/>
  <c r="T645" i="14"/>
  <c r="S645" i="14"/>
  <c r="R645" i="14"/>
  <c r="Q645" i="14"/>
  <c r="P645" i="14"/>
  <c r="O645" i="14"/>
  <c r="N645" i="14"/>
  <c r="M645" i="14"/>
  <c r="L645" i="14"/>
  <c r="K645" i="14"/>
  <c r="J645" i="14"/>
  <c r="I645" i="14"/>
  <c r="H645" i="14"/>
  <c r="G645" i="14"/>
  <c r="F645" i="14"/>
  <c r="E645" i="14"/>
  <c r="D645" i="14"/>
  <c r="C645" i="14"/>
  <c r="B645" i="14"/>
  <c r="A645" i="14"/>
  <c r="Z644" i="14"/>
  <c r="Y644" i="14"/>
  <c r="X644" i="14"/>
  <c r="W644" i="14"/>
  <c r="V644" i="14"/>
  <c r="U644" i="14"/>
  <c r="T644" i="14"/>
  <c r="S644" i="14"/>
  <c r="R644" i="14"/>
  <c r="Q644" i="14"/>
  <c r="P644" i="14"/>
  <c r="O644" i="14"/>
  <c r="N644" i="14"/>
  <c r="M644" i="14"/>
  <c r="L644" i="14"/>
  <c r="K644" i="14"/>
  <c r="J644" i="14"/>
  <c r="I644" i="14"/>
  <c r="H644" i="14"/>
  <c r="G644" i="14"/>
  <c r="F644" i="14"/>
  <c r="E644" i="14"/>
  <c r="D644" i="14"/>
  <c r="C644" i="14"/>
  <c r="B644" i="14"/>
  <c r="A644" i="14"/>
  <c r="Z643" i="14"/>
  <c r="Y643" i="14"/>
  <c r="X643" i="14"/>
  <c r="W643" i="14"/>
  <c r="V643" i="14"/>
  <c r="U643" i="14"/>
  <c r="T643" i="14"/>
  <c r="S643" i="14"/>
  <c r="R643" i="14"/>
  <c r="Q643" i="14"/>
  <c r="P643" i="14"/>
  <c r="O643" i="14"/>
  <c r="N643" i="14"/>
  <c r="M643" i="14"/>
  <c r="L643" i="14"/>
  <c r="K643" i="14"/>
  <c r="J643" i="14"/>
  <c r="I643" i="14"/>
  <c r="H643" i="14"/>
  <c r="G643" i="14"/>
  <c r="F643" i="14"/>
  <c r="E643" i="14"/>
  <c r="D643" i="14"/>
  <c r="C643" i="14"/>
  <c r="B643" i="14"/>
  <c r="A643" i="14"/>
  <c r="Z642" i="14"/>
  <c r="Y642" i="14"/>
  <c r="X642" i="14"/>
  <c r="W642" i="14"/>
  <c r="V642" i="14"/>
  <c r="U642" i="14"/>
  <c r="T642" i="14"/>
  <c r="S642" i="14"/>
  <c r="R642" i="14"/>
  <c r="Q642" i="14"/>
  <c r="P642" i="14"/>
  <c r="O642" i="14"/>
  <c r="N642" i="14"/>
  <c r="M642" i="14"/>
  <c r="L642" i="14"/>
  <c r="K642" i="14"/>
  <c r="J642" i="14"/>
  <c r="I642" i="14"/>
  <c r="H642" i="14"/>
  <c r="G642" i="14"/>
  <c r="F642" i="14"/>
  <c r="E642" i="14"/>
  <c r="D642" i="14"/>
  <c r="C642" i="14"/>
  <c r="B642" i="14"/>
  <c r="A642" i="14"/>
  <c r="Z641" i="14"/>
  <c r="Y641" i="14"/>
  <c r="X641" i="14"/>
  <c r="W641" i="14"/>
  <c r="V641" i="14"/>
  <c r="U641" i="14"/>
  <c r="T641" i="14"/>
  <c r="S641" i="14"/>
  <c r="R641" i="14"/>
  <c r="Q641" i="14"/>
  <c r="P641" i="14"/>
  <c r="O641" i="14"/>
  <c r="N641" i="14"/>
  <c r="M641" i="14"/>
  <c r="L641" i="14"/>
  <c r="K641" i="14"/>
  <c r="J641" i="14"/>
  <c r="I641" i="14"/>
  <c r="H641" i="14"/>
  <c r="G641" i="14"/>
  <c r="F641" i="14"/>
  <c r="E641" i="14"/>
  <c r="D641" i="14"/>
  <c r="C641" i="14"/>
  <c r="B641" i="14"/>
  <c r="A641" i="14"/>
  <c r="Z640" i="14"/>
  <c r="Y640" i="14"/>
  <c r="X640" i="14"/>
  <c r="W640" i="14"/>
  <c r="V640" i="14"/>
  <c r="U640" i="14"/>
  <c r="T640" i="14"/>
  <c r="S640" i="14"/>
  <c r="R640" i="14"/>
  <c r="Q640" i="14"/>
  <c r="P640" i="14"/>
  <c r="O640" i="14"/>
  <c r="N640" i="14"/>
  <c r="M640" i="14"/>
  <c r="L640" i="14"/>
  <c r="K640" i="14"/>
  <c r="J640" i="14"/>
  <c r="I640" i="14"/>
  <c r="H640" i="14"/>
  <c r="G640" i="14"/>
  <c r="F640" i="14"/>
  <c r="E640" i="14"/>
  <c r="D640" i="14"/>
  <c r="C640" i="14"/>
  <c r="B640" i="14"/>
  <c r="A640" i="14"/>
  <c r="Z639" i="14"/>
  <c r="Y639" i="14"/>
  <c r="X639" i="14"/>
  <c r="W639" i="14"/>
  <c r="V639" i="14"/>
  <c r="U639" i="14"/>
  <c r="T639" i="14"/>
  <c r="S639" i="14"/>
  <c r="R639" i="14"/>
  <c r="Q639" i="14"/>
  <c r="P639" i="14"/>
  <c r="O639" i="14"/>
  <c r="N639" i="14"/>
  <c r="M639" i="14"/>
  <c r="L639" i="14"/>
  <c r="K639" i="14"/>
  <c r="J639" i="14"/>
  <c r="I639" i="14"/>
  <c r="H639" i="14"/>
  <c r="G639" i="14"/>
  <c r="F639" i="14"/>
  <c r="E639" i="14"/>
  <c r="D639" i="14"/>
  <c r="C639" i="14"/>
  <c r="B639" i="14"/>
  <c r="A639" i="14"/>
  <c r="Z638" i="14"/>
  <c r="Y638" i="14"/>
  <c r="X638" i="14"/>
  <c r="W638" i="14"/>
  <c r="V638" i="14"/>
  <c r="U638" i="14"/>
  <c r="T638" i="14"/>
  <c r="S638" i="14"/>
  <c r="R638" i="14"/>
  <c r="Q638" i="14"/>
  <c r="P638" i="14"/>
  <c r="O638" i="14"/>
  <c r="N638" i="14"/>
  <c r="M638" i="14"/>
  <c r="L638" i="14"/>
  <c r="K638" i="14"/>
  <c r="J638" i="14"/>
  <c r="I638" i="14"/>
  <c r="H638" i="14"/>
  <c r="G638" i="14"/>
  <c r="F638" i="14"/>
  <c r="E638" i="14"/>
  <c r="D638" i="14"/>
  <c r="C638" i="14"/>
  <c r="B638" i="14"/>
  <c r="A638" i="14"/>
  <c r="Z637" i="14"/>
  <c r="Y637" i="14"/>
  <c r="X637" i="14"/>
  <c r="W637" i="14"/>
  <c r="V637" i="14"/>
  <c r="U637" i="14"/>
  <c r="T637" i="14"/>
  <c r="S637" i="14"/>
  <c r="R637" i="14"/>
  <c r="Q637" i="14"/>
  <c r="P637" i="14"/>
  <c r="O637" i="14"/>
  <c r="N637" i="14"/>
  <c r="M637" i="14"/>
  <c r="L637" i="14"/>
  <c r="K637" i="14"/>
  <c r="J637" i="14"/>
  <c r="I637" i="14"/>
  <c r="H637" i="14"/>
  <c r="G637" i="14"/>
  <c r="F637" i="14"/>
  <c r="E637" i="14"/>
  <c r="D637" i="14"/>
  <c r="C637" i="14"/>
  <c r="B637" i="14"/>
  <c r="A637" i="14"/>
  <c r="Z636" i="14"/>
  <c r="Y636" i="14"/>
  <c r="X636" i="14"/>
  <c r="W636" i="14"/>
  <c r="V636" i="14"/>
  <c r="U636" i="14"/>
  <c r="T636" i="14"/>
  <c r="S636" i="14"/>
  <c r="R636" i="14"/>
  <c r="Q636" i="14"/>
  <c r="P636" i="14"/>
  <c r="O636" i="14"/>
  <c r="N636" i="14"/>
  <c r="M636" i="14"/>
  <c r="L636" i="14"/>
  <c r="K636" i="14"/>
  <c r="J636" i="14"/>
  <c r="I636" i="14"/>
  <c r="H636" i="14"/>
  <c r="G636" i="14"/>
  <c r="F636" i="14"/>
  <c r="E636" i="14"/>
  <c r="D636" i="14"/>
  <c r="C636" i="14"/>
  <c r="B636" i="14"/>
  <c r="A636" i="14"/>
  <c r="Z635" i="14"/>
  <c r="Y635" i="14"/>
  <c r="X635" i="14"/>
  <c r="W635" i="14"/>
  <c r="V635" i="14"/>
  <c r="U635" i="14"/>
  <c r="T635" i="14"/>
  <c r="S635" i="14"/>
  <c r="R635" i="14"/>
  <c r="Q635" i="14"/>
  <c r="P635" i="14"/>
  <c r="O635" i="14"/>
  <c r="N635" i="14"/>
  <c r="M635" i="14"/>
  <c r="L635" i="14"/>
  <c r="K635" i="14"/>
  <c r="J635" i="14"/>
  <c r="I635" i="14"/>
  <c r="H635" i="14"/>
  <c r="G635" i="14"/>
  <c r="F635" i="14"/>
  <c r="E635" i="14"/>
  <c r="D635" i="14"/>
  <c r="C635" i="14"/>
  <c r="B635" i="14"/>
  <c r="A635" i="14"/>
  <c r="Z634" i="14"/>
  <c r="Y634" i="14"/>
  <c r="X634" i="14"/>
  <c r="W634" i="14"/>
  <c r="V634" i="14"/>
  <c r="U634" i="14"/>
  <c r="T634" i="14"/>
  <c r="S634" i="14"/>
  <c r="R634" i="14"/>
  <c r="Q634" i="14"/>
  <c r="P634" i="14"/>
  <c r="O634" i="14"/>
  <c r="N634" i="14"/>
  <c r="M634" i="14"/>
  <c r="L634" i="14"/>
  <c r="K634" i="14"/>
  <c r="J634" i="14"/>
  <c r="I634" i="14"/>
  <c r="H634" i="14"/>
  <c r="G634" i="14"/>
  <c r="F634" i="14"/>
  <c r="E634" i="14"/>
  <c r="D634" i="14"/>
  <c r="C634" i="14"/>
  <c r="B634" i="14"/>
  <c r="A634" i="14"/>
  <c r="Z633" i="14"/>
  <c r="Y633" i="14"/>
  <c r="X633" i="14"/>
  <c r="W633" i="14"/>
  <c r="V633" i="14"/>
  <c r="U633" i="14"/>
  <c r="T633" i="14"/>
  <c r="S633" i="14"/>
  <c r="R633" i="14"/>
  <c r="Q633" i="14"/>
  <c r="P633" i="14"/>
  <c r="O633" i="14"/>
  <c r="N633" i="14"/>
  <c r="M633" i="14"/>
  <c r="L633" i="14"/>
  <c r="K633" i="14"/>
  <c r="J633" i="14"/>
  <c r="I633" i="14"/>
  <c r="H633" i="14"/>
  <c r="G633" i="14"/>
  <c r="F633" i="14"/>
  <c r="E633" i="14"/>
  <c r="D633" i="14"/>
  <c r="C633" i="14"/>
  <c r="B633" i="14"/>
  <c r="A633" i="14"/>
  <c r="Z632" i="14"/>
  <c r="Y632" i="14"/>
  <c r="X632" i="14"/>
  <c r="W632" i="14"/>
  <c r="V632" i="14"/>
  <c r="U632" i="14"/>
  <c r="T632" i="14"/>
  <c r="S632" i="14"/>
  <c r="R632" i="14"/>
  <c r="Q632" i="14"/>
  <c r="P632" i="14"/>
  <c r="O632" i="14"/>
  <c r="N632" i="14"/>
  <c r="M632" i="14"/>
  <c r="L632" i="14"/>
  <c r="K632" i="14"/>
  <c r="J632" i="14"/>
  <c r="I632" i="14"/>
  <c r="H632" i="14"/>
  <c r="G632" i="14"/>
  <c r="F632" i="14"/>
  <c r="E632" i="14"/>
  <c r="D632" i="14"/>
  <c r="C632" i="14"/>
  <c r="B632" i="14"/>
  <c r="A632" i="14"/>
  <c r="Z631" i="14"/>
  <c r="Y631" i="14"/>
  <c r="X631" i="14"/>
  <c r="W631" i="14"/>
  <c r="V631" i="14"/>
  <c r="U631" i="14"/>
  <c r="T631" i="14"/>
  <c r="S631" i="14"/>
  <c r="R631" i="14"/>
  <c r="Q631" i="14"/>
  <c r="P631" i="14"/>
  <c r="O631" i="14"/>
  <c r="N631" i="14"/>
  <c r="M631" i="14"/>
  <c r="L631" i="14"/>
  <c r="K631" i="14"/>
  <c r="J631" i="14"/>
  <c r="I631" i="14"/>
  <c r="H631" i="14"/>
  <c r="G631" i="14"/>
  <c r="F631" i="14"/>
  <c r="E631" i="14"/>
  <c r="D631" i="14"/>
  <c r="C631" i="14"/>
  <c r="B631" i="14"/>
  <c r="A631" i="14"/>
  <c r="Z630" i="14"/>
  <c r="Y630" i="14"/>
  <c r="X630" i="14"/>
  <c r="W630" i="14"/>
  <c r="V630" i="14"/>
  <c r="U630" i="14"/>
  <c r="T630" i="14"/>
  <c r="S630" i="14"/>
  <c r="R630" i="14"/>
  <c r="Q630" i="14"/>
  <c r="P630" i="14"/>
  <c r="O630" i="14"/>
  <c r="N630" i="14"/>
  <c r="M630" i="14"/>
  <c r="L630" i="14"/>
  <c r="K630" i="14"/>
  <c r="J630" i="14"/>
  <c r="I630" i="14"/>
  <c r="H630" i="14"/>
  <c r="G630" i="14"/>
  <c r="F630" i="14"/>
  <c r="E630" i="14"/>
  <c r="D630" i="14"/>
  <c r="C630" i="14"/>
  <c r="B630" i="14"/>
  <c r="A630" i="14"/>
  <c r="Z629" i="14"/>
  <c r="Y629" i="14"/>
  <c r="X629" i="14"/>
  <c r="W629" i="14"/>
  <c r="V629" i="14"/>
  <c r="U629" i="14"/>
  <c r="T629" i="14"/>
  <c r="S629" i="14"/>
  <c r="R629" i="14"/>
  <c r="Q629" i="14"/>
  <c r="P629" i="14"/>
  <c r="O629" i="14"/>
  <c r="N629" i="14"/>
  <c r="M629" i="14"/>
  <c r="L629" i="14"/>
  <c r="K629" i="14"/>
  <c r="J629" i="14"/>
  <c r="I629" i="14"/>
  <c r="H629" i="14"/>
  <c r="G629" i="14"/>
  <c r="F629" i="14"/>
  <c r="E629" i="14"/>
  <c r="D629" i="14"/>
  <c r="C629" i="14"/>
  <c r="B629" i="14"/>
  <c r="A629" i="14"/>
  <c r="Z628" i="14"/>
  <c r="Y628" i="14"/>
  <c r="X628" i="14"/>
  <c r="W628" i="14"/>
  <c r="V628" i="14"/>
  <c r="U628" i="14"/>
  <c r="T628" i="14"/>
  <c r="S628" i="14"/>
  <c r="R628" i="14"/>
  <c r="Q628" i="14"/>
  <c r="P628" i="14"/>
  <c r="O628" i="14"/>
  <c r="N628" i="14"/>
  <c r="M628" i="14"/>
  <c r="L628" i="14"/>
  <c r="K628" i="14"/>
  <c r="J628" i="14"/>
  <c r="I628" i="14"/>
  <c r="H628" i="14"/>
  <c r="G628" i="14"/>
  <c r="F628" i="14"/>
  <c r="E628" i="14"/>
  <c r="D628" i="14"/>
  <c r="C628" i="14"/>
  <c r="B628" i="14"/>
  <c r="A628" i="14"/>
  <c r="Z627" i="14"/>
  <c r="Y627" i="14"/>
  <c r="X627" i="14"/>
  <c r="W627" i="14"/>
  <c r="V627" i="14"/>
  <c r="U627" i="14"/>
  <c r="T627" i="14"/>
  <c r="S627" i="14"/>
  <c r="R627" i="14"/>
  <c r="Q627" i="14"/>
  <c r="P627" i="14"/>
  <c r="O627" i="14"/>
  <c r="N627" i="14"/>
  <c r="M627" i="14"/>
  <c r="L627" i="14"/>
  <c r="K627" i="14"/>
  <c r="J627" i="14"/>
  <c r="I627" i="14"/>
  <c r="H627" i="14"/>
  <c r="G627" i="14"/>
  <c r="F627" i="14"/>
  <c r="E627" i="14"/>
  <c r="D627" i="14"/>
  <c r="C627" i="14"/>
  <c r="B627" i="14"/>
  <c r="A627" i="14"/>
  <c r="Z626" i="14"/>
  <c r="Y626" i="14"/>
  <c r="X626" i="14"/>
  <c r="W626" i="14"/>
  <c r="V626" i="14"/>
  <c r="U626" i="14"/>
  <c r="T626" i="14"/>
  <c r="S626" i="14"/>
  <c r="R626" i="14"/>
  <c r="Q626" i="14"/>
  <c r="P626" i="14"/>
  <c r="O626" i="14"/>
  <c r="N626" i="14"/>
  <c r="M626" i="14"/>
  <c r="L626" i="14"/>
  <c r="K626" i="14"/>
  <c r="J626" i="14"/>
  <c r="I626" i="14"/>
  <c r="H626" i="14"/>
  <c r="G626" i="14"/>
  <c r="F626" i="14"/>
  <c r="E626" i="14"/>
  <c r="D626" i="14"/>
  <c r="C626" i="14"/>
  <c r="B626" i="14"/>
  <c r="A626" i="14"/>
  <c r="Z625" i="14"/>
  <c r="Y625" i="14"/>
  <c r="X625" i="14"/>
  <c r="W625" i="14"/>
  <c r="V625" i="14"/>
  <c r="U625" i="14"/>
  <c r="T625" i="14"/>
  <c r="S625" i="14"/>
  <c r="R625" i="14"/>
  <c r="Q625" i="14"/>
  <c r="P625" i="14"/>
  <c r="O625" i="14"/>
  <c r="N625" i="14"/>
  <c r="M625" i="14"/>
  <c r="L625" i="14"/>
  <c r="K625" i="14"/>
  <c r="J625" i="14"/>
  <c r="I625" i="14"/>
  <c r="H625" i="14"/>
  <c r="G625" i="14"/>
  <c r="F625" i="14"/>
  <c r="E625" i="14"/>
  <c r="D625" i="14"/>
  <c r="C625" i="14"/>
  <c r="B625" i="14"/>
  <c r="A625" i="14"/>
  <c r="Z624" i="14"/>
  <c r="Y624" i="14"/>
  <c r="X624" i="14"/>
  <c r="W624" i="14"/>
  <c r="V624" i="14"/>
  <c r="U624" i="14"/>
  <c r="T624" i="14"/>
  <c r="S624" i="14"/>
  <c r="R624" i="14"/>
  <c r="Q624" i="14"/>
  <c r="P624" i="14"/>
  <c r="O624" i="14"/>
  <c r="N624" i="14"/>
  <c r="M624" i="14"/>
  <c r="L624" i="14"/>
  <c r="K624" i="14"/>
  <c r="J624" i="14"/>
  <c r="I624" i="14"/>
  <c r="H624" i="14"/>
  <c r="G624" i="14"/>
  <c r="F624" i="14"/>
  <c r="E624" i="14"/>
  <c r="D624" i="14"/>
  <c r="C624" i="14"/>
  <c r="B624" i="14"/>
  <c r="A624" i="14"/>
  <c r="Z623" i="14"/>
  <c r="Y623" i="14"/>
  <c r="X623" i="14"/>
  <c r="W623" i="14"/>
  <c r="V623" i="14"/>
  <c r="U623" i="14"/>
  <c r="T623" i="14"/>
  <c r="S623" i="14"/>
  <c r="R623" i="14"/>
  <c r="Q623" i="14"/>
  <c r="P623" i="14"/>
  <c r="O623" i="14"/>
  <c r="N623" i="14"/>
  <c r="M623" i="14"/>
  <c r="L623" i="14"/>
  <c r="K623" i="14"/>
  <c r="J623" i="14"/>
  <c r="I623" i="14"/>
  <c r="H623" i="14"/>
  <c r="G623" i="14"/>
  <c r="F623" i="14"/>
  <c r="E623" i="14"/>
  <c r="D623" i="14"/>
  <c r="C623" i="14"/>
  <c r="B623" i="14"/>
  <c r="A623" i="14"/>
  <c r="Z622" i="14"/>
  <c r="Y622" i="14"/>
  <c r="X622" i="14"/>
  <c r="W622" i="14"/>
  <c r="V622" i="14"/>
  <c r="U622" i="14"/>
  <c r="T622" i="14"/>
  <c r="S622" i="14"/>
  <c r="R622" i="14"/>
  <c r="Q622" i="14"/>
  <c r="P622" i="14"/>
  <c r="O622" i="14"/>
  <c r="N622" i="14"/>
  <c r="M622" i="14"/>
  <c r="L622" i="14"/>
  <c r="K622" i="14"/>
  <c r="J622" i="14"/>
  <c r="I622" i="14"/>
  <c r="H622" i="14"/>
  <c r="G622" i="14"/>
  <c r="F622" i="14"/>
  <c r="E622" i="14"/>
  <c r="D622" i="14"/>
  <c r="C622" i="14"/>
  <c r="B622" i="14"/>
  <c r="A622" i="14"/>
  <c r="Z621" i="14"/>
  <c r="Y621" i="14"/>
  <c r="X621" i="14"/>
  <c r="W621" i="14"/>
  <c r="V621" i="14"/>
  <c r="U621" i="14"/>
  <c r="T621" i="14"/>
  <c r="S621" i="14"/>
  <c r="R621" i="14"/>
  <c r="Q621" i="14"/>
  <c r="P621" i="14"/>
  <c r="O621" i="14"/>
  <c r="N621" i="14"/>
  <c r="M621" i="14"/>
  <c r="L621" i="14"/>
  <c r="K621" i="14"/>
  <c r="J621" i="14"/>
  <c r="I621" i="14"/>
  <c r="H621" i="14"/>
  <c r="G621" i="14"/>
  <c r="F621" i="14"/>
  <c r="E621" i="14"/>
  <c r="D621" i="14"/>
  <c r="C621" i="14"/>
  <c r="B621" i="14"/>
  <c r="A621" i="14"/>
  <c r="Z620" i="14"/>
  <c r="Y620" i="14"/>
  <c r="X620" i="14"/>
  <c r="W620" i="14"/>
  <c r="V620" i="14"/>
  <c r="U620" i="14"/>
  <c r="T620" i="14"/>
  <c r="S620" i="14"/>
  <c r="R620" i="14"/>
  <c r="Q620" i="14"/>
  <c r="P620" i="14"/>
  <c r="O620" i="14"/>
  <c r="N620" i="14"/>
  <c r="M620" i="14"/>
  <c r="L620" i="14"/>
  <c r="K620" i="14"/>
  <c r="J620" i="14"/>
  <c r="I620" i="14"/>
  <c r="H620" i="14"/>
  <c r="G620" i="14"/>
  <c r="F620" i="14"/>
  <c r="E620" i="14"/>
  <c r="D620" i="14"/>
  <c r="C620" i="14"/>
  <c r="B620" i="14"/>
  <c r="A620" i="14"/>
  <c r="Z619" i="14"/>
  <c r="Y619" i="14"/>
  <c r="X619" i="14"/>
  <c r="W619" i="14"/>
  <c r="V619" i="14"/>
  <c r="U619" i="14"/>
  <c r="T619" i="14"/>
  <c r="S619" i="14"/>
  <c r="R619" i="14"/>
  <c r="Q619" i="14"/>
  <c r="P619" i="14"/>
  <c r="O619" i="14"/>
  <c r="N619" i="14"/>
  <c r="M619" i="14"/>
  <c r="L619" i="14"/>
  <c r="K619" i="14"/>
  <c r="J619" i="14"/>
  <c r="I619" i="14"/>
  <c r="H619" i="14"/>
  <c r="G619" i="14"/>
  <c r="F619" i="14"/>
  <c r="E619" i="14"/>
  <c r="D619" i="14"/>
  <c r="C619" i="14"/>
  <c r="B619" i="14"/>
  <c r="A619" i="14"/>
  <c r="Z618" i="14"/>
  <c r="Y618" i="14"/>
  <c r="X618" i="14"/>
  <c r="W618" i="14"/>
  <c r="V618" i="14"/>
  <c r="U618" i="14"/>
  <c r="T618" i="14"/>
  <c r="S618" i="14"/>
  <c r="R618" i="14"/>
  <c r="Q618" i="14"/>
  <c r="P618" i="14"/>
  <c r="O618" i="14"/>
  <c r="N618" i="14"/>
  <c r="M618" i="14"/>
  <c r="L618" i="14"/>
  <c r="K618" i="14"/>
  <c r="J618" i="14"/>
  <c r="I618" i="14"/>
  <c r="H618" i="14"/>
  <c r="G618" i="14"/>
  <c r="F618" i="14"/>
  <c r="E618" i="14"/>
  <c r="D618" i="14"/>
  <c r="C618" i="14"/>
  <c r="B618" i="14"/>
  <c r="A618" i="14"/>
  <c r="Z617" i="14"/>
  <c r="Y617" i="14"/>
  <c r="X617" i="14"/>
  <c r="W617" i="14"/>
  <c r="V617" i="14"/>
  <c r="U617" i="14"/>
  <c r="T617" i="14"/>
  <c r="S617" i="14"/>
  <c r="R617" i="14"/>
  <c r="Q617" i="14"/>
  <c r="P617" i="14"/>
  <c r="O617" i="14"/>
  <c r="N617" i="14"/>
  <c r="M617" i="14"/>
  <c r="L617" i="14"/>
  <c r="K617" i="14"/>
  <c r="J617" i="14"/>
  <c r="I617" i="14"/>
  <c r="H617" i="14"/>
  <c r="G617" i="14"/>
  <c r="F617" i="14"/>
  <c r="E617" i="14"/>
  <c r="D617" i="14"/>
  <c r="C617" i="14"/>
  <c r="B617" i="14"/>
  <c r="A617" i="14"/>
  <c r="Z616" i="14"/>
  <c r="Y616" i="14"/>
  <c r="X616" i="14"/>
  <c r="W616" i="14"/>
  <c r="V616" i="14"/>
  <c r="U616" i="14"/>
  <c r="T616" i="14"/>
  <c r="S616" i="14"/>
  <c r="R616" i="14"/>
  <c r="Q616" i="14"/>
  <c r="P616" i="14"/>
  <c r="O616" i="14"/>
  <c r="N616" i="14"/>
  <c r="M616" i="14"/>
  <c r="L616" i="14"/>
  <c r="K616" i="14"/>
  <c r="J616" i="14"/>
  <c r="I616" i="14"/>
  <c r="H616" i="14"/>
  <c r="G616" i="14"/>
  <c r="F616" i="14"/>
  <c r="E616" i="14"/>
  <c r="D616" i="14"/>
  <c r="C616" i="14"/>
  <c r="B616" i="14"/>
  <c r="A616" i="14"/>
  <c r="Z615" i="14"/>
  <c r="Y615" i="14"/>
  <c r="X615" i="14"/>
  <c r="W615" i="14"/>
  <c r="V615" i="14"/>
  <c r="U615" i="14"/>
  <c r="T615" i="14"/>
  <c r="S615" i="14"/>
  <c r="R615" i="14"/>
  <c r="Q615" i="14"/>
  <c r="P615" i="14"/>
  <c r="O615" i="14"/>
  <c r="N615" i="14"/>
  <c r="M615" i="14"/>
  <c r="L615" i="14"/>
  <c r="K615" i="14"/>
  <c r="J615" i="14"/>
  <c r="I615" i="14"/>
  <c r="H615" i="14"/>
  <c r="G615" i="14"/>
  <c r="F615" i="14"/>
  <c r="E615" i="14"/>
  <c r="D615" i="14"/>
  <c r="C615" i="14"/>
  <c r="B615" i="14"/>
  <c r="A615" i="14"/>
  <c r="Z614" i="14"/>
  <c r="Y614" i="14"/>
  <c r="X614" i="14"/>
  <c r="W614" i="14"/>
  <c r="V614" i="14"/>
  <c r="U614" i="14"/>
  <c r="T614" i="14"/>
  <c r="S614" i="14"/>
  <c r="R614" i="14"/>
  <c r="Q614" i="14"/>
  <c r="P614" i="14"/>
  <c r="O614" i="14"/>
  <c r="N614" i="14"/>
  <c r="M614" i="14"/>
  <c r="L614" i="14"/>
  <c r="K614" i="14"/>
  <c r="J614" i="14"/>
  <c r="I614" i="14"/>
  <c r="H614" i="14"/>
  <c r="G614" i="14"/>
  <c r="F614" i="14"/>
  <c r="E614" i="14"/>
  <c r="D614" i="14"/>
  <c r="C614" i="14"/>
  <c r="B614" i="14"/>
  <c r="A614" i="14"/>
  <c r="Z613" i="14"/>
  <c r="Y613" i="14"/>
  <c r="X613" i="14"/>
  <c r="W613" i="14"/>
  <c r="V613" i="14"/>
  <c r="U613" i="14"/>
  <c r="T613" i="14"/>
  <c r="S613" i="14"/>
  <c r="R613" i="14"/>
  <c r="Q613" i="14"/>
  <c r="P613" i="14"/>
  <c r="O613" i="14"/>
  <c r="N613" i="14"/>
  <c r="M613" i="14"/>
  <c r="L613" i="14"/>
  <c r="K613" i="14"/>
  <c r="J613" i="14"/>
  <c r="I613" i="14"/>
  <c r="H613" i="14"/>
  <c r="G613" i="14"/>
  <c r="F613" i="14"/>
  <c r="E613" i="14"/>
  <c r="D613" i="14"/>
  <c r="C613" i="14"/>
  <c r="B613" i="14"/>
  <c r="A613" i="14"/>
  <c r="Z612" i="14"/>
  <c r="Y612" i="14"/>
  <c r="X612" i="14"/>
  <c r="W612" i="14"/>
  <c r="V612" i="14"/>
  <c r="U612" i="14"/>
  <c r="T612" i="14"/>
  <c r="S612" i="14"/>
  <c r="R612" i="14"/>
  <c r="Q612" i="14"/>
  <c r="P612" i="14"/>
  <c r="O612" i="14"/>
  <c r="N612" i="14"/>
  <c r="M612" i="14"/>
  <c r="L612" i="14"/>
  <c r="K612" i="14"/>
  <c r="J612" i="14"/>
  <c r="I612" i="14"/>
  <c r="H612" i="14"/>
  <c r="G612" i="14"/>
  <c r="F612" i="14"/>
  <c r="E612" i="14"/>
  <c r="D612" i="14"/>
  <c r="C612" i="14"/>
  <c r="B612" i="14"/>
  <c r="A612" i="14"/>
  <c r="Z611" i="14"/>
  <c r="Y611" i="14"/>
  <c r="X611" i="14"/>
  <c r="W611" i="14"/>
  <c r="V611" i="14"/>
  <c r="U611" i="14"/>
  <c r="T611" i="14"/>
  <c r="S611" i="14"/>
  <c r="R611" i="14"/>
  <c r="Q611" i="14"/>
  <c r="P611" i="14"/>
  <c r="O611" i="14"/>
  <c r="N611" i="14"/>
  <c r="M611" i="14"/>
  <c r="L611" i="14"/>
  <c r="K611" i="14"/>
  <c r="J611" i="14"/>
  <c r="I611" i="14"/>
  <c r="H611" i="14"/>
  <c r="G611" i="14"/>
  <c r="F611" i="14"/>
  <c r="E611" i="14"/>
  <c r="D611" i="14"/>
  <c r="C611" i="14"/>
  <c r="B611" i="14"/>
  <c r="A611" i="14"/>
  <c r="Z610" i="14"/>
  <c r="Y610" i="14"/>
  <c r="X610" i="14"/>
  <c r="W610" i="14"/>
  <c r="V610" i="14"/>
  <c r="U610" i="14"/>
  <c r="T610" i="14"/>
  <c r="S610" i="14"/>
  <c r="R610" i="14"/>
  <c r="Q610" i="14"/>
  <c r="P610" i="14"/>
  <c r="O610" i="14"/>
  <c r="N610" i="14"/>
  <c r="M610" i="14"/>
  <c r="L610" i="14"/>
  <c r="K610" i="14"/>
  <c r="J610" i="14"/>
  <c r="I610" i="14"/>
  <c r="H610" i="14"/>
  <c r="G610" i="14"/>
  <c r="F610" i="14"/>
  <c r="E610" i="14"/>
  <c r="D610" i="14"/>
  <c r="C610" i="14"/>
  <c r="B610" i="14"/>
  <c r="A610" i="14"/>
  <c r="Z609" i="14"/>
  <c r="Y609" i="14"/>
  <c r="X609" i="14"/>
  <c r="W609" i="14"/>
  <c r="V609" i="14"/>
  <c r="U609" i="14"/>
  <c r="T609" i="14"/>
  <c r="S609" i="14"/>
  <c r="R609" i="14"/>
  <c r="Q609" i="14"/>
  <c r="P609" i="14"/>
  <c r="O609" i="14"/>
  <c r="N609" i="14"/>
  <c r="M609" i="14"/>
  <c r="L609" i="14"/>
  <c r="K609" i="14"/>
  <c r="J609" i="14"/>
  <c r="I609" i="14"/>
  <c r="H609" i="14"/>
  <c r="G609" i="14"/>
  <c r="F609" i="14"/>
  <c r="E609" i="14"/>
  <c r="D609" i="14"/>
  <c r="C609" i="14"/>
  <c r="B609" i="14"/>
  <c r="A609" i="14"/>
  <c r="Z608" i="14"/>
  <c r="Y608" i="14"/>
  <c r="X608" i="14"/>
  <c r="W608" i="14"/>
  <c r="V608" i="14"/>
  <c r="U608" i="14"/>
  <c r="T608" i="14"/>
  <c r="S608" i="14"/>
  <c r="R608" i="14"/>
  <c r="Q608" i="14"/>
  <c r="P608" i="14"/>
  <c r="O608" i="14"/>
  <c r="N608" i="14"/>
  <c r="M608" i="14"/>
  <c r="L608" i="14"/>
  <c r="K608" i="14"/>
  <c r="J608" i="14"/>
  <c r="I608" i="14"/>
  <c r="H608" i="14"/>
  <c r="G608" i="14"/>
  <c r="F608" i="14"/>
  <c r="E608" i="14"/>
  <c r="D608" i="14"/>
  <c r="C608" i="14"/>
  <c r="B608" i="14"/>
  <c r="A608" i="14"/>
  <c r="Z607" i="14"/>
  <c r="Y607" i="14"/>
  <c r="X607" i="14"/>
  <c r="W607" i="14"/>
  <c r="V607" i="14"/>
  <c r="U607" i="14"/>
  <c r="T607" i="14"/>
  <c r="S607" i="14"/>
  <c r="R607" i="14"/>
  <c r="Q607" i="14"/>
  <c r="P607" i="14"/>
  <c r="O607" i="14"/>
  <c r="N607" i="14"/>
  <c r="M607" i="14"/>
  <c r="L607" i="14"/>
  <c r="K607" i="14"/>
  <c r="J607" i="14"/>
  <c r="I607" i="14"/>
  <c r="H607" i="14"/>
  <c r="G607" i="14"/>
  <c r="F607" i="14"/>
  <c r="E607" i="14"/>
  <c r="D607" i="14"/>
  <c r="C607" i="14"/>
  <c r="B607" i="14"/>
  <c r="A607" i="14"/>
  <c r="Z606" i="14"/>
  <c r="Y606" i="14"/>
  <c r="X606" i="14"/>
  <c r="W606" i="14"/>
  <c r="V606" i="14"/>
  <c r="U606" i="14"/>
  <c r="T606" i="14"/>
  <c r="S606" i="14"/>
  <c r="R606" i="14"/>
  <c r="Q606" i="14"/>
  <c r="P606" i="14"/>
  <c r="O606" i="14"/>
  <c r="N606" i="14"/>
  <c r="M606" i="14"/>
  <c r="L606" i="14"/>
  <c r="K606" i="14"/>
  <c r="J606" i="14"/>
  <c r="I606" i="14"/>
  <c r="H606" i="14"/>
  <c r="G606" i="14"/>
  <c r="F606" i="14"/>
  <c r="E606" i="14"/>
  <c r="D606" i="14"/>
  <c r="C606" i="14"/>
  <c r="B606" i="14"/>
  <c r="A606" i="14"/>
  <c r="Z605" i="14"/>
  <c r="Y605" i="14"/>
  <c r="X605" i="14"/>
  <c r="W605" i="14"/>
  <c r="V605" i="14"/>
  <c r="U605" i="14"/>
  <c r="T605" i="14"/>
  <c r="S605" i="14"/>
  <c r="R605" i="14"/>
  <c r="Q605" i="14"/>
  <c r="P605" i="14"/>
  <c r="O605" i="14"/>
  <c r="N605" i="14"/>
  <c r="M605" i="14"/>
  <c r="L605" i="14"/>
  <c r="K605" i="14"/>
  <c r="J605" i="14"/>
  <c r="I605" i="14"/>
  <c r="H605" i="14"/>
  <c r="G605" i="14"/>
  <c r="F605" i="14"/>
  <c r="E605" i="14"/>
  <c r="D605" i="14"/>
  <c r="C605" i="14"/>
  <c r="B605" i="14"/>
  <c r="A605" i="14"/>
  <c r="Z604" i="14"/>
  <c r="Y604" i="14"/>
  <c r="X604" i="14"/>
  <c r="W604" i="14"/>
  <c r="V604" i="14"/>
  <c r="U604" i="14"/>
  <c r="T604" i="14"/>
  <c r="S604" i="14"/>
  <c r="R604" i="14"/>
  <c r="Q604" i="14"/>
  <c r="P604" i="14"/>
  <c r="O604" i="14"/>
  <c r="N604" i="14"/>
  <c r="M604" i="14"/>
  <c r="L604" i="14"/>
  <c r="K604" i="14"/>
  <c r="J604" i="14"/>
  <c r="I604" i="14"/>
  <c r="H604" i="14"/>
  <c r="G604" i="14"/>
  <c r="F604" i="14"/>
  <c r="E604" i="14"/>
  <c r="D604" i="14"/>
  <c r="C604" i="14"/>
  <c r="B604" i="14"/>
  <c r="A604" i="14"/>
  <c r="Z603" i="14"/>
  <c r="Y603" i="14"/>
  <c r="X603" i="14"/>
  <c r="W603" i="14"/>
  <c r="V603" i="14"/>
  <c r="U603" i="14"/>
  <c r="T603" i="14"/>
  <c r="S603" i="14"/>
  <c r="R603" i="14"/>
  <c r="Q603" i="14"/>
  <c r="P603" i="14"/>
  <c r="O603" i="14"/>
  <c r="N603" i="14"/>
  <c r="M603" i="14"/>
  <c r="L603" i="14"/>
  <c r="K603" i="14"/>
  <c r="J603" i="14"/>
  <c r="I603" i="14"/>
  <c r="H603" i="14"/>
  <c r="G603" i="14"/>
  <c r="F603" i="14"/>
  <c r="E603" i="14"/>
  <c r="D603" i="14"/>
  <c r="C603" i="14"/>
  <c r="B603" i="14"/>
  <c r="A603" i="14"/>
  <c r="Z602" i="14"/>
  <c r="Y602" i="14"/>
  <c r="X602" i="14"/>
  <c r="W602" i="14"/>
  <c r="V602" i="14"/>
  <c r="U602" i="14"/>
  <c r="T602" i="14"/>
  <c r="S602" i="14"/>
  <c r="R602" i="14"/>
  <c r="Q602" i="14"/>
  <c r="P602" i="14"/>
  <c r="O602" i="14"/>
  <c r="N602" i="14"/>
  <c r="M602" i="14"/>
  <c r="L602" i="14"/>
  <c r="K602" i="14"/>
  <c r="J602" i="14"/>
  <c r="I602" i="14"/>
  <c r="H602" i="14"/>
  <c r="G602" i="14"/>
  <c r="F602" i="14"/>
  <c r="E602" i="14"/>
  <c r="D602" i="14"/>
  <c r="C602" i="14"/>
  <c r="B602" i="14"/>
  <c r="A602" i="14"/>
  <c r="Z601" i="14"/>
  <c r="Y601" i="14"/>
  <c r="X601" i="14"/>
  <c r="W601" i="14"/>
  <c r="V601" i="14"/>
  <c r="U601" i="14"/>
  <c r="T601" i="14"/>
  <c r="S601" i="14"/>
  <c r="R601" i="14"/>
  <c r="Q601" i="14"/>
  <c r="P601" i="14"/>
  <c r="O601" i="14"/>
  <c r="N601" i="14"/>
  <c r="M601" i="14"/>
  <c r="L601" i="14"/>
  <c r="K601" i="14"/>
  <c r="J601" i="14"/>
  <c r="I601" i="14"/>
  <c r="H601" i="14"/>
  <c r="G601" i="14"/>
  <c r="F601" i="14"/>
  <c r="E601" i="14"/>
  <c r="D601" i="14"/>
  <c r="C601" i="14"/>
  <c r="B601" i="14"/>
  <c r="A601" i="14"/>
  <c r="Z600" i="14"/>
  <c r="Y600" i="14"/>
  <c r="X600" i="14"/>
  <c r="W600" i="14"/>
  <c r="V600" i="14"/>
  <c r="U600" i="14"/>
  <c r="T600" i="14"/>
  <c r="S600" i="14"/>
  <c r="R600" i="14"/>
  <c r="Q600" i="14"/>
  <c r="P600" i="14"/>
  <c r="O600" i="14"/>
  <c r="N600" i="14"/>
  <c r="M600" i="14"/>
  <c r="L600" i="14"/>
  <c r="K600" i="14"/>
  <c r="J600" i="14"/>
  <c r="I600" i="14"/>
  <c r="H600" i="14"/>
  <c r="G600" i="14"/>
  <c r="F600" i="14"/>
  <c r="E600" i="14"/>
  <c r="D600" i="14"/>
  <c r="C600" i="14"/>
  <c r="B600" i="14"/>
  <c r="A600" i="14"/>
  <c r="Z599" i="14"/>
  <c r="Y599" i="14"/>
  <c r="X599" i="14"/>
  <c r="W599" i="14"/>
  <c r="V599" i="14"/>
  <c r="U599" i="14"/>
  <c r="T599" i="14"/>
  <c r="S599" i="14"/>
  <c r="R599" i="14"/>
  <c r="Q599" i="14"/>
  <c r="P599" i="14"/>
  <c r="O599" i="14"/>
  <c r="N599" i="14"/>
  <c r="M599" i="14"/>
  <c r="L599" i="14"/>
  <c r="K599" i="14"/>
  <c r="J599" i="14"/>
  <c r="I599" i="14"/>
  <c r="H599" i="14"/>
  <c r="G599" i="14"/>
  <c r="F599" i="14"/>
  <c r="E599" i="14"/>
  <c r="D599" i="14"/>
  <c r="C599" i="14"/>
  <c r="B599" i="14"/>
  <c r="A599" i="14"/>
  <c r="Z598" i="14"/>
  <c r="Y598" i="14"/>
  <c r="X598" i="14"/>
  <c r="W598" i="14"/>
  <c r="V598" i="14"/>
  <c r="U598" i="14"/>
  <c r="T598" i="14"/>
  <c r="S598" i="14"/>
  <c r="R598" i="14"/>
  <c r="Q598" i="14"/>
  <c r="P598" i="14"/>
  <c r="O598" i="14"/>
  <c r="N598" i="14"/>
  <c r="M598" i="14"/>
  <c r="L598" i="14"/>
  <c r="K598" i="14"/>
  <c r="J598" i="14"/>
  <c r="I598" i="14"/>
  <c r="H598" i="14"/>
  <c r="G598" i="14"/>
  <c r="F598" i="14"/>
  <c r="E598" i="14"/>
  <c r="D598" i="14"/>
  <c r="C598" i="14"/>
  <c r="B598" i="14"/>
  <c r="A598" i="14"/>
  <c r="Z597" i="14"/>
  <c r="Y597" i="14"/>
  <c r="X597" i="14"/>
  <c r="W597" i="14"/>
  <c r="V597" i="14"/>
  <c r="U597" i="14"/>
  <c r="T597" i="14"/>
  <c r="S597" i="14"/>
  <c r="R597" i="14"/>
  <c r="Q597" i="14"/>
  <c r="P597" i="14"/>
  <c r="O597" i="14"/>
  <c r="N597" i="14"/>
  <c r="M597" i="14"/>
  <c r="L597" i="14"/>
  <c r="K597" i="14"/>
  <c r="J597" i="14"/>
  <c r="I597" i="14"/>
  <c r="H597" i="14"/>
  <c r="G597" i="14"/>
  <c r="F597" i="14"/>
  <c r="E597" i="14"/>
  <c r="D597" i="14"/>
  <c r="C597" i="14"/>
  <c r="B597" i="14"/>
  <c r="A597" i="14"/>
  <c r="Z596" i="14"/>
  <c r="Y596" i="14"/>
  <c r="X596" i="14"/>
  <c r="W596" i="14"/>
  <c r="V596" i="14"/>
  <c r="U596" i="14"/>
  <c r="T596" i="14"/>
  <c r="S596" i="14"/>
  <c r="R596" i="14"/>
  <c r="Q596" i="14"/>
  <c r="P596" i="14"/>
  <c r="O596" i="14"/>
  <c r="N596" i="14"/>
  <c r="M596" i="14"/>
  <c r="L596" i="14"/>
  <c r="K596" i="14"/>
  <c r="J596" i="14"/>
  <c r="I596" i="14"/>
  <c r="H596" i="14"/>
  <c r="G596" i="14"/>
  <c r="F596" i="14"/>
  <c r="E596" i="14"/>
  <c r="D596" i="14"/>
  <c r="C596" i="14"/>
  <c r="B596" i="14"/>
  <c r="A596" i="14"/>
  <c r="Z595" i="14"/>
  <c r="Y595" i="14"/>
  <c r="X595" i="14"/>
  <c r="W595" i="14"/>
  <c r="V595" i="14"/>
  <c r="U595" i="14"/>
  <c r="T595" i="14"/>
  <c r="S595" i="14"/>
  <c r="R595" i="14"/>
  <c r="Q595" i="14"/>
  <c r="P595" i="14"/>
  <c r="O595" i="14"/>
  <c r="N595" i="14"/>
  <c r="M595" i="14"/>
  <c r="L595" i="14"/>
  <c r="K595" i="14"/>
  <c r="J595" i="14"/>
  <c r="I595" i="14"/>
  <c r="H595" i="14"/>
  <c r="G595" i="14"/>
  <c r="F595" i="14"/>
  <c r="E595" i="14"/>
  <c r="D595" i="14"/>
  <c r="C595" i="14"/>
  <c r="B595" i="14"/>
  <c r="A595" i="14"/>
  <c r="Z594" i="14"/>
  <c r="Y594" i="14"/>
  <c r="X594" i="14"/>
  <c r="W594" i="14"/>
  <c r="V594" i="14"/>
  <c r="U594" i="14"/>
  <c r="T594" i="14"/>
  <c r="S594" i="14"/>
  <c r="R594" i="14"/>
  <c r="Q594" i="14"/>
  <c r="P594" i="14"/>
  <c r="O594" i="14"/>
  <c r="N594" i="14"/>
  <c r="M594" i="14"/>
  <c r="L594" i="14"/>
  <c r="K594" i="14"/>
  <c r="J594" i="14"/>
  <c r="I594" i="14"/>
  <c r="H594" i="14"/>
  <c r="G594" i="14"/>
  <c r="F594" i="14"/>
  <c r="E594" i="14"/>
  <c r="D594" i="14"/>
  <c r="C594" i="14"/>
  <c r="B594" i="14"/>
  <c r="A594" i="14"/>
  <c r="Z593" i="14"/>
  <c r="Y593" i="14"/>
  <c r="X593" i="14"/>
  <c r="W593" i="14"/>
  <c r="V593" i="14"/>
  <c r="U593" i="14"/>
  <c r="T593" i="14"/>
  <c r="S593" i="14"/>
  <c r="R593" i="14"/>
  <c r="Q593" i="14"/>
  <c r="P593" i="14"/>
  <c r="O593" i="14"/>
  <c r="N593" i="14"/>
  <c r="M593" i="14"/>
  <c r="L593" i="14"/>
  <c r="K593" i="14"/>
  <c r="J593" i="14"/>
  <c r="I593" i="14"/>
  <c r="H593" i="14"/>
  <c r="G593" i="14"/>
  <c r="F593" i="14"/>
  <c r="E593" i="14"/>
  <c r="D593" i="14"/>
  <c r="C593" i="14"/>
  <c r="B593" i="14"/>
  <c r="A593" i="14"/>
  <c r="Z592" i="14"/>
  <c r="Y592" i="14"/>
  <c r="X592" i="14"/>
  <c r="W592" i="14"/>
  <c r="V592" i="14"/>
  <c r="U592" i="14"/>
  <c r="T592" i="14"/>
  <c r="S592" i="14"/>
  <c r="R592" i="14"/>
  <c r="Q592" i="14"/>
  <c r="P592" i="14"/>
  <c r="O592" i="14"/>
  <c r="N592" i="14"/>
  <c r="M592" i="14"/>
  <c r="L592" i="14"/>
  <c r="K592" i="14"/>
  <c r="J592" i="14"/>
  <c r="I592" i="14"/>
  <c r="H592" i="14"/>
  <c r="G592" i="14"/>
  <c r="F592" i="14"/>
  <c r="E592" i="14"/>
  <c r="D592" i="14"/>
  <c r="C592" i="14"/>
  <c r="B592" i="14"/>
  <c r="A592" i="14"/>
  <c r="Z591" i="14"/>
  <c r="Y591" i="14"/>
  <c r="X591" i="14"/>
  <c r="W591" i="14"/>
  <c r="V591" i="14"/>
  <c r="U591" i="14"/>
  <c r="T591" i="14"/>
  <c r="S591" i="14"/>
  <c r="R591" i="14"/>
  <c r="Q591" i="14"/>
  <c r="P591" i="14"/>
  <c r="O591" i="14"/>
  <c r="N591" i="14"/>
  <c r="M591" i="14"/>
  <c r="L591" i="14"/>
  <c r="K591" i="14"/>
  <c r="J591" i="14"/>
  <c r="I591" i="14"/>
  <c r="H591" i="14"/>
  <c r="G591" i="14"/>
  <c r="F591" i="14"/>
  <c r="E591" i="14"/>
  <c r="D591" i="14"/>
  <c r="C591" i="14"/>
  <c r="B591" i="14"/>
  <c r="A591" i="14"/>
  <c r="Z590" i="14"/>
  <c r="Y590" i="14"/>
  <c r="X590" i="14"/>
  <c r="W590" i="14"/>
  <c r="V590" i="14"/>
  <c r="U590" i="14"/>
  <c r="T590" i="14"/>
  <c r="S590" i="14"/>
  <c r="R590" i="14"/>
  <c r="Q590" i="14"/>
  <c r="P590" i="14"/>
  <c r="O590" i="14"/>
  <c r="N590" i="14"/>
  <c r="M590" i="14"/>
  <c r="L590" i="14"/>
  <c r="K590" i="14"/>
  <c r="J590" i="14"/>
  <c r="I590" i="14"/>
  <c r="H590" i="14"/>
  <c r="G590" i="14"/>
  <c r="F590" i="14"/>
  <c r="E590" i="14"/>
  <c r="D590" i="14"/>
  <c r="C590" i="14"/>
  <c r="B590" i="14"/>
  <c r="A590" i="14"/>
  <c r="Z589" i="14"/>
  <c r="Y589" i="14"/>
  <c r="X589" i="14"/>
  <c r="W589" i="14"/>
  <c r="V589" i="14"/>
  <c r="U589" i="14"/>
  <c r="T589" i="14"/>
  <c r="S589" i="14"/>
  <c r="R589" i="14"/>
  <c r="Q589" i="14"/>
  <c r="P589" i="14"/>
  <c r="O589" i="14"/>
  <c r="N589" i="14"/>
  <c r="M589" i="14"/>
  <c r="L589" i="14"/>
  <c r="K589" i="14"/>
  <c r="J589" i="14"/>
  <c r="I589" i="14"/>
  <c r="H589" i="14"/>
  <c r="G589" i="14"/>
  <c r="F589" i="14"/>
  <c r="E589" i="14"/>
  <c r="D589" i="14"/>
  <c r="C589" i="14"/>
  <c r="B589" i="14"/>
  <c r="A589" i="14"/>
  <c r="Z588" i="14"/>
  <c r="Y588" i="14"/>
  <c r="X588" i="14"/>
  <c r="W588" i="14"/>
  <c r="V588" i="14"/>
  <c r="U588" i="14"/>
  <c r="T588" i="14"/>
  <c r="S588" i="14"/>
  <c r="R588" i="14"/>
  <c r="Q588" i="14"/>
  <c r="P588" i="14"/>
  <c r="O588" i="14"/>
  <c r="N588" i="14"/>
  <c r="M588" i="14"/>
  <c r="L588" i="14"/>
  <c r="K588" i="14"/>
  <c r="J588" i="14"/>
  <c r="I588" i="14"/>
  <c r="H588" i="14"/>
  <c r="G588" i="14"/>
  <c r="F588" i="14"/>
  <c r="E588" i="14"/>
  <c r="D588" i="14"/>
  <c r="C588" i="14"/>
  <c r="B588" i="14"/>
  <c r="A588" i="14"/>
  <c r="Z587" i="14"/>
  <c r="Y587" i="14"/>
  <c r="X587" i="14"/>
  <c r="W587" i="14"/>
  <c r="V587" i="14"/>
  <c r="U587" i="14"/>
  <c r="T587" i="14"/>
  <c r="S587" i="14"/>
  <c r="R587" i="14"/>
  <c r="Q587" i="14"/>
  <c r="P587" i="14"/>
  <c r="O587" i="14"/>
  <c r="N587" i="14"/>
  <c r="M587" i="14"/>
  <c r="L587" i="14"/>
  <c r="K587" i="14"/>
  <c r="J587" i="14"/>
  <c r="I587" i="14"/>
  <c r="H587" i="14"/>
  <c r="G587" i="14"/>
  <c r="F587" i="14"/>
  <c r="E587" i="14"/>
  <c r="D587" i="14"/>
  <c r="C587" i="14"/>
  <c r="B587" i="14"/>
  <c r="A587" i="14"/>
  <c r="Z586" i="14"/>
  <c r="Y586" i="14"/>
  <c r="X586" i="14"/>
  <c r="W586" i="14"/>
  <c r="V586" i="14"/>
  <c r="U586" i="14"/>
  <c r="T586" i="14"/>
  <c r="S586" i="14"/>
  <c r="R586" i="14"/>
  <c r="Q586" i="14"/>
  <c r="P586" i="14"/>
  <c r="O586" i="14"/>
  <c r="N586" i="14"/>
  <c r="M586" i="14"/>
  <c r="L586" i="14"/>
  <c r="K586" i="14"/>
  <c r="J586" i="14"/>
  <c r="I586" i="14"/>
  <c r="H586" i="14"/>
  <c r="G586" i="14"/>
  <c r="F586" i="14"/>
  <c r="E586" i="14"/>
  <c r="D586" i="14"/>
  <c r="C586" i="14"/>
  <c r="B586" i="14"/>
  <c r="A586" i="14"/>
  <c r="Z585" i="14"/>
  <c r="Y585" i="14"/>
  <c r="X585" i="14"/>
  <c r="W585" i="14"/>
  <c r="V585" i="14"/>
  <c r="U585" i="14"/>
  <c r="T585" i="14"/>
  <c r="S585" i="14"/>
  <c r="R585" i="14"/>
  <c r="Q585" i="14"/>
  <c r="P585" i="14"/>
  <c r="O585" i="14"/>
  <c r="N585" i="14"/>
  <c r="M585" i="14"/>
  <c r="L585" i="14"/>
  <c r="K585" i="14"/>
  <c r="J585" i="14"/>
  <c r="I585" i="14"/>
  <c r="H585" i="14"/>
  <c r="G585" i="14"/>
  <c r="F585" i="14"/>
  <c r="E585" i="14"/>
  <c r="D585" i="14"/>
  <c r="C585" i="14"/>
  <c r="B585" i="14"/>
  <c r="A585" i="14"/>
  <c r="Z584" i="14"/>
  <c r="Y584" i="14"/>
  <c r="X584" i="14"/>
  <c r="W584" i="14"/>
  <c r="V584" i="14"/>
  <c r="U584" i="14"/>
  <c r="T584" i="14"/>
  <c r="S584" i="14"/>
  <c r="R584" i="14"/>
  <c r="Q584" i="14"/>
  <c r="P584" i="14"/>
  <c r="O584" i="14"/>
  <c r="N584" i="14"/>
  <c r="M584" i="14"/>
  <c r="L584" i="14"/>
  <c r="K584" i="14"/>
  <c r="J584" i="14"/>
  <c r="I584" i="14"/>
  <c r="H584" i="14"/>
  <c r="G584" i="14"/>
  <c r="F584" i="14"/>
  <c r="E584" i="14"/>
  <c r="D584" i="14"/>
  <c r="C584" i="14"/>
  <c r="B584" i="14"/>
  <c r="A584" i="14"/>
  <c r="Z583" i="14"/>
  <c r="Y583" i="14"/>
  <c r="X583" i="14"/>
  <c r="W583" i="14"/>
  <c r="V583" i="14"/>
  <c r="U583" i="14"/>
  <c r="T583" i="14"/>
  <c r="S583" i="14"/>
  <c r="R583" i="14"/>
  <c r="Q583" i="14"/>
  <c r="P583" i="14"/>
  <c r="O583" i="14"/>
  <c r="N583" i="14"/>
  <c r="M583" i="14"/>
  <c r="L583" i="14"/>
  <c r="K583" i="14"/>
  <c r="J583" i="14"/>
  <c r="I583" i="14"/>
  <c r="H583" i="14"/>
  <c r="G583" i="14"/>
  <c r="F583" i="14"/>
  <c r="E583" i="14"/>
  <c r="D583" i="14"/>
  <c r="C583" i="14"/>
  <c r="B583" i="14"/>
  <c r="A583" i="14"/>
  <c r="Z582" i="14"/>
  <c r="Y582" i="14"/>
  <c r="X582" i="14"/>
  <c r="W582" i="14"/>
  <c r="V582" i="14"/>
  <c r="U582" i="14"/>
  <c r="T582" i="14"/>
  <c r="S582" i="14"/>
  <c r="R582" i="14"/>
  <c r="Q582" i="14"/>
  <c r="P582" i="14"/>
  <c r="O582" i="14"/>
  <c r="N582" i="14"/>
  <c r="M582" i="14"/>
  <c r="L582" i="14"/>
  <c r="K582" i="14"/>
  <c r="J582" i="14"/>
  <c r="I582" i="14"/>
  <c r="H582" i="14"/>
  <c r="G582" i="14"/>
  <c r="F582" i="14"/>
  <c r="E582" i="14"/>
  <c r="D582" i="14"/>
  <c r="C582" i="14"/>
  <c r="B582" i="14"/>
  <c r="A582" i="14"/>
  <c r="Z581" i="14"/>
  <c r="Y581" i="14"/>
  <c r="X581" i="14"/>
  <c r="W581" i="14"/>
  <c r="V581" i="14"/>
  <c r="U581" i="14"/>
  <c r="T581" i="14"/>
  <c r="S581" i="14"/>
  <c r="R581" i="14"/>
  <c r="Q581" i="14"/>
  <c r="P581" i="14"/>
  <c r="O581" i="14"/>
  <c r="N581" i="14"/>
  <c r="M581" i="14"/>
  <c r="L581" i="14"/>
  <c r="K581" i="14"/>
  <c r="J581" i="14"/>
  <c r="I581" i="14"/>
  <c r="H581" i="14"/>
  <c r="G581" i="14"/>
  <c r="F581" i="14"/>
  <c r="E581" i="14"/>
  <c r="D581" i="14"/>
  <c r="C581" i="14"/>
  <c r="B581" i="14"/>
  <c r="A581" i="14"/>
  <c r="Z580" i="14"/>
  <c r="Y580" i="14"/>
  <c r="X580" i="14"/>
  <c r="W580" i="14"/>
  <c r="V580" i="14"/>
  <c r="U580" i="14"/>
  <c r="T580" i="14"/>
  <c r="S580" i="14"/>
  <c r="R580" i="14"/>
  <c r="Q580" i="14"/>
  <c r="P580" i="14"/>
  <c r="O580" i="14"/>
  <c r="N580" i="14"/>
  <c r="M580" i="14"/>
  <c r="L580" i="14"/>
  <c r="K580" i="14"/>
  <c r="J580" i="14"/>
  <c r="I580" i="14"/>
  <c r="H580" i="14"/>
  <c r="G580" i="14"/>
  <c r="F580" i="14"/>
  <c r="E580" i="14"/>
  <c r="D580" i="14"/>
  <c r="C580" i="14"/>
  <c r="B580" i="14"/>
  <c r="A580" i="14"/>
  <c r="Z579" i="14"/>
  <c r="Y579" i="14"/>
  <c r="X579" i="14"/>
  <c r="W579" i="14"/>
  <c r="V579" i="14"/>
  <c r="U579" i="14"/>
  <c r="T579" i="14"/>
  <c r="S579" i="14"/>
  <c r="R579" i="14"/>
  <c r="Q579" i="14"/>
  <c r="P579" i="14"/>
  <c r="O579" i="14"/>
  <c r="N579" i="14"/>
  <c r="M579" i="14"/>
  <c r="L579" i="14"/>
  <c r="K579" i="14"/>
  <c r="J579" i="14"/>
  <c r="I579" i="14"/>
  <c r="H579" i="14"/>
  <c r="G579" i="14"/>
  <c r="F579" i="14"/>
  <c r="E579" i="14"/>
  <c r="D579" i="14"/>
  <c r="C579" i="14"/>
  <c r="B579" i="14"/>
  <c r="A579" i="14"/>
  <c r="Z578" i="14"/>
  <c r="Y578" i="14"/>
  <c r="X578" i="14"/>
  <c r="W578" i="14"/>
  <c r="V578" i="14"/>
  <c r="U578" i="14"/>
  <c r="T578" i="14"/>
  <c r="S578" i="14"/>
  <c r="R578" i="14"/>
  <c r="Q578" i="14"/>
  <c r="P578" i="14"/>
  <c r="O578" i="14"/>
  <c r="N578" i="14"/>
  <c r="M578" i="14"/>
  <c r="L578" i="14"/>
  <c r="K578" i="14"/>
  <c r="J578" i="14"/>
  <c r="I578" i="14"/>
  <c r="H578" i="14"/>
  <c r="G578" i="14"/>
  <c r="F578" i="14"/>
  <c r="E578" i="14"/>
  <c r="D578" i="14"/>
  <c r="C578" i="14"/>
  <c r="B578" i="14"/>
  <c r="A578" i="14"/>
  <c r="Z577" i="14"/>
  <c r="Y577" i="14"/>
  <c r="X577" i="14"/>
  <c r="W577" i="14"/>
  <c r="V577" i="14"/>
  <c r="U577" i="14"/>
  <c r="T577" i="14"/>
  <c r="S577" i="14"/>
  <c r="R577" i="14"/>
  <c r="Q577" i="14"/>
  <c r="P577" i="14"/>
  <c r="O577" i="14"/>
  <c r="N577" i="14"/>
  <c r="M577" i="14"/>
  <c r="L577" i="14"/>
  <c r="K577" i="14"/>
  <c r="J577" i="14"/>
  <c r="I577" i="14"/>
  <c r="H577" i="14"/>
  <c r="G577" i="14"/>
  <c r="F577" i="14"/>
  <c r="E577" i="14"/>
  <c r="D577" i="14"/>
  <c r="C577" i="14"/>
  <c r="B577" i="14"/>
  <c r="A577" i="14"/>
  <c r="Z576" i="14"/>
  <c r="Y576" i="14"/>
  <c r="X576" i="14"/>
  <c r="W576" i="14"/>
  <c r="V576" i="14"/>
  <c r="U576" i="14"/>
  <c r="T576" i="14"/>
  <c r="S576" i="14"/>
  <c r="R576" i="14"/>
  <c r="Q576" i="14"/>
  <c r="P576" i="14"/>
  <c r="O576" i="14"/>
  <c r="N576" i="14"/>
  <c r="M576" i="14"/>
  <c r="L576" i="14"/>
  <c r="K576" i="14"/>
  <c r="J576" i="14"/>
  <c r="I576" i="14"/>
  <c r="H576" i="14"/>
  <c r="G576" i="14"/>
  <c r="F576" i="14"/>
  <c r="E576" i="14"/>
  <c r="D576" i="14"/>
  <c r="C576" i="14"/>
  <c r="B576" i="14"/>
  <c r="A576" i="14"/>
  <c r="Z575" i="14"/>
  <c r="Y575" i="14"/>
  <c r="X575" i="14"/>
  <c r="W575" i="14"/>
  <c r="V575" i="14"/>
  <c r="U575" i="14"/>
  <c r="T575" i="14"/>
  <c r="S575" i="14"/>
  <c r="R575" i="14"/>
  <c r="Q575" i="14"/>
  <c r="P575" i="14"/>
  <c r="O575" i="14"/>
  <c r="N575" i="14"/>
  <c r="M575" i="14"/>
  <c r="L575" i="14"/>
  <c r="K575" i="14"/>
  <c r="J575" i="14"/>
  <c r="I575" i="14"/>
  <c r="H575" i="14"/>
  <c r="G575" i="14"/>
  <c r="F575" i="14"/>
  <c r="E575" i="14"/>
  <c r="D575" i="14"/>
  <c r="C575" i="14"/>
  <c r="B575" i="14"/>
  <c r="A575" i="14"/>
  <c r="Z574" i="14"/>
  <c r="Y574" i="14"/>
  <c r="X574" i="14"/>
  <c r="W574" i="14"/>
  <c r="V574" i="14"/>
  <c r="U574" i="14"/>
  <c r="T574" i="14"/>
  <c r="S574" i="14"/>
  <c r="R574" i="14"/>
  <c r="Q574" i="14"/>
  <c r="P574" i="14"/>
  <c r="O574" i="14"/>
  <c r="N574" i="14"/>
  <c r="M574" i="14"/>
  <c r="L574" i="14"/>
  <c r="K574" i="14"/>
  <c r="J574" i="14"/>
  <c r="I574" i="14"/>
  <c r="H574" i="14"/>
  <c r="G574" i="14"/>
  <c r="F574" i="14"/>
  <c r="E574" i="14"/>
  <c r="D574" i="14"/>
  <c r="C574" i="14"/>
  <c r="B574" i="14"/>
  <c r="A574" i="14"/>
  <c r="Z573" i="14"/>
  <c r="Y573" i="14"/>
  <c r="X573" i="14"/>
  <c r="W573" i="14"/>
  <c r="V573" i="14"/>
  <c r="U573" i="14"/>
  <c r="T573" i="14"/>
  <c r="S573" i="14"/>
  <c r="R573" i="14"/>
  <c r="Q573" i="14"/>
  <c r="P573" i="14"/>
  <c r="O573" i="14"/>
  <c r="N573" i="14"/>
  <c r="M573" i="14"/>
  <c r="L573" i="14"/>
  <c r="K573" i="14"/>
  <c r="J573" i="14"/>
  <c r="I573" i="14"/>
  <c r="H573" i="14"/>
  <c r="G573" i="14"/>
  <c r="F573" i="14"/>
  <c r="E573" i="14"/>
  <c r="D573" i="14"/>
  <c r="C573" i="14"/>
  <c r="B573" i="14"/>
  <c r="A573" i="14"/>
  <c r="Z572" i="14"/>
  <c r="Y572" i="14"/>
  <c r="X572" i="14"/>
  <c r="W572" i="14"/>
  <c r="V572" i="14"/>
  <c r="U572" i="14"/>
  <c r="T572" i="14"/>
  <c r="S572" i="14"/>
  <c r="R572" i="14"/>
  <c r="Q572" i="14"/>
  <c r="P572" i="14"/>
  <c r="O572" i="14"/>
  <c r="N572" i="14"/>
  <c r="M572" i="14"/>
  <c r="L572" i="14"/>
  <c r="K572" i="14"/>
  <c r="J572" i="14"/>
  <c r="I572" i="14"/>
  <c r="H572" i="14"/>
  <c r="G572" i="14"/>
  <c r="F572" i="14"/>
  <c r="E572" i="14"/>
  <c r="D572" i="14"/>
  <c r="C572" i="14"/>
  <c r="B572" i="14"/>
  <c r="A572" i="14"/>
  <c r="Z571" i="14"/>
  <c r="Y571" i="14"/>
  <c r="X571" i="14"/>
  <c r="W571" i="14"/>
  <c r="V571" i="14"/>
  <c r="U571" i="14"/>
  <c r="T571" i="14"/>
  <c r="S571" i="14"/>
  <c r="R571" i="14"/>
  <c r="Q571" i="14"/>
  <c r="P571" i="14"/>
  <c r="O571" i="14"/>
  <c r="N571" i="14"/>
  <c r="M571" i="14"/>
  <c r="L571" i="14"/>
  <c r="K571" i="14"/>
  <c r="J571" i="14"/>
  <c r="I571" i="14"/>
  <c r="H571" i="14"/>
  <c r="G571" i="14"/>
  <c r="F571" i="14"/>
  <c r="E571" i="14"/>
  <c r="D571" i="14"/>
  <c r="C571" i="14"/>
  <c r="B571" i="14"/>
  <c r="A571" i="14"/>
  <c r="Z570" i="14"/>
  <c r="Y570" i="14"/>
  <c r="X570" i="14"/>
  <c r="W570" i="14"/>
  <c r="V570" i="14"/>
  <c r="U570" i="14"/>
  <c r="T570" i="14"/>
  <c r="S570" i="14"/>
  <c r="R570" i="14"/>
  <c r="Q570" i="14"/>
  <c r="P570" i="14"/>
  <c r="O570" i="14"/>
  <c r="N570" i="14"/>
  <c r="M570" i="14"/>
  <c r="L570" i="14"/>
  <c r="K570" i="14"/>
  <c r="J570" i="14"/>
  <c r="I570" i="14"/>
  <c r="H570" i="14"/>
  <c r="G570" i="14"/>
  <c r="F570" i="14"/>
  <c r="E570" i="14"/>
  <c r="D570" i="14"/>
  <c r="C570" i="14"/>
  <c r="B570" i="14"/>
  <c r="A570" i="14"/>
  <c r="Z569" i="14"/>
  <c r="Y569" i="14"/>
  <c r="X569" i="14"/>
  <c r="W569" i="14"/>
  <c r="V569" i="14"/>
  <c r="U569" i="14"/>
  <c r="T569" i="14"/>
  <c r="S569" i="14"/>
  <c r="R569" i="14"/>
  <c r="Q569" i="14"/>
  <c r="P569" i="14"/>
  <c r="O569" i="14"/>
  <c r="N569" i="14"/>
  <c r="M569" i="14"/>
  <c r="L569" i="14"/>
  <c r="K569" i="14"/>
  <c r="J569" i="14"/>
  <c r="I569" i="14"/>
  <c r="H569" i="14"/>
  <c r="G569" i="14"/>
  <c r="F569" i="14"/>
  <c r="E569" i="14"/>
  <c r="D569" i="14"/>
  <c r="C569" i="14"/>
  <c r="B569" i="14"/>
  <c r="A569" i="14"/>
  <c r="Z568" i="14"/>
  <c r="Y568" i="14"/>
  <c r="X568" i="14"/>
  <c r="W568" i="14"/>
  <c r="V568" i="14"/>
  <c r="U568" i="14"/>
  <c r="T568" i="14"/>
  <c r="S568" i="14"/>
  <c r="R568" i="14"/>
  <c r="Q568" i="14"/>
  <c r="P568" i="14"/>
  <c r="O568" i="14"/>
  <c r="N568" i="14"/>
  <c r="M568" i="14"/>
  <c r="L568" i="14"/>
  <c r="K568" i="14"/>
  <c r="J568" i="14"/>
  <c r="I568" i="14"/>
  <c r="H568" i="14"/>
  <c r="G568" i="14"/>
  <c r="F568" i="14"/>
  <c r="E568" i="14"/>
  <c r="D568" i="14"/>
  <c r="C568" i="14"/>
  <c r="B568" i="14"/>
  <c r="A568" i="14"/>
  <c r="Z567" i="14"/>
  <c r="Y567" i="14"/>
  <c r="X567" i="14"/>
  <c r="W567" i="14"/>
  <c r="V567" i="14"/>
  <c r="U567" i="14"/>
  <c r="T567" i="14"/>
  <c r="S567" i="14"/>
  <c r="R567" i="14"/>
  <c r="Q567" i="14"/>
  <c r="P567" i="14"/>
  <c r="O567" i="14"/>
  <c r="N567" i="14"/>
  <c r="M567" i="14"/>
  <c r="L567" i="14"/>
  <c r="K567" i="14"/>
  <c r="J567" i="14"/>
  <c r="I567" i="14"/>
  <c r="H567" i="14"/>
  <c r="G567" i="14"/>
  <c r="F567" i="14"/>
  <c r="E567" i="14"/>
  <c r="D567" i="14"/>
  <c r="C567" i="14"/>
  <c r="B567" i="14"/>
  <c r="A567" i="14"/>
  <c r="Z566" i="14"/>
  <c r="Y566" i="14"/>
  <c r="X566" i="14"/>
  <c r="W566" i="14"/>
  <c r="V566" i="14"/>
  <c r="U566" i="14"/>
  <c r="T566" i="14"/>
  <c r="S566" i="14"/>
  <c r="R566" i="14"/>
  <c r="Q566" i="14"/>
  <c r="P566" i="14"/>
  <c r="O566" i="14"/>
  <c r="N566" i="14"/>
  <c r="M566" i="14"/>
  <c r="L566" i="14"/>
  <c r="K566" i="14"/>
  <c r="J566" i="14"/>
  <c r="I566" i="14"/>
  <c r="H566" i="14"/>
  <c r="G566" i="14"/>
  <c r="F566" i="14"/>
  <c r="E566" i="14"/>
  <c r="D566" i="14"/>
  <c r="C566" i="14"/>
  <c r="B566" i="14"/>
  <c r="A566" i="14"/>
  <c r="Z565" i="14"/>
  <c r="Y565" i="14"/>
  <c r="X565" i="14"/>
  <c r="W565" i="14"/>
  <c r="V565" i="14"/>
  <c r="U565" i="14"/>
  <c r="T565" i="14"/>
  <c r="S565" i="14"/>
  <c r="R565" i="14"/>
  <c r="Q565" i="14"/>
  <c r="P565" i="14"/>
  <c r="O565" i="14"/>
  <c r="N565" i="14"/>
  <c r="M565" i="14"/>
  <c r="L565" i="14"/>
  <c r="K565" i="14"/>
  <c r="J565" i="14"/>
  <c r="I565" i="14"/>
  <c r="H565" i="14"/>
  <c r="G565" i="14"/>
  <c r="F565" i="14"/>
  <c r="E565" i="14"/>
  <c r="D565" i="14"/>
  <c r="C565" i="14"/>
  <c r="B565" i="14"/>
  <c r="A565" i="14"/>
  <c r="Z564" i="14"/>
  <c r="Y564" i="14"/>
  <c r="X564" i="14"/>
  <c r="W564" i="14"/>
  <c r="V564" i="14"/>
  <c r="U564" i="14"/>
  <c r="T564" i="14"/>
  <c r="S564" i="14"/>
  <c r="R564" i="14"/>
  <c r="Q564" i="14"/>
  <c r="P564" i="14"/>
  <c r="O564" i="14"/>
  <c r="N564" i="14"/>
  <c r="M564" i="14"/>
  <c r="L564" i="14"/>
  <c r="K564" i="14"/>
  <c r="J564" i="14"/>
  <c r="I564" i="14"/>
  <c r="H564" i="14"/>
  <c r="G564" i="14"/>
  <c r="F564" i="14"/>
  <c r="E564" i="14"/>
  <c r="D564" i="14"/>
  <c r="C564" i="14"/>
  <c r="B564" i="14"/>
  <c r="A564" i="14"/>
  <c r="Z563" i="14"/>
  <c r="Y563" i="14"/>
  <c r="X563" i="14"/>
  <c r="W563" i="14"/>
  <c r="V563" i="14"/>
  <c r="U563" i="14"/>
  <c r="T563" i="14"/>
  <c r="S563" i="14"/>
  <c r="R563" i="14"/>
  <c r="Q563" i="14"/>
  <c r="P563" i="14"/>
  <c r="O563" i="14"/>
  <c r="N563" i="14"/>
  <c r="M563" i="14"/>
  <c r="L563" i="14"/>
  <c r="K563" i="14"/>
  <c r="J563" i="14"/>
  <c r="I563" i="14"/>
  <c r="H563" i="14"/>
  <c r="G563" i="14"/>
  <c r="F563" i="14"/>
  <c r="E563" i="14"/>
  <c r="D563" i="14"/>
  <c r="C563" i="14"/>
  <c r="B563" i="14"/>
  <c r="A563" i="14"/>
  <c r="Z562" i="14"/>
  <c r="Y562" i="14"/>
  <c r="X562" i="14"/>
  <c r="W562" i="14"/>
  <c r="V562" i="14"/>
  <c r="U562" i="14"/>
  <c r="T562" i="14"/>
  <c r="S562" i="14"/>
  <c r="R562" i="14"/>
  <c r="Q562" i="14"/>
  <c r="P562" i="14"/>
  <c r="O562" i="14"/>
  <c r="N562" i="14"/>
  <c r="M562" i="14"/>
  <c r="L562" i="14"/>
  <c r="K562" i="14"/>
  <c r="J562" i="14"/>
  <c r="I562" i="14"/>
  <c r="H562" i="14"/>
  <c r="G562" i="14"/>
  <c r="F562" i="14"/>
  <c r="E562" i="14"/>
  <c r="D562" i="14"/>
  <c r="C562" i="14"/>
  <c r="B562" i="14"/>
  <c r="A562" i="14"/>
  <c r="Z561" i="14"/>
  <c r="Y561" i="14"/>
  <c r="X561" i="14"/>
  <c r="W561" i="14"/>
  <c r="V561" i="14"/>
  <c r="U561" i="14"/>
  <c r="T561" i="14"/>
  <c r="S561" i="14"/>
  <c r="R561" i="14"/>
  <c r="Q561" i="14"/>
  <c r="P561" i="14"/>
  <c r="O561" i="14"/>
  <c r="N561" i="14"/>
  <c r="M561" i="14"/>
  <c r="L561" i="14"/>
  <c r="K561" i="14"/>
  <c r="J561" i="14"/>
  <c r="I561" i="14"/>
  <c r="H561" i="14"/>
  <c r="G561" i="14"/>
  <c r="F561" i="14"/>
  <c r="E561" i="14"/>
  <c r="D561" i="14"/>
  <c r="C561" i="14"/>
  <c r="B561" i="14"/>
  <c r="A561" i="14"/>
  <c r="Z560" i="14"/>
  <c r="Y560" i="14"/>
  <c r="X560" i="14"/>
  <c r="W560" i="14"/>
  <c r="V560" i="14"/>
  <c r="U560" i="14"/>
  <c r="T560" i="14"/>
  <c r="S560" i="14"/>
  <c r="R560" i="14"/>
  <c r="Q560" i="14"/>
  <c r="P560" i="14"/>
  <c r="O560" i="14"/>
  <c r="N560" i="14"/>
  <c r="M560" i="14"/>
  <c r="L560" i="14"/>
  <c r="K560" i="14"/>
  <c r="J560" i="14"/>
  <c r="I560" i="14"/>
  <c r="H560" i="14"/>
  <c r="G560" i="14"/>
  <c r="F560" i="14"/>
  <c r="E560" i="14"/>
  <c r="D560" i="14"/>
  <c r="C560" i="14"/>
  <c r="B560" i="14"/>
  <c r="A560" i="14"/>
  <c r="Z559" i="14"/>
  <c r="Y559" i="14"/>
  <c r="X559" i="14"/>
  <c r="W559" i="14"/>
  <c r="V559" i="14"/>
  <c r="U559" i="14"/>
  <c r="T559" i="14"/>
  <c r="S559" i="14"/>
  <c r="R559" i="14"/>
  <c r="Q559" i="14"/>
  <c r="P559" i="14"/>
  <c r="O559" i="14"/>
  <c r="N559" i="14"/>
  <c r="M559" i="14"/>
  <c r="L559" i="14"/>
  <c r="K559" i="14"/>
  <c r="J559" i="14"/>
  <c r="I559" i="14"/>
  <c r="H559" i="14"/>
  <c r="G559" i="14"/>
  <c r="F559" i="14"/>
  <c r="E559" i="14"/>
  <c r="D559" i="14"/>
  <c r="C559" i="14"/>
  <c r="B559" i="14"/>
  <c r="A559" i="14"/>
  <c r="Z558" i="14"/>
  <c r="Y558" i="14"/>
  <c r="X558" i="14"/>
  <c r="W558" i="14"/>
  <c r="V558" i="14"/>
  <c r="U558" i="14"/>
  <c r="T558" i="14"/>
  <c r="S558" i="14"/>
  <c r="R558" i="14"/>
  <c r="Q558" i="14"/>
  <c r="P558" i="14"/>
  <c r="O558" i="14"/>
  <c r="N558" i="14"/>
  <c r="M558" i="14"/>
  <c r="L558" i="14"/>
  <c r="K558" i="14"/>
  <c r="J558" i="14"/>
  <c r="I558" i="14"/>
  <c r="H558" i="14"/>
  <c r="G558" i="14"/>
  <c r="F558" i="14"/>
  <c r="E558" i="14"/>
  <c r="D558" i="14"/>
  <c r="C558" i="14"/>
  <c r="B558" i="14"/>
  <c r="A558" i="14"/>
  <c r="Z557" i="14"/>
  <c r="Y557" i="14"/>
  <c r="X557" i="14"/>
  <c r="W557" i="14"/>
  <c r="V557" i="14"/>
  <c r="U557" i="14"/>
  <c r="T557" i="14"/>
  <c r="S557" i="14"/>
  <c r="R557" i="14"/>
  <c r="Q557" i="14"/>
  <c r="P557" i="14"/>
  <c r="O557" i="14"/>
  <c r="N557" i="14"/>
  <c r="M557" i="14"/>
  <c r="L557" i="14"/>
  <c r="K557" i="14"/>
  <c r="J557" i="14"/>
  <c r="I557" i="14"/>
  <c r="H557" i="14"/>
  <c r="G557" i="14"/>
  <c r="F557" i="14"/>
  <c r="E557" i="14"/>
  <c r="D557" i="14"/>
  <c r="C557" i="14"/>
  <c r="B557" i="14"/>
  <c r="A557" i="14"/>
  <c r="Z556" i="14"/>
  <c r="Y556" i="14"/>
  <c r="X556" i="14"/>
  <c r="W556" i="14"/>
  <c r="V556" i="14"/>
  <c r="U556" i="14"/>
  <c r="T556" i="14"/>
  <c r="S556" i="14"/>
  <c r="R556" i="14"/>
  <c r="Q556" i="14"/>
  <c r="P556" i="14"/>
  <c r="O556" i="14"/>
  <c r="N556" i="14"/>
  <c r="M556" i="14"/>
  <c r="L556" i="14"/>
  <c r="K556" i="14"/>
  <c r="J556" i="14"/>
  <c r="I556" i="14"/>
  <c r="H556" i="14"/>
  <c r="G556" i="14"/>
  <c r="F556" i="14"/>
  <c r="E556" i="14"/>
  <c r="D556" i="14"/>
  <c r="C556" i="14"/>
  <c r="B556" i="14"/>
  <c r="A556" i="14"/>
  <c r="Z555" i="14"/>
  <c r="Y555" i="14"/>
  <c r="X555" i="14"/>
  <c r="W555" i="14"/>
  <c r="V555" i="14"/>
  <c r="U555" i="14"/>
  <c r="T555" i="14"/>
  <c r="S555" i="14"/>
  <c r="R555" i="14"/>
  <c r="Q555" i="14"/>
  <c r="P555" i="14"/>
  <c r="O555" i="14"/>
  <c r="N555" i="14"/>
  <c r="M555" i="14"/>
  <c r="L555" i="14"/>
  <c r="K555" i="14"/>
  <c r="J555" i="14"/>
  <c r="I555" i="14"/>
  <c r="H555" i="14"/>
  <c r="G555" i="14"/>
  <c r="F555" i="14"/>
  <c r="E555" i="14"/>
  <c r="D555" i="14"/>
  <c r="C555" i="14"/>
  <c r="B555" i="14"/>
  <c r="A555" i="14"/>
  <c r="Z554" i="14"/>
  <c r="Y554" i="14"/>
  <c r="X554" i="14"/>
  <c r="W554" i="14"/>
  <c r="V554" i="14"/>
  <c r="U554" i="14"/>
  <c r="T554" i="14"/>
  <c r="S554" i="14"/>
  <c r="R554" i="14"/>
  <c r="Q554" i="14"/>
  <c r="P554" i="14"/>
  <c r="O554" i="14"/>
  <c r="N554" i="14"/>
  <c r="M554" i="14"/>
  <c r="L554" i="14"/>
  <c r="K554" i="14"/>
  <c r="J554" i="14"/>
  <c r="I554" i="14"/>
  <c r="H554" i="14"/>
  <c r="G554" i="14"/>
  <c r="F554" i="14"/>
  <c r="E554" i="14"/>
  <c r="D554" i="14"/>
  <c r="C554" i="14"/>
  <c r="B554" i="14"/>
  <c r="A554" i="14"/>
  <c r="Z553" i="14"/>
  <c r="Y553" i="14"/>
  <c r="X553" i="14"/>
  <c r="W553" i="14"/>
  <c r="V553" i="14"/>
  <c r="U553" i="14"/>
  <c r="T553" i="14"/>
  <c r="S553" i="14"/>
  <c r="R553" i="14"/>
  <c r="Q553" i="14"/>
  <c r="P553" i="14"/>
  <c r="O553" i="14"/>
  <c r="N553" i="14"/>
  <c r="M553" i="14"/>
  <c r="L553" i="14"/>
  <c r="K553" i="14"/>
  <c r="J553" i="14"/>
  <c r="I553" i="14"/>
  <c r="H553" i="14"/>
  <c r="G553" i="14"/>
  <c r="F553" i="14"/>
  <c r="E553" i="14"/>
  <c r="D553" i="14"/>
  <c r="C553" i="14"/>
  <c r="B553" i="14"/>
  <c r="A553" i="14"/>
  <c r="Z552" i="14"/>
  <c r="Y552" i="14"/>
  <c r="X552" i="14"/>
  <c r="W552" i="14"/>
  <c r="V552" i="14"/>
  <c r="U552" i="14"/>
  <c r="T552" i="14"/>
  <c r="S552" i="14"/>
  <c r="R552" i="14"/>
  <c r="Q552" i="14"/>
  <c r="P552" i="14"/>
  <c r="O552" i="14"/>
  <c r="N552" i="14"/>
  <c r="M552" i="14"/>
  <c r="L552" i="14"/>
  <c r="K552" i="14"/>
  <c r="J552" i="14"/>
  <c r="I552" i="14"/>
  <c r="H552" i="14"/>
  <c r="G552" i="14"/>
  <c r="F552" i="14"/>
  <c r="E552" i="14"/>
  <c r="D552" i="14"/>
  <c r="C552" i="14"/>
  <c r="B552" i="14"/>
  <c r="A552" i="14"/>
  <c r="Z551" i="14"/>
  <c r="Y551" i="14"/>
  <c r="X551" i="14"/>
  <c r="W551" i="14"/>
  <c r="V551" i="14"/>
  <c r="U551" i="14"/>
  <c r="T551" i="14"/>
  <c r="S551" i="14"/>
  <c r="R551" i="14"/>
  <c r="Q551" i="14"/>
  <c r="P551" i="14"/>
  <c r="O551" i="14"/>
  <c r="N551" i="14"/>
  <c r="M551" i="14"/>
  <c r="L551" i="14"/>
  <c r="K551" i="14"/>
  <c r="J551" i="14"/>
  <c r="I551" i="14"/>
  <c r="H551" i="14"/>
  <c r="G551" i="14"/>
  <c r="F551" i="14"/>
  <c r="E551" i="14"/>
  <c r="D551" i="14"/>
  <c r="C551" i="14"/>
  <c r="B551" i="14"/>
  <c r="A551" i="14"/>
  <c r="Z550" i="14"/>
  <c r="Y550" i="14"/>
  <c r="X550" i="14"/>
  <c r="W550" i="14"/>
  <c r="V550" i="14"/>
  <c r="U550" i="14"/>
  <c r="T550" i="14"/>
  <c r="S550" i="14"/>
  <c r="R550" i="14"/>
  <c r="Q550" i="14"/>
  <c r="P550" i="14"/>
  <c r="O550" i="14"/>
  <c r="N550" i="14"/>
  <c r="M550" i="14"/>
  <c r="L550" i="14"/>
  <c r="K550" i="14"/>
  <c r="J550" i="14"/>
  <c r="I550" i="14"/>
  <c r="H550" i="14"/>
  <c r="G550" i="14"/>
  <c r="F550" i="14"/>
  <c r="E550" i="14"/>
  <c r="D550" i="14"/>
  <c r="C550" i="14"/>
  <c r="B550" i="14"/>
  <c r="A550" i="14"/>
  <c r="Z549" i="14"/>
  <c r="Y549" i="14"/>
  <c r="X549" i="14"/>
  <c r="W549" i="14"/>
  <c r="V549" i="14"/>
  <c r="U549" i="14"/>
  <c r="T549" i="14"/>
  <c r="S549" i="14"/>
  <c r="R549" i="14"/>
  <c r="Q549" i="14"/>
  <c r="P549" i="14"/>
  <c r="O549" i="14"/>
  <c r="N549" i="14"/>
  <c r="M549" i="14"/>
  <c r="L549" i="14"/>
  <c r="K549" i="14"/>
  <c r="J549" i="14"/>
  <c r="I549" i="14"/>
  <c r="H549" i="14"/>
  <c r="G549" i="14"/>
  <c r="F549" i="14"/>
  <c r="E549" i="14"/>
  <c r="D549" i="14"/>
  <c r="C549" i="14"/>
  <c r="B549" i="14"/>
  <c r="A549" i="14"/>
  <c r="Z548" i="14"/>
  <c r="Y548" i="14"/>
  <c r="X548" i="14"/>
  <c r="W548" i="14"/>
  <c r="V548" i="14"/>
  <c r="U548" i="14"/>
  <c r="T548" i="14"/>
  <c r="S548" i="14"/>
  <c r="R548" i="14"/>
  <c r="Q548" i="14"/>
  <c r="P548" i="14"/>
  <c r="O548" i="14"/>
  <c r="N548" i="14"/>
  <c r="M548" i="14"/>
  <c r="L548" i="14"/>
  <c r="K548" i="14"/>
  <c r="J548" i="14"/>
  <c r="I548" i="14"/>
  <c r="H548" i="14"/>
  <c r="G548" i="14"/>
  <c r="F548" i="14"/>
  <c r="E548" i="14"/>
  <c r="D548" i="14"/>
  <c r="C548" i="14"/>
  <c r="B548" i="14"/>
  <c r="A548" i="14"/>
  <c r="Z547" i="14"/>
  <c r="Y547" i="14"/>
  <c r="X547" i="14"/>
  <c r="W547" i="14"/>
  <c r="V547" i="14"/>
  <c r="U547" i="14"/>
  <c r="T547" i="14"/>
  <c r="S547" i="14"/>
  <c r="R547" i="14"/>
  <c r="Q547" i="14"/>
  <c r="P547" i="14"/>
  <c r="O547" i="14"/>
  <c r="N547" i="14"/>
  <c r="M547" i="14"/>
  <c r="L547" i="14"/>
  <c r="K547" i="14"/>
  <c r="J547" i="14"/>
  <c r="I547" i="14"/>
  <c r="H547" i="14"/>
  <c r="G547" i="14"/>
  <c r="F547" i="14"/>
  <c r="E547" i="14"/>
  <c r="D547" i="14"/>
  <c r="C547" i="14"/>
  <c r="B547" i="14"/>
  <c r="A547" i="14"/>
  <c r="Z546" i="14"/>
  <c r="Y546" i="14"/>
  <c r="X546" i="14"/>
  <c r="W546" i="14"/>
  <c r="V546" i="14"/>
  <c r="U546" i="14"/>
  <c r="T546" i="14"/>
  <c r="S546" i="14"/>
  <c r="R546" i="14"/>
  <c r="Q546" i="14"/>
  <c r="P546" i="14"/>
  <c r="O546" i="14"/>
  <c r="N546" i="14"/>
  <c r="M546" i="14"/>
  <c r="L546" i="14"/>
  <c r="K546" i="14"/>
  <c r="J546" i="14"/>
  <c r="I546" i="14"/>
  <c r="H546" i="14"/>
  <c r="G546" i="14"/>
  <c r="F546" i="14"/>
  <c r="E546" i="14"/>
  <c r="D546" i="14"/>
  <c r="C546" i="14"/>
  <c r="B546" i="14"/>
  <c r="A546" i="14"/>
  <c r="Z545" i="14"/>
  <c r="Y545" i="14"/>
  <c r="X545" i="14"/>
  <c r="W545" i="14"/>
  <c r="V545" i="14"/>
  <c r="U545" i="14"/>
  <c r="T545" i="14"/>
  <c r="S545" i="14"/>
  <c r="R545" i="14"/>
  <c r="Q545" i="14"/>
  <c r="P545" i="14"/>
  <c r="O545" i="14"/>
  <c r="N545" i="14"/>
  <c r="M545" i="14"/>
  <c r="L545" i="14"/>
  <c r="K545" i="14"/>
  <c r="J545" i="14"/>
  <c r="I545" i="14"/>
  <c r="H545" i="14"/>
  <c r="G545" i="14"/>
  <c r="F545" i="14"/>
  <c r="E545" i="14"/>
  <c r="D545" i="14"/>
  <c r="C545" i="14"/>
  <c r="B545" i="14"/>
  <c r="A545" i="14"/>
  <c r="Z544" i="14"/>
  <c r="Y544" i="14"/>
  <c r="X544" i="14"/>
  <c r="W544" i="14"/>
  <c r="V544" i="14"/>
  <c r="U544" i="14"/>
  <c r="T544" i="14"/>
  <c r="S544" i="14"/>
  <c r="R544" i="14"/>
  <c r="Q544" i="14"/>
  <c r="P544" i="14"/>
  <c r="O544" i="14"/>
  <c r="N544" i="14"/>
  <c r="M544" i="14"/>
  <c r="L544" i="14"/>
  <c r="K544" i="14"/>
  <c r="J544" i="14"/>
  <c r="I544" i="14"/>
  <c r="H544" i="14"/>
  <c r="G544" i="14"/>
  <c r="F544" i="14"/>
  <c r="E544" i="14"/>
  <c r="D544" i="14"/>
  <c r="C544" i="14"/>
  <c r="B544" i="14"/>
  <c r="A544" i="14"/>
  <c r="Z543" i="14"/>
  <c r="Y543" i="14"/>
  <c r="X543" i="14"/>
  <c r="W543" i="14"/>
  <c r="V543" i="14"/>
  <c r="U543" i="14"/>
  <c r="T543" i="14"/>
  <c r="S543" i="14"/>
  <c r="R543" i="14"/>
  <c r="Q543" i="14"/>
  <c r="P543" i="14"/>
  <c r="O543" i="14"/>
  <c r="N543" i="14"/>
  <c r="M543" i="14"/>
  <c r="L543" i="14"/>
  <c r="K543" i="14"/>
  <c r="J543" i="14"/>
  <c r="I543" i="14"/>
  <c r="H543" i="14"/>
  <c r="G543" i="14"/>
  <c r="F543" i="14"/>
  <c r="E543" i="14"/>
  <c r="D543" i="14"/>
  <c r="C543" i="14"/>
  <c r="B543" i="14"/>
  <c r="A543" i="14"/>
  <c r="Z542" i="14"/>
  <c r="Y542" i="14"/>
  <c r="X542" i="14"/>
  <c r="W542" i="14"/>
  <c r="V542" i="14"/>
  <c r="U542" i="14"/>
  <c r="T542" i="14"/>
  <c r="S542" i="14"/>
  <c r="R542" i="14"/>
  <c r="Q542" i="14"/>
  <c r="P542" i="14"/>
  <c r="O542" i="14"/>
  <c r="N542" i="14"/>
  <c r="M542" i="14"/>
  <c r="L542" i="14"/>
  <c r="K542" i="14"/>
  <c r="J542" i="14"/>
  <c r="I542" i="14"/>
  <c r="H542" i="14"/>
  <c r="G542" i="14"/>
  <c r="F542" i="14"/>
  <c r="E542" i="14"/>
  <c r="D542" i="14"/>
  <c r="C542" i="14"/>
  <c r="B542" i="14"/>
  <c r="A542" i="14"/>
  <c r="Z541" i="14"/>
  <c r="Y541" i="14"/>
  <c r="X541" i="14"/>
  <c r="W541" i="14"/>
  <c r="V541" i="14"/>
  <c r="U541" i="14"/>
  <c r="T541" i="14"/>
  <c r="S541" i="14"/>
  <c r="R541" i="14"/>
  <c r="Q541" i="14"/>
  <c r="P541" i="14"/>
  <c r="O541" i="14"/>
  <c r="N541" i="14"/>
  <c r="M541" i="14"/>
  <c r="L541" i="14"/>
  <c r="K541" i="14"/>
  <c r="J541" i="14"/>
  <c r="I541" i="14"/>
  <c r="H541" i="14"/>
  <c r="G541" i="14"/>
  <c r="F541" i="14"/>
  <c r="E541" i="14"/>
  <c r="D541" i="14"/>
  <c r="C541" i="14"/>
  <c r="B541" i="14"/>
  <c r="A541" i="14"/>
  <c r="Z540" i="14"/>
  <c r="Y540" i="14"/>
  <c r="X540" i="14"/>
  <c r="W540" i="14"/>
  <c r="V540" i="14"/>
  <c r="U540" i="14"/>
  <c r="T540" i="14"/>
  <c r="S540" i="14"/>
  <c r="R540" i="14"/>
  <c r="Q540" i="14"/>
  <c r="P540" i="14"/>
  <c r="O540" i="14"/>
  <c r="N540" i="14"/>
  <c r="M540" i="14"/>
  <c r="L540" i="14"/>
  <c r="K540" i="14"/>
  <c r="J540" i="14"/>
  <c r="I540" i="14"/>
  <c r="H540" i="14"/>
  <c r="G540" i="14"/>
  <c r="F540" i="14"/>
  <c r="E540" i="14"/>
  <c r="D540" i="14"/>
  <c r="C540" i="14"/>
  <c r="B540" i="14"/>
  <c r="A540" i="14"/>
  <c r="Z539" i="14"/>
  <c r="Y539" i="14"/>
  <c r="X539" i="14"/>
  <c r="W539" i="14"/>
  <c r="V539" i="14"/>
  <c r="U539" i="14"/>
  <c r="T539" i="14"/>
  <c r="S539" i="14"/>
  <c r="R539" i="14"/>
  <c r="Q539" i="14"/>
  <c r="P539" i="14"/>
  <c r="O539" i="14"/>
  <c r="N539" i="14"/>
  <c r="M539" i="14"/>
  <c r="L539" i="14"/>
  <c r="K539" i="14"/>
  <c r="J539" i="14"/>
  <c r="I539" i="14"/>
  <c r="H539" i="14"/>
  <c r="G539" i="14"/>
  <c r="F539" i="14"/>
  <c r="E539" i="14"/>
  <c r="D539" i="14"/>
  <c r="C539" i="14"/>
  <c r="B539" i="14"/>
  <c r="A539" i="14"/>
  <c r="Z538" i="14"/>
  <c r="Y538" i="14"/>
  <c r="X538" i="14"/>
  <c r="W538" i="14"/>
  <c r="V538" i="14"/>
  <c r="U538" i="14"/>
  <c r="T538" i="14"/>
  <c r="S538" i="14"/>
  <c r="R538" i="14"/>
  <c r="Q538" i="14"/>
  <c r="P538" i="14"/>
  <c r="O538" i="14"/>
  <c r="N538" i="14"/>
  <c r="M538" i="14"/>
  <c r="L538" i="14"/>
  <c r="K538" i="14"/>
  <c r="J538" i="14"/>
  <c r="I538" i="14"/>
  <c r="H538" i="14"/>
  <c r="G538" i="14"/>
  <c r="F538" i="14"/>
  <c r="E538" i="14"/>
  <c r="D538" i="14"/>
  <c r="C538" i="14"/>
  <c r="B538" i="14"/>
  <c r="A538" i="14"/>
  <c r="Z537" i="14"/>
  <c r="Y537" i="14"/>
  <c r="X537" i="14"/>
  <c r="W537" i="14"/>
  <c r="V537" i="14"/>
  <c r="U537" i="14"/>
  <c r="T537" i="14"/>
  <c r="S537" i="14"/>
  <c r="R537" i="14"/>
  <c r="Q537" i="14"/>
  <c r="P537" i="14"/>
  <c r="O537" i="14"/>
  <c r="N537" i="14"/>
  <c r="M537" i="14"/>
  <c r="L537" i="14"/>
  <c r="K537" i="14"/>
  <c r="J537" i="14"/>
  <c r="I537" i="14"/>
  <c r="H537" i="14"/>
  <c r="G537" i="14"/>
  <c r="F537" i="14"/>
  <c r="E537" i="14"/>
  <c r="D537" i="14"/>
  <c r="C537" i="14"/>
  <c r="B537" i="14"/>
  <c r="A537" i="14"/>
  <c r="Z536" i="14"/>
  <c r="Y536" i="14"/>
  <c r="X536" i="14"/>
  <c r="W536" i="14"/>
  <c r="V536" i="14"/>
  <c r="U536" i="14"/>
  <c r="T536" i="14"/>
  <c r="S536" i="14"/>
  <c r="R536" i="14"/>
  <c r="Q536" i="14"/>
  <c r="P536" i="14"/>
  <c r="O536" i="14"/>
  <c r="N536" i="14"/>
  <c r="M536" i="14"/>
  <c r="L536" i="14"/>
  <c r="K536" i="14"/>
  <c r="J536" i="14"/>
  <c r="I536" i="14"/>
  <c r="H536" i="14"/>
  <c r="G536" i="14"/>
  <c r="F536" i="14"/>
  <c r="E536" i="14"/>
  <c r="D536" i="14"/>
  <c r="C536" i="14"/>
  <c r="B536" i="14"/>
  <c r="A536" i="14"/>
  <c r="Z535" i="14"/>
  <c r="Y535" i="14"/>
  <c r="X535" i="14"/>
  <c r="W535" i="14"/>
  <c r="V535" i="14"/>
  <c r="U535" i="14"/>
  <c r="T535" i="14"/>
  <c r="S535" i="14"/>
  <c r="R535" i="14"/>
  <c r="Q535" i="14"/>
  <c r="P535" i="14"/>
  <c r="O535" i="14"/>
  <c r="N535" i="14"/>
  <c r="M535" i="14"/>
  <c r="L535" i="14"/>
  <c r="K535" i="14"/>
  <c r="J535" i="14"/>
  <c r="I535" i="14"/>
  <c r="H535" i="14"/>
  <c r="G535" i="14"/>
  <c r="F535" i="14"/>
  <c r="E535" i="14"/>
  <c r="D535" i="14"/>
  <c r="C535" i="14"/>
  <c r="B535" i="14"/>
  <c r="A535" i="14"/>
  <c r="Z534" i="14"/>
  <c r="Y534" i="14"/>
  <c r="X534" i="14"/>
  <c r="W534" i="14"/>
  <c r="V534" i="14"/>
  <c r="U534" i="14"/>
  <c r="T534" i="14"/>
  <c r="S534" i="14"/>
  <c r="R534" i="14"/>
  <c r="Q534" i="14"/>
  <c r="P534" i="14"/>
  <c r="O534" i="14"/>
  <c r="N534" i="14"/>
  <c r="M534" i="14"/>
  <c r="L534" i="14"/>
  <c r="K534" i="14"/>
  <c r="J534" i="14"/>
  <c r="I534" i="14"/>
  <c r="H534" i="14"/>
  <c r="G534" i="14"/>
  <c r="F534" i="14"/>
  <c r="E534" i="14"/>
  <c r="D534" i="14"/>
  <c r="C534" i="14"/>
  <c r="B534" i="14"/>
  <c r="A534" i="14"/>
  <c r="Z533" i="14"/>
  <c r="Y533" i="14"/>
  <c r="X533" i="14"/>
  <c r="W533" i="14"/>
  <c r="V533" i="14"/>
  <c r="U533" i="14"/>
  <c r="T533" i="14"/>
  <c r="S533" i="14"/>
  <c r="R533" i="14"/>
  <c r="Q533" i="14"/>
  <c r="P533" i="14"/>
  <c r="O533" i="14"/>
  <c r="N533" i="14"/>
  <c r="M533" i="14"/>
  <c r="L533" i="14"/>
  <c r="K533" i="14"/>
  <c r="J533" i="14"/>
  <c r="I533" i="14"/>
  <c r="H533" i="14"/>
  <c r="G533" i="14"/>
  <c r="F533" i="14"/>
  <c r="E533" i="14"/>
  <c r="D533" i="14"/>
  <c r="C533" i="14"/>
  <c r="B533" i="14"/>
  <c r="A533" i="14"/>
  <c r="Z532" i="14"/>
  <c r="Y532" i="14"/>
  <c r="X532" i="14"/>
  <c r="W532" i="14"/>
  <c r="V532" i="14"/>
  <c r="U532" i="14"/>
  <c r="T532" i="14"/>
  <c r="S532" i="14"/>
  <c r="R532" i="14"/>
  <c r="Q532" i="14"/>
  <c r="P532" i="14"/>
  <c r="O532" i="14"/>
  <c r="N532" i="14"/>
  <c r="M532" i="14"/>
  <c r="L532" i="14"/>
  <c r="K532" i="14"/>
  <c r="J532" i="14"/>
  <c r="I532" i="14"/>
  <c r="H532" i="14"/>
  <c r="G532" i="14"/>
  <c r="F532" i="14"/>
  <c r="E532" i="14"/>
  <c r="D532" i="14"/>
  <c r="C532" i="14"/>
  <c r="B532" i="14"/>
  <c r="A532" i="14"/>
  <c r="Z531" i="14"/>
  <c r="Y531" i="14"/>
  <c r="X531" i="14"/>
  <c r="W531" i="14"/>
  <c r="V531" i="14"/>
  <c r="U531" i="14"/>
  <c r="T531" i="14"/>
  <c r="S531" i="14"/>
  <c r="R531" i="14"/>
  <c r="Q531" i="14"/>
  <c r="P531" i="14"/>
  <c r="O531" i="14"/>
  <c r="N531" i="14"/>
  <c r="M531" i="14"/>
  <c r="L531" i="14"/>
  <c r="K531" i="14"/>
  <c r="J531" i="14"/>
  <c r="I531" i="14"/>
  <c r="H531" i="14"/>
  <c r="G531" i="14"/>
  <c r="F531" i="14"/>
  <c r="E531" i="14"/>
  <c r="D531" i="14"/>
  <c r="C531" i="14"/>
  <c r="B531" i="14"/>
  <c r="A531" i="14"/>
  <c r="Z530" i="14"/>
  <c r="Y530" i="14"/>
  <c r="X530" i="14"/>
  <c r="W530" i="14"/>
  <c r="V530" i="14"/>
  <c r="U530" i="14"/>
  <c r="T530" i="14"/>
  <c r="S530" i="14"/>
  <c r="R530" i="14"/>
  <c r="Q530" i="14"/>
  <c r="P530" i="14"/>
  <c r="O530" i="14"/>
  <c r="N530" i="14"/>
  <c r="M530" i="14"/>
  <c r="L530" i="14"/>
  <c r="K530" i="14"/>
  <c r="J530" i="14"/>
  <c r="I530" i="14"/>
  <c r="H530" i="14"/>
  <c r="G530" i="14"/>
  <c r="F530" i="14"/>
  <c r="E530" i="14"/>
  <c r="D530" i="14"/>
  <c r="C530" i="14"/>
  <c r="B530" i="14"/>
  <c r="A530" i="14"/>
  <c r="Z529" i="14"/>
  <c r="Y529" i="14"/>
  <c r="X529" i="14"/>
  <c r="W529" i="14"/>
  <c r="V529" i="14"/>
  <c r="U529" i="14"/>
  <c r="T529" i="14"/>
  <c r="S529" i="14"/>
  <c r="R529" i="14"/>
  <c r="Q529" i="14"/>
  <c r="P529" i="14"/>
  <c r="O529" i="14"/>
  <c r="N529" i="14"/>
  <c r="M529" i="14"/>
  <c r="L529" i="14"/>
  <c r="K529" i="14"/>
  <c r="J529" i="14"/>
  <c r="I529" i="14"/>
  <c r="H529" i="14"/>
  <c r="G529" i="14"/>
  <c r="F529" i="14"/>
  <c r="E529" i="14"/>
  <c r="D529" i="14"/>
  <c r="C529" i="14"/>
  <c r="B529" i="14"/>
  <c r="A529" i="14"/>
  <c r="Z528" i="14"/>
  <c r="Y528" i="14"/>
  <c r="X528" i="14"/>
  <c r="W528" i="14"/>
  <c r="V528" i="14"/>
  <c r="U528" i="14"/>
  <c r="T528" i="14"/>
  <c r="S528" i="14"/>
  <c r="R528" i="14"/>
  <c r="Q528" i="14"/>
  <c r="P528" i="14"/>
  <c r="O528" i="14"/>
  <c r="N528" i="14"/>
  <c r="M528" i="14"/>
  <c r="L528" i="14"/>
  <c r="K528" i="14"/>
  <c r="J528" i="14"/>
  <c r="I528" i="14"/>
  <c r="H528" i="14"/>
  <c r="G528" i="14"/>
  <c r="F528" i="14"/>
  <c r="E528" i="14"/>
  <c r="D528" i="14"/>
  <c r="C528" i="14"/>
  <c r="B528" i="14"/>
  <c r="A528" i="14"/>
  <c r="Z527" i="14"/>
  <c r="Y527" i="14"/>
  <c r="X527" i="14"/>
  <c r="W527" i="14"/>
  <c r="V527" i="14"/>
  <c r="U527" i="14"/>
  <c r="T527" i="14"/>
  <c r="S527" i="14"/>
  <c r="R527" i="14"/>
  <c r="Q527" i="14"/>
  <c r="P527" i="14"/>
  <c r="O527" i="14"/>
  <c r="N527" i="14"/>
  <c r="M527" i="14"/>
  <c r="L527" i="14"/>
  <c r="K527" i="14"/>
  <c r="J527" i="14"/>
  <c r="I527" i="14"/>
  <c r="H527" i="14"/>
  <c r="G527" i="14"/>
  <c r="F527" i="14"/>
  <c r="E527" i="14"/>
  <c r="D527" i="14"/>
  <c r="C527" i="14"/>
  <c r="B527" i="14"/>
  <c r="A527" i="14"/>
  <c r="Z526" i="14"/>
  <c r="Y526" i="14"/>
  <c r="X526" i="14"/>
  <c r="W526" i="14"/>
  <c r="V526" i="14"/>
  <c r="U526" i="14"/>
  <c r="T526" i="14"/>
  <c r="S526" i="14"/>
  <c r="R526" i="14"/>
  <c r="Q526" i="14"/>
  <c r="P526" i="14"/>
  <c r="O526" i="14"/>
  <c r="N526" i="14"/>
  <c r="M526" i="14"/>
  <c r="L526" i="14"/>
  <c r="K526" i="14"/>
  <c r="J526" i="14"/>
  <c r="I526" i="14"/>
  <c r="H526" i="14"/>
  <c r="G526" i="14"/>
  <c r="F526" i="14"/>
  <c r="E526" i="14"/>
  <c r="D526" i="14"/>
  <c r="C526" i="14"/>
  <c r="B526" i="14"/>
  <c r="A526" i="14"/>
  <c r="Z525" i="14"/>
  <c r="Y525" i="14"/>
  <c r="X525" i="14"/>
  <c r="W525" i="14"/>
  <c r="V525" i="14"/>
  <c r="U525" i="14"/>
  <c r="T525" i="14"/>
  <c r="S525" i="14"/>
  <c r="R525" i="14"/>
  <c r="Q525" i="14"/>
  <c r="P525" i="14"/>
  <c r="O525" i="14"/>
  <c r="N525" i="14"/>
  <c r="M525" i="14"/>
  <c r="L525" i="14"/>
  <c r="K525" i="14"/>
  <c r="J525" i="14"/>
  <c r="I525" i="14"/>
  <c r="H525" i="14"/>
  <c r="G525" i="14"/>
  <c r="F525" i="14"/>
  <c r="E525" i="14"/>
  <c r="D525" i="14"/>
  <c r="C525" i="14"/>
  <c r="B525" i="14"/>
  <c r="A525" i="14"/>
  <c r="Z524" i="14"/>
  <c r="Y524" i="14"/>
  <c r="X524" i="14"/>
  <c r="W524" i="14"/>
  <c r="V524" i="14"/>
  <c r="U524" i="14"/>
  <c r="T524" i="14"/>
  <c r="S524" i="14"/>
  <c r="R524" i="14"/>
  <c r="Q524" i="14"/>
  <c r="P524" i="14"/>
  <c r="O524" i="14"/>
  <c r="N524" i="14"/>
  <c r="M524" i="14"/>
  <c r="L524" i="14"/>
  <c r="K524" i="14"/>
  <c r="J524" i="14"/>
  <c r="I524" i="14"/>
  <c r="H524" i="14"/>
  <c r="G524" i="14"/>
  <c r="F524" i="14"/>
  <c r="E524" i="14"/>
  <c r="D524" i="14"/>
  <c r="C524" i="14"/>
  <c r="B524" i="14"/>
  <c r="A524" i="14"/>
  <c r="Z523" i="14"/>
  <c r="Y523" i="14"/>
  <c r="X523" i="14"/>
  <c r="W523" i="14"/>
  <c r="V523" i="14"/>
  <c r="U523" i="14"/>
  <c r="T523" i="14"/>
  <c r="S523" i="14"/>
  <c r="R523" i="14"/>
  <c r="Q523" i="14"/>
  <c r="P523" i="14"/>
  <c r="O523" i="14"/>
  <c r="N523" i="14"/>
  <c r="M523" i="14"/>
  <c r="L523" i="14"/>
  <c r="K523" i="14"/>
  <c r="J523" i="14"/>
  <c r="I523" i="14"/>
  <c r="H523" i="14"/>
  <c r="G523" i="14"/>
  <c r="F523" i="14"/>
  <c r="E523" i="14"/>
  <c r="D523" i="14"/>
  <c r="C523" i="14"/>
  <c r="B523" i="14"/>
  <c r="A523" i="14"/>
  <c r="Z522" i="14"/>
  <c r="Y522" i="14"/>
  <c r="X522" i="14"/>
  <c r="W522" i="14"/>
  <c r="V522" i="14"/>
  <c r="U522" i="14"/>
  <c r="T522" i="14"/>
  <c r="S522" i="14"/>
  <c r="R522" i="14"/>
  <c r="Q522" i="14"/>
  <c r="P522" i="14"/>
  <c r="O522" i="14"/>
  <c r="N522" i="14"/>
  <c r="M522" i="14"/>
  <c r="L522" i="14"/>
  <c r="K522" i="14"/>
  <c r="J522" i="14"/>
  <c r="I522" i="14"/>
  <c r="H522" i="14"/>
  <c r="G522" i="14"/>
  <c r="F522" i="14"/>
  <c r="E522" i="14"/>
  <c r="D522" i="14"/>
  <c r="C522" i="14"/>
  <c r="B522" i="14"/>
  <c r="A522" i="14"/>
  <c r="Z521" i="14"/>
  <c r="Y521" i="14"/>
  <c r="X521" i="14"/>
  <c r="W521" i="14"/>
  <c r="V521" i="14"/>
  <c r="U521" i="14"/>
  <c r="T521" i="14"/>
  <c r="S521" i="14"/>
  <c r="R521" i="14"/>
  <c r="Q521" i="14"/>
  <c r="P521" i="14"/>
  <c r="O521" i="14"/>
  <c r="N521" i="14"/>
  <c r="M521" i="14"/>
  <c r="L521" i="14"/>
  <c r="K521" i="14"/>
  <c r="J521" i="14"/>
  <c r="I521" i="14"/>
  <c r="H521" i="14"/>
  <c r="G521" i="14"/>
  <c r="F521" i="14"/>
  <c r="E521" i="14"/>
  <c r="D521" i="14"/>
  <c r="C521" i="14"/>
  <c r="B521" i="14"/>
  <c r="A521" i="14"/>
  <c r="Z520" i="14"/>
  <c r="Y520" i="14"/>
  <c r="X520" i="14"/>
  <c r="W520" i="14"/>
  <c r="V520" i="14"/>
  <c r="U520" i="14"/>
  <c r="T520" i="14"/>
  <c r="S520" i="14"/>
  <c r="R520" i="14"/>
  <c r="Q520" i="14"/>
  <c r="P520" i="14"/>
  <c r="O520" i="14"/>
  <c r="N520" i="14"/>
  <c r="M520" i="14"/>
  <c r="L520" i="14"/>
  <c r="K520" i="14"/>
  <c r="J520" i="14"/>
  <c r="I520" i="14"/>
  <c r="H520" i="14"/>
  <c r="G520" i="14"/>
  <c r="F520" i="14"/>
  <c r="E520" i="14"/>
  <c r="D520" i="14"/>
  <c r="C520" i="14"/>
  <c r="B520" i="14"/>
  <c r="A520" i="14"/>
  <c r="Z519" i="14"/>
  <c r="Y519" i="14"/>
  <c r="X519" i="14"/>
  <c r="W519" i="14"/>
  <c r="V519" i="14"/>
  <c r="U519" i="14"/>
  <c r="T519" i="14"/>
  <c r="S519" i="14"/>
  <c r="R519" i="14"/>
  <c r="Q519" i="14"/>
  <c r="P519" i="14"/>
  <c r="O519" i="14"/>
  <c r="N519" i="14"/>
  <c r="M519" i="14"/>
  <c r="L519" i="14"/>
  <c r="K519" i="14"/>
  <c r="J519" i="14"/>
  <c r="I519" i="14"/>
  <c r="H519" i="14"/>
  <c r="G519" i="14"/>
  <c r="F519" i="14"/>
  <c r="E519" i="14"/>
  <c r="D519" i="14"/>
  <c r="C519" i="14"/>
  <c r="B519" i="14"/>
  <c r="A519" i="14"/>
  <c r="Z518" i="14"/>
  <c r="Y518" i="14"/>
  <c r="X518" i="14"/>
  <c r="W518" i="14"/>
  <c r="V518" i="14"/>
  <c r="U518" i="14"/>
  <c r="T518" i="14"/>
  <c r="S518" i="14"/>
  <c r="R518" i="14"/>
  <c r="Q518" i="14"/>
  <c r="P518" i="14"/>
  <c r="O518" i="14"/>
  <c r="N518" i="14"/>
  <c r="M518" i="14"/>
  <c r="L518" i="14"/>
  <c r="K518" i="14"/>
  <c r="J518" i="14"/>
  <c r="I518" i="14"/>
  <c r="H518" i="14"/>
  <c r="G518" i="14"/>
  <c r="F518" i="14"/>
  <c r="E518" i="14"/>
  <c r="D518" i="14"/>
  <c r="C518" i="14"/>
  <c r="B518" i="14"/>
  <c r="A518" i="14"/>
  <c r="Z517" i="14"/>
  <c r="Y517" i="14"/>
  <c r="X517" i="14"/>
  <c r="W517" i="14"/>
  <c r="V517" i="14"/>
  <c r="U517" i="14"/>
  <c r="T517" i="14"/>
  <c r="S517" i="14"/>
  <c r="R517" i="14"/>
  <c r="Q517" i="14"/>
  <c r="P517" i="14"/>
  <c r="O517" i="14"/>
  <c r="N517" i="14"/>
  <c r="M517" i="14"/>
  <c r="L517" i="14"/>
  <c r="K517" i="14"/>
  <c r="J517" i="14"/>
  <c r="I517" i="14"/>
  <c r="H517" i="14"/>
  <c r="G517" i="14"/>
  <c r="F517" i="14"/>
  <c r="E517" i="14"/>
  <c r="D517" i="14"/>
  <c r="C517" i="14"/>
  <c r="B517" i="14"/>
  <c r="A517" i="14"/>
  <c r="Z516" i="14"/>
  <c r="Y516" i="14"/>
  <c r="X516" i="14"/>
  <c r="W516" i="14"/>
  <c r="V516" i="14"/>
  <c r="U516" i="14"/>
  <c r="T516" i="14"/>
  <c r="S516" i="14"/>
  <c r="R516" i="14"/>
  <c r="Q516" i="14"/>
  <c r="P516" i="14"/>
  <c r="O516" i="14"/>
  <c r="N516" i="14"/>
  <c r="M516" i="14"/>
  <c r="L516" i="14"/>
  <c r="K516" i="14"/>
  <c r="J516" i="14"/>
  <c r="I516" i="14"/>
  <c r="H516" i="14"/>
  <c r="G516" i="14"/>
  <c r="F516" i="14"/>
  <c r="E516" i="14"/>
  <c r="D516" i="14"/>
  <c r="C516" i="14"/>
  <c r="B516" i="14"/>
  <c r="A516" i="14"/>
  <c r="Z515" i="14"/>
  <c r="Y515" i="14"/>
  <c r="X515" i="14"/>
  <c r="W515" i="14"/>
  <c r="V515" i="14"/>
  <c r="U515" i="14"/>
  <c r="T515" i="14"/>
  <c r="S515" i="14"/>
  <c r="R515" i="14"/>
  <c r="Q515" i="14"/>
  <c r="P515" i="14"/>
  <c r="O515" i="14"/>
  <c r="N515" i="14"/>
  <c r="M515" i="14"/>
  <c r="L515" i="14"/>
  <c r="K515" i="14"/>
  <c r="J515" i="14"/>
  <c r="I515" i="14"/>
  <c r="H515" i="14"/>
  <c r="G515" i="14"/>
  <c r="F515" i="14"/>
  <c r="E515" i="14"/>
  <c r="D515" i="14"/>
  <c r="C515" i="14"/>
  <c r="B515" i="14"/>
  <c r="A515" i="14"/>
  <c r="Z514" i="14"/>
  <c r="Y514" i="14"/>
  <c r="X514" i="14"/>
  <c r="W514" i="14"/>
  <c r="V514" i="14"/>
  <c r="U514" i="14"/>
  <c r="T514" i="14"/>
  <c r="S514" i="14"/>
  <c r="R514" i="14"/>
  <c r="Q514" i="14"/>
  <c r="P514" i="14"/>
  <c r="O514" i="14"/>
  <c r="N514" i="14"/>
  <c r="M514" i="14"/>
  <c r="L514" i="14"/>
  <c r="K514" i="14"/>
  <c r="J514" i="14"/>
  <c r="I514" i="14"/>
  <c r="H514" i="14"/>
  <c r="G514" i="14"/>
  <c r="F514" i="14"/>
  <c r="E514" i="14"/>
  <c r="D514" i="14"/>
  <c r="C514" i="14"/>
  <c r="B514" i="14"/>
  <c r="A514" i="14"/>
  <c r="Z513" i="14"/>
  <c r="Y513" i="14"/>
  <c r="X513" i="14"/>
  <c r="W513" i="14"/>
  <c r="V513" i="14"/>
  <c r="U513" i="14"/>
  <c r="T513" i="14"/>
  <c r="S513" i="14"/>
  <c r="R513" i="14"/>
  <c r="Q513" i="14"/>
  <c r="P513" i="14"/>
  <c r="O513" i="14"/>
  <c r="N513" i="14"/>
  <c r="M513" i="14"/>
  <c r="L513" i="14"/>
  <c r="K513" i="14"/>
  <c r="J513" i="14"/>
  <c r="I513" i="14"/>
  <c r="H513" i="14"/>
  <c r="G513" i="14"/>
  <c r="F513" i="14"/>
  <c r="E513" i="14"/>
  <c r="D513" i="14"/>
  <c r="C513" i="14"/>
  <c r="B513" i="14"/>
  <c r="A513" i="14"/>
  <c r="Z512" i="14"/>
  <c r="Y512" i="14"/>
  <c r="X512" i="14"/>
  <c r="W512" i="14"/>
  <c r="V512" i="14"/>
  <c r="U512" i="14"/>
  <c r="T512" i="14"/>
  <c r="S512" i="14"/>
  <c r="R512" i="14"/>
  <c r="Q512" i="14"/>
  <c r="P512" i="14"/>
  <c r="O512" i="14"/>
  <c r="N512" i="14"/>
  <c r="M512" i="14"/>
  <c r="L512" i="14"/>
  <c r="K512" i="14"/>
  <c r="J512" i="14"/>
  <c r="I512" i="14"/>
  <c r="H512" i="14"/>
  <c r="G512" i="14"/>
  <c r="F512" i="14"/>
  <c r="E512" i="14"/>
  <c r="D512" i="14"/>
  <c r="C512" i="14"/>
  <c r="B512" i="14"/>
  <c r="A512" i="14"/>
  <c r="Z511" i="14"/>
  <c r="Y511" i="14"/>
  <c r="X511" i="14"/>
  <c r="W511" i="14"/>
  <c r="V511" i="14"/>
  <c r="U511" i="14"/>
  <c r="T511" i="14"/>
  <c r="S511" i="14"/>
  <c r="R511" i="14"/>
  <c r="Q511" i="14"/>
  <c r="P511" i="14"/>
  <c r="O511" i="14"/>
  <c r="N511" i="14"/>
  <c r="M511" i="14"/>
  <c r="L511" i="14"/>
  <c r="K511" i="14"/>
  <c r="J511" i="14"/>
  <c r="I511" i="14"/>
  <c r="H511" i="14"/>
  <c r="G511" i="14"/>
  <c r="F511" i="14"/>
  <c r="E511" i="14"/>
  <c r="D511" i="14"/>
  <c r="C511" i="14"/>
  <c r="B511" i="14"/>
  <c r="A511" i="14"/>
  <c r="Z510" i="14"/>
  <c r="Y510" i="14"/>
  <c r="X510" i="14"/>
  <c r="W510" i="14"/>
  <c r="V510" i="14"/>
  <c r="U510" i="14"/>
  <c r="T510" i="14"/>
  <c r="S510" i="14"/>
  <c r="R510" i="14"/>
  <c r="Q510" i="14"/>
  <c r="P510" i="14"/>
  <c r="O510" i="14"/>
  <c r="N510" i="14"/>
  <c r="M510" i="14"/>
  <c r="L510" i="14"/>
  <c r="K510" i="14"/>
  <c r="J510" i="14"/>
  <c r="I510" i="14"/>
  <c r="H510" i="14"/>
  <c r="G510" i="14"/>
  <c r="F510" i="14"/>
  <c r="E510" i="14"/>
  <c r="D510" i="14"/>
  <c r="C510" i="14"/>
  <c r="B510" i="14"/>
  <c r="A510" i="14"/>
  <c r="Z509" i="14"/>
  <c r="Y509" i="14"/>
  <c r="X509" i="14"/>
  <c r="W509" i="14"/>
  <c r="V509" i="14"/>
  <c r="U509" i="14"/>
  <c r="T509" i="14"/>
  <c r="S509" i="14"/>
  <c r="R509" i="14"/>
  <c r="Q509" i="14"/>
  <c r="P509" i="14"/>
  <c r="O509" i="14"/>
  <c r="N509" i="14"/>
  <c r="M509" i="14"/>
  <c r="L509" i="14"/>
  <c r="K509" i="14"/>
  <c r="J509" i="14"/>
  <c r="I509" i="14"/>
  <c r="H509" i="14"/>
  <c r="G509" i="14"/>
  <c r="F509" i="14"/>
  <c r="E509" i="14"/>
  <c r="D509" i="14"/>
  <c r="C509" i="14"/>
  <c r="B509" i="14"/>
  <c r="A509" i="14"/>
  <c r="Z508" i="14"/>
  <c r="Y508" i="14"/>
  <c r="X508" i="14"/>
  <c r="W508" i="14"/>
  <c r="V508" i="14"/>
  <c r="U508" i="14"/>
  <c r="T508" i="14"/>
  <c r="S508" i="14"/>
  <c r="R508" i="14"/>
  <c r="Q508" i="14"/>
  <c r="P508" i="14"/>
  <c r="O508" i="14"/>
  <c r="N508" i="14"/>
  <c r="M508" i="14"/>
  <c r="L508" i="14"/>
  <c r="K508" i="14"/>
  <c r="J508" i="14"/>
  <c r="I508" i="14"/>
  <c r="H508" i="14"/>
  <c r="G508" i="14"/>
  <c r="F508" i="14"/>
  <c r="E508" i="14"/>
  <c r="D508" i="14"/>
  <c r="C508" i="14"/>
  <c r="B508" i="14"/>
  <c r="A508" i="14"/>
  <c r="Z507" i="14"/>
  <c r="Y507" i="14"/>
  <c r="X507" i="14"/>
  <c r="W507" i="14"/>
  <c r="V507" i="14"/>
  <c r="U507" i="14"/>
  <c r="T507" i="14"/>
  <c r="S507" i="14"/>
  <c r="R507" i="14"/>
  <c r="Q507" i="14"/>
  <c r="P507" i="14"/>
  <c r="O507" i="14"/>
  <c r="N507" i="14"/>
  <c r="M507" i="14"/>
  <c r="L507" i="14"/>
  <c r="K507" i="14"/>
  <c r="J507" i="14"/>
  <c r="I507" i="14"/>
  <c r="H507" i="14"/>
  <c r="G507" i="14"/>
  <c r="F507" i="14"/>
  <c r="E507" i="14"/>
  <c r="D507" i="14"/>
  <c r="C507" i="14"/>
  <c r="B507" i="14"/>
  <c r="A507" i="14"/>
  <c r="Z506" i="14"/>
  <c r="Y506" i="14"/>
  <c r="X506" i="14"/>
  <c r="W506" i="14"/>
  <c r="V506" i="14"/>
  <c r="U506" i="14"/>
  <c r="T506" i="14"/>
  <c r="S506" i="14"/>
  <c r="R506" i="14"/>
  <c r="Q506" i="14"/>
  <c r="P506" i="14"/>
  <c r="O506" i="14"/>
  <c r="N506" i="14"/>
  <c r="M506" i="14"/>
  <c r="L506" i="14"/>
  <c r="K506" i="14"/>
  <c r="J506" i="14"/>
  <c r="I506" i="14"/>
  <c r="H506" i="14"/>
  <c r="G506" i="14"/>
  <c r="F506" i="14"/>
  <c r="E506" i="14"/>
  <c r="D506" i="14"/>
  <c r="C506" i="14"/>
  <c r="B506" i="14"/>
  <c r="A506" i="14"/>
  <c r="Z505" i="14"/>
  <c r="Y505" i="14"/>
  <c r="X505" i="14"/>
  <c r="W505" i="14"/>
  <c r="V505" i="14"/>
  <c r="U505" i="14"/>
  <c r="T505" i="14"/>
  <c r="S505" i="14"/>
  <c r="R505" i="14"/>
  <c r="Q505" i="14"/>
  <c r="P505" i="14"/>
  <c r="O505" i="14"/>
  <c r="N505" i="14"/>
  <c r="M505" i="14"/>
  <c r="L505" i="14"/>
  <c r="K505" i="14"/>
  <c r="J505" i="14"/>
  <c r="I505" i="14"/>
  <c r="H505" i="14"/>
  <c r="G505" i="14"/>
  <c r="F505" i="14"/>
  <c r="E505" i="14"/>
  <c r="D505" i="14"/>
  <c r="C505" i="14"/>
  <c r="B505" i="14"/>
  <c r="A505" i="14"/>
  <c r="Z504" i="14"/>
  <c r="Y504" i="14"/>
  <c r="X504" i="14"/>
  <c r="W504" i="14"/>
  <c r="V504" i="14"/>
  <c r="U504" i="14"/>
  <c r="T504" i="14"/>
  <c r="S504" i="14"/>
  <c r="R504" i="14"/>
  <c r="Q504" i="14"/>
  <c r="P504" i="14"/>
  <c r="O504" i="14"/>
  <c r="N504" i="14"/>
  <c r="M504" i="14"/>
  <c r="L504" i="14"/>
  <c r="K504" i="14"/>
  <c r="J504" i="14"/>
  <c r="I504" i="14"/>
  <c r="H504" i="14"/>
  <c r="G504" i="14"/>
  <c r="F504" i="14"/>
  <c r="E504" i="14"/>
  <c r="D504" i="14"/>
  <c r="C504" i="14"/>
  <c r="B504" i="14"/>
  <c r="A504" i="14"/>
  <c r="Z503" i="14"/>
  <c r="Y503" i="14"/>
  <c r="X503" i="14"/>
  <c r="W503" i="14"/>
  <c r="V503" i="14"/>
  <c r="U503" i="14"/>
  <c r="T503" i="14"/>
  <c r="S503" i="14"/>
  <c r="R503" i="14"/>
  <c r="Q503" i="14"/>
  <c r="P503" i="14"/>
  <c r="O503" i="14"/>
  <c r="N503" i="14"/>
  <c r="M503" i="14"/>
  <c r="L503" i="14"/>
  <c r="K503" i="14"/>
  <c r="J503" i="14"/>
  <c r="I503" i="14"/>
  <c r="H503" i="14"/>
  <c r="G503" i="14"/>
  <c r="F503" i="14"/>
  <c r="E503" i="14"/>
  <c r="D503" i="14"/>
  <c r="C503" i="14"/>
  <c r="B503" i="14"/>
  <c r="A503" i="14"/>
  <c r="Z502" i="14"/>
  <c r="Y502" i="14"/>
  <c r="X502" i="14"/>
  <c r="W502" i="14"/>
  <c r="V502" i="14"/>
  <c r="U502" i="14"/>
  <c r="T502" i="14"/>
  <c r="S502" i="14"/>
  <c r="R502" i="14"/>
  <c r="Q502" i="14"/>
  <c r="P502" i="14"/>
  <c r="O502" i="14"/>
  <c r="N502" i="14"/>
  <c r="M502" i="14"/>
  <c r="L502" i="14"/>
  <c r="K502" i="14"/>
  <c r="J502" i="14"/>
  <c r="I502" i="14"/>
  <c r="H502" i="14"/>
  <c r="G502" i="14"/>
  <c r="F502" i="14"/>
  <c r="E502" i="14"/>
  <c r="D502" i="14"/>
  <c r="C502" i="14"/>
  <c r="B502" i="14"/>
  <c r="A502" i="14"/>
  <c r="Z501" i="14"/>
  <c r="Y501" i="14"/>
  <c r="X501" i="14"/>
  <c r="W501" i="14"/>
  <c r="V501" i="14"/>
  <c r="U501" i="14"/>
  <c r="T501" i="14"/>
  <c r="S501" i="14"/>
  <c r="R501" i="14"/>
  <c r="Q501" i="14"/>
  <c r="P501" i="14"/>
  <c r="O501" i="14"/>
  <c r="N501" i="14"/>
  <c r="M501" i="14"/>
  <c r="L501" i="14"/>
  <c r="K501" i="14"/>
  <c r="J501" i="14"/>
  <c r="I501" i="14"/>
  <c r="H501" i="14"/>
  <c r="G501" i="14"/>
  <c r="F501" i="14"/>
  <c r="E501" i="14"/>
  <c r="D501" i="14"/>
  <c r="C501" i="14"/>
  <c r="B501" i="14"/>
  <c r="A501" i="14"/>
  <c r="Z500" i="14"/>
  <c r="Y500" i="14"/>
  <c r="X500" i="14"/>
  <c r="W500" i="14"/>
  <c r="V500" i="14"/>
  <c r="U500" i="14"/>
  <c r="T500" i="14"/>
  <c r="S500" i="14"/>
  <c r="R500" i="14"/>
  <c r="Q500" i="14"/>
  <c r="P500" i="14"/>
  <c r="O500" i="14"/>
  <c r="N500" i="14"/>
  <c r="M500" i="14"/>
  <c r="L500" i="14"/>
  <c r="K500" i="14"/>
  <c r="J500" i="14"/>
  <c r="I500" i="14"/>
  <c r="H500" i="14"/>
  <c r="G500" i="14"/>
  <c r="F500" i="14"/>
  <c r="E500" i="14"/>
  <c r="D500" i="14"/>
  <c r="C500" i="14"/>
  <c r="B500" i="14"/>
  <c r="A500" i="14"/>
  <c r="Z499" i="14"/>
  <c r="Y499" i="14"/>
  <c r="X499" i="14"/>
  <c r="W499" i="14"/>
  <c r="V499" i="14"/>
  <c r="U499" i="14"/>
  <c r="T499" i="14"/>
  <c r="S499" i="14"/>
  <c r="R499" i="14"/>
  <c r="Q499" i="14"/>
  <c r="P499" i="14"/>
  <c r="O499" i="14"/>
  <c r="N499" i="14"/>
  <c r="M499" i="14"/>
  <c r="L499" i="14"/>
  <c r="K499" i="14"/>
  <c r="J499" i="14"/>
  <c r="I499" i="14"/>
  <c r="H499" i="14"/>
  <c r="G499" i="14"/>
  <c r="F499" i="14"/>
  <c r="E499" i="14"/>
  <c r="D499" i="14"/>
  <c r="C499" i="14"/>
  <c r="B499" i="14"/>
  <c r="A499" i="14"/>
  <c r="Z498" i="14"/>
  <c r="Y498" i="14"/>
  <c r="X498" i="14"/>
  <c r="W498" i="14"/>
  <c r="V498" i="14"/>
  <c r="U498" i="14"/>
  <c r="T498" i="14"/>
  <c r="S498" i="14"/>
  <c r="R498" i="14"/>
  <c r="Q498" i="14"/>
  <c r="P498" i="14"/>
  <c r="O498" i="14"/>
  <c r="N498" i="14"/>
  <c r="M498" i="14"/>
  <c r="L498" i="14"/>
  <c r="K498" i="14"/>
  <c r="J498" i="14"/>
  <c r="I498" i="14"/>
  <c r="H498" i="14"/>
  <c r="G498" i="14"/>
  <c r="F498" i="14"/>
  <c r="E498" i="14"/>
  <c r="D498" i="14"/>
  <c r="C498" i="14"/>
  <c r="B498" i="14"/>
  <c r="A498" i="14"/>
  <c r="Z497" i="14"/>
  <c r="Y497" i="14"/>
  <c r="X497" i="14"/>
  <c r="W497" i="14"/>
  <c r="V497" i="14"/>
  <c r="U497" i="14"/>
  <c r="T497" i="14"/>
  <c r="S497" i="14"/>
  <c r="R497" i="14"/>
  <c r="Q497" i="14"/>
  <c r="P497" i="14"/>
  <c r="O497" i="14"/>
  <c r="N497" i="14"/>
  <c r="M497" i="14"/>
  <c r="L497" i="14"/>
  <c r="K497" i="14"/>
  <c r="J497" i="14"/>
  <c r="I497" i="14"/>
  <c r="H497" i="14"/>
  <c r="G497" i="14"/>
  <c r="F497" i="14"/>
  <c r="E497" i="14"/>
  <c r="D497" i="14"/>
  <c r="C497" i="14"/>
  <c r="B497" i="14"/>
  <c r="A497" i="14"/>
  <c r="Z496" i="14"/>
  <c r="Y496" i="14"/>
  <c r="X496" i="14"/>
  <c r="W496" i="14"/>
  <c r="V496" i="14"/>
  <c r="U496" i="14"/>
  <c r="T496" i="14"/>
  <c r="S496" i="14"/>
  <c r="R496" i="14"/>
  <c r="Q496" i="14"/>
  <c r="P496" i="14"/>
  <c r="O496" i="14"/>
  <c r="N496" i="14"/>
  <c r="M496" i="14"/>
  <c r="L496" i="14"/>
  <c r="K496" i="14"/>
  <c r="J496" i="14"/>
  <c r="I496" i="14"/>
  <c r="H496" i="14"/>
  <c r="G496" i="14"/>
  <c r="F496" i="14"/>
  <c r="E496" i="14"/>
  <c r="D496" i="14"/>
  <c r="C496" i="14"/>
  <c r="B496" i="14"/>
  <c r="A496" i="14"/>
  <c r="Z495" i="14"/>
  <c r="Y495" i="14"/>
  <c r="X495" i="14"/>
  <c r="W495" i="14"/>
  <c r="V495" i="14"/>
  <c r="U495" i="14"/>
  <c r="T495" i="14"/>
  <c r="S495" i="14"/>
  <c r="R495" i="14"/>
  <c r="Q495" i="14"/>
  <c r="P495" i="14"/>
  <c r="O495" i="14"/>
  <c r="N495" i="14"/>
  <c r="M495" i="14"/>
  <c r="L495" i="14"/>
  <c r="K495" i="14"/>
  <c r="J495" i="14"/>
  <c r="I495" i="14"/>
  <c r="H495" i="14"/>
  <c r="G495" i="14"/>
  <c r="F495" i="14"/>
  <c r="E495" i="14"/>
  <c r="D495" i="14"/>
  <c r="C495" i="14"/>
  <c r="B495" i="14"/>
  <c r="A495" i="14"/>
  <c r="Z494" i="14"/>
  <c r="Y494" i="14"/>
  <c r="X494" i="14"/>
  <c r="W494" i="14"/>
  <c r="V494" i="14"/>
  <c r="U494" i="14"/>
  <c r="T494" i="14"/>
  <c r="S494" i="14"/>
  <c r="R494" i="14"/>
  <c r="Q494" i="14"/>
  <c r="P494" i="14"/>
  <c r="O494" i="14"/>
  <c r="N494" i="14"/>
  <c r="M494" i="14"/>
  <c r="L494" i="14"/>
  <c r="K494" i="14"/>
  <c r="J494" i="14"/>
  <c r="I494" i="14"/>
  <c r="H494" i="14"/>
  <c r="G494" i="14"/>
  <c r="F494" i="14"/>
  <c r="E494" i="14"/>
  <c r="D494" i="14"/>
  <c r="C494" i="14"/>
  <c r="B494" i="14"/>
  <c r="A494" i="14"/>
  <c r="Z493" i="14"/>
  <c r="Y493" i="14"/>
  <c r="X493" i="14"/>
  <c r="W493" i="14"/>
  <c r="V493" i="14"/>
  <c r="U493" i="14"/>
  <c r="T493" i="14"/>
  <c r="S493" i="14"/>
  <c r="R493" i="14"/>
  <c r="Q493" i="14"/>
  <c r="P493" i="14"/>
  <c r="O493" i="14"/>
  <c r="N493" i="14"/>
  <c r="M493" i="14"/>
  <c r="L493" i="14"/>
  <c r="K493" i="14"/>
  <c r="J493" i="14"/>
  <c r="I493" i="14"/>
  <c r="H493" i="14"/>
  <c r="G493" i="14"/>
  <c r="F493" i="14"/>
  <c r="E493" i="14"/>
  <c r="D493" i="14"/>
  <c r="C493" i="14"/>
  <c r="B493" i="14"/>
  <c r="A493" i="14"/>
  <c r="Z492" i="14"/>
  <c r="Y492" i="14"/>
  <c r="X492" i="14"/>
  <c r="W492" i="14"/>
  <c r="V492" i="14"/>
  <c r="U492" i="14"/>
  <c r="T492" i="14"/>
  <c r="S492" i="14"/>
  <c r="R492" i="14"/>
  <c r="Q492" i="14"/>
  <c r="P492" i="14"/>
  <c r="O492" i="14"/>
  <c r="N492" i="14"/>
  <c r="M492" i="14"/>
  <c r="L492" i="14"/>
  <c r="K492" i="14"/>
  <c r="J492" i="14"/>
  <c r="I492" i="14"/>
  <c r="H492" i="14"/>
  <c r="G492" i="14"/>
  <c r="F492" i="14"/>
  <c r="E492" i="14"/>
  <c r="D492" i="14"/>
  <c r="C492" i="14"/>
  <c r="B492" i="14"/>
  <c r="A492" i="14"/>
  <c r="Z491" i="14"/>
  <c r="Y491" i="14"/>
  <c r="X491" i="14"/>
  <c r="W491" i="14"/>
  <c r="V491" i="14"/>
  <c r="U491" i="14"/>
  <c r="T491" i="14"/>
  <c r="S491" i="14"/>
  <c r="R491" i="14"/>
  <c r="Q491" i="14"/>
  <c r="P491" i="14"/>
  <c r="O491" i="14"/>
  <c r="N491" i="14"/>
  <c r="M491" i="14"/>
  <c r="L491" i="14"/>
  <c r="K491" i="14"/>
  <c r="J491" i="14"/>
  <c r="I491" i="14"/>
  <c r="H491" i="14"/>
  <c r="G491" i="14"/>
  <c r="F491" i="14"/>
  <c r="E491" i="14"/>
  <c r="D491" i="14"/>
  <c r="C491" i="14"/>
  <c r="B491" i="14"/>
  <c r="A491" i="14"/>
  <c r="Z490" i="14"/>
  <c r="Y490" i="14"/>
  <c r="X490" i="14"/>
  <c r="W490" i="14"/>
  <c r="V490" i="14"/>
  <c r="U490" i="14"/>
  <c r="T490" i="14"/>
  <c r="S490" i="14"/>
  <c r="R490" i="14"/>
  <c r="Q490" i="14"/>
  <c r="P490" i="14"/>
  <c r="O490" i="14"/>
  <c r="N490" i="14"/>
  <c r="M490" i="14"/>
  <c r="L490" i="14"/>
  <c r="K490" i="14"/>
  <c r="J490" i="14"/>
  <c r="I490" i="14"/>
  <c r="H490" i="14"/>
  <c r="G490" i="14"/>
  <c r="F490" i="14"/>
  <c r="E490" i="14"/>
  <c r="D490" i="14"/>
  <c r="C490" i="14"/>
  <c r="B490" i="14"/>
  <c r="A490" i="14"/>
  <c r="Z489" i="14"/>
  <c r="Y489" i="14"/>
  <c r="X489" i="14"/>
  <c r="W489" i="14"/>
  <c r="V489" i="14"/>
  <c r="U489" i="14"/>
  <c r="T489" i="14"/>
  <c r="S489" i="14"/>
  <c r="R489" i="14"/>
  <c r="Q489" i="14"/>
  <c r="P489" i="14"/>
  <c r="O489" i="14"/>
  <c r="N489" i="14"/>
  <c r="M489" i="14"/>
  <c r="L489" i="14"/>
  <c r="K489" i="14"/>
  <c r="J489" i="14"/>
  <c r="I489" i="14"/>
  <c r="H489" i="14"/>
  <c r="G489" i="14"/>
  <c r="F489" i="14"/>
  <c r="E489" i="14"/>
  <c r="D489" i="14"/>
  <c r="C489" i="14"/>
  <c r="B489" i="14"/>
  <c r="A489" i="14"/>
  <c r="Z488" i="14"/>
  <c r="Y488" i="14"/>
  <c r="X488" i="14"/>
  <c r="W488" i="14"/>
  <c r="V488" i="14"/>
  <c r="U488" i="14"/>
  <c r="T488" i="14"/>
  <c r="S488" i="14"/>
  <c r="R488" i="14"/>
  <c r="Q488" i="14"/>
  <c r="P488" i="14"/>
  <c r="O488" i="14"/>
  <c r="N488" i="14"/>
  <c r="M488" i="14"/>
  <c r="L488" i="14"/>
  <c r="K488" i="14"/>
  <c r="J488" i="14"/>
  <c r="I488" i="14"/>
  <c r="H488" i="14"/>
  <c r="G488" i="14"/>
  <c r="F488" i="14"/>
  <c r="E488" i="14"/>
  <c r="D488" i="14"/>
  <c r="C488" i="14"/>
  <c r="B488" i="14"/>
  <c r="A488" i="14"/>
  <c r="Z487" i="14"/>
  <c r="Y487" i="14"/>
  <c r="X487" i="14"/>
  <c r="W487" i="14"/>
  <c r="V487" i="14"/>
  <c r="U487" i="14"/>
  <c r="T487" i="14"/>
  <c r="S487" i="14"/>
  <c r="R487" i="14"/>
  <c r="Q487" i="14"/>
  <c r="P487" i="14"/>
  <c r="O487" i="14"/>
  <c r="N487" i="14"/>
  <c r="M487" i="14"/>
  <c r="L487" i="14"/>
  <c r="K487" i="14"/>
  <c r="J487" i="14"/>
  <c r="I487" i="14"/>
  <c r="H487" i="14"/>
  <c r="G487" i="14"/>
  <c r="F487" i="14"/>
  <c r="E487" i="14"/>
  <c r="D487" i="14"/>
  <c r="C487" i="14"/>
  <c r="B487" i="14"/>
  <c r="A487" i="14"/>
  <c r="Z486" i="14"/>
  <c r="Y486" i="14"/>
  <c r="X486" i="14"/>
  <c r="W486" i="14"/>
  <c r="V486" i="14"/>
  <c r="U486" i="14"/>
  <c r="T486" i="14"/>
  <c r="S486" i="14"/>
  <c r="R486" i="14"/>
  <c r="Q486" i="14"/>
  <c r="P486" i="14"/>
  <c r="O486" i="14"/>
  <c r="N486" i="14"/>
  <c r="M486" i="14"/>
  <c r="L486" i="14"/>
  <c r="K486" i="14"/>
  <c r="J486" i="14"/>
  <c r="I486" i="14"/>
  <c r="H486" i="14"/>
  <c r="G486" i="14"/>
  <c r="F486" i="14"/>
  <c r="E486" i="14"/>
  <c r="D486" i="14"/>
  <c r="C486" i="14"/>
  <c r="B486" i="14"/>
  <c r="A486" i="14"/>
  <c r="Z485" i="14"/>
  <c r="Y485" i="14"/>
  <c r="X485" i="14"/>
  <c r="W485" i="14"/>
  <c r="V485" i="14"/>
  <c r="U485" i="14"/>
  <c r="T485" i="14"/>
  <c r="S485" i="14"/>
  <c r="R485" i="14"/>
  <c r="Q485" i="14"/>
  <c r="P485" i="14"/>
  <c r="O485" i="14"/>
  <c r="N485" i="14"/>
  <c r="M485" i="14"/>
  <c r="L485" i="14"/>
  <c r="K485" i="14"/>
  <c r="J485" i="14"/>
  <c r="I485" i="14"/>
  <c r="H485" i="14"/>
  <c r="G485" i="14"/>
  <c r="F485" i="14"/>
  <c r="E485" i="14"/>
  <c r="D485" i="14"/>
  <c r="C485" i="14"/>
  <c r="B485" i="14"/>
  <c r="A485" i="14"/>
  <c r="Z484" i="14"/>
  <c r="Y484" i="14"/>
  <c r="X484" i="14"/>
  <c r="W484" i="14"/>
  <c r="V484" i="14"/>
  <c r="U484" i="14"/>
  <c r="T484" i="14"/>
  <c r="S484" i="14"/>
  <c r="R484" i="14"/>
  <c r="Q484" i="14"/>
  <c r="P484" i="14"/>
  <c r="O484" i="14"/>
  <c r="N484" i="14"/>
  <c r="M484" i="14"/>
  <c r="L484" i="14"/>
  <c r="K484" i="14"/>
  <c r="J484" i="14"/>
  <c r="I484" i="14"/>
  <c r="H484" i="14"/>
  <c r="G484" i="14"/>
  <c r="F484" i="14"/>
  <c r="E484" i="14"/>
  <c r="D484" i="14"/>
  <c r="C484" i="14"/>
  <c r="B484" i="14"/>
  <c r="A484" i="14"/>
  <c r="Z483" i="14"/>
  <c r="Y483" i="14"/>
  <c r="X483" i="14"/>
  <c r="W483" i="14"/>
  <c r="V483" i="14"/>
  <c r="U483" i="14"/>
  <c r="T483" i="14"/>
  <c r="S483" i="14"/>
  <c r="R483" i="14"/>
  <c r="Q483" i="14"/>
  <c r="P483" i="14"/>
  <c r="O483" i="14"/>
  <c r="N483" i="14"/>
  <c r="M483" i="14"/>
  <c r="L483" i="14"/>
  <c r="K483" i="14"/>
  <c r="J483" i="14"/>
  <c r="I483" i="14"/>
  <c r="H483" i="14"/>
  <c r="G483" i="14"/>
  <c r="F483" i="14"/>
  <c r="E483" i="14"/>
  <c r="D483" i="14"/>
  <c r="C483" i="14"/>
  <c r="B483" i="14"/>
  <c r="A483" i="14"/>
  <c r="Z482" i="14"/>
  <c r="Y482" i="14"/>
  <c r="X482" i="14"/>
  <c r="W482" i="14"/>
  <c r="V482" i="14"/>
  <c r="U482" i="14"/>
  <c r="T482" i="14"/>
  <c r="S482" i="14"/>
  <c r="R482" i="14"/>
  <c r="Q482" i="14"/>
  <c r="P482" i="14"/>
  <c r="O482" i="14"/>
  <c r="N482" i="14"/>
  <c r="M482" i="14"/>
  <c r="L482" i="14"/>
  <c r="K482" i="14"/>
  <c r="J482" i="14"/>
  <c r="I482" i="14"/>
  <c r="H482" i="14"/>
  <c r="G482" i="14"/>
  <c r="F482" i="14"/>
  <c r="E482" i="14"/>
  <c r="D482" i="14"/>
  <c r="C482" i="14"/>
  <c r="B482" i="14"/>
  <c r="A482" i="14"/>
  <c r="Z481" i="14"/>
  <c r="Y481" i="14"/>
  <c r="X481" i="14"/>
  <c r="W481" i="14"/>
  <c r="V481" i="14"/>
  <c r="U481" i="14"/>
  <c r="T481" i="14"/>
  <c r="S481" i="14"/>
  <c r="R481" i="14"/>
  <c r="Q481" i="14"/>
  <c r="P481" i="14"/>
  <c r="O481" i="14"/>
  <c r="N481" i="14"/>
  <c r="M481" i="14"/>
  <c r="L481" i="14"/>
  <c r="K481" i="14"/>
  <c r="J481" i="14"/>
  <c r="I481" i="14"/>
  <c r="H481" i="14"/>
  <c r="G481" i="14"/>
  <c r="F481" i="14"/>
  <c r="E481" i="14"/>
  <c r="D481" i="14"/>
  <c r="C481" i="14"/>
  <c r="B481" i="14"/>
  <c r="A481" i="14"/>
  <c r="Z480" i="14"/>
  <c r="Y480" i="14"/>
  <c r="X480" i="14"/>
  <c r="W480" i="14"/>
  <c r="V480" i="14"/>
  <c r="U480" i="14"/>
  <c r="T480" i="14"/>
  <c r="S480" i="14"/>
  <c r="R480" i="14"/>
  <c r="Q480" i="14"/>
  <c r="P480" i="14"/>
  <c r="O480" i="14"/>
  <c r="N480" i="14"/>
  <c r="M480" i="14"/>
  <c r="L480" i="14"/>
  <c r="K480" i="14"/>
  <c r="J480" i="14"/>
  <c r="I480" i="14"/>
  <c r="H480" i="14"/>
  <c r="G480" i="14"/>
  <c r="F480" i="14"/>
  <c r="E480" i="14"/>
  <c r="D480" i="14"/>
  <c r="C480" i="14"/>
  <c r="B480" i="14"/>
  <c r="A480" i="14"/>
  <c r="Z479" i="14"/>
  <c r="Y479" i="14"/>
  <c r="X479" i="14"/>
  <c r="W479" i="14"/>
  <c r="V479" i="14"/>
  <c r="U479" i="14"/>
  <c r="T479" i="14"/>
  <c r="S479" i="14"/>
  <c r="R479" i="14"/>
  <c r="Q479" i="14"/>
  <c r="P479" i="14"/>
  <c r="O479" i="14"/>
  <c r="N479" i="14"/>
  <c r="M479" i="14"/>
  <c r="L479" i="14"/>
  <c r="K479" i="14"/>
  <c r="J479" i="14"/>
  <c r="I479" i="14"/>
  <c r="H479" i="14"/>
  <c r="G479" i="14"/>
  <c r="F479" i="14"/>
  <c r="E479" i="14"/>
  <c r="D479" i="14"/>
  <c r="C479" i="14"/>
  <c r="B479" i="14"/>
  <c r="A479" i="14"/>
  <c r="Z478" i="14"/>
  <c r="Y478" i="14"/>
  <c r="X478" i="14"/>
  <c r="W478" i="14"/>
  <c r="V478" i="14"/>
  <c r="U478" i="14"/>
  <c r="T478" i="14"/>
  <c r="S478" i="14"/>
  <c r="R478" i="14"/>
  <c r="Q478" i="14"/>
  <c r="P478" i="14"/>
  <c r="O478" i="14"/>
  <c r="N478" i="14"/>
  <c r="M478" i="14"/>
  <c r="L478" i="14"/>
  <c r="K478" i="14"/>
  <c r="J478" i="14"/>
  <c r="I478" i="14"/>
  <c r="H478" i="14"/>
  <c r="G478" i="14"/>
  <c r="F478" i="14"/>
  <c r="E478" i="14"/>
  <c r="D478" i="14"/>
  <c r="C478" i="14"/>
  <c r="B478" i="14"/>
  <c r="A478" i="14"/>
  <c r="Z477" i="14"/>
  <c r="Y477" i="14"/>
  <c r="X477" i="14"/>
  <c r="W477" i="14"/>
  <c r="V477" i="14"/>
  <c r="U477" i="14"/>
  <c r="T477" i="14"/>
  <c r="S477" i="14"/>
  <c r="R477" i="14"/>
  <c r="Q477" i="14"/>
  <c r="P477" i="14"/>
  <c r="O477" i="14"/>
  <c r="N477" i="14"/>
  <c r="M477" i="14"/>
  <c r="L477" i="14"/>
  <c r="K477" i="14"/>
  <c r="J477" i="14"/>
  <c r="I477" i="14"/>
  <c r="H477" i="14"/>
  <c r="G477" i="14"/>
  <c r="F477" i="14"/>
  <c r="E477" i="14"/>
  <c r="D477" i="14"/>
  <c r="C477" i="14"/>
  <c r="B477" i="14"/>
  <c r="A477" i="14"/>
  <c r="Z476" i="14"/>
  <c r="Y476" i="14"/>
  <c r="X476" i="14"/>
  <c r="W476" i="14"/>
  <c r="V476" i="14"/>
  <c r="U476" i="14"/>
  <c r="T476" i="14"/>
  <c r="S476" i="14"/>
  <c r="R476" i="14"/>
  <c r="Q476" i="14"/>
  <c r="P476" i="14"/>
  <c r="O476" i="14"/>
  <c r="N476" i="14"/>
  <c r="M476" i="14"/>
  <c r="L476" i="14"/>
  <c r="K476" i="14"/>
  <c r="J476" i="14"/>
  <c r="I476" i="14"/>
  <c r="H476" i="14"/>
  <c r="G476" i="14"/>
  <c r="F476" i="14"/>
  <c r="E476" i="14"/>
  <c r="D476" i="14"/>
  <c r="C476" i="14"/>
  <c r="B476" i="14"/>
  <c r="A476" i="14"/>
  <c r="Z475" i="14"/>
  <c r="Y475" i="14"/>
  <c r="X475" i="14"/>
  <c r="W475" i="14"/>
  <c r="V475" i="14"/>
  <c r="U475" i="14"/>
  <c r="T475" i="14"/>
  <c r="S475" i="14"/>
  <c r="R475" i="14"/>
  <c r="Q475" i="14"/>
  <c r="P475" i="14"/>
  <c r="O475" i="14"/>
  <c r="N475" i="14"/>
  <c r="M475" i="14"/>
  <c r="L475" i="14"/>
  <c r="K475" i="14"/>
  <c r="J475" i="14"/>
  <c r="I475" i="14"/>
  <c r="H475" i="14"/>
  <c r="G475" i="14"/>
  <c r="F475" i="14"/>
  <c r="E475" i="14"/>
  <c r="D475" i="14"/>
  <c r="C475" i="14"/>
  <c r="B475" i="14"/>
  <c r="A475" i="14"/>
  <c r="Z474" i="14"/>
  <c r="Y474" i="14"/>
  <c r="X474" i="14"/>
  <c r="W474" i="14"/>
  <c r="V474" i="14"/>
  <c r="U474" i="14"/>
  <c r="T474" i="14"/>
  <c r="S474" i="14"/>
  <c r="R474" i="14"/>
  <c r="Q474" i="14"/>
  <c r="P474" i="14"/>
  <c r="O474" i="14"/>
  <c r="N474" i="14"/>
  <c r="M474" i="14"/>
  <c r="L474" i="14"/>
  <c r="K474" i="14"/>
  <c r="J474" i="14"/>
  <c r="I474" i="14"/>
  <c r="H474" i="14"/>
  <c r="G474" i="14"/>
  <c r="F474" i="14"/>
  <c r="E474" i="14"/>
  <c r="D474" i="14"/>
  <c r="C474" i="14"/>
  <c r="B474" i="14"/>
  <c r="A474" i="14"/>
  <c r="Z473" i="14"/>
  <c r="Y473" i="14"/>
  <c r="X473" i="14"/>
  <c r="W473" i="14"/>
  <c r="V473" i="14"/>
  <c r="U473" i="14"/>
  <c r="T473" i="14"/>
  <c r="S473" i="14"/>
  <c r="R473" i="14"/>
  <c r="Q473" i="14"/>
  <c r="P473" i="14"/>
  <c r="O473" i="14"/>
  <c r="N473" i="14"/>
  <c r="M473" i="14"/>
  <c r="L473" i="14"/>
  <c r="K473" i="14"/>
  <c r="J473" i="14"/>
  <c r="I473" i="14"/>
  <c r="H473" i="14"/>
  <c r="G473" i="14"/>
  <c r="F473" i="14"/>
  <c r="E473" i="14"/>
  <c r="D473" i="14"/>
  <c r="C473" i="14"/>
  <c r="B473" i="14"/>
  <c r="A473" i="14"/>
  <c r="Z472" i="14"/>
  <c r="Y472" i="14"/>
  <c r="X472" i="14"/>
  <c r="W472" i="14"/>
  <c r="V472" i="14"/>
  <c r="U472" i="14"/>
  <c r="T472" i="14"/>
  <c r="S472" i="14"/>
  <c r="R472" i="14"/>
  <c r="Q472" i="14"/>
  <c r="P472" i="14"/>
  <c r="O472" i="14"/>
  <c r="N472" i="14"/>
  <c r="M472" i="14"/>
  <c r="L472" i="14"/>
  <c r="K472" i="14"/>
  <c r="J472" i="14"/>
  <c r="I472" i="14"/>
  <c r="H472" i="14"/>
  <c r="G472" i="14"/>
  <c r="F472" i="14"/>
  <c r="E472" i="14"/>
  <c r="D472" i="14"/>
  <c r="C472" i="14"/>
  <c r="B472" i="14"/>
  <c r="A472" i="14"/>
  <c r="Z471" i="14"/>
  <c r="Y471" i="14"/>
  <c r="X471" i="14"/>
  <c r="W471" i="14"/>
  <c r="V471" i="14"/>
  <c r="U471" i="14"/>
  <c r="T471" i="14"/>
  <c r="S471" i="14"/>
  <c r="R471" i="14"/>
  <c r="Q471" i="14"/>
  <c r="P471" i="14"/>
  <c r="O471" i="14"/>
  <c r="N471" i="14"/>
  <c r="M471" i="14"/>
  <c r="L471" i="14"/>
  <c r="K471" i="14"/>
  <c r="J471" i="14"/>
  <c r="I471" i="14"/>
  <c r="H471" i="14"/>
  <c r="G471" i="14"/>
  <c r="F471" i="14"/>
  <c r="E471" i="14"/>
  <c r="D471" i="14"/>
  <c r="C471" i="14"/>
  <c r="B471" i="14"/>
  <c r="A471" i="14"/>
  <c r="Z470" i="14"/>
  <c r="Y470" i="14"/>
  <c r="X470" i="14"/>
  <c r="W470" i="14"/>
  <c r="V470" i="14"/>
  <c r="U470" i="14"/>
  <c r="T470" i="14"/>
  <c r="S470" i="14"/>
  <c r="R470" i="14"/>
  <c r="Q470" i="14"/>
  <c r="P470" i="14"/>
  <c r="O470" i="14"/>
  <c r="N470" i="14"/>
  <c r="M470" i="14"/>
  <c r="L470" i="14"/>
  <c r="K470" i="14"/>
  <c r="J470" i="14"/>
  <c r="I470" i="14"/>
  <c r="H470" i="14"/>
  <c r="G470" i="14"/>
  <c r="F470" i="14"/>
  <c r="E470" i="14"/>
  <c r="D470" i="14"/>
  <c r="C470" i="14"/>
  <c r="B470" i="14"/>
  <c r="A470" i="14"/>
  <c r="Z469" i="14"/>
  <c r="Y469" i="14"/>
  <c r="X469" i="14"/>
  <c r="W469" i="14"/>
  <c r="V469" i="14"/>
  <c r="U469" i="14"/>
  <c r="T469" i="14"/>
  <c r="S469" i="14"/>
  <c r="R469" i="14"/>
  <c r="Q469" i="14"/>
  <c r="P469" i="14"/>
  <c r="O469" i="14"/>
  <c r="N469" i="14"/>
  <c r="M469" i="14"/>
  <c r="L469" i="14"/>
  <c r="K469" i="14"/>
  <c r="J469" i="14"/>
  <c r="I469" i="14"/>
  <c r="H469" i="14"/>
  <c r="G469" i="14"/>
  <c r="F469" i="14"/>
  <c r="E469" i="14"/>
  <c r="D469" i="14"/>
  <c r="C469" i="14"/>
  <c r="B469" i="14"/>
  <c r="A469" i="14"/>
  <c r="Z468" i="14"/>
  <c r="Y468" i="14"/>
  <c r="X468" i="14"/>
  <c r="W468" i="14"/>
  <c r="V468" i="14"/>
  <c r="U468" i="14"/>
  <c r="T468" i="14"/>
  <c r="S468" i="14"/>
  <c r="R468" i="14"/>
  <c r="Q468" i="14"/>
  <c r="P468" i="14"/>
  <c r="O468" i="14"/>
  <c r="N468" i="14"/>
  <c r="M468" i="14"/>
  <c r="L468" i="14"/>
  <c r="K468" i="14"/>
  <c r="J468" i="14"/>
  <c r="I468" i="14"/>
  <c r="H468" i="14"/>
  <c r="G468" i="14"/>
  <c r="F468" i="14"/>
  <c r="E468" i="14"/>
  <c r="D468" i="14"/>
  <c r="C468" i="14"/>
  <c r="B468" i="14"/>
  <c r="A468" i="14"/>
  <c r="Z467" i="14"/>
  <c r="Y467" i="14"/>
  <c r="X467" i="14"/>
  <c r="W467" i="14"/>
  <c r="V467" i="14"/>
  <c r="U467" i="14"/>
  <c r="T467" i="14"/>
  <c r="S467" i="14"/>
  <c r="R467" i="14"/>
  <c r="Q467" i="14"/>
  <c r="P467" i="14"/>
  <c r="O467" i="14"/>
  <c r="N467" i="14"/>
  <c r="M467" i="14"/>
  <c r="L467" i="14"/>
  <c r="K467" i="14"/>
  <c r="J467" i="14"/>
  <c r="I467" i="14"/>
  <c r="H467" i="14"/>
  <c r="G467" i="14"/>
  <c r="F467" i="14"/>
  <c r="E467" i="14"/>
  <c r="D467" i="14"/>
  <c r="C467" i="14"/>
  <c r="B467" i="14"/>
  <c r="A467" i="14"/>
  <c r="Z466" i="14"/>
  <c r="Y466" i="14"/>
  <c r="X466" i="14"/>
  <c r="W466" i="14"/>
  <c r="V466" i="14"/>
  <c r="U466" i="14"/>
  <c r="T466" i="14"/>
  <c r="S466" i="14"/>
  <c r="R466" i="14"/>
  <c r="Q466" i="14"/>
  <c r="P466" i="14"/>
  <c r="O466" i="14"/>
  <c r="N466" i="14"/>
  <c r="M466" i="14"/>
  <c r="L466" i="14"/>
  <c r="K466" i="14"/>
  <c r="J466" i="14"/>
  <c r="I466" i="14"/>
  <c r="H466" i="14"/>
  <c r="G466" i="14"/>
  <c r="F466" i="14"/>
  <c r="E466" i="14"/>
  <c r="D466" i="14"/>
  <c r="C466" i="14"/>
  <c r="B466" i="14"/>
  <c r="A466" i="14"/>
  <c r="Z465" i="14"/>
  <c r="Y465" i="14"/>
  <c r="X465" i="14"/>
  <c r="W465" i="14"/>
  <c r="V465" i="14"/>
  <c r="U465" i="14"/>
  <c r="T465" i="14"/>
  <c r="S465" i="14"/>
  <c r="R465" i="14"/>
  <c r="Q465" i="14"/>
  <c r="P465" i="14"/>
  <c r="O465" i="14"/>
  <c r="N465" i="14"/>
  <c r="M465" i="14"/>
  <c r="L465" i="14"/>
  <c r="K465" i="14"/>
  <c r="J465" i="14"/>
  <c r="I465" i="14"/>
  <c r="H465" i="14"/>
  <c r="G465" i="14"/>
  <c r="F465" i="14"/>
  <c r="E465" i="14"/>
  <c r="D465" i="14"/>
  <c r="C465" i="14"/>
  <c r="B465" i="14"/>
  <c r="A465" i="14"/>
  <c r="Z464" i="14"/>
  <c r="Y464" i="14"/>
  <c r="X464" i="14"/>
  <c r="W464" i="14"/>
  <c r="V464" i="14"/>
  <c r="U464" i="14"/>
  <c r="T464" i="14"/>
  <c r="S464" i="14"/>
  <c r="R464" i="14"/>
  <c r="Q464" i="14"/>
  <c r="P464" i="14"/>
  <c r="O464" i="14"/>
  <c r="N464" i="14"/>
  <c r="M464" i="14"/>
  <c r="L464" i="14"/>
  <c r="K464" i="14"/>
  <c r="J464" i="14"/>
  <c r="I464" i="14"/>
  <c r="H464" i="14"/>
  <c r="G464" i="14"/>
  <c r="F464" i="14"/>
  <c r="E464" i="14"/>
  <c r="D464" i="14"/>
  <c r="C464" i="14"/>
  <c r="B464" i="14"/>
  <c r="A464" i="14"/>
  <c r="Z463" i="14"/>
  <c r="Y463" i="14"/>
  <c r="X463" i="14"/>
  <c r="W463" i="14"/>
  <c r="V463" i="14"/>
  <c r="U463" i="14"/>
  <c r="T463" i="14"/>
  <c r="S463" i="14"/>
  <c r="R463" i="14"/>
  <c r="Q463" i="14"/>
  <c r="P463" i="14"/>
  <c r="O463" i="14"/>
  <c r="N463" i="14"/>
  <c r="M463" i="14"/>
  <c r="L463" i="14"/>
  <c r="K463" i="14"/>
  <c r="J463" i="14"/>
  <c r="I463" i="14"/>
  <c r="H463" i="14"/>
  <c r="G463" i="14"/>
  <c r="F463" i="14"/>
  <c r="E463" i="14"/>
  <c r="D463" i="14"/>
  <c r="C463" i="14"/>
  <c r="B463" i="14"/>
  <c r="A463" i="14"/>
  <c r="Z462" i="14"/>
  <c r="Y462" i="14"/>
  <c r="X462" i="14"/>
  <c r="W462" i="14"/>
  <c r="V462" i="14"/>
  <c r="U462" i="14"/>
  <c r="T462" i="14"/>
  <c r="S462" i="14"/>
  <c r="R462" i="14"/>
  <c r="Q462" i="14"/>
  <c r="P462" i="14"/>
  <c r="O462" i="14"/>
  <c r="N462" i="14"/>
  <c r="M462" i="14"/>
  <c r="L462" i="14"/>
  <c r="K462" i="14"/>
  <c r="J462" i="14"/>
  <c r="I462" i="14"/>
  <c r="H462" i="14"/>
  <c r="G462" i="14"/>
  <c r="F462" i="14"/>
  <c r="E462" i="14"/>
  <c r="D462" i="14"/>
  <c r="C462" i="14"/>
  <c r="B462" i="14"/>
  <c r="A462" i="14"/>
  <c r="Z461" i="14"/>
  <c r="Y461" i="14"/>
  <c r="X461" i="14"/>
  <c r="W461" i="14"/>
  <c r="V461" i="14"/>
  <c r="U461" i="14"/>
  <c r="T461" i="14"/>
  <c r="S461" i="14"/>
  <c r="R461" i="14"/>
  <c r="Q461" i="14"/>
  <c r="P461" i="14"/>
  <c r="O461" i="14"/>
  <c r="N461" i="14"/>
  <c r="M461" i="14"/>
  <c r="L461" i="14"/>
  <c r="K461" i="14"/>
  <c r="J461" i="14"/>
  <c r="I461" i="14"/>
  <c r="H461" i="14"/>
  <c r="G461" i="14"/>
  <c r="F461" i="14"/>
  <c r="E461" i="14"/>
  <c r="D461" i="14"/>
  <c r="C461" i="14"/>
  <c r="B461" i="14"/>
  <c r="A461" i="14"/>
  <c r="Z460" i="14"/>
  <c r="Y460" i="14"/>
  <c r="X460" i="14"/>
  <c r="W460" i="14"/>
  <c r="V460" i="14"/>
  <c r="U460" i="14"/>
  <c r="T460" i="14"/>
  <c r="S460" i="14"/>
  <c r="R460" i="14"/>
  <c r="Q460" i="14"/>
  <c r="P460" i="14"/>
  <c r="O460" i="14"/>
  <c r="N460" i="14"/>
  <c r="M460" i="14"/>
  <c r="L460" i="14"/>
  <c r="K460" i="14"/>
  <c r="J460" i="14"/>
  <c r="I460" i="14"/>
  <c r="H460" i="14"/>
  <c r="G460" i="14"/>
  <c r="F460" i="14"/>
  <c r="E460" i="14"/>
  <c r="D460" i="14"/>
  <c r="C460" i="14"/>
  <c r="B460" i="14"/>
  <c r="A460" i="14"/>
  <c r="Z459" i="14"/>
  <c r="Y459" i="14"/>
  <c r="X459" i="14"/>
  <c r="W459" i="14"/>
  <c r="V459" i="14"/>
  <c r="U459" i="14"/>
  <c r="T459" i="14"/>
  <c r="S459" i="14"/>
  <c r="R459" i="14"/>
  <c r="Q459" i="14"/>
  <c r="P459" i="14"/>
  <c r="O459" i="14"/>
  <c r="N459" i="14"/>
  <c r="M459" i="14"/>
  <c r="L459" i="14"/>
  <c r="K459" i="14"/>
  <c r="J459" i="14"/>
  <c r="I459" i="14"/>
  <c r="H459" i="14"/>
  <c r="G459" i="14"/>
  <c r="F459" i="14"/>
  <c r="E459" i="14"/>
  <c r="D459" i="14"/>
  <c r="C459" i="14"/>
  <c r="B459" i="14"/>
  <c r="A459" i="14"/>
  <c r="Z458" i="14"/>
  <c r="Y458" i="14"/>
  <c r="X458" i="14"/>
  <c r="W458" i="14"/>
  <c r="V458" i="14"/>
  <c r="U458" i="14"/>
  <c r="T458" i="14"/>
  <c r="S458" i="14"/>
  <c r="R458" i="14"/>
  <c r="Q458" i="14"/>
  <c r="P458" i="14"/>
  <c r="O458" i="14"/>
  <c r="N458" i="14"/>
  <c r="M458" i="14"/>
  <c r="L458" i="14"/>
  <c r="K458" i="14"/>
  <c r="J458" i="14"/>
  <c r="I458" i="14"/>
  <c r="H458" i="14"/>
  <c r="G458" i="14"/>
  <c r="F458" i="14"/>
  <c r="E458" i="14"/>
  <c r="D458" i="14"/>
  <c r="C458" i="14"/>
  <c r="B458" i="14"/>
  <c r="A458" i="14"/>
  <c r="Z457" i="14"/>
  <c r="Y457" i="14"/>
  <c r="X457" i="14"/>
  <c r="W457" i="14"/>
  <c r="V457" i="14"/>
  <c r="U457" i="14"/>
  <c r="T457" i="14"/>
  <c r="S457" i="14"/>
  <c r="R457" i="14"/>
  <c r="Q457" i="14"/>
  <c r="P457" i="14"/>
  <c r="O457" i="14"/>
  <c r="N457" i="14"/>
  <c r="M457" i="14"/>
  <c r="L457" i="14"/>
  <c r="K457" i="14"/>
  <c r="J457" i="14"/>
  <c r="I457" i="14"/>
  <c r="H457" i="14"/>
  <c r="G457" i="14"/>
  <c r="F457" i="14"/>
  <c r="E457" i="14"/>
  <c r="D457" i="14"/>
  <c r="C457" i="14"/>
  <c r="B457" i="14"/>
  <c r="A457" i="14"/>
  <c r="Z456" i="14"/>
  <c r="Y456" i="14"/>
  <c r="X456" i="14"/>
  <c r="W456" i="14"/>
  <c r="V456" i="14"/>
  <c r="U456" i="14"/>
  <c r="T456" i="14"/>
  <c r="S456" i="14"/>
  <c r="R456" i="14"/>
  <c r="Q456" i="14"/>
  <c r="P456" i="14"/>
  <c r="O456" i="14"/>
  <c r="N456" i="14"/>
  <c r="M456" i="14"/>
  <c r="L456" i="14"/>
  <c r="K456" i="14"/>
  <c r="J456" i="14"/>
  <c r="I456" i="14"/>
  <c r="H456" i="14"/>
  <c r="G456" i="14"/>
  <c r="F456" i="14"/>
  <c r="E456" i="14"/>
  <c r="D456" i="14"/>
  <c r="C456" i="14"/>
  <c r="B456" i="14"/>
  <c r="A456" i="14"/>
  <c r="Z455" i="14"/>
  <c r="Y455" i="14"/>
  <c r="X455" i="14"/>
  <c r="W455" i="14"/>
  <c r="V455" i="14"/>
  <c r="U455" i="14"/>
  <c r="T455" i="14"/>
  <c r="S455" i="14"/>
  <c r="R455" i="14"/>
  <c r="Q455" i="14"/>
  <c r="P455" i="14"/>
  <c r="O455" i="14"/>
  <c r="N455" i="14"/>
  <c r="M455" i="14"/>
  <c r="L455" i="14"/>
  <c r="K455" i="14"/>
  <c r="J455" i="14"/>
  <c r="I455" i="14"/>
  <c r="H455" i="14"/>
  <c r="G455" i="14"/>
  <c r="F455" i="14"/>
  <c r="E455" i="14"/>
  <c r="D455" i="14"/>
  <c r="C455" i="14"/>
  <c r="B455" i="14"/>
  <c r="A455" i="14"/>
  <c r="Z454" i="14"/>
  <c r="Y454" i="14"/>
  <c r="X454" i="14"/>
  <c r="W454" i="14"/>
  <c r="V454" i="14"/>
  <c r="U454" i="14"/>
  <c r="T454" i="14"/>
  <c r="S454" i="14"/>
  <c r="R454" i="14"/>
  <c r="Q454" i="14"/>
  <c r="P454" i="14"/>
  <c r="O454" i="14"/>
  <c r="N454" i="14"/>
  <c r="M454" i="14"/>
  <c r="L454" i="14"/>
  <c r="K454" i="14"/>
  <c r="J454" i="14"/>
  <c r="I454" i="14"/>
  <c r="H454" i="14"/>
  <c r="G454" i="14"/>
  <c r="F454" i="14"/>
  <c r="E454" i="14"/>
  <c r="D454" i="14"/>
  <c r="C454" i="14"/>
  <c r="B454" i="14"/>
  <c r="A454" i="14"/>
  <c r="Z453" i="14"/>
  <c r="Y453" i="14"/>
  <c r="X453" i="14"/>
  <c r="W453" i="14"/>
  <c r="V453" i="14"/>
  <c r="U453" i="14"/>
  <c r="T453" i="14"/>
  <c r="S453" i="14"/>
  <c r="R453" i="14"/>
  <c r="Q453" i="14"/>
  <c r="P453" i="14"/>
  <c r="O453" i="14"/>
  <c r="N453" i="14"/>
  <c r="M453" i="14"/>
  <c r="L453" i="14"/>
  <c r="K453" i="14"/>
  <c r="J453" i="14"/>
  <c r="I453" i="14"/>
  <c r="H453" i="14"/>
  <c r="G453" i="14"/>
  <c r="F453" i="14"/>
  <c r="E453" i="14"/>
  <c r="D453" i="14"/>
  <c r="C453" i="14"/>
  <c r="B453" i="14"/>
  <c r="A453" i="14"/>
  <c r="Z452" i="14"/>
  <c r="Y452" i="14"/>
  <c r="X452" i="14"/>
  <c r="W452" i="14"/>
  <c r="V452" i="14"/>
  <c r="U452" i="14"/>
  <c r="T452" i="14"/>
  <c r="S452" i="14"/>
  <c r="R452" i="14"/>
  <c r="Q452" i="14"/>
  <c r="P452" i="14"/>
  <c r="O452" i="14"/>
  <c r="N452" i="14"/>
  <c r="M452" i="14"/>
  <c r="L452" i="14"/>
  <c r="K452" i="14"/>
  <c r="J452" i="14"/>
  <c r="I452" i="14"/>
  <c r="H452" i="14"/>
  <c r="G452" i="14"/>
  <c r="F452" i="14"/>
  <c r="E452" i="14"/>
  <c r="D452" i="14"/>
  <c r="C452" i="14"/>
  <c r="B452" i="14"/>
  <c r="A452" i="14"/>
  <c r="Z451" i="14"/>
  <c r="Y451" i="14"/>
  <c r="X451" i="14"/>
  <c r="W451" i="14"/>
  <c r="V451" i="14"/>
  <c r="U451" i="14"/>
  <c r="T451" i="14"/>
  <c r="S451" i="14"/>
  <c r="R451" i="14"/>
  <c r="Q451" i="14"/>
  <c r="P451" i="14"/>
  <c r="O451" i="14"/>
  <c r="N451" i="14"/>
  <c r="M451" i="14"/>
  <c r="L451" i="14"/>
  <c r="K451" i="14"/>
  <c r="J451" i="14"/>
  <c r="I451" i="14"/>
  <c r="H451" i="14"/>
  <c r="G451" i="14"/>
  <c r="F451" i="14"/>
  <c r="E451" i="14"/>
  <c r="D451" i="14"/>
  <c r="C451" i="14"/>
  <c r="B451" i="14"/>
  <c r="A451" i="14"/>
  <c r="Z450" i="14"/>
  <c r="Y450" i="14"/>
  <c r="X450" i="14"/>
  <c r="W450" i="14"/>
  <c r="V450" i="14"/>
  <c r="U450" i="14"/>
  <c r="T450" i="14"/>
  <c r="S450" i="14"/>
  <c r="R450" i="14"/>
  <c r="Q450" i="14"/>
  <c r="P450" i="14"/>
  <c r="O450" i="14"/>
  <c r="N450" i="14"/>
  <c r="M450" i="14"/>
  <c r="L450" i="14"/>
  <c r="K450" i="14"/>
  <c r="J450" i="14"/>
  <c r="I450" i="14"/>
  <c r="H450" i="14"/>
  <c r="G450" i="14"/>
  <c r="F450" i="14"/>
  <c r="E450" i="14"/>
  <c r="D450" i="14"/>
  <c r="C450" i="14"/>
  <c r="B450" i="14"/>
  <c r="A450" i="14"/>
  <c r="Z449" i="14"/>
  <c r="Y449" i="14"/>
  <c r="X449" i="14"/>
  <c r="W449" i="14"/>
  <c r="V449" i="14"/>
  <c r="U449" i="14"/>
  <c r="T449" i="14"/>
  <c r="S449" i="14"/>
  <c r="R449" i="14"/>
  <c r="Q449" i="14"/>
  <c r="P449" i="14"/>
  <c r="O449" i="14"/>
  <c r="N449" i="14"/>
  <c r="M449" i="14"/>
  <c r="L449" i="14"/>
  <c r="K449" i="14"/>
  <c r="J449" i="14"/>
  <c r="I449" i="14"/>
  <c r="H449" i="14"/>
  <c r="G449" i="14"/>
  <c r="F449" i="14"/>
  <c r="E449" i="14"/>
  <c r="D449" i="14"/>
  <c r="C449" i="14"/>
  <c r="B449" i="14"/>
  <c r="A449" i="14"/>
  <c r="Z448" i="14"/>
  <c r="Y448" i="14"/>
  <c r="X448" i="14"/>
  <c r="W448" i="14"/>
  <c r="V448" i="14"/>
  <c r="U448" i="14"/>
  <c r="T448" i="14"/>
  <c r="S448" i="14"/>
  <c r="R448" i="14"/>
  <c r="Q448" i="14"/>
  <c r="P448" i="14"/>
  <c r="O448" i="14"/>
  <c r="N448" i="14"/>
  <c r="M448" i="14"/>
  <c r="L448" i="14"/>
  <c r="K448" i="14"/>
  <c r="J448" i="14"/>
  <c r="I448" i="14"/>
  <c r="H448" i="14"/>
  <c r="G448" i="14"/>
  <c r="F448" i="14"/>
  <c r="E448" i="14"/>
  <c r="D448" i="14"/>
  <c r="C448" i="14"/>
  <c r="B448" i="14"/>
  <c r="A448" i="14"/>
  <c r="Z447" i="14"/>
  <c r="Y447" i="14"/>
  <c r="X447" i="14"/>
  <c r="W447" i="14"/>
  <c r="V447" i="14"/>
  <c r="U447" i="14"/>
  <c r="T447" i="14"/>
  <c r="S447" i="14"/>
  <c r="R447" i="14"/>
  <c r="Q447" i="14"/>
  <c r="P447" i="14"/>
  <c r="O447" i="14"/>
  <c r="N447" i="14"/>
  <c r="M447" i="14"/>
  <c r="L447" i="14"/>
  <c r="K447" i="14"/>
  <c r="J447" i="14"/>
  <c r="I447" i="14"/>
  <c r="H447" i="14"/>
  <c r="G447" i="14"/>
  <c r="F447" i="14"/>
  <c r="E447" i="14"/>
  <c r="D447" i="14"/>
  <c r="C447" i="14"/>
  <c r="B447" i="14"/>
  <c r="A447" i="14"/>
  <c r="Z446" i="14"/>
  <c r="Y446" i="14"/>
  <c r="X446" i="14"/>
  <c r="W446" i="14"/>
  <c r="V446" i="14"/>
  <c r="U446" i="14"/>
  <c r="T446" i="14"/>
  <c r="S446" i="14"/>
  <c r="R446" i="14"/>
  <c r="Q446" i="14"/>
  <c r="P446" i="14"/>
  <c r="O446" i="14"/>
  <c r="N446" i="14"/>
  <c r="M446" i="14"/>
  <c r="L446" i="14"/>
  <c r="K446" i="14"/>
  <c r="J446" i="14"/>
  <c r="I446" i="14"/>
  <c r="H446" i="14"/>
  <c r="G446" i="14"/>
  <c r="F446" i="14"/>
  <c r="E446" i="14"/>
  <c r="D446" i="14"/>
  <c r="C446" i="14"/>
  <c r="B446" i="14"/>
  <c r="A446" i="14"/>
  <c r="Z445" i="14"/>
  <c r="Y445" i="14"/>
  <c r="X445" i="14"/>
  <c r="W445" i="14"/>
  <c r="V445" i="14"/>
  <c r="U445" i="14"/>
  <c r="T445" i="14"/>
  <c r="S445" i="14"/>
  <c r="R445" i="14"/>
  <c r="Q445" i="14"/>
  <c r="P445" i="14"/>
  <c r="O445" i="14"/>
  <c r="N445" i="14"/>
  <c r="M445" i="14"/>
  <c r="L445" i="14"/>
  <c r="K445" i="14"/>
  <c r="J445" i="14"/>
  <c r="I445" i="14"/>
  <c r="H445" i="14"/>
  <c r="G445" i="14"/>
  <c r="F445" i="14"/>
  <c r="E445" i="14"/>
  <c r="D445" i="14"/>
  <c r="C445" i="14"/>
  <c r="B445" i="14"/>
  <c r="A445" i="14"/>
  <c r="Z444" i="14"/>
  <c r="Y444" i="14"/>
  <c r="X444" i="14"/>
  <c r="W444" i="14"/>
  <c r="V444" i="14"/>
  <c r="U444" i="14"/>
  <c r="T444" i="14"/>
  <c r="S444" i="14"/>
  <c r="R444" i="14"/>
  <c r="Q444" i="14"/>
  <c r="P444" i="14"/>
  <c r="O444" i="14"/>
  <c r="N444" i="14"/>
  <c r="M444" i="14"/>
  <c r="L444" i="14"/>
  <c r="K444" i="14"/>
  <c r="J444" i="14"/>
  <c r="I444" i="14"/>
  <c r="H444" i="14"/>
  <c r="G444" i="14"/>
  <c r="F444" i="14"/>
  <c r="E444" i="14"/>
  <c r="D444" i="14"/>
  <c r="C444" i="14"/>
  <c r="B444" i="14"/>
  <c r="A444" i="14"/>
  <c r="Z443" i="14"/>
  <c r="Y443" i="14"/>
  <c r="X443" i="14"/>
  <c r="W443" i="14"/>
  <c r="V443" i="14"/>
  <c r="U443" i="14"/>
  <c r="T443" i="14"/>
  <c r="S443" i="14"/>
  <c r="R443" i="14"/>
  <c r="Q443" i="14"/>
  <c r="P443" i="14"/>
  <c r="O443" i="14"/>
  <c r="N443" i="14"/>
  <c r="M443" i="14"/>
  <c r="L443" i="14"/>
  <c r="K443" i="14"/>
  <c r="J443" i="14"/>
  <c r="I443" i="14"/>
  <c r="H443" i="14"/>
  <c r="G443" i="14"/>
  <c r="F443" i="14"/>
  <c r="E443" i="14"/>
  <c r="D443" i="14"/>
  <c r="C443" i="14"/>
  <c r="B443" i="14"/>
  <c r="A443" i="14"/>
  <c r="Z442" i="14"/>
  <c r="Y442" i="14"/>
  <c r="X442" i="14"/>
  <c r="W442" i="14"/>
  <c r="V442" i="14"/>
  <c r="U442" i="14"/>
  <c r="T442" i="14"/>
  <c r="S442" i="14"/>
  <c r="R442" i="14"/>
  <c r="Q442" i="14"/>
  <c r="P442" i="14"/>
  <c r="O442" i="14"/>
  <c r="N442" i="14"/>
  <c r="M442" i="14"/>
  <c r="L442" i="14"/>
  <c r="K442" i="14"/>
  <c r="J442" i="14"/>
  <c r="I442" i="14"/>
  <c r="H442" i="14"/>
  <c r="G442" i="14"/>
  <c r="F442" i="14"/>
  <c r="E442" i="14"/>
  <c r="D442" i="14"/>
  <c r="C442" i="14"/>
  <c r="B442" i="14"/>
  <c r="A442" i="14"/>
  <c r="Z441" i="14"/>
  <c r="Y441" i="14"/>
  <c r="X441" i="14"/>
  <c r="W441" i="14"/>
  <c r="V441" i="14"/>
  <c r="U441" i="14"/>
  <c r="T441" i="14"/>
  <c r="S441" i="14"/>
  <c r="R441" i="14"/>
  <c r="Q441" i="14"/>
  <c r="P441" i="14"/>
  <c r="O441" i="14"/>
  <c r="N441" i="14"/>
  <c r="M441" i="14"/>
  <c r="L441" i="14"/>
  <c r="K441" i="14"/>
  <c r="J441" i="14"/>
  <c r="I441" i="14"/>
  <c r="H441" i="14"/>
  <c r="G441" i="14"/>
  <c r="F441" i="14"/>
  <c r="E441" i="14"/>
  <c r="D441" i="14"/>
  <c r="C441" i="14"/>
  <c r="B441" i="14"/>
  <c r="A441" i="14"/>
  <c r="Z440" i="14"/>
  <c r="Y440" i="14"/>
  <c r="X440" i="14"/>
  <c r="W440" i="14"/>
  <c r="V440" i="14"/>
  <c r="U440" i="14"/>
  <c r="T440" i="14"/>
  <c r="S440" i="14"/>
  <c r="R440" i="14"/>
  <c r="Q440" i="14"/>
  <c r="P440" i="14"/>
  <c r="O440" i="14"/>
  <c r="N440" i="14"/>
  <c r="M440" i="14"/>
  <c r="L440" i="14"/>
  <c r="K440" i="14"/>
  <c r="J440" i="14"/>
  <c r="I440" i="14"/>
  <c r="H440" i="14"/>
  <c r="G440" i="14"/>
  <c r="F440" i="14"/>
  <c r="E440" i="14"/>
  <c r="D440" i="14"/>
  <c r="C440" i="14"/>
  <c r="B440" i="14"/>
  <c r="A440" i="14"/>
  <c r="Z439" i="14"/>
  <c r="Y439" i="14"/>
  <c r="X439" i="14"/>
  <c r="W439" i="14"/>
  <c r="V439" i="14"/>
  <c r="U439" i="14"/>
  <c r="T439" i="14"/>
  <c r="S439" i="14"/>
  <c r="R439" i="14"/>
  <c r="Q439" i="14"/>
  <c r="P439" i="14"/>
  <c r="O439" i="14"/>
  <c r="N439" i="14"/>
  <c r="M439" i="14"/>
  <c r="L439" i="14"/>
  <c r="K439" i="14"/>
  <c r="J439" i="14"/>
  <c r="I439" i="14"/>
  <c r="H439" i="14"/>
  <c r="G439" i="14"/>
  <c r="F439" i="14"/>
  <c r="E439" i="14"/>
  <c r="D439" i="14"/>
  <c r="C439" i="14"/>
  <c r="B439" i="14"/>
  <c r="A439" i="14"/>
  <c r="Z438" i="14"/>
  <c r="Y438" i="14"/>
  <c r="X438" i="14"/>
  <c r="W438" i="14"/>
  <c r="V438" i="14"/>
  <c r="U438" i="14"/>
  <c r="T438" i="14"/>
  <c r="S438" i="14"/>
  <c r="R438" i="14"/>
  <c r="Q438" i="14"/>
  <c r="P438" i="14"/>
  <c r="O438" i="14"/>
  <c r="N438" i="14"/>
  <c r="M438" i="14"/>
  <c r="L438" i="14"/>
  <c r="K438" i="14"/>
  <c r="J438" i="14"/>
  <c r="I438" i="14"/>
  <c r="H438" i="14"/>
  <c r="G438" i="14"/>
  <c r="F438" i="14"/>
  <c r="E438" i="14"/>
  <c r="D438" i="14"/>
  <c r="C438" i="14"/>
  <c r="B438" i="14"/>
  <c r="A438" i="14"/>
  <c r="Z437" i="14"/>
  <c r="Y437" i="14"/>
  <c r="X437" i="14"/>
  <c r="W437" i="14"/>
  <c r="V437" i="14"/>
  <c r="U437" i="14"/>
  <c r="T437" i="14"/>
  <c r="S437" i="14"/>
  <c r="R437" i="14"/>
  <c r="Q437" i="14"/>
  <c r="P437" i="14"/>
  <c r="O437" i="14"/>
  <c r="N437" i="14"/>
  <c r="M437" i="14"/>
  <c r="L437" i="14"/>
  <c r="K437" i="14"/>
  <c r="J437" i="14"/>
  <c r="I437" i="14"/>
  <c r="H437" i="14"/>
  <c r="G437" i="14"/>
  <c r="F437" i="14"/>
  <c r="E437" i="14"/>
  <c r="D437" i="14"/>
  <c r="C437" i="14"/>
  <c r="B437" i="14"/>
  <c r="A437" i="14"/>
  <c r="Z436" i="14"/>
  <c r="Y436" i="14"/>
  <c r="X436" i="14"/>
  <c r="W436" i="14"/>
  <c r="V436" i="14"/>
  <c r="U436" i="14"/>
  <c r="T436" i="14"/>
  <c r="S436" i="14"/>
  <c r="R436" i="14"/>
  <c r="Q436" i="14"/>
  <c r="P436" i="14"/>
  <c r="O436" i="14"/>
  <c r="N436" i="14"/>
  <c r="M436" i="14"/>
  <c r="L436" i="14"/>
  <c r="K436" i="14"/>
  <c r="J436" i="14"/>
  <c r="I436" i="14"/>
  <c r="H436" i="14"/>
  <c r="G436" i="14"/>
  <c r="F436" i="14"/>
  <c r="E436" i="14"/>
  <c r="D436" i="14"/>
  <c r="C436" i="14"/>
  <c r="B436" i="14"/>
  <c r="A436" i="14"/>
  <c r="Z435" i="14"/>
  <c r="Y435" i="14"/>
  <c r="X435" i="14"/>
  <c r="W435" i="14"/>
  <c r="V435" i="14"/>
  <c r="U435" i="14"/>
  <c r="T435" i="14"/>
  <c r="S435" i="14"/>
  <c r="R435" i="14"/>
  <c r="Q435" i="14"/>
  <c r="P435" i="14"/>
  <c r="O435" i="14"/>
  <c r="N435" i="14"/>
  <c r="M435" i="14"/>
  <c r="L435" i="14"/>
  <c r="K435" i="14"/>
  <c r="J435" i="14"/>
  <c r="I435" i="14"/>
  <c r="H435" i="14"/>
  <c r="G435" i="14"/>
  <c r="F435" i="14"/>
  <c r="E435" i="14"/>
  <c r="D435" i="14"/>
  <c r="C435" i="14"/>
  <c r="B435" i="14"/>
  <c r="A435" i="14"/>
  <c r="Z434" i="14"/>
  <c r="Y434" i="14"/>
  <c r="X434" i="14"/>
  <c r="W434" i="14"/>
  <c r="V434" i="14"/>
  <c r="U434" i="14"/>
  <c r="T434" i="14"/>
  <c r="S434" i="14"/>
  <c r="R434" i="14"/>
  <c r="Q434" i="14"/>
  <c r="P434" i="14"/>
  <c r="O434" i="14"/>
  <c r="N434" i="14"/>
  <c r="M434" i="14"/>
  <c r="L434" i="14"/>
  <c r="K434" i="14"/>
  <c r="J434" i="14"/>
  <c r="I434" i="14"/>
  <c r="H434" i="14"/>
  <c r="G434" i="14"/>
  <c r="F434" i="14"/>
  <c r="E434" i="14"/>
  <c r="D434" i="14"/>
  <c r="C434" i="14"/>
  <c r="B434" i="14"/>
  <c r="A434" i="14"/>
  <c r="Z433" i="14"/>
  <c r="Y433" i="14"/>
  <c r="X433" i="14"/>
  <c r="W433" i="14"/>
  <c r="V433" i="14"/>
  <c r="U433" i="14"/>
  <c r="T433" i="14"/>
  <c r="S433" i="14"/>
  <c r="R433" i="14"/>
  <c r="Q433" i="14"/>
  <c r="P433" i="14"/>
  <c r="O433" i="14"/>
  <c r="N433" i="14"/>
  <c r="M433" i="14"/>
  <c r="L433" i="14"/>
  <c r="K433" i="14"/>
  <c r="J433" i="14"/>
  <c r="I433" i="14"/>
  <c r="H433" i="14"/>
  <c r="G433" i="14"/>
  <c r="F433" i="14"/>
  <c r="E433" i="14"/>
  <c r="D433" i="14"/>
  <c r="C433" i="14"/>
  <c r="B433" i="14"/>
  <c r="A433" i="14"/>
  <c r="Z432" i="14"/>
  <c r="Y432" i="14"/>
  <c r="X432" i="14"/>
  <c r="W432" i="14"/>
  <c r="V432" i="14"/>
  <c r="U432" i="14"/>
  <c r="T432" i="14"/>
  <c r="S432" i="14"/>
  <c r="R432" i="14"/>
  <c r="Q432" i="14"/>
  <c r="P432" i="14"/>
  <c r="O432" i="14"/>
  <c r="N432" i="14"/>
  <c r="M432" i="14"/>
  <c r="L432" i="14"/>
  <c r="K432" i="14"/>
  <c r="J432" i="14"/>
  <c r="I432" i="14"/>
  <c r="H432" i="14"/>
  <c r="G432" i="14"/>
  <c r="F432" i="14"/>
  <c r="E432" i="14"/>
  <c r="D432" i="14"/>
  <c r="C432" i="14"/>
  <c r="B432" i="14"/>
  <c r="A432" i="14"/>
  <c r="Z431" i="14"/>
  <c r="Y431" i="14"/>
  <c r="X431" i="14"/>
  <c r="W431" i="14"/>
  <c r="V431" i="14"/>
  <c r="U431" i="14"/>
  <c r="T431" i="14"/>
  <c r="S431" i="14"/>
  <c r="R431" i="14"/>
  <c r="Q431" i="14"/>
  <c r="P431" i="14"/>
  <c r="O431" i="14"/>
  <c r="N431" i="14"/>
  <c r="M431" i="14"/>
  <c r="L431" i="14"/>
  <c r="K431" i="14"/>
  <c r="J431" i="14"/>
  <c r="I431" i="14"/>
  <c r="H431" i="14"/>
  <c r="G431" i="14"/>
  <c r="F431" i="14"/>
  <c r="E431" i="14"/>
  <c r="D431" i="14"/>
  <c r="C431" i="14"/>
  <c r="B431" i="14"/>
  <c r="A431" i="14"/>
  <c r="Z430" i="14"/>
  <c r="Y430" i="14"/>
  <c r="X430" i="14"/>
  <c r="W430" i="14"/>
  <c r="V430" i="14"/>
  <c r="U430" i="14"/>
  <c r="T430" i="14"/>
  <c r="S430" i="14"/>
  <c r="R430" i="14"/>
  <c r="Q430" i="14"/>
  <c r="P430" i="14"/>
  <c r="O430" i="14"/>
  <c r="N430" i="14"/>
  <c r="M430" i="14"/>
  <c r="L430" i="14"/>
  <c r="K430" i="14"/>
  <c r="J430" i="14"/>
  <c r="I430" i="14"/>
  <c r="H430" i="14"/>
  <c r="G430" i="14"/>
  <c r="F430" i="14"/>
  <c r="E430" i="14"/>
  <c r="D430" i="14"/>
  <c r="C430" i="14"/>
  <c r="B430" i="14"/>
  <c r="A430" i="14"/>
  <c r="Z429" i="14"/>
  <c r="Y429" i="14"/>
  <c r="X429" i="14"/>
  <c r="W429" i="14"/>
  <c r="V429" i="14"/>
  <c r="U429" i="14"/>
  <c r="T429" i="14"/>
  <c r="S429" i="14"/>
  <c r="R429" i="14"/>
  <c r="Q429" i="14"/>
  <c r="P429" i="14"/>
  <c r="O429" i="14"/>
  <c r="N429" i="14"/>
  <c r="M429" i="14"/>
  <c r="L429" i="14"/>
  <c r="K429" i="14"/>
  <c r="J429" i="14"/>
  <c r="I429" i="14"/>
  <c r="H429" i="14"/>
  <c r="G429" i="14"/>
  <c r="F429" i="14"/>
  <c r="E429" i="14"/>
  <c r="D429" i="14"/>
  <c r="C429" i="14"/>
  <c r="B429" i="14"/>
  <c r="A429" i="14"/>
  <c r="Z428" i="14"/>
  <c r="Y428" i="14"/>
  <c r="X428" i="14"/>
  <c r="W428" i="14"/>
  <c r="V428" i="14"/>
  <c r="U428" i="14"/>
  <c r="T428" i="14"/>
  <c r="S428" i="14"/>
  <c r="R428" i="14"/>
  <c r="Q428" i="14"/>
  <c r="P428" i="14"/>
  <c r="O428" i="14"/>
  <c r="N428" i="14"/>
  <c r="M428" i="14"/>
  <c r="L428" i="14"/>
  <c r="K428" i="14"/>
  <c r="J428" i="14"/>
  <c r="I428" i="14"/>
  <c r="H428" i="14"/>
  <c r="G428" i="14"/>
  <c r="F428" i="14"/>
  <c r="E428" i="14"/>
  <c r="D428" i="14"/>
  <c r="C428" i="14"/>
  <c r="B428" i="14"/>
  <c r="A428" i="14"/>
  <c r="Z427" i="14"/>
  <c r="Y427" i="14"/>
  <c r="X427" i="14"/>
  <c r="W427" i="14"/>
  <c r="V427" i="14"/>
  <c r="U427" i="14"/>
  <c r="T427" i="14"/>
  <c r="S427" i="14"/>
  <c r="R427" i="14"/>
  <c r="Q427" i="14"/>
  <c r="P427" i="14"/>
  <c r="O427" i="14"/>
  <c r="N427" i="14"/>
  <c r="M427" i="14"/>
  <c r="L427" i="14"/>
  <c r="K427" i="14"/>
  <c r="J427" i="14"/>
  <c r="I427" i="14"/>
  <c r="H427" i="14"/>
  <c r="G427" i="14"/>
  <c r="F427" i="14"/>
  <c r="E427" i="14"/>
  <c r="D427" i="14"/>
  <c r="C427" i="14"/>
  <c r="B427" i="14"/>
  <c r="A427" i="14"/>
  <c r="Z426" i="14"/>
  <c r="Y426" i="14"/>
  <c r="X426" i="14"/>
  <c r="W426" i="14"/>
  <c r="V426" i="14"/>
  <c r="U426" i="14"/>
  <c r="T426" i="14"/>
  <c r="S426" i="14"/>
  <c r="R426" i="14"/>
  <c r="Q426" i="14"/>
  <c r="P426" i="14"/>
  <c r="O426" i="14"/>
  <c r="N426" i="14"/>
  <c r="M426" i="14"/>
  <c r="L426" i="14"/>
  <c r="K426" i="14"/>
  <c r="J426" i="14"/>
  <c r="I426" i="14"/>
  <c r="H426" i="14"/>
  <c r="G426" i="14"/>
  <c r="F426" i="14"/>
  <c r="E426" i="14"/>
  <c r="D426" i="14"/>
  <c r="C426" i="14"/>
  <c r="B426" i="14"/>
  <c r="A426" i="14"/>
  <c r="Z425" i="14"/>
  <c r="Y425" i="14"/>
  <c r="X425" i="14"/>
  <c r="W425" i="14"/>
  <c r="V425" i="14"/>
  <c r="U425" i="14"/>
  <c r="T425" i="14"/>
  <c r="S425" i="14"/>
  <c r="R425" i="14"/>
  <c r="Q425" i="14"/>
  <c r="P425" i="14"/>
  <c r="O425" i="14"/>
  <c r="N425" i="14"/>
  <c r="M425" i="14"/>
  <c r="L425" i="14"/>
  <c r="K425" i="14"/>
  <c r="J425" i="14"/>
  <c r="I425" i="14"/>
  <c r="H425" i="14"/>
  <c r="G425" i="14"/>
  <c r="F425" i="14"/>
  <c r="E425" i="14"/>
  <c r="D425" i="14"/>
  <c r="C425" i="14"/>
  <c r="B425" i="14"/>
  <c r="A425" i="14"/>
  <c r="Z424" i="14"/>
  <c r="Y424" i="14"/>
  <c r="X424" i="14"/>
  <c r="W424" i="14"/>
  <c r="V424" i="14"/>
  <c r="U424" i="14"/>
  <c r="T424" i="14"/>
  <c r="S424" i="14"/>
  <c r="R424" i="14"/>
  <c r="Q424" i="14"/>
  <c r="P424" i="14"/>
  <c r="O424" i="14"/>
  <c r="N424" i="14"/>
  <c r="M424" i="14"/>
  <c r="L424" i="14"/>
  <c r="K424" i="14"/>
  <c r="J424" i="14"/>
  <c r="I424" i="14"/>
  <c r="H424" i="14"/>
  <c r="G424" i="14"/>
  <c r="F424" i="14"/>
  <c r="E424" i="14"/>
  <c r="D424" i="14"/>
  <c r="C424" i="14"/>
  <c r="B424" i="14"/>
  <c r="A424" i="14"/>
  <c r="Z423" i="14"/>
  <c r="Y423" i="14"/>
  <c r="X423" i="14"/>
  <c r="W423" i="14"/>
  <c r="V423" i="14"/>
  <c r="U423" i="14"/>
  <c r="T423" i="14"/>
  <c r="S423" i="14"/>
  <c r="R423" i="14"/>
  <c r="Q423" i="14"/>
  <c r="P423" i="14"/>
  <c r="O423" i="14"/>
  <c r="N423" i="14"/>
  <c r="M423" i="14"/>
  <c r="L423" i="14"/>
  <c r="K423" i="14"/>
  <c r="J423" i="14"/>
  <c r="I423" i="14"/>
  <c r="H423" i="14"/>
  <c r="G423" i="14"/>
  <c r="F423" i="14"/>
  <c r="E423" i="14"/>
  <c r="D423" i="14"/>
  <c r="C423" i="14"/>
  <c r="B423" i="14"/>
  <c r="A423" i="14"/>
  <c r="Z422" i="14"/>
  <c r="Y422" i="14"/>
  <c r="X422" i="14"/>
  <c r="W422" i="14"/>
  <c r="V422" i="14"/>
  <c r="U422" i="14"/>
  <c r="T422" i="14"/>
  <c r="S422" i="14"/>
  <c r="R422" i="14"/>
  <c r="Q422" i="14"/>
  <c r="P422" i="14"/>
  <c r="O422" i="14"/>
  <c r="N422" i="14"/>
  <c r="M422" i="14"/>
  <c r="L422" i="14"/>
  <c r="K422" i="14"/>
  <c r="J422" i="14"/>
  <c r="I422" i="14"/>
  <c r="H422" i="14"/>
  <c r="G422" i="14"/>
  <c r="F422" i="14"/>
  <c r="E422" i="14"/>
  <c r="D422" i="14"/>
  <c r="C422" i="14"/>
  <c r="B422" i="14"/>
  <c r="A422" i="14"/>
  <c r="Z421" i="14"/>
  <c r="Y421" i="14"/>
  <c r="X421" i="14"/>
  <c r="W421" i="14"/>
  <c r="V421" i="14"/>
  <c r="U421" i="14"/>
  <c r="T421" i="14"/>
  <c r="S421" i="14"/>
  <c r="R421" i="14"/>
  <c r="Q421" i="14"/>
  <c r="P421" i="14"/>
  <c r="O421" i="14"/>
  <c r="N421" i="14"/>
  <c r="M421" i="14"/>
  <c r="L421" i="14"/>
  <c r="K421" i="14"/>
  <c r="J421" i="14"/>
  <c r="I421" i="14"/>
  <c r="H421" i="14"/>
  <c r="G421" i="14"/>
  <c r="F421" i="14"/>
  <c r="E421" i="14"/>
  <c r="D421" i="14"/>
  <c r="C421" i="14"/>
  <c r="B421" i="14"/>
  <c r="A421" i="14"/>
  <c r="Z420" i="14"/>
  <c r="Y420" i="14"/>
  <c r="X420" i="14"/>
  <c r="W420" i="14"/>
  <c r="V420" i="14"/>
  <c r="U420" i="14"/>
  <c r="T420" i="14"/>
  <c r="S420" i="14"/>
  <c r="R420" i="14"/>
  <c r="Q420" i="14"/>
  <c r="P420" i="14"/>
  <c r="O420" i="14"/>
  <c r="N420" i="14"/>
  <c r="M420" i="14"/>
  <c r="L420" i="14"/>
  <c r="K420" i="14"/>
  <c r="J420" i="14"/>
  <c r="I420" i="14"/>
  <c r="H420" i="14"/>
  <c r="G420" i="14"/>
  <c r="F420" i="14"/>
  <c r="E420" i="14"/>
  <c r="D420" i="14"/>
  <c r="C420" i="14"/>
  <c r="B420" i="14"/>
  <c r="A420" i="14"/>
  <c r="Z419" i="14"/>
  <c r="Y419" i="14"/>
  <c r="X419" i="14"/>
  <c r="W419" i="14"/>
  <c r="V419" i="14"/>
  <c r="U419" i="14"/>
  <c r="T419" i="14"/>
  <c r="S419" i="14"/>
  <c r="R419" i="14"/>
  <c r="Q419" i="14"/>
  <c r="P419" i="14"/>
  <c r="O419" i="14"/>
  <c r="N419" i="14"/>
  <c r="M419" i="14"/>
  <c r="L419" i="14"/>
  <c r="K419" i="14"/>
  <c r="J419" i="14"/>
  <c r="I419" i="14"/>
  <c r="H419" i="14"/>
  <c r="G419" i="14"/>
  <c r="F419" i="14"/>
  <c r="E419" i="14"/>
  <c r="D419" i="14"/>
  <c r="C419" i="14"/>
  <c r="B419" i="14"/>
  <c r="A419" i="14"/>
  <c r="Z418" i="14"/>
  <c r="Y418" i="14"/>
  <c r="X418" i="14"/>
  <c r="W418" i="14"/>
  <c r="V418" i="14"/>
  <c r="U418" i="14"/>
  <c r="T418" i="14"/>
  <c r="S418" i="14"/>
  <c r="R418" i="14"/>
  <c r="Q418" i="14"/>
  <c r="P418" i="14"/>
  <c r="O418" i="14"/>
  <c r="N418" i="14"/>
  <c r="M418" i="14"/>
  <c r="L418" i="14"/>
  <c r="K418" i="14"/>
  <c r="J418" i="14"/>
  <c r="I418" i="14"/>
  <c r="H418" i="14"/>
  <c r="G418" i="14"/>
  <c r="F418" i="14"/>
  <c r="E418" i="14"/>
  <c r="D418" i="14"/>
  <c r="C418" i="14"/>
  <c r="B418" i="14"/>
  <c r="A418" i="14"/>
  <c r="Z417" i="14"/>
  <c r="Y417" i="14"/>
  <c r="X417" i="14"/>
  <c r="W417" i="14"/>
  <c r="V417" i="14"/>
  <c r="U417" i="14"/>
  <c r="T417" i="14"/>
  <c r="S417" i="14"/>
  <c r="R417" i="14"/>
  <c r="Q417" i="14"/>
  <c r="P417" i="14"/>
  <c r="O417" i="14"/>
  <c r="N417" i="14"/>
  <c r="M417" i="14"/>
  <c r="L417" i="14"/>
  <c r="K417" i="14"/>
  <c r="J417" i="14"/>
  <c r="I417" i="14"/>
  <c r="H417" i="14"/>
  <c r="G417" i="14"/>
  <c r="F417" i="14"/>
  <c r="E417" i="14"/>
  <c r="D417" i="14"/>
  <c r="C417" i="14"/>
  <c r="B417" i="14"/>
  <c r="A417" i="14"/>
  <c r="Z416" i="14"/>
  <c r="Y416" i="14"/>
  <c r="X416" i="14"/>
  <c r="W416" i="14"/>
  <c r="V416" i="14"/>
  <c r="U416" i="14"/>
  <c r="T416" i="14"/>
  <c r="S416" i="14"/>
  <c r="R416" i="14"/>
  <c r="Q416" i="14"/>
  <c r="P416" i="14"/>
  <c r="O416" i="14"/>
  <c r="N416" i="14"/>
  <c r="M416" i="14"/>
  <c r="L416" i="14"/>
  <c r="K416" i="14"/>
  <c r="J416" i="14"/>
  <c r="I416" i="14"/>
  <c r="H416" i="14"/>
  <c r="G416" i="14"/>
  <c r="F416" i="14"/>
  <c r="E416" i="14"/>
  <c r="D416" i="14"/>
  <c r="C416" i="14"/>
  <c r="B416" i="14"/>
  <c r="A416" i="14"/>
  <c r="Z415" i="14"/>
  <c r="Y415" i="14"/>
  <c r="X415" i="14"/>
  <c r="W415" i="14"/>
  <c r="V415" i="14"/>
  <c r="U415" i="14"/>
  <c r="T415" i="14"/>
  <c r="S415" i="14"/>
  <c r="R415" i="14"/>
  <c r="Q415" i="14"/>
  <c r="P415" i="14"/>
  <c r="O415" i="14"/>
  <c r="N415" i="14"/>
  <c r="M415" i="14"/>
  <c r="L415" i="14"/>
  <c r="K415" i="14"/>
  <c r="J415" i="14"/>
  <c r="I415" i="14"/>
  <c r="H415" i="14"/>
  <c r="G415" i="14"/>
  <c r="F415" i="14"/>
  <c r="E415" i="14"/>
  <c r="D415" i="14"/>
  <c r="C415" i="14"/>
  <c r="B415" i="14"/>
  <c r="A415" i="14"/>
  <c r="Z414" i="14"/>
  <c r="Y414" i="14"/>
  <c r="X414" i="14"/>
  <c r="W414" i="14"/>
  <c r="V414" i="14"/>
  <c r="U414" i="14"/>
  <c r="T414" i="14"/>
  <c r="S414" i="14"/>
  <c r="R414" i="14"/>
  <c r="Q414" i="14"/>
  <c r="P414" i="14"/>
  <c r="O414" i="14"/>
  <c r="N414" i="14"/>
  <c r="M414" i="14"/>
  <c r="L414" i="14"/>
  <c r="K414" i="14"/>
  <c r="J414" i="14"/>
  <c r="I414" i="14"/>
  <c r="H414" i="14"/>
  <c r="G414" i="14"/>
  <c r="F414" i="14"/>
  <c r="E414" i="14"/>
  <c r="D414" i="14"/>
  <c r="C414" i="14"/>
  <c r="B414" i="14"/>
  <c r="A414" i="14"/>
  <c r="Z413" i="14"/>
  <c r="Y413" i="14"/>
  <c r="X413" i="14"/>
  <c r="W413" i="14"/>
  <c r="V413" i="14"/>
  <c r="U413" i="14"/>
  <c r="T413" i="14"/>
  <c r="S413" i="14"/>
  <c r="R413" i="14"/>
  <c r="Q413" i="14"/>
  <c r="P413" i="14"/>
  <c r="O413" i="14"/>
  <c r="N413" i="14"/>
  <c r="M413" i="14"/>
  <c r="L413" i="14"/>
  <c r="K413" i="14"/>
  <c r="J413" i="14"/>
  <c r="I413" i="14"/>
  <c r="H413" i="14"/>
  <c r="G413" i="14"/>
  <c r="F413" i="14"/>
  <c r="E413" i="14"/>
  <c r="D413" i="14"/>
  <c r="C413" i="14"/>
  <c r="B413" i="14"/>
  <c r="A413" i="14"/>
  <c r="Z412" i="14"/>
  <c r="Y412" i="14"/>
  <c r="X412" i="14"/>
  <c r="W412" i="14"/>
  <c r="V412" i="14"/>
  <c r="U412" i="14"/>
  <c r="T412" i="14"/>
  <c r="S412" i="14"/>
  <c r="R412" i="14"/>
  <c r="Q412" i="14"/>
  <c r="P412" i="14"/>
  <c r="O412" i="14"/>
  <c r="N412" i="14"/>
  <c r="M412" i="14"/>
  <c r="L412" i="14"/>
  <c r="K412" i="14"/>
  <c r="J412" i="14"/>
  <c r="I412" i="14"/>
  <c r="H412" i="14"/>
  <c r="G412" i="14"/>
  <c r="F412" i="14"/>
  <c r="E412" i="14"/>
  <c r="D412" i="14"/>
  <c r="C412" i="14"/>
  <c r="B412" i="14"/>
  <c r="A412" i="14"/>
  <c r="Z411" i="14"/>
  <c r="Y411" i="14"/>
  <c r="X411" i="14"/>
  <c r="W411" i="14"/>
  <c r="V411" i="14"/>
  <c r="U411" i="14"/>
  <c r="T411" i="14"/>
  <c r="S411" i="14"/>
  <c r="R411" i="14"/>
  <c r="Q411" i="14"/>
  <c r="P411" i="14"/>
  <c r="O411" i="14"/>
  <c r="N411" i="14"/>
  <c r="M411" i="14"/>
  <c r="L411" i="14"/>
  <c r="K411" i="14"/>
  <c r="J411" i="14"/>
  <c r="I411" i="14"/>
  <c r="H411" i="14"/>
  <c r="G411" i="14"/>
  <c r="F411" i="14"/>
  <c r="E411" i="14"/>
  <c r="D411" i="14"/>
  <c r="C411" i="14"/>
  <c r="B411" i="14"/>
  <c r="A411" i="14"/>
  <c r="Z410" i="14"/>
  <c r="Y410" i="14"/>
  <c r="X410" i="14"/>
  <c r="W410" i="14"/>
  <c r="V410" i="14"/>
  <c r="U410" i="14"/>
  <c r="T410" i="14"/>
  <c r="S410" i="14"/>
  <c r="R410" i="14"/>
  <c r="Q410" i="14"/>
  <c r="P410" i="14"/>
  <c r="O410" i="14"/>
  <c r="N410" i="14"/>
  <c r="M410" i="14"/>
  <c r="L410" i="14"/>
  <c r="K410" i="14"/>
  <c r="J410" i="14"/>
  <c r="I410" i="14"/>
  <c r="H410" i="14"/>
  <c r="G410" i="14"/>
  <c r="F410" i="14"/>
  <c r="E410" i="14"/>
  <c r="D410" i="14"/>
  <c r="C410" i="14"/>
  <c r="B410" i="14"/>
  <c r="A410" i="14"/>
  <c r="Z409" i="14"/>
  <c r="Y409" i="14"/>
  <c r="X409" i="14"/>
  <c r="W409" i="14"/>
  <c r="V409" i="14"/>
  <c r="U409" i="14"/>
  <c r="T409" i="14"/>
  <c r="S409" i="14"/>
  <c r="R409" i="14"/>
  <c r="Q409" i="14"/>
  <c r="P409" i="14"/>
  <c r="O409" i="14"/>
  <c r="N409" i="14"/>
  <c r="M409" i="14"/>
  <c r="L409" i="14"/>
  <c r="K409" i="14"/>
  <c r="J409" i="14"/>
  <c r="I409" i="14"/>
  <c r="H409" i="14"/>
  <c r="G409" i="14"/>
  <c r="F409" i="14"/>
  <c r="E409" i="14"/>
  <c r="D409" i="14"/>
  <c r="C409" i="14"/>
  <c r="B409" i="14"/>
  <c r="A409" i="14"/>
  <c r="Z408" i="14"/>
  <c r="Y408" i="14"/>
  <c r="X408" i="14"/>
  <c r="W408" i="14"/>
  <c r="V408" i="14"/>
  <c r="U408" i="14"/>
  <c r="T408" i="14"/>
  <c r="S408" i="14"/>
  <c r="R408" i="14"/>
  <c r="Q408" i="14"/>
  <c r="P408" i="14"/>
  <c r="O408" i="14"/>
  <c r="N408" i="14"/>
  <c r="M408" i="14"/>
  <c r="L408" i="14"/>
  <c r="K408" i="14"/>
  <c r="J408" i="14"/>
  <c r="I408" i="14"/>
  <c r="H408" i="14"/>
  <c r="G408" i="14"/>
  <c r="F408" i="14"/>
  <c r="E408" i="14"/>
  <c r="D408" i="14"/>
  <c r="C408" i="14"/>
  <c r="B408" i="14"/>
  <c r="A408" i="14"/>
  <c r="Z407" i="14"/>
  <c r="Y407" i="14"/>
  <c r="X407" i="14"/>
  <c r="W407" i="14"/>
  <c r="V407" i="14"/>
  <c r="U407" i="14"/>
  <c r="T407" i="14"/>
  <c r="S407" i="14"/>
  <c r="R407" i="14"/>
  <c r="Q407" i="14"/>
  <c r="P407" i="14"/>
  <c r="O407" i="14"/>
  <c r="N407" i="14"/>
  <c r="M407" i="14"/>
  <c r="L407" i="14"/>
  <c r="K407" i="14"/>
  <c r="J407" i="14"/>
  <c r="I407" i="14"/>
  <c r="H407" i="14"/>
  <c r="G407" i="14"/>
  <c r="F407" i="14"/>
  <c r="E407" i="14"/>
  <c r="D407" i="14"/>
  <c r="C407" i="14"/>
  <c r="B407" i="14"/>
  <c r="A407" i="14"/>
  <c r="Z406" i="14"/>
  <c r="Y406" i="14"/>
  <c r="X406" i="14"/>
  <c r="W406" i="14"/>
  <c r="V406" i="14"/>
  <c r="U406" i="14"/>
  <c r="T406" i="14"/>
  <c r="S406" i="14"/>
  <c r="R406" i="14"/>
  <c r="Q406" i="14"/>
  <c r="P406" i="14"/>
  <c r="O406" i="14"/>
  <c r="N406" i="14"/>
  <c r="M406" i="14"/>
  <c r="L406" i="14"/>
  <c r="K406" i="14"/>
  <c r="J406" i="14"/>
  <c r="I406" i="14"/>
  <c r="H406" i="14"/>
  <c r="G406" i="14"/>
  <c r="F406" i="14"/>
  <c r="E406" i="14"/>
  <c r="D406" i="14"/>
  <c r="C406" i="14"/>
  <c r="B406" i="14"/>
  <c r="A406" i="14"/>
  <c r="Z405" i="14"/>
  <c r="Y405" i="14"/>
  <c r="X405" i="14"/>
  <c r="W405" i="14"/>
  <c r="V405" i="14"/>
  <c r="U405" i="14"/>
  <c r="T405" i="14"/>
  <c r="S405" i="14"/>
  <c r="R405" i="14"/>
  <c r="Q405" i="14"/>
  <c r="P405" i="14"/>
  <c r="O405" i="14"/>
  <c r="N405" i="14"/>
  <c r="M405" i="14"/>
  <c r="L405" i="14"/>
  <c r="K405" i="14"/>
  <c r="J405" i="14"/>
  <c r="I405" i="14"/>
  <c r="H405" i="14"/>
  <c r="G405" i="14"/>
  <c r="F405" i="14"/>
  <c r="E405" i="14"/>
  <c r="D405" i="14"/>
  <c r="C405" i="14"/>
  <c r="B405" i="14"/>
  <c r="A405" i="14"/>
  <c r="Z404" i="14"/>
  <c r="Y404" i="14"/>
  <c r="X404" i="14"/>
  <c r="W404" i="14"/>
  <c r="V404" i="14"/>
  <c r="U404" i="14"/>
  <c r="T404" i="14"/>
  <c r="S404" i="14"/>
  <c r="R404" i="14"/>
  <c r="Q404" i="14"/>
  <c r="P404" i="14"/>
  <c r="O404" i="14"/>
  <c r="N404" i="14"/>
  <c r="M404" i="14"/>
  <c r="L404" i="14"/>
  <c r="K404" i="14"/>
  <c r="J404" i="14"/>
  <c r="I404" i="14"/>
  <c r="H404" i="14"/>
  <c r="G404" i="14"/>
  <c r="F404" i="14"/>
  <c r="E404" i="14"/>
  <c r="D404" i="14"/>
  <c r="C404" i="14"/>
  <c r="B404" i="14"/>
  <c r="A404" i="14"/>
  <c r="Z403" i="14"/>
  <c r="Y403" i="14"/>
  <c r="X403" i="14"/>
  <c r="W403" i="14"/>
  <c r="V403" i="14"/>
  <c r="U403" i="14"/>
  <c r="T403" i="14"/>
  <c r="S403" i="14"/>
  <c r="R403" i="14"/>
  <c r="Q403" i="14"/>
  <c r="P403" i="14"/>
  <c r="O403" i="14"/>
  <c r="N403" i="14"/>
  <c r="M403" i="14"/>
  <c r="L403" i="14"/>
  <c r="K403" i="14"/>
  <c r="J403" i="14"/>
  <c r="I403" i="14"/>
  <c r="H403" i="14"/>
  <c r="G403" i="14"/>
  <c r="F403" i="14"/>
  <c r="E403" i="14"/>
  <c r="D403" i="14"/>
  <c r="C403" i="14"/>
  <c r="B403" i="14"/>
  <c r="A403" i="14"/>
  <c r="Z402" i="14"/>
  <c r="Y402" i="14"/>
  <c r="X402" i="14"/>
  <c r="W402" i="14"/>
  <c r="V402" i="14"/>
  <c r="U402" i="14"/>
  <c r="T402" i="14"/>
  <c r="S402" i="14"/>
  <c r="R402" i="14"/>
  <c r="Q402" i="14"/>
  <c r="P402" i="14"/>
  <c r="O402" i="14"/>
  <c r="N402" i="14"/>
  <c r="M402" i="14"/>
  <c r="L402" i="14"/>
  <c r="K402" i="14"/>
  <c r="J402" i="14"/>
  <c r="I402" i="14"/>
  <c r="H402" i="14"/>
  <c r="G402" i="14"/>
  <c r="F402" i="14"/>
  <c r="E402" i="14"/>
  <c r="D402" i="14"/>
  <c r="C402" i="14"/>
  <c r="B402" i="14"/>
  <c r="A402" i="14"/>
  <c r="Z401" i="14"/>
  <c r="Y401" i="14"/>
  <c r="X401" i="14"/>
  <c r="W401" i="14"/>
  <c r="V401" i="14"/>
  <c r="U401" i="14"/>
  <c r="T401" i="14"/>
  <c r="S401" i="14"/>
  <c r="R401" i="14"/>
  <c r="Q401" i="14"/>
  <c r="P401" i="14"/>
  <c r="O401" i="14"/>
  <c r="N401" i="14"/>
  <c r="M401" i="14"/>
  <c r="L401" i="14"/>
  <c r="K401" i="14"/>
  <c r="J401" i="14"/>
  <c r="I401" i="14"/>
  <c r="H401" i="14"/>
  <c r="G401" i="14"/>
  <c r="F401" i="14"/>
  <c r="E401" i="14"/>
  <c r="D401" i="14"/>
  <c r="C401" i="14"/>
  <c r="B401" i="14"/>
  <c r="A401" i="14"/>
  <c r="Z400" i="14"/>
  <c r="Y400" i="14"/>
  <c r="X400" i="14"/>
  <c r="W400" i="14"/>
  <c r="V400" i="14"/>
  <c r="U400" i="14"/>
  <c r="T400" i="14"/>
  <c r="S400" i="14"/>
  <c r="R400" i="14"/>
  <c r="Q400" i="14"/>
  <c r="P400" i="14"/>
  <c r="O400" i="14"/>
  <c r="N400" i="14"/>
  <c r="M400" i="14"/>
  <c r="L400" i="14"/>
  <c r="K400" i="14"/>
  <c r="J400" i="14"/>
  <c r="I400" i="14"/>
  <c r="H400" i="14"/>
  <c r="G400" i="14"/>
  <c r="F400" i="14"/>
  <c r="E400" i="14"/>
  <c r="D400" i="14"/>
  <c r="C400" i="14"/>
  <c r="B400" i="14"/>
  <c r="A400" i="14"/>
  <c r="Z399" i="14"/>
  <c r="Y399" i="14"/>
  <c r="X399" i="14"/>
  <c r="W399" i="14"/>
  <c r="V399" i="14"/>
  <c r="U399" i="14"/>
  <c r="T399" i="14"/>
  <c r="S399" i="14"/>
  <c r="R399" i="14"/>
  <c r="Q399" i="14"/>
  <c r="P399" i="14"/>
  <c r="O399" i="14"/>
  <c r="N399" i="14"/>
  <c r="M399" i="14"/>
  <c r="L399" i="14"/>
  <c r="K399" i="14"/>
  <c r="J399" i="14"/>
  <c r="I399" i="14"/>
  <c r="H399" i="14"/>
  <c r="G399" i="14"/>
  <c r="F399" i="14"/>
  <c r="E399" i="14"/>
  <c r="D399" i="14"/>
  <c r="C399" i="14"/>
  <c r="B399" i="14"/>
  <c r="A399" i="14"/>
  <c r="Z398" i="14"/>
  <c r="Y398" i="14"/>
  <c r="X398" i="14"/>
  <c r="W398" i="14"/>
  <c r="V398" i="14"/>
  <c r="U398" i="14"/>
  <c r="T398" i="14"/>
  <c r="S398" i="14"/>
  <c r="R398" i="14"/>
  <c r="Q398" i="14"/>
  <c r="P398" i="14"/>
  <c r="O398" i="14"/>
  <c r="N398" i="14"/>
  <c r="M398" i="14"/>
  <c r="L398" i="14"/>
  <c r="K398" i="14"/>
  <c r="J398" i="14"/>
  <c r="I398" i="14"/>
  <c r="H398" i="14"/>
  <c r="G398" i="14"/>
  <c r="F398" i="14"/>
  <c r="E398" i="14"/>
  <c r="D398" i="14"/>
  <c r="C398" i="14"/>
  <c r="B398" i="14"/>
  <c r="A398" i="14"/>
  <c r="Z397" i="14"/>
  <c r="Y397" i="14"/>
  <c r="X397" i="14"/>
  <c r="W397" i="14"/>
  <c r="V397" i="14"/>
  <c r="U397" i="14"/>
  <c r="T397" i="14"/>
  <c r="S397" i="14"/>
  <c r="R397" i="14"/>
  <c r="Q397" i="14"/>
  <c r="P397" i="14"/>
  <c r="O397" i="14"/>
  <c r="N397" i="14"/>
  <c r="M397" i="14"/>
  <c r="L397" i="14"/>
  <c r="K397" i="14"/>
  <c r="J397" i="14"/>
  <c r="I397" i="14"/>
  <c r="H397" i="14"/>
  <c r="G397" i="14"/>
  <c r="F397" i="14"/>
  <c r="E397" i="14"/>
  <c r="D397" i="14"/>
  <c r="C397" i="14"/>
  <c r="B397" i="14"/>
  <c r="A397" i="14"/>
  <c r="Z396" i="14"/>
  <c r="Y396" i="14"/>
  <c r="X396" i="14"/>
  <c r="W396" i="14"/>
  <c r="V396" i="14"/>
  <c r="U396" i="14"/>
  <c r="T396" i="14"/>
  <c r="S396" i="14"/>
  <c r="R396" i="14"/>
  <c r="Q396" i="14"/>
  <c r="P396" i="14"/>
  <c r="O396" i="14"/>
  <c r="N396" i="14"/>
  <c r="M396" i="14"/>
  <c r="L396" i="14"/>
  <c r="K396" i="14"/>
  <c r="J396" i="14"/>
  <c r="I396" i="14"/>
  <c r="H396" i="14"/>
  <c r="G396" i="14"/>
  <c r="F396" i="14"/>
  <c r="E396" i="14"/>
  <c r="D396" i="14"/>
  <c r="C396" i="14"/>
  <c r="B396" i="14"/>
  <c r="A396" i="14"/>
  <c r="Z395" i="14"/>
  <c r="Y395" i="14"/>
  <c r="X395" i="14"/>
  <c r="W395" i="14"/>
  <c r="V395" i="14"/>
  <c r="U395" i="14"/>
  <c r="T395" i="14"/>
  <c r="S395" i="14"/>
  <c r="R395" i="14"/>
  <c r="Q395" i="14"/>
  <c r="P395" i="14"/>
  <c r="O395" i="14"/>
  <c r="N395" i="14"/>
  <c r="M395" i="14"/>
  <c r="L395" i="14"/>
  <c r="K395" i="14"/>
  <c r="J395" i="14"/>
  <c r="I395" i="14"/>
  <c r="H395" i="14"/>
  <c r="G395" i="14"/>
  <c r="F395" i="14"/>
  <c r="E395" i="14"/>
  <c r="D395" i="14"/>
  <c r="C395" i="14"/>
  <c r="B395" i="14"/>
  <c r="A395" i="14"/>
  <c r="Z394" i="14"/>
  <c r="Y394" i="14"/>
  <c r="X394" i="14"/>
  <c r="W394" i="14"/>
  <c r="V394" i="14"/>
  <c r="U394" i="14"/>
  <c r="T394" i="14"/>
  <c r="S394" i="14"/>
  <c r="R394" i="14"/>
  <c r="Q394" i="14"/>
  <c r="P394" i="14"/>
  <c r="O394" i="14"/>
  <c r="N394" i="14"/>
  <c r="M394" i="14"/>
  <c r="L394" i="14"/>
  <c r="K394" i="14"/>
  <c r="J394" i="14"/>
  <c r="I394" i="14"/>
  <c r="H394" i="14"/>
  <c r="G394" i="14"/>
  <c r="F394" i="14"/>
  <c r="E394" i="14"/>
  <c r="D394" i="14"/>
  <c r="C394" i="14"/>
  <c r="B394" i="14"/>
  <c r="A394" i="14"/>
  <c r="Z393" i="14"/>
  <c r="Y393" i="14"/>
  <c r="X393" i="14"/>
  <c r="W393" i="14"/>
  <c r="V393" i="14"/>
  <c r="U393" i="14"/>
  <c r="T393" i="14"/>
  <c r="S393" i="14"/>
  <c r="R393" i="14"/>
  <c r="Q393" i="14"/>
  <c r="P393" i="14"/>
  <c r="O393" i="14"/>
  <c r="N393" i="14"/>
  <c r="M393" i="14"/>
  <c r="L393" i="14"/>
  <c r="K393" i="14"/>
  <c r="J393" i="14"/>
  <c r="I393" i="14"/>
  <c r="H393" i="14"/>
  <c r="G393" i="14"/>
  <c r="F393" i="14"/>
  <c r="E393" i="14"/>
  <c r="D393" i="14"/>
  <c r="C393" i="14"/>
  <c r="B393" i="14"/>
  <c r="A393" i="14"/>
  <c r="Z392" i="14"/>
  <c r="Y392" i="14"/>
  <c r="X392" i="14"/>
  <c r="W392" i="14"/>
  <c r="V392" i="14"/>
  <c r="U392" i="14"/>
  <c r="T392" i="14"/>
  <c r="S392" i="14"/>
  <c r="R392" i="14"/>
  <c r="Q392" i="14"/>
  <c r="P392" i="14"/>
  <c r="O392" i="14"/>
  <c r="N392" i="14"/>
  <c r="M392" i="14"/>
  <c r="L392" i="14"/>
  <c r="K392" i="14"/>
  <c r="J392" i="14"/>
  <c r="I392" i="14"/>
  <c r="H392" i="14"/>
  <c r="G392" i="14"/>
  <c r="F392" i="14"/>
  <c r="E392" i="14"/>
  <c r="D392" i="14"/>
  <c r="C392" i="14"/>
  <c r="B392" i="14"/>
  <c r="A392" i="14"/>
  <c r="Z391" i="14"/>
  <c r="Y391" i="14"/>
  <c r="X391" i="14"/>
  <c r="W391" i="14"/>
  <c r="V391" i="14"/>
  <c r="U391" i="14"/>
  <c r="T391" i="14"/>
  <c r="S391" i="14"/>
  <c r="R391" i="14"/>
  <c r="Q391" i="14"/>
  <c r="P391" i="14"/>
  <c r="O391" i="14"/>
  <c r="N391" i="14"/>
  <c r="M391" i="14"/>
  <c r="L391" i="14"/>
  <c r="K391" i="14"/>
  <c r="J391" i="14"/>
  <c r="I391" i="14"/>
  <c r="H391" i="14"/>
  <c r="G391" i="14"/>
  <c r="F391" i="14"/>
  <c r="E391" i="14"/>
  <c r="D391" i="14"/>
  <c r="C391" i="14"/>
  <c r="B391" i="14"/>
  <c r="A391" i="14"/>
  <c r="Z390" i="14"/>
  <c r="Y390" i="14"/>
  <c r="X390" i="14"/>
  <c r="W390" i="14"/>
  <c r="V390" i="14"/>
  <c r="U390" i="14"/>
  <c r="T390" i="14"/>
  <c r="S390" i="14"/>
  <c r="R390" i="14"/>
  <c r="Q390" i="14"/>
  <c r="P390" i="14"/>
  <c r="O390" i="14"/>
  <c r="N390" i="14"/>
  <c r="M390" i="14"/>
  <c r="L390" i="14"/>
  <c r="K390" i="14"/>
  <c r="J390" i="14"/>
  <c r="I390" i="14"/>
  <c r="H390" i="14"/>
  <c r="G390" i="14"/>
  <c r="F390" i="14"/>
  <c r="E390" i="14"/>
  <c r="D390" i="14"/>
  <c r="C390" i="14"/>
  <c r="B390" i="14"/>
  <c r="A390" i="14"/>
  <c r="Z389" i="14"/>
  <c r="Y389" i="14"/>
  <c r="X389" i="14"/>
  <c r="W389" i="14"/>
  <c r="V389" i="14"/>
  <c r="U389" i="14"/>
  <c r="T389" i="14"/>
  <c r="S389" i="14"/>
  <c r="R389" i="14"/>
  <c r="Q389" i="14"/>
  <c r="P389" i="14"/>
  <c r="O389" i="14"/>
  <c r="N389" i="14"/>
  <c r="M389" i="14"/>
  <c r="L389" i="14"/>
  <c r="K389" i="14"/>
  <c r="J389" i="14"/>
  <c r="I389" i="14"/>
  <c r="H389" i="14"/>
  <c r="G389" i="14"/>
  <c r="F389" i="14"/>
  <c r="E389" i="14"/>
  <c r="D389" i="14"/>
  <c r="C389" i="14"/>
  <c r="B389" i="14"/>
  <c r="A389" i="14"/>
  <c r="Z388" i="14"/>
  <c r="Y388" i="14"/>
  <c r="X388" i="14"/>
  <c r="W388" i="14"/>
  <c r="V388" i="14"/>
  <c r="U388" i="14"/>
  <c r="T388" i="14"/>
  <c r="S388" i="14"/>
  <c r="R388" i="14"/>
  <c r="Q388" i="14"/>
  <c r="P388" i="14"/>
  <c r="O388" i="14"/>
  <c r="N388" i="14"/>
  <c r="M388" i="14"/>
  <c r="L388" i="14"/>
  <c r="K388" i="14"/>
  <c r="J388" i="14"/>
  <c r="I388" i="14"/>
  <c r="H388" i="14"/>
  <c r="G388" i="14"/>
  <c r="F388" i="14"/>
  <c r="E388" i="14"/>
  <c r="D388" i="14"/>
  <c r="C388" i="14"/>
  <c r="B388" i="14"/>
  <c r="A388" i="14"/>
  <c r="Z387" i="14"/>
  <c r="Y387" i="14"/>
  <c r="X387" i="14"/>
  <c r="W387" i="14"/>
  <c r="V387" i="14"/>
  <c r="U387" i="14"/>
  <c r="T387" i="14"/>
  <c r="S387" i="14"/>
  <c r="R387" i="14"/>
  <c r="Q387" i="14"/>
  <c r="P387" i="14"/>
  <c r="O387" i="14"/>
  <c r="N387" i="14"/>
  <c r="M387" i="14"/>
  <c r="L387" i="14"/>
  <c r="K387" i="14"/>
  <c r="J387" i="14"/>
  <c r="I387" i="14"/>
  <c r="H387" i="14"/>
  <c r="G387" i="14"/>
  <c r="F387" i="14"/>
  <c r="E387" i="14"/>
  <c r="D387" i="14"/>
  <c r="C387" i="14"/>
  <c r="B387" i="14"/>
  <c r="A387" i="14"/>
  <c r="Z386" i="14"/>
  <c r="Y386" i="14"/>
  <c r="X386" i="14"/>
  <c r="W386" i="14"/>
  <c r="V386" i="14"/>
  <c r="U386" i="14"/>
  <c r="T386" i="14"/>
  <c r="S386" i="14"/>
  <c r="R386" i="14"/>
  <c r="Q386" i="14"/>
  <c r="P386" i="14"/>
  <c r="O386" i="14"/>
  <c r="N386" i="14"/>
  <c r="M386" i="14"/>
  <c r="L386" i="14"/>
  <c r="K386" i="14"/>
  <c r="J386" i="14"/>
  <c r="I386" i="14"/>
  <c r="H386" i="14"/>
  <c r="G386" i="14"/>
  <c r="F386" i="14"/>
  <c r="E386" i="14"/>
  <c r="D386" i="14"/>
  <c r="C386" i="14"/>
  <c r="B386" i="14"/>
  <c r="A386" i="14"/>
  <c r="Z385" i="14"/>
  <c r="Y385" i="14"/>
  <c r="X385" i="14"/>
  <c r="W385" i="14"/>
  <c r="V385" i="14"/>
  <c r="U385" i="14"/>
  <c r="T385" i="14"/>
  <c r="S385" i="14"/>
  <c r="R385" i="14"/>
  <c r="Q385" i="14"/>
  <c r="P385" i="14"/>
  <c r="O385" i="14"/>
  <c r="N385" i="14"/>
  <c r="M385" i="14"/>
  <c r="L385" i="14"/>
  <c r="K385" i="14"/>
  <c r="J385" i="14"/>
  <c r="I385" i="14"/>
  <c r="H385" i="14"/>
  <c r="G385" i="14"/>
  <c r="F385" i="14"/>
  <c r="E385" i="14"/>
  <c r="D385" i="14"/>
  <c r="C385" i="14"/>
  <c r="B385" i="14"/>
  <c r="A385" i="14"/>
  <c r="Z384" i="14"/>
  <c r="Y384" i="14"/>
  <c r="X384" i="14"/>
  <c r="W384" i="14"/>
  <c r="V384" i="14"/>
  <c r="U384" i="14"/>
  <c r="T384" i="14"/>
  <c r="S384" i="14"/>
  <c r="R384" i="14"/>
  <c r="Q384" i="14"/>
  <c r="P384" i="14"/>
  <c r="O384" i="14"/>
  <c r="N384" i="14"/>
  <c r="M384" i="14"/>
  <c r="L384" i="14"/>
  <c r="K384" i="14"/>
  <c r="J384" i="14"/>
  <c r="I384" i="14"/>
  <c r="H384" i="14"/>
  <c r="G384" i="14"/>
  <c r="F384" i="14"/>
  <c r="E384" i="14"/>
  <c r="D384" i="14"/>
  <c r="C384" i="14"/>
  <c r="B384" i="14"/>
  <c r="A384" i="14"/>
  <c r="Z383" i="14"/>
  <c r="Y383" i="14"/>
  <c r="X383" i="14"/>
  <c r="W383" i="14"/>
  <c r="V383" i="14"/>
  <c r="U383" i="14"/>
  <c r="T383" i="14"/>
  <c r="S383" i="14"/>
  <c r="R383" i="14"/>
  <c r="Q383" i="14"/>
  <c r="P383" i="14"/>
  <c r="O383" i="14"/>
  <c r="N383" i="14"/>
  <c r="M383" i="14"/>
  <c r="L383" i="14"/>
  <c r="K383" i="14"/>
  <c r="J383" i="14"/>
  <c r="I383" i="14"/>
  <c r="H383" i="14"/>
  <c r="G383" i="14"/>
  <c r="F383" i="14"/>
  <c r="E383" i="14"/>
  <c r="D383" i="14"/>
  <c r="C383" i="14"/>
  <c r="B383" i="14"/>
  <c r="A383" i="14"/>
  <c r="Z382" i="14"/>
  <c r="Y382" i="14"/>
  <c r="X382" i="14"/>
  <c r="W382" i="14"/>
  <c r="V382" i="14"/>
  <c r="U382" i="14"/>
  <c r="T382" i="14"/>
  <c r="S382" i="14"/>
  <c r="R382" i="14"/>
  <c r="Q382" i="14"/>
  <c r="P382" i="14"/>
  <c r="O382" i="14"/>
  <c r="N382" i="14"/>
  <c r="M382" i="14"/>
  <c r="L382" i="14"/>
  <c r="K382" i="14"/>
  <c r="J382" i="14"/>
  <c r="I382" i="14"/>
  <c r="H382" i="14"/>
  <c r="G382" i="14"/>
  <c r="F382" i="14"/>
  <c r="E382" i="14"/>
  <c r="D382" i="14"/>
  <c r="C382" i="14"/>
  <c r="B382" i="14"/>
  <c r="A382" i="14"/>
  <c r="Z381" i="14"/>
  <c r="Y381" i="14"/>
  <c r="X381" i="14"/>
  <c r="W381" i="14"/>
  <c r="V381" i="14"/>
  <c r="U381" i="14"/>
  <c r="T381" i="14"/>
  <c r="S381" i="14"/>
  <c r="R381" i="14"/>
  <c r="Q381" i="14"/>
  <c r="P381" i="14"/>
  <c r="O381" i="14"/>
  <c r="N381" i="14"/>
  <c r="M381" i="14"/>
  <c r="L381" i="14"/>
  <c r="K381" i="14"/>
  <c r="J381" i="14"/>
  <c r="I381" i="14"/>
  <c r="H381" i="14"/>
  <c r="G381" i="14"/>
  <c r="F381" i="14"/>
  <c r="E381" i="14"/>
  <c r="D381" i="14"/>
  <c r="C381" i="14"/>
  <c r="B381" i="14"/>
  <c r="A381" i="14"/>
  <c r="Z380" i="14"/>
  <c r="Y380" i="14"/>
  <c r="X380" i="14"/>
  <c r="W380" i="14"/>
  <c r="V380" i="14"/>
  <c r="U380" i="14"/>
  <c r="T380" i="14"/>
  <c r="S380" i="14"/>
  <c r="R380" i="14"/>
  <c r="Q380" i="14"/>
  <c r="P380" i="14"/>
  <c r="O380" i="14"/>
  <c r="N380" i="14"/>
  <c r="M380" i="14"/>
  <c r="L380" i="14"/>
  <c r="K380" i="14"/>
  <c r="J380" i="14"/>
  <c r="I380" i="14"/>
  <c r="H380" i="14"/>
  <c r="G380" i="14"/>
  <c r="F380" i="14"/>
  <c r="E380" i="14"/>
  <c r="D380" i="14"/>
  <c r="C380" i="14"/>
  <c r="B380" i="14"/>
  <c r="A380" i="14"/>
  <c r="Z379" i="14"/>
  <c r="Y379" i="14"/>
  <c r="X379" i="14"/>
  <c r="W379" i="14"/>
  <c r="V379" i="14"/>
  <c r="U379" i="14"/>
  <c r="T379" i="14"/>
  <c r="S379" i="14"/>
  <c r="R379" i="14"/>
  <c r="Q379" i="14"/>
  <c r="P379" i="14"/>
  <c r="O379" i="14"/>
  <c r="N379" i="14"/>
  <c r="M379" i="14"/>
  <c r="L379" i="14"/>
  <c r="K379" i="14"/>
  <c r="J379" i="14"/>
  <c r="I379" i="14"/>
  <c r="H379" i="14"/>
  <c r="G379" i="14"/>
  <c r="F379" i="14"/>
  <c r="E379" i="14"/>
  <c r="D379" i="14"/>
  <c r="C379" i="14"/>
  <c r="B379" i="14"/>
  <c r="A379" i="14"/>
  <c r="Z378" i="14"/>
  <c r="Y378" i="14"/>
  <c r="X378" i="14"/>
  <c r="W378" i="14"/>
  <c r="V378" i="14"/>
  <c r="U378" i="14"/>
  <c r="T378" i="14"/>
  <c r="S378" i="14"/>
  <c r="R378" i="14"/>
  <c r="Q378" i="14"/>
  <c r="P378" i="14"/>
  <c r="O378" i="14"/>
  <c r="N378" i="14"/>
  <c r="M378" i="14"/>
  <c r="L378" i="14"/>
  <c r="K378" i="14"/>
  <c r="J378" i="14"/>
  <c r="I378" i="14"/>
  <c r="H378" i="14"/>
  <c r="G378" i="14"/>
  <c r="F378" i="14"/>
  <c r="E378" i="14"/>
  <c r="D378" i="14"/>
  <c r="C378" i="14"/>
  <c r="B378" i="14"/>
  <c r="A378" i="14"/>
  <c r="Z377" i="14"/>
  <c r="Y377" i="14"/>
  <c r="X377" i="14"/>
  <c r="W377" i="14"/>
  <c r="V377" i="14"/>
  <c r="U377" i="14"/>
  <c r="T377" i="14"/>
  <c r="S377" i="14"/>
  <c r="R377" i="14"/>
  <c r="Q377" i="14"/>
  <c r="P377" i="14"/>
  <c r="O377" i="14"/>
  <c r="N377" i="14"/>
  <c r="M377" i="14"/>
  <c r="L377" i="14"/>
  <c r="K377" i="14"/>
  <c r="J377" i="14"/>
  <c r="I377" i="14"/>
  <c r="H377" i="14"/>
  <c r="G377" i="14"/>
  <c r="F377" i="14"/>
  <c r="E377" i="14"/>
  <c r="D377" i="14"/>
  <c r="C377" i="14"/>
  <c r="B377" i="14"/>
  <c r="A377" i="14"/>
  <c r="Z376" i="14"/>
  <c r="Y376" i="14"/>
  <c r="X376" i="14"/>
  <c r="W376" i="14"/>
  <c r="V376" i="14"/>
  <c r="U376" i="14"/>
  <c r="T376" i="14"/>
  <c r="S376" i="14"/>
  <c r="R376" i="14"/>
  <c r="Q376" i="14"/>
  <c r="P376" i="14"/>
  <c r="O376" i="14"/>
  <c r="N376" i="14"/>
  <c r="M376" i="14"/>
  <c r="L376" i="14"/>
  <c r="K376" i="14"/>
  <c r="J376" i="14"/>
  <c r="I376" i="14"/>
  <c r="H376" i="14"/>
  <c r="G376" i="14"/>
  <c r="F376" i="14"/>
  <c r="E376" i="14"/>
  <c r="D376" i="14"/>
  <c r="C376" i="14"/>
  <c r="B376" i="14"/>
  <c r="A376" i="14"/>
  <c r="Z375" i="14"/>
  <c r="Y375" i="14"/>
  <c r="X375" i="14"/>
  <c r="W375" i="14"/>
  <c r="V375" i="14"/>
  <c r="U375" i="14"/>
  <c r="T375" i="14"/>
  <c r="S375" i="14"/>
  <c r="R375" i="14"/>
  <c r="Q375" i="14"/>
  <c r="P375" i="14"/>
  <c r="O375" i="14"/>
  <c r="N375" i="14"/>
  <c r="M375" i="14"/>
  <c r="L375" i="14"/>
  <c r="K375" i="14"/>
  <c r="J375" i="14"/>
  <c r="I375" i="14"/>
  <c r="H375" i="14"/>
  <c r="G375" i="14"/>
  <c r="F375" i="14"/>
  <c r="E375" i="14"/>
  <c r="D375" i="14"/>
  <c r="C375" i="14"/>
  <c r="B375" i="14"/>
  <c r="A375" i="14"/>
  <c r="Z374" i="14"/>
  <c r="Y374" i="14"/>
  <c r="X374" i="14"/>
  <c r="W374" i="14"/>
  <c r="V374" i="14"/>
  <c r="U374" i="14"/>
  <c r="T374" i="14"/>
  <c r="S374" i="14"/>
  <c r="R374" i="14"/>
  <c r="Q374" i="14"/>
  <c r="P374" i="14"/>
  <c r="O374" i="14"/>
  <c r="N374" i="14"/>
  <c r="M374" i="14"/>
  <c r="L374" i="14"/>
  <c r="K374" i="14"/>
  <c r="J374" i="14"/>
  <c r="I374" i="14"/>
  <c r="H374" i="14"/>
  <c r="G374" i="14"/>
  <c r="F374" i="14"/>
  <c r="E374" i="14"/>
  <c r="D374" i="14"/>
  <c r="C374" i="14"/>
  <c r="B374" i="14"/>
  <c r="A374" i="14"/>
  <c r="Z373" i="14"/>
  <c r="Y373" i="14"/>
  <c r="X373" i="14"/>
  <c r="W373" i="14"/>
  <c r="V373" i="14"/>
  <c r="U373" i="14"/>
  <c r="T373" i="14"/>
  <c r="S373" i="14"/>
  <c r="R373" i="14"/>
  <c r="Q373" i="14"/>
  <c r="P373" i="14"/>
  <c r="O373" i="14"/>
  <c r="N373" i="14"/>
  <c r="M373" i="14"/>
  <c r="L373" i="14"/>
  <c r="K373" i="14"/>
  <c r="J373" i="14"/>
  <c r="I373" i="14"/>
  <c r="H373" i="14"/>
  <c r="G373" i="14"/>
  <c r="F373" i="14"/>
  <c r="E373" i="14"/>
  <c r="D373" i="14"/>
  <c r="C373" i="14"/>
  <c r="B373" i="14"/>
  <c r="A373" i="14"/>
  <c r="Z372" i="14"/>
  <c r="Y372" i="14"/>
  <c r="X372" i="14"/>
  <c r="W372" i="14"/>
  <c r="V372" i="14"/>
  <c r="U372" i="14"/>
  <c r="T372" i="14"/>
  <c r="S372" i="14"/>
  <c r="R372" i="14"/>
  <c r="Q372" i="14"/>
  <c r="P372" i="14"/>
  <c r="O372" i="14"/>
  <c r="N372" i="14"/>
  <c r="M372" i="14"/>
  <c r="L372" i="14"/>
  <c r="K372" i="14"/>
  <c r="J372" i="14"/>
  <c r="I372" i="14"/>
  <c r="H372" i="14"/>
  <c r="G372" i="14"/>
  <c r="F372" i="14"/>
  <c r="E372" i="14"/>
  <c r="D372" i="14"/>
  <c r="C372" i="14"/>
  <c r="B372" i="14"/>
  <c r="A372" i="14"/>
  <c r="Z371" i="14"/>
  <c r="Y371" i="14"/>
  <c r="X371" i="14"/>
  <c r="W371" i="14"/>
  <c r="V371" i="14"/>
  <c r="U371" i="14"/>
  <c r="T371" i="14"/>
  <c r="S371" i="14"/>
  <c r="R371" i="14"/>
  <c r="Q371" i="14"/>
  <c r="P371" i="14"/>
  <c r="O371" i="14"/>
  <c r="N371" i="14"/>
  <c r="M371" i="14"/>
  <c r="L371" i="14"/>
  <c r="K371" i="14"/>
  <c r="J371" i="14"/>
  <c r="I371" i="14"/>
  <c r="H371" i="14"/>
  <c r="G371" i="14"/>
  <c r="F371" i="14"/>
  <c r="E371" i="14"/>
  <c r="D371" i="14"/>
  <c r="C371" i="14"/>
  <c r="B371" i="14"/>
  <c r="A371" i="14"/>
  <c r="Z370" i="14"/>
  <c r="Y370" i="14"/>
  <c r="X370" i="14"/>
  <c r="W370" i="14"/>
  <c r="V370" i="14"/>
  <c r="U370" i="14"/>
  <c r="T370" i="14"/>
  <c r="S370" i="14"/>
  <c r="R370" i="14"/>
  <c r="Q370" i="14"/>
  <c r="P370" i="14"/>
  <c r="O370" i="14"/>
  <c r="N370" i="14"/>
  <c r="M370" i="14"/>
  <c r="L370" i="14"/>
  <c r="K370" i="14"/>
  <c r="J370" i="14"/>
  <c r="I370" i="14"/>
  <c r="H370" i="14"/>
  <c r="G370" i="14"/>
  <c r="F370" i="14"/>
  <c r="E370" i="14"/>
  <c r="D370" i="14"/>
  <c r="C370" i="14"/>
  <c r="B370" i="14"/>
  <c r="A370" i="14"/>
  <c r="Z369" i="14"/>
  <c r="Y369" i="14"/>
  <c r="X369" i="14"/>
  <c r="W369" i="14"/>
  <c r="V369" i="14"/>
  <c r="U369" i="14"/>
  <c r="T369" i="14"/>
  <c r="S369" i="14"/>
  <c r="R369" i="14"/>
  <c r="Q369" i="14"/>
  <c r="P369" i="14"/>
  <c r="O369" i="14"/>
  <c r="N369" i="14"/>
  <c r="M369" i="14"/>
  <c r="L369" i="14"/>
  <c r="K369" i="14"/>
  <c r="J369" i="14"/>
  <c r="I369" i="14"/>
  <c r="H369" i="14"/>
  <c r="G369" i="14"/>
  <c r="F369" i="14"/>
  <c r="E369" i="14"/>
  <c r="D369" i="14"/>
  <c r="C369" i="14"/>
  <c r="B369" i="14"/>
  <c r="A369" i="14"/>
  <c r="Z368" i="14"/>
  <c r="Y368" i="14"/>
  <c r="X368" i="14"/>
  <c r="W368" i="14"/>
  <c r="V368" i="14"/>
  <c r="U368" i="14"/>
  <c r="T368" i="14"/>
  <c r="S368" i="14"/>
  <c r="R368" i="14"/>
  <c r="Q368" i="14"/>
  <c r="P368" i="14"/>
  <c r="O368" i="14"/>
  <c r="N368" i="14"/>
  <c r="M368" i="14"/>
  <c r="L368" i="14"/>
  <c r="K368" i="14"/>
  <c r="J368" i="14"/>
  <c r="I368" i="14"/>
  <c r="H368" i="14"/>
  <c r="G368" i="14"/>
  <c r="F368" i="14"/>
  <c r="E368" i="14"/>
  <c r="D368" i="14"/>
  <c r="C368" i="14"/>
  <c r="B368" i="14"/>
  <c r="A368" i="14"/>
  <c r="Z367" i="14"/>
  <c r="Y367" i="14"/>
  <c r="X367" i="14"/>
  <c r="W367" i="14"/>
  <c r="V367" i="14"/>
  <c r="U367" i="14"/>
  <c r="T367" i="14"/>
  <c r="S367" i="14"/>
  <c r="R367" i="14"/>
  <c r="Q367" i="14"/>
  <c r="P367" i="14"/>
  <c r="O367" i="14"/>
  <c r="N367" i="14"/>
  <c r="M367" i="14"/>
  <c r="L367" i="14"/>
  <c r="K367" i="14"/>
  <c r="J367" i="14"/>
  <c r="I367" i="14"/>
  <c r="H367" i="14"/>
  <c r="G367" i="14"/>
  <c r="F367" i="14"/>
  <c r="E367" i="14"/>
  <c r="D367" i="14"/>
  <c r="C367" i="14"/>
  <c r="B367" i="14"/>
  <c r="A367" i="14"/>
  <c r="Z366" i="14"/>
  <c r="Y366" i="14"/>
  <c r="X366" i="14"/>
  <c r="W366" i="14"/>
  <c r="V366" i="14"/>
  <c r="U366" i="14"/>
  <c r="T366" i="14"/>
  <c r="S366" i="14"/>
  <c r="R366" i="14"/>
  <c r="Q366" i="14"/>
  <c r="P366" i="14"/>
  <c r="O366" i="14"/>
  <c r="N366" i="14"/>
  <c r="M366" i="14"/>
  <c r="L366" i="14"/>
  <c r="K366" i="14"/>
  <c r="J366" i="14"/>
  <c r="I366" i="14"/>
  <c r="H366" i="14"/>
  <c r="G366" i="14"/>
  <c r="F366" i="14"/>
  <c r="E366" i="14"/>
  <c r="D366" i="14"/>
  <c r="C366" i="14"/>
  <c r="B366" i="14"/>
  <c r="A366" i="14"/>
  <c r="Z365" i="14"/>
  <c r="Y365" i="14"/>
  <c r="X365" i="14"/>
  <c r="W365" i="14"/>
  <c r="V365" i="14"/>
  <c r="U365" i="14"/>
  <c r="T365" i="14"/>
  <c r="S365" i="14"/>
  <c r="R365" i="14"/>
  <c r="Q365" i="14"/>
  <c r="P365" i="14"/>
  <c r="O365" i="14"/>
  <c r="N365" i="14"/>
  <c r="M365" i="14"/>
  <c r="L365" i="14"/>
  <c r="K365" i="14"/>
  <c r="J365" i="14"/>
  <c r="I365" i="14"/>
  <c r="H365" i="14"/>
  <c r="G365" i="14"/>
  <c r="F365" i="14"/>
  <c r="E365" i="14"/>
  <c r="D365" i="14"/>
  <c r="C365" i="14"/>
  <c r="B365" i="14"/>
  <c r="A365" i="14"/>
  <c r="Z364" i="14"/>
  <c r="Y364" i="14"/>
  <c r="X364" i="14"/>
  <c r="W364" i="14"/>
  <c r="V364" i="14"/>
  <c r="U364" i="14"/>
  <c r="T364" i="14"/>
  <c r="S364" i="14"/>
  <c r="R364" i="14"/>
  <c r="Q364" i="14"/>
  <c r="P364" i="14"/>
  <c r="O364" i="14"/>
  <c r="N364" i="14"/>
  <c r="M364" i="14"/>
  <c r="L364" i="14"/>
  <c r="K364" i="14"/>
  <c r="J364" i="14"/>
  <c r="I364" i="14"/>
  <c r="H364" i="14"/>
  <c r="G364" i="14"/>
  <c r="F364" i="14"/>
  <c r="E364" i="14"/>
  <c r="D364" i="14"/>
  <c r="C364" i="14"/>
  <c r="B364" i="14"/>
  <c r="A364" i="14"/>
  <c r="Z363" i="14"/>
  <c r="Y363" i="14"/>
  <c r="X363" i="14"/>
  <c r="W363" i="14"/>
  <c r="V363" i="14"/>
  <c r="U363" i="14"/>
  <c r="T363" i="14"/>
  <c r="S363" i="14"/>
  <c r="R363" i="14"/>
  <c r="Q363" i="14"/>
  <c r="P363" i="14"/>
  <c r="O363" i="14"/>
  <c r="N363" i="14"/>
  <c r="M363" i="14"/>
  <c r="L363" i="14"/>
  <c r="K363" i="14"/>
  <c r="J363" i="14"/>
  <c r="I363" i="14"/>
  <c r="H363" i="14"/>
  <c r="G363" i="14"/>
  <c r="F363" i="14"/>
  <c r="E363" i="14"/>
  <c r="D363" i="14"/>
  <c r="C363" i="14"/>
  <c r="B363" i="14"/>
  <c r="A363" i="14"/>
  <c r="Z362" i="14"/>
  <c r="Y362" i="14"/>
  <c r="X362" i="14"/>
  <c r="W362" i="14"/>
  <c r="V362" i="14"/>
  <c r="U362" i="14"/>
  <c r="T362" i="14"/>
  <c r="S362" i="14"/>
  <c r="R362" i="14"/>
  <c r="Q362" i="14"/>
  <c r="P362" i="14"/>
  <c r="O362" i="14"/>
  <c r="N362" i="14"/>
  <c r="M362" i="14"/>
  <c r="L362" i="14"/>
  <c r="K362" i="14"/>
  <c r="J362" i="14"/>
  <c r="I362" i="14"/>
  <c r="H362" i="14"/>
  <c r="G362" i="14"/>
  <c r="F362" i="14"/>
  <c r="E362" i="14"/>
  <c r="D362" i="14"/>
  <c r="C362" i="14"/>
  <c r="B362" i="14"/>
  <c r="A362" i="14"/>
  <c r="Z361" i="14"/>
  <c r="Y361" i="14"/>
  <c r="X361" i="14"/>
  <c r="W361" i="14"/>
  <c r="V361" i="14"/>
  <c r="U361" i="14"/>
  <c r="T361" i="14"/>
  <c r="S361" i="14"/>
  <c r="R361" i="14"/>
  <c r="Q361" i="14"/>
  <c r="P361" i="14"/>
  <c r="O361" i="14"/>
  <c r="N361" i="14"/>
  <c r="M361" i="14"/>
  <c r="L361" i="14"/>
  <c r="K361" i="14"/>
  <c r="J361" i="14"/>
  <c r="I361" i="14"/>
  <c r="H361" i="14"/>
  <c r="G361" i="14"/>
  <c r="F361" i="14"/>
  <c r="E361" i="14"/>
  <c r="D361" i="14"/>
  <c r="C361" i="14"/>
  <c r="B361" i="14"/>
  <c r="A361" i="14"/>
  <c r="Z360" i="14"/>
  <c r="Y360" i="14"/>
  <c r="X360" i="14"/>
  <c r="W360" i="14"/>
  <c r="V360" i="14"/>
  <c r="U360" i="14"/>
  <c r="T360" i="14"/>
  <c r="S360" i="14"/>
  <c r="R360" i="14"/>
  <c r="Q360" i="14"/>
  <c r="P360" i="14"/>
  <c r="O360" i="14"/>
  <c r="N360" i="14"/>
  <c r="M360" i="14"/>
  <c r="L360" i="14"/>
  <c r="K360" i="14"/>
  <c r="J360" i="14"/>
  <c r="I360" i="14"/>
  <c r="H360" i="14"/>
  <c r="G360" i="14"/>
  <c r="F360" i="14"/>
  <c r="E360" i="14"/>
  <c r="D360" i="14"/>
  <c r="C360" i="14"/>
  <c r="B360" i="14"/>
  <c r="A360" i="14"/>
  <c r="Z359" i="14"/>
  <c r="Y359" i="14"/>
  <c r="X359" i="14"/>
  <c r="W359" i="14"/>
  <c r="V359" i="14"/>
  <c r="U359" i="14"/>
  <c r="T359" i="14"/>
  <c r="S359" i="14"/>
  <c r="R359" i="14"/>
  <c r="Q359" i="14"/>
  <c r="P359" i="14"/>
  <c r="O359" i="14"/>
  <c r="N359" i="14"/>
  <c r="M359" i="14"/>
  <c r="L359" i="14"/>
  <c r="K359" i="14"/>
  <c r="J359" i="14"/>
  <c r="I359" i="14"/>
  <c r="H359" i="14"/>
  <c r="G359" i="14"/>
  <c r="F359" i="14"/>
  <c r="E359" i="14"/>
  <c r="D359" i="14"/>
  <c r="C359" i="14"/>
  <c r="B359" i="14"/>
  <c r="A359" i="14"/>
  <c r="Z358" i="14"/>
  <c r="Y358" i="14"/>
  <c r="X358" i="14"/>
  <c r="W358" i="14"/>
  <c r="V358" i="14"/>
  <c r="U358" i="14"/>
  <c r="T358" i="14"/>
  <c r="S358" i="14"/>
  <c r="R358" i="14"/>
  <c r="Q358" i="14"/>
  <c r="P358" i="14"/>
  <c r="O358" i="14"/>
  <c r="N358" i="14"/>
  <c r="M358" i="14"/>
  <c r="L358" i="14"/>
  <c r="K358" i="14"/>
  <c r="J358" i="14"/>
  <c r="I358" i="14"/>
  <c r="H358" i="14"/>
  <c r="G358" i="14"/>
  <c r="F358" i="14"/>
  <c r="E358" i="14"/>
  <c r="D358" i="14"/>
  <c r="C358" i="14"/>
  <c r="B358" i="14"/>
  <c r="A358" i="14"/>
  <c r="Z357" i="14"/>
  <c r="Y357" i="14"/>
  <c r="X357" i="14"/>
  <c r="W357" i="14"/>
  <c r="V357" i="14"/>
  <c r="U357" i="14"/>
  <c r="T357" i="14"/>
  <c r="S357" i="14"/>
  <c r="R357" i="14"/>
  <c r="Q357" i="14"/>
  <c r="P357" i="14"/>
  <c r="O357" i="14"/>
  <c r="N357" i="14"/>
  <c r="M357" i="14"/>
  <c r="L357" i="14"/>
  <c r="K357" i="14"/>
  <c r="J357" i="14"/>
  <c r="I357" i="14"/>
  <c r="H357" i="14"/>
  <c r="G357" i="14"/>
  <c r="F357" i="14"/>
  <c r="E357" i="14"/>
  <c r="D357" i="14"/>
  <c r="C357" i="14"/>
  <c r="B357" i="14"/>
  <c r="A357" i="14"/>
  <c r="Z356" i="14"/>
  <c r="Y356" i="14"/>
  <c r="X356" i="14"/>
  <c r="W356" i="14"/>
  <c r="V356" i="14"/>
  <c r="U356" i="14"/>
  <c r="T356" i="14"/>
  <c r="S356" i="14"/>
  <c r="R356" i="14"/>
  <c r="Q356" i="14"/>
  <c r="P356" i="14"/>
  <c r="O356" i="14"/>
  <c r="N356" i="14"/>
  <c r="M356" i="14"/>
  <c r="L356" i="14"/>
  <c r="K356" i="14"/>
  <c r="J356" i="14"/>
  <c r="I356" i="14"/>
  <c r="H356" i="14"/>
  <c r="G356" i="14"/>
  <c r="F356" i="14"/>
  <c r="E356" i="14"/>
  <c r="D356" i="14"/>
  <c r="C356" i="14"/>
  <c r="B356" i="14"/>
  <c r="A356" i="14"/>
  <c r="Z355" i="14"/>
  <c r="Y355" i="14"/>
  <c r="X355" i="14"/>
  <c r="W355" i="14"/>
  <c r="V355" i="14"/>
  <c r="U355" i="14"/>
  <c r="T355" i="14"/>
  <c r="S355" i="14"/>
  <c r="R355" i="14"/>
  <c r="Q355" i="14"/>
  <c r="P355" i="14"/>
  <c r="O355" i="14"/>
  <c r="N355" i="14"/>
  <c r="M355" i="14"/>
  <c r="L355" i="14"/>
  <c r="K355" i="14"/>
  <c r="J355" i="14"/>
  <c r="I355" i="14"/>
  <c r="H355" i="14"/>
  <c r="G355" i="14"/>
  <c r="F355" i="14"/>
  <c r="E355" i="14"/>
  <c r="D355" i="14"/>
  <c r="C355" i="14"/>
  <c r="B355" i="14"/>
  <c r="A355" i="14"/>
  <c r="Z354" i="14"/>
  <c r="Y354" i="14"/>
  <c r="X354" i="14"/>
  <c r="W354" i="14"/>
  <c r="V354" i="14"/>
  <c r="U354" i="14"/>
  <c r="T354" i="14"/>
  <c r="S354" i="14"/>
  <c r="R354" i="14"/>
  <c r="Q354" i="14"/>
  <c r="P354" i="14"/>
  <c r="O354" i="14"/>
  <c r="N354" i="14"/>
  <c r="M354" i="14"/>
  <c r="L354" i="14"/>
  <c r="K354" i="14"/>
  <c r="J354" i="14"/>
  <c r="I354" i="14"/>
  <c r="H354" i="14"/>
  <c r="G354" i="14"/>
  <c r="F354" i="14"/>
  <c r="E354" i="14"/>
  <c r="D354" i="14"/>
  <c r="C354" i="14"/>
  <c r="B354" i="14"/>
  <c r="A354" i="14"/>
  <c r="Z353" i="14"/>
  <c r="Y353" i="14"/>
  <c r="X353" i="14"/>
  <c r="W353" i="14"/>
  <c r="V353" i="14"/>
  <c r="U353" i="14"/>
  <c r="T353" i="14"/>
  <c r="S353" i="14"/>
  <c r="R353" i="14"/>
  <c r="Q353" i="14"/>
  <c r="P353" i="14"/>
  <c r="O353" i="14"/>
  <c r="N353" i="14"/>
  <c r="M353" i="14"/>
  <c r="L353" i="14"/>
  <c r="K353" i="14"/>
  <c r="J353" i="14"/>
  <c r="I353" i="14"/>
  <c r="H353" i="14"/>
  <c r="G353" i="14"/>
  <c r="F353" i="14"/>
  <c r="E353" i="14"/>
  <c r="D353" i="14"/>
  <c r="C353" i="14"/>
  <c r="B353" i="14"/>
  <c r="A353" i="14"/>
  <c r="Z352" i="14"/>
  <c r="Y352" i="14"/>
  <c r="X352" i="14"/>
  <c r="W352" i="14"/>
  <c r="V352" i="14"/>
  <c r="U352" i="14"/>
  <c r="T352" i="14"/>
  <c r="S352" i="14"/>
  <c r="R352" i="14"/>
  <c r="Q352" i="14"/>
  <c r="P352" i="14"/>
  <c r="O352" i="14"/>
  <c r="N352" i="14"/>
  <c r="M352" i="14"/>
  <c r="L352" i="14"/>
  <c r="K352" i="14"/>
  <c r="J352" i="14"/>
  <c r="I352" i="14"/>
  <c r="H352" i="14"/>
  <c r="G352" i="14"/>
  <c r="F352" i="14"/>
  <c r="E352" i="14"/>
  <c r="D352" i="14"/>
  <c r="C352" i="14"/>
  <c r="B352" i="14"/>
  <c r="A352" i="14"/>
  <c r="Z351" i="14"/>
  <c r="Y351" i="14"/>
  <c r="X351" i="14"/>
  <c r="W351" i="14"/>
  <c r="V351" i="14"/>
  <c r="U351" i="14"/>
  <c r="T351" i="14"/>
  <c r="S351" i="14"/>
  <c r="R351" i="14"/>
  <c r="Q351" i="14"/>
  <c r="P351" i="14"/>
  <c r="O351" i="14"/>
  <c r="N351" i="14"/>
  <c r="M351" i="14"/>
  <c r="L351" i="14"/>
  <c r="K351" i="14"/>
  <c r="J351" i="14"/>
  <c r="I351" i="14"/>
  <c r="H351" i="14"/>
  <c r="G351" i="14"/>
  <c r="F351" i="14"/>
  <c r="E351" i="14"/>
  <c r="D351" i="14"/>
  <c r="C351" i="14"/>
  <c r="B351" i="14"/>
  <c r="A351" i="14"/>
  <c r="Z350" i="14"/>
  <c r="Y350" i="14"/>
  <c r="X350" i="14"/>
  <c r="W350" i="14"/>
  <c r="V350" i="14"/>
  <c r="U350" i="14"/>
  <c r="T350" i="14"/>
  <c r="S350" i="14"/>
  <c r="R350" i="14"/>
  <c r="Q350" i="14"/>
  <c r="P350" i="14"/>
  <c r="O350" i="14"/>
  <c r="N350" i="14"/>
  <c r="M350" i="14"/>
  <c r="L350" i="14"/>
  <c r="K350" i="14"/>
  <c r="J350" i="14"/>
  <c r="I350" i="14"/>
  <c r="H350" i="14"/>
  <c r="G350" i="14"/>
  <c r="F350" i="14"/>
  <c r="E350" i="14"/>
  <c r="D350" i="14"/>
  <c r="C350" i="14"/>
  <c r="B350" i="14"/>
  <c r="A350" i="14"/>
  <c r="Z349" i="14"/>
  <c r="Y349" i="14"/>
  <c r="X349" i="14"/>
  <c r="W349" i="14"/>
  <c r="V349" i="14"/>
  <c r="U349" i="14"/>
  <c r="T349" i="14"/>
  <c r="S349" i="14"/>
  <c r="R349" i="14"/>
  <c r="Q349" i="14"/>
  <c r="P349" i="14"/>
  <c r="O349" i="14"/>
  <c r="N349" i="14"/>
  <c r="M349" i="14"/>
  <c r="L349" i="14"/>
  <c r="K349" i="14"/>
  <c r="J349" i="14"/>
  <c r="I349" i="14"/>
  <c r="H349" i="14"/>
  <c r="G349" i="14"/>
  <c r="F349" i="14"/>
  <c r="E349" i="14"/>
  <c r="D349" i="14"/>
  <c r="C349" i="14"/>
  <c r="B349" i="14"/>
  <c r="A349" i="14"/>
  <c r="Z348" i="14"/>
  <c r="Y348" i="14"/>
  <c r="X348" i="14"/>
  <c r="W348" i="14"/>
  <c r="V348" i="14"/>
  <c r="U348" i="14"/>
  <c r="T348" i="14"/>
  <c r="S348" i="14"/>
  <c r="R348" i="14"/>
  <c r="Q348" i="14"/>
  <c r="P348" i="14"/>
  <c r="O348" i="14"/>
  <c r="N348" i="14"/>
  <c r="M348" i="14"/>
  <c r="L348" i="14"/>
  <c r="K348" i="14"/>
  <c r="J348" i="14"/>
  <c r="I348" i="14"/>
  <c r="H348" i="14"/>
  <c r="G348" i="14"/>
  <c r="F348" i="14"/>
  <c r="E348" i="14"/>
  <c r="D348" i="14"/>
  <c r="C348" i="14"/>
  <c r="B348" i="14"/>
  <c r="A348" i="14"/>
  <c r="Z347" i="14"/>
  <c r="Y347" i="14"/>
  <c r="X347" i="14"/>
  <c r="W347" i="14"/>
  <c r="V347" i="14"/>
  <c r="U347" i="14"/>
  <c r="T347" i="14"/>
  <c r="S347" i="14"/>
  <c r="R347" i="14"/>
  <c r="Q347" i="14"/>
  <c r="P347" i="14"/>
  <c r="O347" i="14"/>
  <c r="N347" i="14"/>
  <c r="M347" i="14"/>
  <c r="L347" i="14"/>
  <c r="K347" i="14"/>
  <c r="J347" i="14"/>
  <c r="I347" i="14"/>
  <c r="H347" i="14"/>
  <c r="G347" i="14"/>
  <c r="F347" i="14"/>
  <c r="E347" i="14"/>
  <c r="D347" i="14"/>
  <c r="C347" i="14"/>
  <c r="B347" i="14"/>
  <c r="A347" i="14"/>
  <c r="Z346" i="14"/>
  <c r="Y346" i="14"/>
  <c r="X346" i="14"/>
  <c r="W346" i="14"/>
  <c r="V346" i="14"/>
  <c r="U346" i="14"/>
  <c r="T346" i="14"/>
  <c r="S346" i="14"/>
  <c r="R346" i="14"/>
  <c r="Q346" i="14"/>
  <c r="P346" i="14"/>
  <c r="O346" i="14"/>
  <c r="N346" i="14"/>
  <c r="M346" i="14"/>
  <c r="L346" i="14"/>
  <c r="K346" i="14"/>
  <c r="J346" i="14"/>
  <c r="I346" i="14"/>
  <c r="H346" i="14"/>
  <c r="G346" i="14"/>
  <c r="F346" i="14"/>
  <c r="E346" i="14"/>
  <c r="D346" i="14"/>
  <c r="C346" i="14"/>
  <c r="B346" i="14"/>
  <c r="A346" i="14"/>
  <c r="Z345" i="14"/>
  <c r="Y345" i="14"/>
  <c r="X345" i="14"/>
  <c r="W345" i="14"/>
  <c r="V345" i="14"/>
  <c r="U345" i="14"/>
  <c r="T345" i="14"/>
  <c r="S345" i="14"/>
  <c r="R345" i="14"/>
  <c r="Q345" i="14"/>
  <c r="P345" i="14"/>
  <c r="O345" i="14"/>
  <c r="N345" i="14"/>
  <c r="M345" i="14"/>
  <c r="L345" i="14"/>
  <c r="K345" i="14"/>
  <c r="J345" i="14"/>
  <c r="I345" i="14"/>
  <c r="H345" i="14"/>
  <c r="G345" i="14"/>
  <c r="F345" i="14"/>
  <c r="E345" i="14"/>
  <c r="D345" i="14"/>
  <c r="C345" i="14"/>
  <c r="B345" i="14"/>
  <c r="A345" i="14"/>
  <c r="Z344" i="14"/>
  <c r="Y344" i="14"/>
  <c r="X344" i="14"/>
  <c r="W344" i="14"/>
  <c r="V344" i="14"/>
  <c r="U344" i="14"/>
  <c r="T344" i="14"/>
  <c r="S344" i="14"/>
  <c r="R344" i="14"/>
  <c r="Q344" i="14"/>
  <c r="P344" i="14"/>
  <c r="O344" i="14"/>
  <c r="N344" i="14"/>
  <c r="M344" i="14"/>
  <c r="L344" i="14"/>
  <c r="K344" i="14"/>
  <c r="J344" i="14"/>
  <c r="I344" i="14"/>
  <c r="H344" i="14"/>
  <c r="G344" i="14"/>
  <c r="F344" i="14"/>
  <c r="E344" i="14"/>
  <c r="D344" i="14"/>
  <c r="C344" i="14"/>
  <c r="B344" i="14"/>
  <c r="A344" i="14"/>
  <c r="Z343" i="14"/>
  <c r="Y343" i="14"/>
  <c r="X343" i="14"/>
  <c r="W343" i="14"/>
  <c r="V343" i="14"/>
  <c r="U343" i="14"/>
  <c r="T343" i="14"/>
  <c r="S343" i="14"/>
  <c r="R343" i="14"/>
  <c r="Q343" i="14"/>
  <c r="P343" i="14"/>
  <c r="O343" i="14"/>
  <c r="N343" i="14"/>
  <c r="M343" i="14"/>
  <c r="L343" i="14"/>
  <c r="K343" i="14"/>
  <c r="J343" i="14"/>
  <c r="I343" i="14"/>
  <c r="H343" i="14"/>
  <c r="G343" i="14"/>
  <c r="F343" i="14"/>
  <c r="E343" i="14"/>
  <c r="D343" i="14"/>
  <c r="C343" i="14"/>
  <c r="B343" i="14"/>
  <c r="A343" i="14"/>
  <c r="Z342" i="14"/>
  <c r="Y342" i="14"/>
  <c r="X342" i="14"/>
  <c r="W342" i="14"/>
  <c r="V342" i="14"/>
  <c r="U342" i="14"/>
  <c r="T342" i="14"/>
  <c r="S342" i="14"/>
  <c r="R342" i="14"/>
  <c r="Q342" i="14"/>
  <c r="P342" i="14"/>
  <c r="O342" i="14"/>
  <c r="N342" i="14"/>
  <c r="M342" i="14"/>
  <c r="L342" i="14"/>
  <c r="K342" i="14"/>
  <c r="J342" i="14"/>
  <c r="I342" i="14"/>
  <c r="H342" i="14"/>
  <c r="G342" i="14"/>
  <c r="F342" i="14"/>
  <c r="E342" i="14"/>
  <c r="D342" i="14"/>
  <c r="C342" i="14"/>
  <c r="B342" i="14"/>
  <c r="A342" i="14"/>
  <c r="Z341" i="14"/>
  <c r="Y341" i="14"/>
  <c r="X341" i="14"/>
  <c r="W341" i="14"/>
  <c r="V341" i="14"/>
  <c r="U341" i="14"/>
  <c r="T341" i="14"/>
  <c r="S341" i="14"/>
  <c r="R341" i="14"/>
  <c r="Q341" i="14"/>
  <c r="P341" i="14"/>
  <c r="O341" i="14"/>
  <c r="N341" i="14"/>
  <c r="M341" i="14"/>
  <c r="L341" i="14"/>
  <c r="K341" i="14"/>
  <c r="J341" i="14"/>
  <c r="I341" i="14"/>
  <c r="H341" i="14"/>
  <c r="G341" i="14"/>
  <c r="F341" i="14"/>
  <c r="E341" i="14"/>
  <c r="D341" i="14"/>
  <c r="C341" i="14"/>
  <c r="B341" i="14"/>
  <c r="A341" i="14"/>
  <c r="Z340" i="14"/>
  <c r="Y340" i="14"/>
  <c r="X340" i="14"/>
  <c r="W340" i="14"/>
  <c r="V340" i="14"/>
  <c r="U340" i="14"/>
  <c r="T340" i="14"/>
  <c r="S340" i="14"/>
  <c r="R340" i="14"/>
  <c r="Q340" i="14"/>
  <c r="P340" i="14"/>
  <c r="O340" i="14"/>
  <c r="N340" i="14"/>
  <c r="M340" i="14"/>
  <c r="L340" i="14"/>
  <c r="K340" i="14"/>
  <c r="J340" i="14"/>
  <c r="I340" i="14"/>
  <c r="H340" i="14"/>
  <c r="G340" i="14"/>
  <c r="F340" i="14"/>
  <c r="E340" i="14"/>
  <c r="D340" i="14"/>
  <c r="C340" i="14"/>
  <c r="B340" i="14"/>
  <c r="A340" i="14"/>
  <c r="Z339" i="14"/>
  <c r="Y339" i="14"/>
  <c r="X339" i="14"/>
  <c r="W339" i="14"/>
  <c r="V339" i="14"/>
  <c r="U339" i="14"/>
  <c r="T339" i="14"/>
  <c r="S339" i="14"/>
  <c r="R339" i="14"/>
  <c r="Q339" i="14"/>
  <c r="P339" i="14"/>
  <c r="O339" i="14"/>
  <c r="N339" i="14"/>
  <c r="M339" i="14"/>
  <c r="L339" i="14"/>
  <c r="K339" i="14"/>
  <c r="J339" i="14"/>
  <c r="I339" i="14"/>
  <c r="H339" i="14"/>
  <c r="G339" i="14"/>
  <c r="F339" i="14"/>
  <c r="E339" i="14"/>
  <c r="D339" i="14"/>
  <c r="C339" i="14"/>
  <c r="B339" i="14"/>
  <c r="A339" i="14"/>
  <c r="Z338" i="14"/>
  <c r="Y338" i="14"/>
  <c r="X338" i="14"/>
  <c r="W338" i="14"/>
  <c r="V338" i="14"/>
  <c r="U338" i="14"/>
  <c r="T338" i="14"/>
  <c r="S338" i="14"/>
  <c r="R338" i="14"/>
  <c r="Q338" i="14"/>
  <c r="P338" i="14"/>
  <c r="O338" i="14"/>
  <c r="N338" i="14"/>
  <c r="M338" i="14"/>
  <c r="L338" i="14"/>
  <c r="K338" i="14"/>
  <c r="J338" i="14"/>
  <c r="I338" i="14"/>
  <c r="H338" i="14"/>
  <c r="G338" i="14"/>
  <c r="F338" i="14"/>
  <c r="E338" i="14"/>
  <c r="D338" i="14"/>
  <c r="C338" i="14"/>
  <c r="B338" i="14"/>
  <c r="A338" i="14"/>
  <c r="Z337" i="14"/>
  <c r="Y337" i="14"/>
  <c r="X337" i="14"/>
  <c r="W337" i="14"/>
  <c r="V337" i="14"/>
  <c r="U337" i="14"/>
  <c r="T337" i="14"/>
  <c r="S337" i="14"/>
  <c r="R337" i="14"/>
  <c r="Q337" i="14"/>
  <c r="P337" i="14"/>
  <c r="O337" i="14"/>
  <c r="N337" i="14"/>
  <c r="M337" i="14"/>
  <c r="L337" i="14"/>
  <c r="K337" i="14"/>
  <c r="J337" i="14"/>
  <c r="I337" i="14"/>
  <c r="H337" i="14"/>
  <c r="G337" i="14"/>
  <c r="F337" i="14"/>
  <c r="E337" i="14"/>
  <c r="D337" i="14"/>
  <c r="C337" i="14"/>
  <c r="B337" i="14"/>
  <c r="A337" i="14"/>
  <c r="Z336" i="14"/>
  <c r="Y336" i="14"/>
  <c r="X336" i="14"/>
  <c r="W336" i="14"/>
  <c r="V336" i="14"/>
  <c r="U336" i="14"/>
  <c r="T336" i="14"/>
  <c r="S336" i="14"/>
  <c r="R336" i="14"/>
  <c r="Q336" i="14"/>
  <c r="P336" i="14"/>
  <c r="O336" i="14"/>
  <c r="N336" i="14"/>
  <c r="M336" i="14"/>
  <c r="L336" i="14"/>
  <c r="K336" i="14"/>
  <c r="J336" i="14"/>
  <c r="I336" i="14"/>
  <c r="H336" i="14"/>
  <c r="G336" i="14"/>
  <c r="F336" i="14"/>
  <c r="E336" i="14"/>
  <c r="D336" i="14"/>
  <c r="C336" i="14"/>
  <c r="B336" i="14"/>
  <c r="A336" i="14"/>
  <c r="Z335" i="14"/>
  <c r="Y335" i="14"/>
  <c r="X335" i="14"/>
  <c r="W335" i="14"/>
  <c r="V335" i="14"/>
  <c r="U335" i="14"/>
  <c r="T335" i="14"/>
  <c r="S335" i="14"/>
  <c r="R335" i="14"/>
  <c r="Q335" i="14"/>
  <c r="P335" i="14"/>
  <c r="O335" i="14"/>
  <c r="N335" i="14"/>
  <c r="M335" i="14"/>
  <c r="L335" i="14"/>
  <c r="K335" i="14"/>
  <c r="J335" i="14"/>
  <c r="I335" i="14"/>
  <c r="H335" i="14"/>
  <c r="G335" i="14"/>
  <c r="F335" i="14"/>
  <c r="E335" i="14"/>
  <c r="D335" i="14"/>
  <c r="C335" i="14"/>
  <c r="B335" i="14"/>
  <c r="A335" i="14"/>
  <c r="Z334" i="14"/>
  <c r="Y334" i="14"/>
  <c r="X334" i="14"/>
  <c r="W334" i="14"/>
  <c r="V334" i="14"/>
  <c r="U334" i="14"/>
  <c r="T334" i="14"/>
  <c r="S334" i="14"/>
  <c r="R334" i="14"/>
  <c r="Q334" i="14"/>
  <c r="P334" i="14"/>
  <c r="O334" i="14"/>
  <c r="N334" i="14"/>
  <c r="M334" i="14"/>
  <c r="L334" i="14"/>
  <c r="K334" i="14"/>
  <c r="J334" i="14"/>
  <c r="I334" i="14"/>
  <c r="H334" i="14"/>
  <c r="G334" i="14"/>
  <c r="F334" i="14"/>
  <c r="E334" i="14"/>
  <c r="D334" i="14"/>
  <c r="C334" i="14"/>
  <c r="B334" i="14"/>
  <c r="A334" i="14"/>
  <c r="Z333" i="14"/>
  <c r="Y333" i="14"/>
  <c r="X333" i="14"/>
  <c r="W333" i="14"/>
  <c r="V333" i="14"/>
  <c r="U333" i="14"/>
  <c r="T333" i="14"/>
  <c r="S333" i="14"/>
  <c r="R333" i="14"/>
  <c r="Q333" i="14"/>
  <c r="P333" i="14"/>
  <c r="O333" i="14"/>
  <c r="N333" i="14"/>
  <c r="M333" i="14"/>
  <c r="L333" i="14"/>
  <c r="K333" i="14"/>
  <c r="J333" i="14"/>
  <c r="I333" i="14"/>
  <c r="H333" i="14"/>
  <c r="G333" i="14"/>
  <c r="F333" i="14"/>
  <c r="E333" i="14"/>
  <c r="D333" i="14"/>
  <c r="C333" i="14"/>
  <c r="B333" i="14"/>
  <c r="A333" i="14"/>
  <c r="Z332" i="14"/>
  <c r="Y332" i="14"/>
  <c r="X332" i="14"/>
  <c r="W332" i="14"/>
  <c r="V332" i="14"/>
  <c r="U332" i="14"/>
  <c r="T332" i="14"/>
  <c r="S332" i="14"/>
  <c r="R332" i="14"/>
  <c r="Q332" i="14"/>
  <c r="P332" i="14"/>
  <c r="O332" i="14"/>
  <c r="N332" i="14"/>
  <c r="M332" i="14"/>
  <c r="L332" i="14"/>
  <c r="K332" i="14"/>
  <c r="J332" i="14"/>
  <c r="I332" i="14"/>
  <c r="H332" i="14"/>
  <c r="G332" i="14"/>
  <c r="F332" i="14"/>
  <c r="E332" i="14"/>
  <c r="D332" i="14"/>
  <c r="C332" i="14"/>
  <c r="B332" i="14"/>
  <c r="A332" i="14"/>
  <c r="Z331" i="14"/>
  <c r="Y331" i="14"/>
  <c r="X331" i="14"/>
  <c r="W331" i="14"/>
  <c r="V331" i="14"/>
  <c r="U331" i="14"/>
  <c r="T331" i="14"/>
  <c r="S331" i="14"/>
  <c r="R331" i="14"/>
  <c r="Q331" i="14"/>
  <c r="P331" i="14"/>
  <c r="O331" i="14"/>
  <c r="N331" i="14"/>
  <c r="M331" i="14"/>
  <c r="L331" i="14"/>
  <c r="K331" i="14"/>
  <c r="J331" i="14"/>
  <c r="I331" i="14"/>
  <c r="H331" i="14"/>
  <c r="G331" i="14"/>
  <c r="F331" i="14"/>
  <c r="E331" i="14"/>
  <c r="D331" i="14"/>
  <c r="C331" i="14"/>
  <c r="B331" i="14"/>
  <c r="A331" i="14"/>
  <c r="Z330" i="14"/>
  <c r="Y330" i="14"/>
  <c r="X330" i="14"/>
  <c r="W330" i="14"/>
  <c r="V330" i="14"/>
  <c r="U330" i="14"/>
  <c r="T330" i="14"/>
  <c r="S330" i="14"/>
  <c r="R330" i="14"/>
  <c r="Q330" i="14"/>
  <c r="P330" i="14"/>
  <c r="O330" i="14"/>
  <c r="N330" i="14"/>
  <c r="M330" i="14"/>
  <c r="L330" i="14"/>
  <c r="K330" i="14"/>
  <c r="J330" i="14"/>
  <c r="I330" i="14"/>
  <c r="H330" i="14"/>
  <c r="G330" i="14"/>
  <c r="F330" i="14"/>
  <c r="E330" i="14"/>
  <c r="D330" i="14"/>
  <c r="C330" i="14"/>
  <c r="B330" i="14"/>
  <c r="A330" i="14"/>
  <c r="Z329" i="14"/>
  <c r="Y329" i="14"/>
  <c r="X329" i="14"/>
  <c r="W329" i="14"/>
  <c r="V329" i="14"/>
  <c r="U329" i="14"/>
  <c r="T329" i="14"/>
  <c r="S329" i="14"/>
  <c r="R329" i="14"/>
  <c r="Q329" i="14"/>
  <c r="P329" i="14"/>
  <c r="O329" i="14"/>
  <c r="N329" i="14"/>
  <c r="M329" i="14"/>
  <c r="L329" i="14"/>
  <c r="K329" i="14"/>
  <c r="J329" i="14"/>
  <c r="I329" i="14"/>
  <c r="H329" i="14"/>
  <c r="G329" i="14"/>
  <c r="F329" i="14"/>
  <c r="E329" i="14"/>
  <c r="D329" i="14"/>
  <c r="C329" i="14"/>
  <c r="B329" i="14"/>
  <c r="A329" i="14"/>
  <c r="Z328" i="14"/>
  <c r="Y328" i="14"/>
  <c r="X328" i="14"/>
  <c r="W328" i="14"/>
  <c r="V328" i="14"/>
  <c r="U328" i="14"/>
  <c r="T328" i="14"/>
  <c r="S328" i="14"/>
  <c r="R328" i="14"/>
  <c r="Q328" i="14"/>
  <c r="P328" i="14"/>
  <c r="O328" i="14"/>
  <c r="N328" i="14"/>
  <c r="M328" i="14"/>
  <c r="L328" i="14"/>
  <c r="K328" i="14"/>
  <c r="J328" i="14"/>
  <c r="I328" i="14"/>
  <c r="H328" i="14"/>
  <c r="G328" i="14"/>
  <c r="F328" i="14"/>
  <c r="E328" i="14"/>
  <c r="D328" i="14"/>
  <c r="C328" i="14"/>
  <c r="B328" i="14"/>
  <c r="A328" i="14"/>
  <c r="Z327" i="14"/>
  <c r="Y327" i="14"/>
  <c r="X327" i="14"/>
  <c r="W327" i="14"/>
  <c r="V327" i="14"/>
  <c r="U327" i="14"/>
  <c r="T327" i="14"/>
  <c r="S327" i="14"/>
  <c r="R327" i="14"/>
  <c r="Q327" i="14"/>
  <c r="P327" i="14"/>
  <c r="O327" i="14"/>
  <c r="N327" i="14"/>
  <c r="M327" i="14"/>
  <c r="L327" i="14"/>
  <c r="K327" i="14"/>
  <c r="J327" i="14"/>
  <c r="I327" i="14"/>
  <c r="H327" i="14"/>
  <c r="G327" i="14"/>
  <c r="F327" i="14"/>
  <c r="E327" i="14"/>
  <c r="D327" i="14"/>
  <c r="C327" i="14"/>
  <c r="B327" i="14"/>
  <c r="A327" i="14"/>
  <c r="Z326" i="14"/>
  <c r="Y326" i="14"/>
  <c r="X326" i="14"/>
  <c r="W326" i="14"/>
  <c r="V326" i="14"/>
  <c r="U326" i="14"/>
  <c r="T326" i="14"/>
  <c r="S326" i="14"/>
  <c r="R326" i="14"/>
  <c r="Q326" i="14"/>
  <c r="P326" i="14"/>
  <c r="O326" i="14"/>
  <c r="N326" i="14"/>
  <c r="M326" i="14"/>
  <c r="L326" i="14"/>
  <c r="K326" i="14"/>
  <c r="J326" i="14"/>
  <c r="I326" i="14"/>
  <c r="H326" i="14"/>
  <c r="G326" i="14"/>
  <c r="F326" i="14"/>
  <c r="E326" i="14"/>
  <c r="D326" i="14"/>
  <c r="C326" i="14"/>
  <c r="B326" i="14"/>
  <c r="A326" i="14"/>
  <c r="Z325" i="14"/>
  <c r="Y325" i="14"/>
  <c r="X325" i="14"/>
  <c r="W325" i="14"/>
  <c r="V325" i="14"/>
  <c r="U325" i="14"/>
  <c r="T325" i="14"/>
  <c r="S325" i="14"/>
  <c r="R325" i="14"/>
  <c r="Q325" i="14"/>
  <c r="P325" i="14"/>
  <c r="O325" i="14"/>
  <c r="N325" i="14"/>
  <c r="M325" i="14"/>
  <c r="L325" i="14"/>
  <c r="K325" i="14"/>
  <c r="J325" i="14"/>
  <c r="I325" i="14"/>
  <c r="H325" i="14"/>
  <c r="G325" i="14"/>
  <c r="F325" i="14"/>
  <c r="E325" i="14"/>
  <c r="D325" i="14"/>
  <c r="C325" i="14"/>
  <c r="B325" i="14"/>
  <c r="A325" i="14"/>
  <c r="Z324" i="14"/>
  <c r="Y324" i="14"/>
  <c r="X324" i="14"/>
  <c r="W324" i="14"/>
  <c r="V324" i="14"/>
  <c r="U324" i="14"/>
  <c r="T324" i="14"/>
  <c r="S324" i="14"/>
  <c r="R324" i="14"/>
  <c r="Q324" i="14"/>
  <c r="P324" i="14"/>
  <c r="O324" i="14"/>
  <c r="N324" i="14"/>
  <c r="M324" i="14"/>
  <c r="L324" i="14"/>
  <c r="K324" i="14"/>
  <c r="J324" i="14"/>
  <c r="I324" i="14"/>
  <c r="H324" i="14"/>
  <c r="G324" i="14"/>
  <c r="F324" i="14"/>
  <c r="E324" i="14"/>
  <c r="D324" i="14"/>
  <c r="C324" i="14"/>
  <c r="B324" i="14"/>
  <c r="A324" i="14"/>
  <c r="Z323" i="14"/>
  <c r="Y323" i="14"/>
  <c r="X323" i="14"/>
  <c r="W323" i="14"/>
  <c r="V323" i="14"/>
  <c r="U323" i="14"/>
  <c r="T323" i="14"/>
  <c r="S323" i="14"/>
  <c r="R323" i="14"/>
  <c r="Q323" i="14"/>
  <c r="P323" i="14"/>
  <c r="O323" i="14"/>
  <c r="N323" i="14"/>
  <c r="M323" i="14"/>
  <c r="L323" i="14"/>
  <c r="K323" i="14"/>
  <c r="J323" i="14"/>
  <c r="I323" i="14"/>
  <c r="H323" i="14"/>
  <c r="G323" i="14"/>
  <c r="F323" i="14"/>
  <c r="E323" i="14"/>
  <c r="D323" i="14"/>
  <c r="C323" i="14"/>
  <c r="B323" i="14"/>
  <c r="A323" i="14"/>
  <c r="Z322" i="14"/>
  <c r="Y322" i="14"/>
  <c r="X322" i="14"/>
  <c r="W322" i="14"/>
  <c r="V322" i="14"/>
  <c r="U322" i="14"/>
  <c r="T322" i="14"/>
  <c r="S322" i="14"/>
  <c r="R322" i="14"/>
  <c r="Q322" i="14"/>
  <c r="P322" i="14"/>
  <c r="O322" i="14"/>
  <c r="N322" i="14"/>
  <c r="M322" i="14"/>
  <c r="L322" i="14"/>
  <c r="K322" i="14"/>
  <c r="J322" i="14"/>
  <c r="I322" i="14"/>
  <c r="H322" i="14"/>
  <c r="G322" i="14"/>
  <c r="F322" i="14"/>
  <c r="E322" i="14"/>
  <c r="D322" i="14"/>
  <c r="C322" i="14"/>
  <c r="B322" i="14"/>
  <c r="A322" i="14"/>
  <c r="Z321" i="14"/>
  <c r="Y321" i="14"/>
  <c r="X321" i="14"/>
  <c r="W321" i="14"/>
  <c r="V321" i="14"/>
  <c r="U321" i="14"/>
  <c r="T321" i="14"/>
  <c r="S321" i="14"/>
  <c r="R321" i="14"/>
  <c r="Q321" i="14"/>
  <c r="P321" i="14"/>
  <c r="O321" i="14"/>
  <c r="N321" i="14"/>
  <c r="M321" i="14"/>
  <c r="L321" i="14"/>
  <c r="K321" i="14"/>
  <c r="J321" i="14"/>
  <c r="I321" i="14"/>
  <c r="H321" i="14"/>
  <c r="G321" i="14"/>
  <c r="F321" i="14"/>
  <c r="E321" i="14"/>
  <c r="D321" i="14"/>
  <c r="C321" i="14"/>
  <c r="B321" i="14"/>
  <c r="A321" i="14"/>
  <c r="Z320" i="14"/>
  <c r="Y320" i="14"/>
  <c r="X320" i="14"/>
  <c r="W320" i="14"/>
  <c r="V320" i="14"/>
  <c r="U320" i="14"/>
  <c r="T320" i="14"/>
  <c r="S320" i="14"/>
  <c r="R320" i="14"/>
  <c r="Q320" i="14"/>
  <c r="P320" i="14"/>
  <c r="O320" i="14"/>
  <c r="N320" i="14"/>
  <c r="M320" i="14"/>
  <c r="L320" i="14"/>
  <c r="K320" i="14"/>
  <c r="J320" i="14"/>
  <c r="I320" i="14"/>
  <c r="H320" i="14"/>
  <c r="G320" i="14"/>
  <c r="F320" i="14"/>
  <c r="E320" i="14"/>
  <c r="D320" i="14"/>
  <c r="C320" i="14"/>
  <c r="B320" i="14"/>
  <c r="A320" i="14"/>
  <c r="Z319" i="14"/>
  <c r="Y319" i="14"/>
  <c r="X319" i="14"/>
  <c r="W319" i="14"/>
  <c r="V319" i="14"/>
  <c r="U319" i="14"/>
  <c r="T319" i="14"/>
  <c r="S319" i="14"/>
  <c r="R319" i="14"/>
  <c r="Q319" i="14"/>
  <c r="P319" i="14"/>
  <c r="O319" i="14"/>
  <c r="N319" i="14"/>
  <c r="M319" i="14"/>
  <c r="L319" i="14"/>
  <c r="K319" i="14"/>
  <c r="J319" i="14"/>
  <c r="I319" i="14"/>
  <c r="H319" i="14"/>
  <c r="G319" i="14"/>
  <c r="F319" i="14"/>
  <c r="E319" i="14"/>
  <c r="D319" i="14"/>
  <c r="C319" i="14"/>
  <c r="B319" i="14"/>
  <c r="A319" i="14"/>
  <c r="Z318" i="14"/>
  <c r="Y318" i="14"/>
  <c r="X318" i="14"/>
  <c r="W318" i="14"/>
  <c r="V318" i="14"/>
  <c r="U318" i="14"/>
  <c r="T318" i="14"/>
  <c r="S318" i="14"/>
  <c r="R318" i="14"/>
  <c r="Q318" i="14"/>
  <c r="P318" i="14"/>
  <c r="O318" i="14"/>
  <c r="N318" i="14"/>
  <c r="M318" i="14"/>
  <c r="L318" i="14"/>
  <c r="K318" i="14"/>
  <c r="J318" i="14"/>
  <c r="I318" i="14"/>
  <c r="H318" i="14"/>
  <c r="G318" i="14"/>
  <c r="F318" i="14"/>
  <c r="E318" i="14"/>
  <c r="D318" i="14"/>
  <c r="C318" i="14"/>
  <c r="B318" i="14"/>
  <c r="A318" i="14"/>
  <c r="Z317" i="14"/>
  <c r="Y317" i="14"/>
  <c r="X317" i="14"/>
  <c r="W317" i="14"/>
  <c r="V317" i="14"/>
  <c r="U317" i="14"/>
  <c r="T317" i="14"/>
  <c r="S317" i="14"/>
  <c r="R317" i="14"/>
  <c r="Q317" i="14"/>
  <c r="P317" i="14"/>
  <c r="O317" i="14"/>
  <c r="N317" i="14"/>
  <c r="M317" i="14"/>
  <c r="L317" i="14"/>
  <c r="K317" i="14"/>
  <c r="J317" i="14"/>
  <c r="I317" i="14"/>
  <c r="H317" i="14"/>
  <c r="G317" i="14"/>
  <c r="F317" i="14"/>
  <c r="E317" i="14"/>
  <c r="D317" i="14"/>
  <c r="C317" i="14"/>
  <c r="B317" i="14"/>
  <c r="A317" i="14"/>
  <c r="Z316" i="14"/>
  <c r="Y316" i="14"/>
  <c r="X316" i="14"/>
  <c r="W316" i="14"/>
  <c r="V316" i="14"/>
  <c r="U316" i="14"/>
  <c r="T316" i="14"/>
  <c r="S316" i="14"/>
  <c r="R316" i="14"/>
  <c r="Q316" i="14"/>
  <c r="P316" i="14"/>
  <c r="O316" i="14"/>
  <c r="N316" i="14"/>
  <c r="M316" i="14"/>
  <c r="L316" i="14"/>
  <c r="K316" i="14"/>
  <c r="J316" i="14"/>
  <c r="I316" i="14"/>
  <c r="H316" i="14"/>
  <c r="G316" i="14"/>
  <c r="F316" i="14"/>
  <c r="E316" i="14"/>
  <c r="D316" i="14"/>
  <c r="C316" i="14"/>
  <c r="B316" i="14"/>
  <c r="A316" i="14"/>
  <c r="Z315" i="14"/>
  <c r="Y315" i="14"/>
  <c r="X315" i="14"/>
  <c r="W315" i="14"/>
  <c r="V315" i="14"/>
  <c r="U315" i="14"/>
  <c r="T315" i="14"/>
  <c r="S315" i="14"/>
  <c r="R315" i="14"/>
  <c r="Q315" i="14"/>
  <c r="P315" i="14"/>
  <c r="O315" i="14"/>
  <c r="N315" i="14"/>
  <c r="M315" i="14"/>
  <c r="L315" i="14"/>
  <c r="K315" i="14"/>
  <c r="J315" i="14"/>
  <c r="I315" i="14"/>
  <c r="H315" i="14"/>
  <c r="G315" i="14"/>
  <c r="F315" i="14"/>
  <c r="E315" i="14"/>
  <c r="D315" i="14"/>
  <c r="C315" i="14"/>
  <c r="B315" i="14"/>
  <c r="A315" i="14"/>
  <c r="Z314" i="14"/>
  <c r="Y314" i="14"/>
  <c r="X314" i="14"/>
  <c r="W314" i="14"/>
  <c r="V314" i="14"/>
  <c r="U314" i="14"/>
  <c r="T314" i="14"/>
  <c r="S314" i="14"/>
  <c r="R314" i="14"/>
  <c r="Q314" i="14"/>
  <c r="P314" i="14"/>
  <c r="O314" i="14"/>
  <c r="N314" i="14"/>
  <c r="M314" i="14"/>
  <c r="L314" i="14"/>
  <c r="K314" i="14"/>
  <c r="J314" i="14"/>
  <c r="I314" i="14"/>
  <c r="H314" i="14"/>
  <c r="G314" i="14"/>
  <c r="F314" i="14"/>
  <c r="E314" i="14"/>
  <c r="D314" i="14"/>
  <c r="C314" i="14"/>
  <c r="B314" i="14"/>
  <c r="A314" i="14"/>
  <c r="Z313" i="14"/>
  <c r="Y313" i="14"/>
  <c r="X313" i="14"/>
  <c r="W313" i="14"/>
  <c r="V313" i="14"/>
  <c r="U313" i="14"/>
  <c r="T313" i="14"/>
  <c r="S313" i="14"/>
  <c r="R313" i="14"/>
  <c r="Q313" i="14"/>
  <c r="P313" i="14"/>
  <c r="O313" i="14"/>
  <c r="N313" i="14"/>
  <c r="M313" i="14"/>
  <c r="L313" i="14"/>
  <c r="K313" i="14"/>
  <c r="J313" i="14"/>
  <c r="I313" i="14"/>
  <c r="H313" i="14"/>
  <c r="G313" i="14"/>
  <c r="F313" i="14"/>
  <c r="E313" i="14"/>
  <c r="D313" i="14"/>
  <c r="C313" i="14"/>
  <c r="B313" i="14"/>
  <c r="A313" i="14"/>
  <c r="Z312" i="14"/>
  <c r="Y312" i="14"/>
  <c r="X312" i="14"/>
  <c r="W312" i="14"/>
  <c r="V312" i="14"/>
  <c r="U312" i="14"/>
  <c r="T312" i="14"/>
  <c r="S312" i="14"/>
  <c r="R312" i="14"/>
  <c r="Q312" i="14"/>
  <c r="P312" i="14"/>
  <c r="O312" i="14"/>
  <c r="N312" i="14"/>
  <c r="M312" i="14"/>
  <c r="L312" i="14"/>
  <c r="K312" i="14"/>
  <c r="J312" i="14"/>
  <c r="I312" i="14"/>
  <c r="H312" i="14"/>
  <c r="G312" i="14"/>
  <c r="F312" i="14"/>
  <c r="E312" i="14"/>
  <c r="D312" i="14"/>
  <c r="C312" i="14"/>
  <c r="B312" i="14"/>
  <c r="A312" i="14"/>
  <c r="Z311" i="14"/>
  <c r="Y311" i="14"/>
  <c r="X311" i="14"/>
  <c r="W311" i="14"/>
  <c r="V311" i="14"/>
  <c r="U311" i="14"/>
  <c r="T311" i="14"/>
  <c r="S311" i="14"/>
  <c r="R311" i="14"/>
  <c r="Q311" i="14"/>
  <c r="P311" i="14"/>
  <c r="O311" i="14"/>
  <c r="N311" i="14"/>
  <c r="M311" i="14"/>
  <c r="L311" i="14"/>
  <c r="K311" i="14"/>
  <c r="J311" i="14"/>
  <c r="I311" i="14"/>
  <c r="H311" i="14"/>
  <c r="G311" i="14"/>
  <c r="F311" i="14"/>
  <c r="E311" i="14"/>
  <c r="D311" i="14"/>
  <c r="C311" i="14"/>
  <c r="B311" i="14"/>
  <c r="A311" i="14"/>
  <c r="Z310" i="14"/>
  <c r="Y310" i="14"/>
  <c r="X310" i="14"/>
  <c r="W310" i="14"/>
  <c r="V310" i="14"/>
  <c r="U310" i="14"/>
  <c r="T310" i="14"/>
  <c r="S310" i="14"/>
  <c r="R310" i="14"/>
  <c r="Q310" i="14"/>
  <c r="P310" i="14"/>
  <c r="O310" i="14"/>
  <c r="N310" i="14"/>
  <c r="M310" i="14"/>
  <c r="L310" i="14"/>
  <c r="K310" i="14"/>
  <c r="J310" i="14"/>
  <c r="I310" i="14"/>
  <c r="H310" i="14"/>
  <c r="G310" i="14"/>
  <c r="F310" i="14"/>
  <c r="E310" i="14"/>
  <c r="D310" i="14"/>
  <c r="C310" i="14"/>
  <c r="B310" i="14"/>
  <c r="A310" i="14"/>
  <c r="Z309" i="14"/>
  <c r="Y309" i="14"/>
  <c r="X309" i="14"/>
  <c r="W309" i="14"/>
  <c r="V309" i="14"/>
  <c r="U309" i="14"/>
  <c r="T309" i="14"/>
  <c r="S309" i="14"/>
  <c r="R309" i="14"/>
  <c r="Q309" i="14"/>
  <c r="P309" i="14"/>
  <c r="O309" i="14"/>
  <c r="N309" i="14"/>
  <c r="M309" i="14"/>
  <c r="L309" i="14"/>
  <c r="K309" i="14"/>
  <c r="J309" i="14"/>
  <c r="I309" i="14"/>
  <c r="H309" i="14"/>
  <c r="G309" i="14"/>
  <c r="F309" i="14"/>
  <c r="E309" i="14"/>
  <c r="D309" i="14"/>
  <c r="C309" i="14"/>
  <c r="B309" i="14"/>
  <c r="A309" i="14"/>
  <c r="Z308" i="14"/>
  <c r="Y308" i="14"/>
  <c r="X308" i="14"/>
  <c r="W308" i="14"/>
  <c r="V308" i="14"/>
  <c r="U308" i="14"/>
  <c r="T308" i="14"/>
  <c r="S308" i="14"/>
  <c r="R308" i="14"/>
  <c r="Q308" i="14"/>
  <c r="P308" i="14"/>
  <c r="O308" i="14"/>
  <c r="N308" i="14"/>
  <c r="M308" i="14"/>
  <c r="L308" i="14"/>
  <c r="K308" i="14"/>
  <c r="J308" i="14"/>
  <c r="I308" i="14"/>
  <c r="H308" i="14"/>
  <c r="G308" i="14"/>
  <c r="F308" i="14"/>
  <c r="E308" i="14"/>
  <c r="D308" i="14"/>
  <c r="C308" i="14"/>
  <c r="B308" i="14"/>
  <c r="A308" i="14"/>
  <c r="Z307" i="14"/>
  <c r="Y307" i="14"/>
  <c r="X307" i="14"/>
  <c r="W307" i="14"/>
  <c r="V307" i="14"/>
  <c r="U307" i="14"/>
  <c r="T307" i="14"/>
  <c r="S307" i="14"/>
  <c r="R307" i="14"/>
  <c r="Q307" i="14"/>
  <c r="P307" i="14"/>
  <c r="O307" i="14"/>
  <c r="N307" i="14"/>
  <c r="M307" i="14"/>
  <c r="L307" i="14"/>
  <c r="K307" i="14"/>
  <c r="J307" i="14"/>
  <c r="I307" i="14"/>
  <c r="H307" i="14"/>
  <c r="G307" i="14"/>
  <c r="F307" i="14"/>
  <c r="E307" i="14"/>
  <c r="D307" i="14"/>
  <c r="C307" i="14"/>
  <c r="B307" i="14"/>
  <c r="A307" i="14"/>
  <c r="Z306" i="14"/>
  <c r="Y306" i="14"/>
  <c r="X306" i="14"/>
  <c r="W306" i="14"/>
  <c r="V306" i="14"/>
  <c r="U306" i="14"/>
  <c r="T306" i="14"/>
  <c r="S306" i="14"/>
  <c r="R306" i="14"/>
  <c r="Q306" i="14"/>
  <c r="P306" i="14"/>
  <c r="O306" i="14"/>
  <c r="N306" i="14"/>
  <c r="M306" i="14"/>
  <c r="L306" i="14"/>
  <c r="K306" i="14"/>
  <c r="J306" i="14"/>
  <c r="I306" i="14"/>
  <c r="H306" i="14"/>
  <c r="G306" i="14"/>
  <c r="F306" i="14"/>
  <c r="E306" i="14"/>
  <c r="D306" i="14"/>
  <c r="C306" i="14"/>
  <c r="B306" i="14"/>
  <c r="A306" i="14"/>
  <c r="Z305" i="14"/>
  <c r="Y305" i="14"/>
  <c r="X305" i="14"/>
  <c r="W305" i="14"/>
  <c r="V305" i="14"/>
  <c r="U305" i="14"/>
  <c r="T305" i="14"/>
  <c r="S305" i="14"/>
  <c r="R305" i="14"/>
  <c r="Q305" i="14"/>
  <c r="P305" i="14"/>
  <c r="O305" i="14"/>
  <c r="N305" i="14"/>
  <c r="M305" i="14"/>
  <c r="L305" i="14"/>
  <c r="K305" i="14"/>
  <c r="J305" i="14"/>
  <c r="I305" i="14"/>
  <c r="H305" i="14"/>
  <c r="G305" i="14"/>
  <c r="F305" i="14"/>
  <c r="E305" i="14"/>
  <c r="D305" i="14"/>
  <c r="C305" i="14"/>
  <c r="B305" i="14"/>
  <c r="A305" i="14"/>
  <c r="Z304" i="14"/>
  <c r="Y304" i="14"/>
  <c r="X304" i="14"/>
  <c r="W304" i="14"/>
  <c r="V304" i="14"/>
  <c r="U304" i="14"/>
  <c r="T304" i="14"/>
  <c r="S304" i="14"/>
  <c r="R304" i="14"/>
  <c r="Q304" i="14"/>
  <c r="P304" i="14"/>
  <c r="O304" i="14"/>
  <c r="N304" i="14"/>
  <c r="M304" i="14"/>
  <c r="L304" i="14"/>
  <c r="K304" i="14"/>
  <c r="J304" i="14"/>
  <c r="I304" i="14"/>
  <c r="H304" i="14"/>
  <c r="G304" i="14"/>
  <c r="F304" i="14"/>
  <c r="E304" i="14"/>
  <c r="D304" i="14"/>
  <c r="C304" i="14"/>
  <c r="B304" i="14"/>
  <c r="A304" i="14"/>
  <c r="Z303" i="14"/>
  <c r="Y303" i="14"/>
  <c r="X303" i="14"/>
  <c r="W303" i="14"/>
  <c r="V303" i="14"/>
  <c r="U303" i="14"/>
  <c r="T303" i="14"/>
  <c r="S303" i="14"/>
  <c r="R303" i="14"/>
  <c r="Q303" i="14"/>
  <c r="P303" i="14"/>
  <c r="O303" i="14"/>
  <c r="N303" i="14"/>
  <c r="M303" i="14"/>
  <c r="L303" i="14"/>
  <c r="K303" i="14"/>
  <c r="J303" i="14"/>
  <c r="I303" i="14"/>
  <c r="H303" i="14"/>
  <c r="G303" i="14"/>
  <c r="F303" i="14"/>
  <c r="E303" i="14"/>
  <c r="D303" i="14"/>
  <c r="C303" i="14"/>
  <c r="B303" i="14"/>
  <c r="A303" i="14"/>
  <c r="Z302" i="14"/>
  <c r="Y302" i="14"/>
  <c r="X302" i="14"/>
  <c r="W302" i="14"/>
  <c r="V302" i="14"/>
  <c r="U302" i="14"/>
  <c r="T302" i="14"/>
  <c r="S302" i="14"/>
  <c r="R302" i="14"/>
  <c r="Q302" i="14"/>
  <c r="P302" i="14"/>
  <c r="O302" i="14"/>
  <c r="N302" i="14"/>
  <c r="M302" i="14"/>
  <c r="L302" i="14"/>
  <c r="K302" i="14"/>
  <c r="J302" i="14"/>
  <c r="I302" i="14"/>
  <c r="H302" i="14"/>
  <c r="G302" i="14"/>
  <c r="F302" i="14"/>
  <c r="E302" i="14"/>
  <c r="D302" i="14"/>
  <c r="C302" i="14"/>
  <c r="B302" i="14"/>
  <c r="A302" i="14"/>
  <c r="Z301" i="14"/>
  <c r="Y301" i="14"/>
  <c r="X301" i="14"/>
  <c r="W301" i="14"/>
  <c r="V301" i="14"/>
  <c r="U301" i="14"/>
  <c r="T301" i="14"/>
  <c r="S301" i="14"/>
  <c r="R301" i="14"/>
  <c r="Q301" i="14"/>
  <c r="P301" i="14"/>
  <c r="O301" i="14"/>
  <c r="N301" i="14"/>
  <c r="M301" i="14"/>
  <c r="L301" i="14"/>
  <c r="K301" i="14"/>
  <c r="J301" i="14"/>
  <c r="I301" i="14"/>
  <c r="H301" i="14"/>
  <c r="G301" i="14"/>
  <c r="F301" i="14"/>
  <c r="E301" i="14"/>
  <c r="D301" i="14"/>
  <c r="C301" i="14"/>
  <c r="B301" i="14"/>
  <c r="A301" i="14"/>
  <c r="Z300" i="14"/>
  <c r="Y300" i="14"/>
  <c r="X300" i="14"/>
  <c r="W300" i="14"/>
  <c r="V300" i="14"/>
  <c r="U300" i="14"/>
  <c r="T300" i="14"/>
  <c r="S300" i="14"/>
  <c r="R300" i="14"/>
  <c r="Q300" i="14"/>
  <c r="P300" i="14"/>
  <c r="O300" i="14"/>
  <c r="N300" i="14"/>
  <c r="M300" i="14"/>
  <c r="L300" i="14"/>
  <c r="K300" i="14"/>
  <c r="J300" i="14"/>
  <c r="I300" i="14"/>
  <c r="H300" i="14"/>
  <c r="G300" i="14"/>
  <c r="F300" i="14"/>
  <c r="E300" i="14"/>
  <c r="D300" i="14"/>
  <c r="C300" i="14"/>
  <c r="B300" i="14"/>
  <c r="A300" i="14"/>
  <c r="Z299" i="14"/>
  <c r="Y299" i="14"/>
  <c r="X299" i="14"/>
  <c r="W299" i="14"/>
  <c r="V299" i="14"/>
  <c r="U299" i="14"/>
  <c r="T299" i="14"/>
  <c r="S299" i="14"/>
  <c r="R299" i="14"/>
  <c r="Q299" i="14"/>
  <c r="P299" i="14"/>
  <c r="O299" i="14"/>
  <c r="N299" i="14"/>
  <c r="M299" i="14"/>
  <c r="L299" i="14"/>
  <c r="K299" i="14"/>
  <c r="J299" i="14"/>
  <c r="I299" i="14"/>
  <c r="H299" i="14"/>
  <c r="G299" i="14"/>
  <c r="F299" i="14"/>
  <c r="E299" i="14"/>
  <c r="D299" i="14"/>
  <c r="C299" i="14"/>
  <c r="B299" i="14"/>
  <c r="A299" i="14"/>
  <c r="Z298" i="14"/>
  <c r="Y298" i="14"/>
  <c r="X298" i="14"/>
  <c r="W298" i="14"/>
  <c r="V298" i="14"/>
  <c r="U298" i="14"/>
  <c r="T298" i="14"/>
  <c r="S298" i="14"/>
  <c r="R298" i="14"/>
  <c r="Q298" i="14"/>
  <c r="P298" i="14"/>
  <c r="O298" i="14"/>
  <c r="N298" i="14"/>
  <c r="M298" i="14"/>
  <c r="L298" i="14"/>
  <c r="K298" i="14"/>
  <c r="J298" i="14"/>
  <c r="I298" i="14"/>
  <c r="H298" i="14"/>
  <c r="G298" i="14"/>
  <c r="F298" i="14"/>
  <c r="E298" i="14"/>
  <c r="D298" i="14"/>
  <c r="C298" i="14"/>
  <c r="B298" i="14"/>
  <c r="A298" i="14"/>
  <c r="Z297" i="14"/>
  <c r="Y297" i="14"/>
  <c r="X297" i="14"/>
  <c r="W297" i="14"/>
  <c r="V297" i="14"/>
  <c r="U297" i="14"/>
  <c r="T297" i="14"/>
  <c r="S297" i="14"/>
  <c r="R297" i="14"/>
  <c r="Q297" i="14"/>
  <c r="P297" i="14"/>
  <c r="O297" i="14"/>
  <c r="N297" i="14"/>
  <c r="M297" i="14"/>
  <c r="L297" i="14"/>
  <c r="K297" i="14"/>
  <c r="J297" i="14"/>
  <c r="I297" i="14"/>
  <c r="H297" i="14"/>
  <c r="G297" i="14"/>
  <c r="F297" i="14"/>
  <c r="E297" i="14"/>
  <c r="D297" i="14"/>
  <c r="C297" i="14"/>
  <c r="B297" i="14"/>
  <c r="A297" i="14"/>
  <c r="Z296" i="14"/>
  <c r="Y296" i="14"/>
  <c r="X296" i="14"/>
  <c r="W296" i="14"/>
  <c r="V296" i="14"/>
  <c r="U296" i="14"/>
  <c r="T296" i="14"/>
  <c r="S296" i="14"/>
  <c r="R296" i="14"/>
  <c r="Q296" i="14"/>
  <c r="P296" i="14"/>
  <c r="O296" i="14"/>
  <c r="N296" i="14"/>
  <c r="M296" i="14"/>
  <c r="L296" i="14"/>
  <c r="K296" i="14"/>
  <c r="J296" i="14"/>
  <c r="I296" i="14"/>
  <c r="H296" i="14"/>
  <c r="G296" i="14"/>
  <c r="F296" i="14"/>
  <c r="E296" i="14"/>
  <c r="D296" i="14"/>
  <c r="C296" i="14"/>
  <c r="B296" i="14"/>
  <c r="A296" i="14"/>
  <c r="Z295" i="14"/>
  <c r="Y295" i="14"/>
  <c r="X295" i="14"/>
  <c r="W295" i="14"/>
  <c r="V295" i="14"/>
  <c r="U295" i="14"/>
  <c r="T295" i="14"/>
  <c r="S295" i="14"/>
  <c r="R295" i="14"/>
  <c r="Q295" i="14"/>
  <c r="P295" i="14"/>
  <c r="O295" i="14"/>
  <c r="N295" i="14"/>
  <c r="M295" i="14"/>
  <c r="L295" i="14"/>
  <c r="K295" i="14"/>
  <c r="J295" i="14"/>
  <c r="I295" i="14"/>
  <c r="H295" i="14"/>
  <c r="G295" i="14"/>
  <c r="F295" i="14"/>
  <c r="E295" i="14"/>
  <c r="D295" i="14"/>
  <c r="C295" i="14"/>
  <c r="B295" i="14"/>
  <c r="A295" i="14"/>
  <c r="Z294" i="14"/>
  <c r="Y294" i="14"/>
  <c r="X294" i="14"/>
  <c r="W294" i="14"/>
  <c r="V294" i="14"/>
  <c r="U294" i="14"/>
  <c r="T294" i="14"/>
  <c r="S294" i="14"/>
  <c r="R294" i="14"/>
  <c r="Q294" i="14"/>
  <c r="P294" i="14"/>
  <c r="O294" i="14"/>
  <c r="N294" i="14"/>
  <c r="M294" i="14"/>
  <c r="L294" i="14"/>
  <c r="K294" i="14"/>
  <c r="J294" i="14"/>
  <c r="I294" i="14"/>
  <c r="H294" i="14"/>
  <c r="G294" i="14"/>
  <c r="F294" i="14"/>
  <c r="E294" i="14"/>
  <c r="D294" i="14"/>
  <c r="C294" i="14"/>
  <c r="B294" i="14"/>
  <c r="A294" i="14"/>
  <c r="Z293" i="14"/>
  <c r="Y293" i="14"/>
  <c r="X293" i="14"/>
  <c r="W293" i="14"/>
  <c r="V293" i="14"/>
  <c r="U293" i="14"/>
  <c r="T293" i="14"/>
  <c r="S293" i="14"/>
  <c r="R293" i="14"/>
  <c r="Q293" i="14"/>
  <c r="P293" i="14"/>
  <c r="O293" i="14"/>
  <c r="N293" i="14"/>
  <c r="M293" i="14"/>
  <c r="L293" i="14"/>
  <c r="K293" i="14"/>
  <c r="J293" i="14"/>
  <c r="I293" i="14"/>
  <c r="H293" i="14"/>
  <c r="G293" i="14"/>
  <c r="F293" i="14"/>
  <c r="E293" i="14"/>
  <c r="D293" i="14"/>
  <c r="C293" i="14"/>
  <c r="B293" i="14"/>
  <c r="A293" i="14"/>
  <c r="Z292" i="14"/>
  <c r="Y292" i="14"/>
  <c r="X292" i="14"/>
  <c r="W292" i="14"/>
  <c r="V292" i="14"/>
  <c r="U292" i="14"/>
  <c r="T292" i="14"/>
  <c r="S292" i="14"/>
  <c r="R292" i="14"/>
  <c r="Q292" i="14"/>
  <c r="P292" i="14"/>
  <c r="O292" i="14"/>
  <c r="N292" i="14"/>
  <c r="M292" i="14"/>
  <c r="L292" i="14"/>
  <c r="K292" i="14"/>
  <c r="J292" i="14"/>
  <c r="I292" i="14"/>
  <c r="H292" i="14"/>
  <c r="G292" i="14"/>
  <c r="F292" i="14"/>
  <c r="E292" i="14"/>
  <c r="D292" i="14"/>
  <c r="C292" i="14"/>
  <c r="B292" i="14"/>
  <c r="A292" i="14"/>
  <c r="Z291" i="14"/>
  <c r="Y291" i="14"/>
  <c r="X291" i="14"/>
  <c r="W291" i="14"/>
  <c r="V291" i="14"/>
  <c r="U291" i="14"/>
  <c r="T291" i="14"/>
  <c r="S291" i="14"/>
  <c r="R291" i="14"/>
  <c r="Q291" i="14"/>
  <c r="P291" i="14"/>
  <c r="O291" i="14"/>
  <c r="N291" i="14"/>
  <c r="M291" i="14"/>
  <c r="L291" i="14"/>
  <c r="K291" i="14"/>
  <c r="J291" i="14"/>
  <c r="I291" i="14"/>
  <c r="H291" i="14"/>
  <c r="G291" i="14"/>
  <c r="F291" i="14"/>
  <c r="E291" i="14"/>
  <c r="D291" i="14"/>
  <c r="C291" i="14"/>
  <c r="B291" i="14"/>
  <c r="A291" i="14"/>
  <c r="Z290" i="14"/>
  <c r="Y290" i="14"/>
  <c r="X290" i="14"/>
  <c r="W290" i="14"/>
  <c r="V290" i="14"/>
  <c r="U290" i="14"/>
  <c r="T290" i="14"/>
  <c r="S290" i="14"/>
  <c r="R290" i="14"/>
  <c r="Q290" i="14"/>
  <c r="P290" i="14"/>
  <c r="O290" i="14"/>
  <c r="N290" i="14"/>
  <c r="M290" i="14"/>
  <c r="L290" i="14"/>
  <c r="K290" i="14"/>
  <c r="J290" i="14"/>
  <c r="I290" i="14"/>
  <c r="H290" i="14"/>
  <c r="G290" i="14"/>
  <c r="F290" i="14"/>
  <c r="E290" i="14"/>
  <c r="D290" i="14"/>
  <c r="C290" i="14"/>
  <c r="B290" i="14"/>
  <c r="A290" i="14"/>
  <c r="Z289" i="14"/>
  <c r="Y289" i="14"/>
  <c r="X289" i="14"/>
  <c r="W289" i="14"/>
  <c r="V289" i="14"/>
  <c r="U289" i="14"/>
  <c r="T289" i="14"/>
  <c r="S289" i="14"/>
  <c r="R289" i="14"/>
  <c r="Q289" i="14"/>
  <c r="P289" i="14"/>
  <c r="O289" i="14"/>
  <c r="N289" i="14"/>
  <c r="M289" i="14"/>
  <c r="L289" i="14"/>
  <c r="K289" i="14"/>
  <c r="J289" i="14"/>
  <c r="I289" i="14"/>
  <c r="H289" i="14"/>
  <c r="G289" i="14"/>
  <c r="F289" i="14"/>
  <c r="E289" i="14"/>
  <c r="D289" i="14"/>
  <c r="C289" i="14"/>
  <c r="B289" i="14"/>
  <c r="A289" i="14"/>
  <c r="Z288" i="14"/>
  <c r="Y288" i="14"/>
  <c r="X288" i="14"/>
  <c r="W288" i="14"/>
  <c r="V288" i="14"/>
  <c r="U288" i="14"/>
  <c r="T288" i="14"/>
  <c r="S288" i="14"/>
  <c r="R288" i="14"/>
  <c r="Q288" i="14"/>
  <c r="P288" i="14"/>
  <c r="O288" i="14"/>
  <c r="N288" i="14"/>
  <c r="M288" i="14"/>
  <c r="L288" i="14"/>
  <c r="K288" i="14"/>
  <c r="J288" i="14"/>
  <c r="I288" i="14"/>
  <c r="H288" i="14"/>
  <c r="G288" i="14"/>
  <c r="F288" i="14"/>
  <c r="E288" i="14"/>
  <c r="D288" i="14"/>
  <c r="C288" i="14"/>
  <c r="B288" i="14"/>
  <c r="A288" i="14"/>
  <c r="Z287" i="14"/>
  <c r="Y287" i="14"/>
  <c r="X287" i="14"/>
  <c r="W287" i="14"/>
  <c r="V287" i="14"/>
  <c r="U287" i="14"/>
  <c r="T287" i="14"/>
  <c r="S287" i="14"/>
  <c r="R287" i="14"/>
  <c r="Q287" i="14"/>
  <c r="P287" i="14"/>
  <c r="O287" i="14"/>
  <c r="N287" i="14"/>
  <c r="M287" i="14"/>
  <c r="L287" i="14"/>
  <c r="K287" i="14"/>
  <c r="J287" i="14"/>
  <c r="I287" i="14"/>
  <c r="H287" i="14"/>
  <c r="G287" i="14"/>
  <c r="F287" i="14"/>
  <c r="E287" i="14"/>
  <c r="D287" i="14"/>
  <c r="C287" i="14"/>
  <c r="B287" i="14"/>
  <c r="A287" i="14"/>
  <c r="Z286" i="14"/>
  <c r="Y286" i="14"/>
  <c r="X286" i="14"/>
  <c r="W286" i="14"/>
  <c r="V286" i="14"/>
  <c r="U286" i="14"/>
  <c r="T286" i="14"/>
  <c r="S286" i="14"/>
  <c r="R286" i="14"/>
  <c r="Q286" i="14"/>
  <c r="P286" i="14"/>
  <c r="O286" i="14"/>
  <c r="N286" i="14"/>
  <c r="M286" i="14"/>
  <c r="L286" i="14"/>
  <c r="K286" i="14"/>
  <c r="J286" i="14"/>
  <c r="I286" i="14"/>
  <c r="H286" i="14"/>
  <c r="G286" i="14"/>
  <c r="F286" i="14"/>
  <c r="E286" i="14"/>
  <c r="D286" i="14"/>
  <c r="C286" i="14"/>
  <c r="B286" i="14"/>
  <c r="A286" i="14"/>
  <c r="Z285" i="14"/>
  <c r="Y285" i="14"/>
  <c r="X285" i="14"/>
  <c r="W285" i="14"/>
  <c r="V285" i="14"/>
  <c r="U285" i="14"/>
  <c r="T285" i="14"/>
  <c r="S285" i="14"/>
  <c r="R285" i="14"/>
  <c r="Q285" i="14"/>
  <c r="P285" i="14"/>
  <c r="O285" i="14"/>
  <c r="N285" i="14"/>
  <c r="M285" i="14"/>
  <c r="L285" i="14"/>
  <c r="K285" i="14"/>
  <c r="J285" i="14"/>
  <c r="I285" i="14"/>
  <c r="H285" i="14"/>
  <c r="G285" i="14"/>
  <c r="F285" i="14"/>
  <c r="E285" i="14"/>
  <c r="D285" i="14"/>
  <c r="C285" i="14"/>
  <c r="B285" i="14"/>
  <c r="A285" i="14"/>
  <c r="Z284" i="14"/>
  <c r="Y284" i="14"/>
  <c r="X284" i="14"/>
  <c r="W284" i="14"/>
  <c r="V284" i="14"/>
  <c r="U284" i="14"/>
  <c r="T284" i="14"/>
  <c r="S284" i="14"/>
  <c r="R284" i="14"/>
  <c r="Q284" i="14"/>
  <c r="P284" i="14"/>
  <c r="O284" i="14"/>
  <c r="N284" i="14"/>
  <c r="M284" i="14"/>
  <c r="L284" i="14"/>
  <c r="K284" i="14"/>
  <c r="J284" i="14"/>
  <c r="I284" i="14"/>
  <c r="H284" i="14"/>
  <c r="G284" i="14"/>
  <c r="F284" i="14"/>
  <c r="E284" i="14"/>
  <c r="D284" i="14"/>
  <c r="C284" i="14"/>
  <c r="B284" i="14"/>
  <c r="A284" i="14"/>
  <c r="Z283" i="14"/>
  <c r="Y283" i="14"/>
  <c r="X283" i="14"/>
  <c r="W283" i="14"/>
  <c r="V283" i="14"/>
  <c r="U283" i="14"/>
  <c r="T283" i="14"/>
  <c r="S283" i="14"/>
  <c r="R283" i="14"/>
  <c r="Q283" i="14"/>
  <c r="P283" i="14"/>
  <c r="O283" i="14"/>
  <c r="N283" i="14"/>
  <c r="M283" i="14"/>
  <c r="L283" i="14"/>
  <c r="K283" i="14"/>
  <c r="J283" i="14"/>
  <c r="I283" i="14"/>
  <c r="H283" i="14"/>
  <c r="G283" i="14"/>
  <c r="F283" i="14"/>
  <c r="E283" i="14"/>
  <c r="D283" i="14"/>
  <c r="C283" i="14"/>
  <c r="B283" i="14"/>
  <c r="A283" i="14"/>
  <c r="Z282" i="14"/>
  <c r="Y282" i="14"/>
  <c r="X282" i="14"/>
  <c r="W282" i="14"/>
  <c r="V282" i="14"/>
  <c r="U282" i="14"/>
  <c r="T282" i="14"/>
  <c r="S282" i="14"/>
  <c r="R282" i="14"/>
  <c r="Q282" i="14"/>
  <c r="P282" i="14"/>
  <c r="O282" i="14"/>
  <c r="N282" i="14"/>
  <c r="M282" i="14"/>
  <c r="L282" i="14"/>
  <c r="K282" i="14"/>
  <c r="J282" i="14"/>
  <c r="I282" i="14"/>
  <c r="H282" i="14"/>
  <c r="G282" i="14"/>
  <c r="F282" i="14"/>
  <c r="E282" i="14"/>
  <c r="D282" i="14"/>
  <c r="C282" i="14"/>
  <c r="B282" i="14"/>
  <c r="A282" i="14"/>
  <c r="Z281" i="14"/>
  <c r="Y281" i="14"/>
  <c r="X281" i="14"/>
  <c r="W281" i="14"/>
  <c r="V281" i="14"/>
  <c r="U281" i="14"/>
  <c r="T281" i="14"/>
  <c r="S281" i="14"/>
  <c r="R281" i="14"/>
  <c r="Q281" i="14"/>
  <c r="P281" i="14"/>
  <c r="O281" i="14"/>
  <c r="N281" i="14"/>
  <c r="M281" i="14"/>
  <c r="L281" i="14"/>
  <c r="K281" i="14"/>
  <c r="J281" i="14"/>
  <c r="I281" i="14"/>
  <c r="H281" i="14"/>
  <c r="G281" i="14"/>
  <c r="F281" i="14"/>
  <c r="E281" i="14"/>
  <c r="D281" i="14"/>
  <c r="C281" i="14"/>
  <c r="B281" i="14"/>
  <c r="A281" i="14"/>
  <c r="Z280" i="14"/>
  <c r="Y280" i="14"/>
  <c r="X280" i="14"/>
  <c r="W280" i="14"/>
  <c r="V280" i="14"/>
  <c r="U280" i="14"/>
  <c r="T280" i="14"/>
  <c r="S280" i="14"/>
  <c r="R280" i="14"/>
  <c r="Q280" i="14"/>
  <c r="P280" i="14"/>
  <c r="O280" i="14"/>
  <c r="N280" i="14"/>
  <c r="M280" i="14"/>
  <c r="L280" i="14"/>
  <c r="K280" i="14"/>
  <c r="J280" i="14"/>
  <c r="I280" i="14"/>
  <c r="H280" i="14"/>
  <c r="G280" i="14"/>
  <c r="F280" i="14"/>
  <c r="E280" i="14"/>
  <c r="D280" i="14"/>
  <c r="C280" i="14"/>
  <c r="B280" i="14"/>
  <c r="A280" i="14"/>
  <c r="Z279" i="14"/>
  <c r="Y279" i="14"/>
  <c r="X279" i="14"/>
  <c r="W279" i="14"/>
  <c r="V279" i="14"/>
  <c r="U279" i="14"/>
  <c r="T279" i="14"/>
  <c r="S279" i="14"/>
  <c r="R279" i="14"/>
  <c r="Q279" i="14"/>
  <c r="P279" i="14"/>
  <c r="O279" i="14"/>
  <c r="N279" i="14"/>
  <c r="M279" i="14"/>
  <c r="L279" i="14"/>
  <c r="K279" i="14"/>
  <c r="J279" i="14"/>
  <c r="I279" i="14"/>
  <c r="H279" i="14"/>
  <c r="G279" i="14"/>
  <c r="F279" i="14"/>
  <c r="E279" i="14"/>
  <c r="D279" i="14"/>
  <c r="C279" i="14"/>
  <c r="B279" i="14"/>
  <c r="A279" i="14"/>
  <c r="Z278" i="14"/>
  <c r="Y278" i="14"/>
  <c r="X278" i="14"/>
  <c r="W278" i="14"/>
  <c r="V278" i="14"/>
  <c r="U278" i="14"/>
  <c r="T278" i="14"/>
  <c r="S278" i="14"/>
  <c r="R278" i="14"/>
  <c r="Q278" i="14"/>
  <c r="P278" i="14"/>
  <c r="O278" i="14"/>
  <c r="N278" i="14"/>
  <c r="M278" i="14"/>
  <c r="L278" i="14"/>
  <c r="K278" i="14"/>
  <c r="J278" i="14"/>
  <c r="I278" i="14"/>
  <c r="H278" i="14"/>
  <c r="G278" i="14"/>
  <c r="F278" i="14"/>
  <c r="E278" i="14"/>
  <c r="D278" i="14"/>
  <c r="C278" i="14"/>
  <c r="B278" i="14"/>
  <c r="A278" i="14"/>
  <c r="Z277" i="14"/>
  <c r="Y277" i="14"/>
  <c r="X277" i="14"/>
  <c r="W277" i="14"/>
  <c r="V277" i="14"/>
  <c r="U277" i="14"/>
  <c r="T277" i="14"/>
  <c r="S277" i="14"/>
  <c r="R277" i="14"/>
  <c r="Q277" i="14"/>
  <c r="P277" i="14"/>
  <c r="O277" i="14"/>
  <c r="N277" i="14"/>
  <c r="M277" i="14"/>
  <c r="L277" i="14"/>
  <c r="K277" i="14"/>
  <c r="J277" i="14"/>
  <c r="I277" i="14"/>
  <c r="H277" i="14"/>
  <c r="G277" i="14"/>
  <c r="F277" i="14"/>
  <c r="E277" i="14"/>
  <c r="D277" i="14"/>
  <c r="C277" i="14"/>
  <c r="B277" i="14"/>
  <c r="A277" i="14"/>
  <c r="Z276" i="14"/>
  <c r="Y276" i="14"/>
  <c r="X276" i="14"/>
  <c r="W276" i="14"/>
  <c r="V276" i="14"/>
  <c r="U276" i="14"/>
  <c r="T276" i="14"/>
  <c r="S276" i="14"/>
  <c r="R276" i="14"/>
  <c r="Q276" i="14"/>
  <c r="P276" i="14"/>
  <c r="O276" i="14"/>
  <c r="N276" i="14"/>
  <c r="M276" i="14"/>
  <c r="L276" i="14"/>
  <c r="K276" i="14"/>
  <c r="J276" i="14"/>
  <c r="I276" i="14"/>
  <c r="H276" i="14"/>
  <c r="G276" i="14"/>
  <c r="F276" i="14"/>
  <c r="E276" i="14"/>
  <c r="D276" i="14"/>
  <c r="C276" i="14"/>
  <c r="B276" i="14"/>
  <c r="A276" i="14"/>
  <c r="Z275" i="14"/>
  <c r="Y275" i="14"/>
  <c r="X275" i="14"/>
  <c r="W275" i="14"/>
  <c r="V275" i="14"/>
  <c r="U275" i="14"/>
  <c r="T275" i="14"/>
  <c r="S275" i="14"/>
  <c r="R275" i="14"/>
  <c r="Q275" i="14"/>
  <c r="P275" i="14"/>
  <c r="O275" i="14"/>
  <c r="N275" i="14"/>
  <c r="M275" i="14"/>
  <c r="L275" i="14"/>
  <c r="K275" i="14"/>
  <c r="J275" i="14"/>
  <c r="I275" i="14"/>
  <c r="H275" i="14"/>
  <c r="G275" i="14"/>
  <c r="F275" i="14"/>
  <c r="E275" i="14"/>
  <c r="D275" i="14"/>
  <c r="C275" i="14"/>
  <c r="B275" i="14"/>
  <c r="A275" i="14"/>
  <c r="Z274" i="14"/>
  <c r="Y274" i="14"/>
  <c r="X274" i="14"/>
  <c r="W274" i="14"/>
  <c r="V274" i="14"/>
  <c r="U274" i="14"/>
  <c r="T274" i="14"/>
  <c r="S274" i="14"/>
  <c r="R274" i="14"/>
  <c r="Q274" i="14"/>
  <c r="P274" i="14"/>
  <c r="O274" i="14"/>
  <c r="N274" i="14"/>
  <c r="M274" i="14"/>
  <c r="L274" i="14"/>
  <c r="K274" i="14"/>
  <c r="J274" i="14"/>
  <c r="I274" i="14"/>
  <c r="H274" i="14"/>
  <c r="G274" i="14"/>
  <c r="F274" i="14"/>
  <c r="E274" i="14"/>
  <c r="D274" i="14"/>
  <c r="C274" i="14"/>
  <c r="B274" i="14"/>
  <c r="A274" i="14"/>
  <c r="Z273" i="14"/>
  <c r="Y273" i="14"/>
  <c r="X273" i="14"/>
  <c r="W273" i="14"/>
  <c r="V273" i="14"/>
  <c r="U273" i="14"/>
  <c r="T273" i="14"/>
  <c r="S273" i="14"/>
  <c r="R273" i="14"/>
  <c r="Q273" i="14"/>
  <c r="P273" i="14"/>
  <c r="O273" i="14"/>
  <c r="N273" i="14"/>
  <c r="M273" i="14"/>
  <c r="L273" i="14"/>
  <c r="K273" i="14"/>
  <c r="J273" i="14"/>
  <c r="I273" i="14"/>
  <c r="H273" i="14"/>
  <c r="G273" i="14"/>
  <c r="F273" i="14"/>
  <c r="E273" i="14"/>
  <c r="D273" i="14"/>
  <c r="C273" i="14"/>
  <c r="B273" i="14"/>
  <c r="A273" i="14"/>
  <c r="Z272" i="14"/>
  <c r="Y272" i="14"/>
  <c r="X272" i="14"/>
  <c r="W272" i="14"/>
  <c r="V272" i="14"/>
  <c r="U272" i="14"/>
  <c r="T272" i="14"/>
  <c r="S272" i="14"/>
  <c r="R272" i="14"/>
  <c r="Q272" i="14"/>
  <c r="P272" i="14"/>
  <c r="O272" i="14"/>
  <c r="N272" i="14"/>
  <c r="M272" i="14"/>
  <c r="L272" i="14"/>
  <c r="K272" i="14"/>
  <c r="J272" i="14"/>
  <c r="I272" i="14"/>
  <c r="H272" i="14"/>
  <c r="G272" i="14"/>
  <c r="F272" i="14"/>
  <c r="E272" i="14"/>
  <c r="D272" i="14"/>
  <c r="C272" i="14"/>
  <c r="B272" i="14"/>
  <c r="A272" i="14"/>
  <c r="Z271" i="14"/>
  <c r="Y271" i="14"/>
  <c r="X271" i="14"/>
  <c r="W271" i="14"/>
  <c r="V271" i="14"/>
  <c r="U271" i="14"/>
  <c r="T271" i="14"/>
  <c r="S271" i="14"/>
  <c r="R271" i="14"/>
  <c r="Q271" i="14"/>
  <c r="P271" i="14"/>
  <c r="O271" i="14"/>
  <c r="N271" i="14"/>
  <c r="M271" i="14"/>
  <c r="L271" i="14"/>
  <c r="K271" i="14"/>
  <c r="J271" i="14"/>
  <c r="I271" i="14"/>
  <c r="H271" i="14"/>
  <c r="G271" i="14"/>
  <c r="F271" i="14"/>
  <c r="E271" i="14"/>
  <c r="D271" i="14"/>
  <c r="C271" i="14"/>
  <c r="B271" i="14"/>
  <c r="A271" i="14"/>
  <c r="Z270" i="14"/>
  <c r="Y270" i="14"/>
  <c r="X270" i="14"/>
  <c r="W270" i="14"/>
  <c r="V270" i="14"/>
  <c r="U270" i="14"/>
  <c r="T270" i="14"/>
  <c r="S270" i="14"/>
  <c r="R270" i="14"/>
  <c r="Q270" i="14"/>
  <c r="P270" i="14"/>
  <c r="O270" i="14"/>
  <c r="N270" i="14"/>
  <c r="M270" i="14"/>
  <c r="L270" i="14"/>
  <c r="K270" i="14"/>
  <c r="J270" i="14"/>
  <c r="I270" i="14"/>
  <c r="H270" i="14"/>
  <c r="G270" i="14"/>
  <c r="F270" i="14"/>
  <c r="E270" i="14"/>
  <c r="D270" i="14"/>
  <c r="C270" i="14"/>
  <c r="B270" i="14"/>
  <c r="A270" i="14"/>
  <c r="Z269" i="14"/>
  <c r="Y269" i="14"/>
  <c r="X269" i="14"/>
  <c r="W269" i="14"/>
  <c r="V269" i="14"/>
  <c r="U269" i="14"/>
  <c r="T269" i="14"/>
  <c r="S269" i="14"/>
  <c r="R269" i="14"/>
  <c r="Q269" i="14"/>
  <c r="P269" i="14"/>
  <c r="O269" i="14"/>
  <c r="N269" i="14"/>
  <c r="M269" i="14"/>
  <c r="L269" i="14"/>
  <c r="K269" i="14"/>
  <c r="J269" i="14"/>
  <c r="I269" i="14"/>
  <c r="H269" i="14"/>
  <c r="G269" i="14"/>
  <c r="F269" i="14"/>
  <c r="E269" i="14"/>
  <c r="D269" i="14"/>
  <c r="C269" i="14"/>
  <c r="B269" i="14"/>
  <c r="A269" i="14"/>
  <c r="Z268" i="14"/>
  <c r="Y268" i="14"/>
  <c r="X268" i="14"/>
  <c r="W268" i="14"/>
  <c r="V268" i="14"/>
  <c r="U268" i="14"/>
  <c r="T268" i="14"/>
  <c r="S268" i="14"/>
  <c r="R268" i="14"/>
  <c r="Q268" i="14"/>
  <c r="P268" i="14"/>
  <c r="O268" i="14"/>
  <c r="N268" i="14"/>
  <c r="M268" i="14"/>
  <c r="L268" i="14"/>
  <c r="K268" i="14"/>
  <c r="J268" i="14"/>
  <c r="I268" i="14"/>
  <c r="H268" i="14"/>
  <c r="G268" i="14"/>
  <c r="F268" i="14"/>
  <c r="E268" i="14"/>
  <c r="D268" i="14"/>
  <c r="C268" i="14"/>
  <c r="B268" i="14"/>
  <c r="A268" i="14"/>
  <c r="Z267" i="14"/>
  <c r="Y267" i="14"/>
  <c r="X267" i="14"/>
  <c r="W267" i="14"/>
  <c r="V267" i="14"/>
  <c r="U267" i="14"/>
  <c r="T267" i="14"/>
  <c r="S267" i="14"/>
  <c r="R267" i="14"/>
  <c r="Q267" i="14"/>
  <c r="P267" i="14"/>
  <c r="O267" i="14"/>
  <c r="N267" i="14"/>
  <c r="M267" i="14"/>
  <c r="L267" i="14"/>
  <c r="K267" i="14"/>
  <c r="J267" i="14"/>
  <c r="I267" i="14"/>
  <c r="H267" i="14"/>
  <c r="G267" i="14"/>
  <c r="F267" i="14"/>
  <c r="E267" i="14"/>
  <c r="D267" i="14"/>
  <c r="C267" i="14"/>
  <c r="B267" i="14"/>
  <c r="A267" i="14"/>
  <c r="Z266" i="14"/>
  <c r="Y266" i="14"/>
  <c r="X266" i="14"/>
  <c r="W266" i="14"/>
  <c r="V266" i="14"/>
  <c r="U266" i="14"/>
  <c r="T266" i="14"/>
  <c r="S266" i="14"/>
  <c r="R266" i="14"/>
  <c r="Q266" i="14"/>
  <c r="P266" i="14"/>
  <c r="O266" i="14"/>
  <c r="N266" i="14"/>
  <c r="M266" i="14"/>
  <c r="L266" i="14"/>
  <c r="K266" i="14"/>
  <c r="J266" i="14"/>
  <c r="I266" i="14"/>
  <c r="H266" i="14"/>
  <c r="G266" i="14"/>
  <c r="F266" i="14"/>
  <c r="E266" i="14"/>
  <c r="D266" i="14"/>
  <c r="C266" i="14"/>
  <c r="B266" i="14"/>
  <c r="A266" i="14"/>
  <c r="Z265" i="14"/>
  <c r="Y265" i="14"/>
  <c r="X265" i="14"/>
  <c r="W265" i="14"/>
  <c r="V265" i="14"/>
  <c r="U265" i="14"/>
  <c r="T265" i="14"/>
  <c r="S265" i="14"/>
  <c r="R265" i="14"/>
  <c r="Q265" i="14"/>
  <c r="P265" i="14"/>
  <c r="O265" i="14"/>
  <c r="N265" i="14"/>
  <c r="M265" i="14"/>
  <c r="L265" i="14"/>
  <c r="K265" i="14"/>
  <c r="J265" i="14"/>
  <c r="I265" i="14"/>
  <c r="H265" i="14"/>
  <c r="G265" i="14"/>
  <c r="F265" i="14"/>
  <c r="E265" i="14"/>
  <c r="D265" i="14"/>
  <c r="C265" i="14"/>
  <c r="B265" i="14"/>
  <c r="A265" i="14"/>
  <c r="Z264" i="14"/>
  <c r="Y264" i="14"/>
  <c r="X264" i="14"/>
  <c r="W264" i="14"/>
  <c r="V264" i="14"/>
  <c r="U264" i="14"/>
  <c r="T264" i="14"/>
  <c r="S264" i="14"/>
  <c r="R264" i="14"/>
  <c r="Q264" i="14"/>
  <c r="P264" i="14"/>
  <c r="O264" i="14"/>
  <c r="N264" i="14"/>
  <c r="M264" i="14"/>
  <c r="L264" i="14"/>
  <c r="K264" i="14"/>
  <c r="J264" i="14"/>
  <c r="I264" i="14"/>
  <c r="H264" i="14"/>
  <c r="G264" i="14"/>
  <c r="F264" i="14"/>
  <c r="E264" i="14"/>
  <c r="D264" i="14"/>
  <c r="C264" i="14"/>
  <c r="B264" i="14"/>
  <c r="A264" i="14"/>
  <c r="Z263" i="14"/>
  <c r="Y263" i="14"/>
  <c r="X263" i="14"/>
  <c r="W263" i="14"/>
  <c r="V263" i="14"/>
  <c r="U263" i="14"/>
  <c r="T263" i="14"/>
  <c r="S263" i="14"/>
  <c r="R263" i="14"/>
  <c r="Q263" i="14"/>
  <c r="P263" i="14"/>
  <c r="O263" i="14"/>
  <c r="N263" i="14"/>
  <c r="M263" i="14"/>
  <c r="L263" i="14"/>
  <c r="K263" i="14"/>
  <c r="J263" i="14"/>
  <c r="I263" i="14"/>
  <c r="H263" i="14"/>
  <c r="G263" i="14"/>
  <c r="F263" i="14"/>
  <c r="E263" i="14"/>
  <c r="D263" i="14"/>
  <c r="C263" i="14"/>
  <c r="B263" i="14"/>
  <c r="A263" i="14"/>
  <c r="Z262" i="14"/>
  <c r="Y262" i="14"/>
  <c r="X262" i="14"/>
  <c r="W262" i="14"/>
  <c r="V262" i="14"/>
  <c r="U262" i="14"/>
  <c r="T262" i="14"/>
  <c r="S262" i="14"/>
  <c r="R262" i="14"/>
  <c r="Q262" i="14"/>
  <c r="P262" i="14"/>
  <c r="O262" i="14"/>
  <c r="N262" i="14"/>
  <c r="M262" i="14"/>
  <c r="L262" i="14"/>
  <c r="K262" i="14"/>
  <c r="J262" i="14"/>
  <c r="I262" i="14"/>
  <c r="H262" i="14"/>
  <c r="G262" i="14"/>
  <c r="F262" i="14"/>
  <c r="E262" i="14"/>
  <c r="D262" i="14"/>
  <c r="C262" i="14"/>
  <c r="B262" i="14"/>
  <c r="A262" i="14"/>
  <c r="Z261" i="14"/>
  <c r="Y261" i="14"/>
  <c r="X261" i="14"/>
  <c r="W261" i="14"/>
  <c r="V261" i="14"/>
  <c r="U261" i="14"/>
  <c r="T261" i="14"/>
  <c r="S261" i="14"/>
  <c r="R261" i="14"/>
  <c r="Q261" i="14"/>
  <c r="P261" i="14"/>
  <c r="O261" i="14"/>
  <c r="N261" i="14"/>
  <c r="M261" i="14"/>
  <c r="L261" i="14"/>
  <c r="K261" i="14"/>
  <c r="J261" i="14"/>
  <c r="I261" i="14"/>
  <c r="H261" i="14"/>
  <c r="G261" i="14"/>
  <c r="F261" i="14"/>
  <c r="E261" i="14"/>
  <c r="D261" i="14"/>
  <c r="C261" i="14"/>
  <c r="B261" i="14"/>
  <c r="A261" i="14"/>
  <c r="Z260" i="14"/>
  <c r="Y260" i="14"/>
  <c r="X260" i="14"/>
  <c r="W260" i="14"/>
  <c r="V260" i="14"/>
  <c r="U260" i="14"/>
  <c r="T260" i="14"/>
  <c r="S260" i="14"/>
  <c r="R260" i="14"/>
  <c r="Q260" i="14"/>
  <c r="P260" i="14"/>
  <c r="O260" i="14"/>
  <c r="N260" i="14"/>
  <c r="M260" i="14"/>
  <c r="L260" i="14"/>
  <c r="K260" i="14"/>
  <c r="J260" i="14"/>
  <c r="I260" i="14"/>
  <c r="H260" i="14"/>
  <c r="G260" i="14"/>
  <c r="F260" i="14"/>
  <c r="E260" i="14"/>
  <c r="D260" i="14"/>
  <c r="C260" i="14"/>
  <c r="B260" i="14"/>
  <c r="A260" i="14"/>
  <c r="Z259" i="14"/>
  <c r="Y259" i="14"/>
  <c r="X259" i="14"/>
  <c r="W259" i="14"/>
  <c r="V259" i="14"/>
  <c r="U259" i="14"/>
  <c r="T259" i="14"/>
  <c r="S259" i="14"/>
  <c r="R259" i="14"/>
  <c r="Q259" i="14"/>
  <c r="P259" i="14"/>
  <c r="O259" i="14"/>
  <c r="N259" i="14"/>
  <c r="M259" i="14"/>
  <c r="L259" i="14"/>
  <c r="K259" i="14"/>
  <c r="J259" i="14"/>
  <c r="I259" i="14"/>
  <c r="H259" i="14"/>
  <c r="G259" i="14"/>
  <c r="F259" i="14"/>
  <c r="E259" i="14"/>
  <c r="D259" i="14"/>
  <c r="C259" i="14"/>
  <c r="B259" i="14"/>
  <c r="A259" i="14"/>
  <c r="Z258" i="14"/>
  <c r="Y258" i="14"/>
  <c r="X258" i="14"/>
  <c r="W258" i="14"/>
  <c r="V258" i="14"/>
  <c r="U258" i="14"/>
  <c r="T258" i="14"/>
  <c r="S258" i="14"/>
  <c r="R258" i="14"/>
  <c r="Q258" i="14"/>
  <c r="P258" i="14"/>
  <c r="O258" i="14"/>
  <c r="N258" i="14"/>
  <c r="M258" i="14"/>
  <c r="L258" i="14"/>
  <c r="K258" i="14"/>
  <c r="J258" i="14"/>
  <c r="I258" i="14"/>
  <c r="H258" i="14"/>
  <c r="G258" i="14"/>
  <c r="F258" i="14"/>
  <c r="E258" i="14"/>
  <c r="D258" i="14"/>
  <c r="C258" i="14"/>
  <c r="B258" i="14"/>
  <c r="A258" i="14"/>
  <c r="Z257" i="14"/>
  <c r="Y257" i="14"/>
  <c r="X257" i="14"/>
  <c r="W257" i="14"/>
  <c r="V257" i="14"/>
  <c r="U257" i="14"/>
  <c r="T257" i="14"/>
  <c r="S257" i="14"/>
  <c r="R257" i="14"/>
  <c r="Q257" i="14"/>
  <c r="P257" i="14"/>
  <c r="O257" i="14"/>
  <c r="N257" i="14"/>
  <c r="M257" i="14"/>
  <c r="L257" i="14"/>
  <c r="K257" i="14"/>
  <c r="J257" i="14"/>
  <c r="I257" i="14"/>
  <c r="H257" i="14"/>
  <c r="G257" i="14"/>
  <c r="F257" i="14"/>
  <c r="E257" i="14"/>
  <c r="D257" i="14"/>
  <c r="C257" i="14"/>
  <c r="B257" i="14"/>
  <c r="A257" i="14"/>
  <c r="Z256" i="14"/>
  <c r="Y256" i="14"/>
  <c r="X256" i="14"/>
  <c r="W256" i="14"/>
  <c r="V256" i="14"/>
  <c r="U256" i="14"/>
  <c r="T256" i="14"/>
  <c r="S256" i="14"/>
  <c r="R256" i="14"/>
  <c r="Q256" i="14"/>
  <c r="P256" i="14"/>
  <c r="O256" i="14"/>
  <c r="N256" i="14"/>
  <c r="M256" i="14"/>
  <c r="L256" i="14"/>
  <c r="K256" i="14"/>
  <c r="J256" i="14"/>
  <c r="I256" i="14"/>
  <c r="H256" i="14"/>
  <c r="G256" i="14"/>
  <c r="F256" i="14"/>
  <c r="E256" i="14"/>
  <c r="D256" i="14"/>
  <c r="C256" i="14"/>
  <c r="B256" i="14"/>
  <c r="A256" i="14"/>
  <c r="Z255" i="14"/>
  <c r="Y255" i="14"/>
  <c r="X255" i="14"/>
  <c r="W255" i="14"/>
  <c r="V255" i="14"/>
  <c r="U255" i="14"/>
  <c r="T255" i="14"/>
  <c r="S255" i="14"/>
  <c r="R255" i="14"/>
  <c r="Q255" i="14"/>
  <c r="P255" i="14"/>
  <c r="O255" i="14"/>
  <c r="N255" i="14"/>
  <c r="M255" i="14"/>
  <c r="L255" i="14"/>
  <c r="K255" i="14"/>
  <c r="J255" i="14"/>
  <c r="I255" i="14"/>
  <c r="H255" i="14"/>
  <c r="G255" i="14"/>
  <c r="F255" i="14"/>
  <c r="E255" i="14"/>
  <c r="D255" i="14"/>
  <c r="C255" i="14"/>
  <c r="B255" i="14"/>
  <c r="A255" i="14"/>
  <c r="Z254" i="14"/>
  <c r="Y254" i="14"/>
  <c r="X254" i="14"/>
  <c r="W254" i="14"/>
  <c r="V254" i="14"/>
  <c r="U254" i="14"/>
  <c r="T254" i="14"/>
  <c r="S254" i="14"/>
  <c r="R254" i="14"/>
  <c r="Q254" i="14"/>
  <c r="P254" i="14"/>
  <c r="O254" i="14"/>
  <c r="N254" i="14"/>
  <c r="M254" i="14"/>
  <c r="L254" i="14"/>
  <c r="K254" i="14"/>
  <c r="J254" i="14"/>
  <c r="I254" i="14"/>
  <c r="H254" i="14"/>
  <c r="G254" i="14"/>
  <c r="F254" i="14"/>
  <c r="E254" i="14"/>
  <c r="D254" i="14"/>
  <c r="C254" i="14"/>
  <c r="B254" i="14"/>
  <c r="A254" i="14"/>
  <c r="Z253" i="14"/>
  <c r="Y253" i="14"/>
  <c r="X253" i="14"/>
  <c r="W253" i="14"/>
  <c r="V253" i="14"/>
  <c r="U253" i="14"/>
  <c r="T253" i="14"/>
  <c r="S253" i="14"/>
  <c r="R253" i="14"/>
  <c r="Q253" i="14"/>
  <c r="P253" i="14"/>
  <c r="O253" i="14"/>
  <c r="N253" i="14"/>
  <c r="M253" i="14"/>
  <c r="L253" i="14"/>
  <c r="K253" i="14"/>
  <c r="J253" i="14"/>
  <c r="I253" i="14"/>
  <c r="H253" i="14"/>
  <c r="G253" i="14"/>
  <c r="F253" i="14"/>
  <c r="E253" i="14"/>
  <c r="D253" i="14"/>
  <c r="C253" i="14"/>
  <c r="B253" i="14"/>
  <c r="A253" i="14"/>
  <c r="Z252" i="14"/>
  <c r="Y252" i="14"/>
  <c r="X252" i="14"/>
  <c r="W252" i="14"/>
  <c r="V252" i="14"/>
  <c r="U252" i="14"/>
  <c r="T252" i="14"/>
  <c r="S252" i="14"/>
  <c r="R252" i="14"/>
  <c r="Q252" i="14"/>
  <c r="P252" i="14"/>
  <c r="O252" i="14"/>
  <c r="N252" i="14"/>
  <c r="M252" i="14"/>
  <c r="L252" i="14"/>
  <c r="K252" i="14"/>
  <c r="J252" i="14"/>
  <c r="I252" i="14"/>
  <c r="H252" i="14"/>
  <c r="G252" i="14"/>
  <c r="F252" i="14"/>
  <c r="E252" i="14"/>
  <c r="D252" i="14"/>
  <c r="C252" i="14"/>
  <c r="B252" i="14"/>
  <c r="A252" i="14"/>
  <c r="Z251" i="14"/>
  <c r="Y251" i="14"/>
  <c r="X251" i="14"/>
  <c r="W251" i="14"/>
  <c r="V251" i="14"/>
  <c r="U251" i="14"/>
  <c r="T251" i="14"/>
  <c r="S251" i="14"/>
  <c r="R251" i="14"/>
  <c r="Q251" i="14"/>
  <c r="P251" i="14"/>
  <c r="O251" i="14"/>
  <c r="N251" i="14"/>
  <c r="M251" i="14"/>
  <c r="L251" i="14"/>
  <c r="K251" i="14"/>
  <c r="J251" i="14"/>
  <c r="I251" i="14"/>
  <c r="H251" i="14"/>
  <c r="G251" i="14"/>
  <c r="F251" i="14"/>
  <c r="E251" i="14"/>
  <c r="D251" i="14"/>
  <c r="C251" i="14"/>
  <c r="B251" i="14"/>
  <c r="A251" i="14"/>
  <c r="Z250" i="14"/>
  <c r="Y250" i="14"/>
  <c r="X250" i="14"/>
  <c r="W250" i="14"/>
  <c r="V250" i="14"/>
  <c r="U250" i="14"/>
  <c r="T250" i="14"/>
  <c r="S250" i="14"/>
  <c r="R250" i="14"/>
  <c r="Q250" i="14"/>
  <c r="P250" i="14"/>
  <c r="O250" i="14"/>
  <c r="N250" i="14"/>
  <c r="M250" i="14"/>
  <c r="L250" i="14"/>
  <c r="K250" i="14"/>
  <c r="J250" i="14"/>
  <c r="I250" i="14"/>
  <c r="H250" i="14"/>
  <c r="G250" i="14"/>
  <c r="F250" i="14"/>
  <c r="E250" i="14"/>
  <c r="D250" i="14"/>
  <c r="C250" i="14"/>
  <c r="B250" i="14"/>
  <c r="A250" i="14"/>
  <c r="Z249" i="14"/>
  <c r="Y249" i="14"/>
  <c r="X249" i="14"/>
  <c r="W249" i="14"/>
  <c r="V249" i="14"/>
  <c r="U249" i="14"/>
  <c r="T249" i="14"/>
  <c r="S249" i="14"/>
  <c r="R249" i="14"/>
  <c r="Q249" i="14"/>
  <c r="P249" i="14"/>
  <c r="O249" i="14"/>
  <c r="N249" i="14"/>
  <c r="M249" i="14"/>
  <c r="L249" i="14"/>
  <c r="K249" i="14"/>
  <c r="J249" i="14"/>
  <c r="I249" i="14"/>
  <c r="H249" i="14"/>
  <c r="G249" i="14"/>
  <c r="F249" i="14"/>
  <c r="E249" i="14"/>
  <c r="D249" i="14"/>
  <c r="C249" i="14"/>
  <c r="B249" i="14"/>
  <c r="A249" i="14"/>
  <c r="Z248" i="14"/>
  <c r="Y248" i="14"/>
  <c r="X248" i="14"/>
  <c r="W248" i="14"/>
  <c r="V248" i="14"/>
  <c r="U248" i="14"/>
  <c r="T248" i="14"/>
  <c r="S248" i="14"/>
  <c r="R248" i="14"/>
  <c r="Q248" i="14"/>
  <c r="P248" i="14"/>
  <c r="O248" i="14"/>
  <c r="N248" i="14"/>
  <c r="M248" i="14"/>
  <c r="L248" i="14"/>
  <c r="K248" i="14"/>
  <c r="J248" i="14"/>
  <c r="I248" i="14"/>
  <c r="H248" i="14"/>
  <c r="G248" i="14"/>
  <c r="F248" i="14"/>
  <c r="E248" i="14"/>
  <c r="D248" i="14"/>
  <c r="C248" i="14"/>
  <c r="B248" i="14"/>
  <c r="A248" i="14"/>
  <c r="Z247" i="14"/>
  <c r="Y247" i="14"/>
  <c r="X247" i="14"/>
  <c r="W247" i="14"/>
  <c r="V247" i="14"/>
  <c r="U247" i="14"/>
  <c r="T247" i="14"/>
  <c r="S247" i="14"/>
  <c r="R247" i="14"/>
  <c r="Q247" i="14"/>
  <c r="P247" i="14"/>
  <c r="O247" i="14"/>
  <c r="N247" i="14"/>
  <c r="M247" i="14"/>
  <c r="L247" i="14"/>
  <c r="K247" i="14"/>
  <c r="J247" i="14"/>
  <c r="I247" i="14"/>
  <c r="H247" i="14"/>
  <c r="G247" i="14"/>
  <c r="F247" i="14"/>
  <c r="E247" i="14"/>
  <c r="D247" i="14"/>
  <c r="C247" i="14"/>
  <c r="B247" i="14"/>
  <c r="A247" i="14"/>
  <c r="Z246" i="14"/>
  <c r="Y246" i="14"/>
  <c r="X246" i="14"/>
  <c r="W246" i="14"/>
  <c r="V246" i="14"/>
  <c r="U246" i="14"/>
  <c r="T246" i="14"/>
  <c r="S246" i="14"/>
  <c r="R246" i="14"/>
  <c r="Q246" i="14"/>
  <c r="P246" i="14"/>
  <c r="O246" i="14"/>
  <c r="N246" i="14"/>
  <c r="M246" i="14"/>
  <c r="L246" i="14"/>
  <c r="K246" i="14"/>
  <c r="J246" i="14"/>
  <c r="I246" i="14"/>
  <c r="H246" i="14"/>
  <c r="G246" i="14"/>
  <c r="F246" i="14"/>
  <c r="E246" i="14"/>
  <c r="D246" i="14"/>
  <c r="C246" i="14"/>
  <c r="B246" i="14"/>
  <c r="A246" i="14"/>
  <c r="Z245" i="14"/>
  <c r="Y245" i="14"/>
  <c r="X245" i="14"/>
  <c r="W245" i="14"/>
  <c r="V245" i="14"/>
  <c r="U245" i="14"/>
  <c r="T245" i="14"/>
  <c r="S245" i="14"/>
  <c r="R245" i="14"/>
  <c r="Q245" i="14"/>
  <c r="P245" i="14"/>
  <c r="O245" i="14"/>
  <c r="N245" i="14"/>
  <c r="M245" i="14"/>
  <c r="L245" i="14"/>
  <c r="K245" i="14"/>
  <c r="J245" i="14"/>
  <c r="I245" i="14"/>
  <c r="H245" i="14"/>
  <c r="G245" i="14"/>
  <c r="F245" i="14"/>
  <c r="E245" i="14"/>
  <c r="D245" i="14"/>
  <c r="C245" i="14"/>
  <c r="B245" i="14"/>
  <c r="A245" i="14"/>
  <c r="Z244" i="14"/>
  <c r="Y244" i="14"/>
  <c r="X244" i="14"/>
  <c r="W244" i="14"/>
  <c r="V244" i="14"/>
  <c r="U244" i="14"/>
  <c r="T244" i="14"/>
  <c r="S244" i="14"/>
  <c r="R244" i="14"/>
  <c r="Q244" i="14"/>
  <c r="P244" i="14"/>
  <c r="O244" i="14"/>
  <c r="N244" i="14"/>
  <c r="M244" i="14"/>
  <c r="L244" i="14"/>
  <c r="K244" i="14"/>
  <c r="J244" i="14"/>
  <c r="I244" i="14"/>
  <c r="H244" i="14"/>
  <c r="G244" i="14"/>
  <c r="F244" i="14"/>
  <c r="E244" i="14"/>
  <c r="D244" i="14"/>
  <c r="C244" i="14"/>
  <c r="B244" i="14"/>
  <c r="A244" i="14"/>
  <c r="Z243" i="14"/>
  <c r="Y243" i="14"/>
  <c r="X243" i="14"/>
  <c r="W243" i="14"/>
  <c r="V243" i="14"/>
  <c r="U243" i="14"/>
  <c r="T243" i="14"/>
  <c r="S243" i="14"/>
  <c r="R243" i="14"/>
  <c r="Q243" i="14"/>
  <c r="P243" i="14"/>
  <c r="O243" i="14"/>
  <c r="N243" i="14"/>
  <c r="M243" i="14"/>
  <c r="L243" i="14"/>
  <c r="K243" i="14"/>
  <c r="J243" i="14"/>
  <c r="I243" i="14"/>
  <c r="H243" i="14"/>
  <c r="G243" i="14"/>
  <c r="F243" i="14"/>
  <c r="E243" i="14"/>
  <c r="D243" i="14"/>
  <c r="C243" i="14"/>
  <c r="B243" i="14"/>
  <c r="A243" i="14"/>
  <c r="Z242" i="14"/>
  <c r="Y242" i="14"/>
  <c r="X242" i="14"/>
  <c r="W242" i="14"/>
  <c r="V242" i="14"/>
  <c r="U242" i="14"/>
  <c r="T242" i="14"/>
  <c r="S242" i="14"/>
  <c r="R242" i="14"/>
  <c r="Q242" i="14"/>
  <c r="P242" i="14"/>
  <c r="O242" i="14"/>
  <c r="N242" i="14"/>
  <c r="M242" i="14"/>
  <c r="L242" i="14"/>
  <c r="K242" i="14"/>
  <c r="J242" i="14"/>
  <c r="I242" i="14"/>
  <c r="H242" i="14"/>
  <c r="G242" i="14"/>
  <c r="F242" i="14"/>
  <c r="E242" i="14"/>
  <c r="D242" i="14"/>
  <c r="C242" i="14"/>
  <c r="B242" i="14"/>
  <c r="A242" i="14"/>
  <c r="Z241" i="14"/>
  <c r="Y241" i="14"/>
  <c r="X241" i="14"/>
  <c r="W241" i="14"/>
  <c r="V241" i="14"/>
  <c r="U241" i="14"/>
  <c r="T241" i="14"/>
  <c r="S241" i="14"/>
  <c r="R241" i="14"/>
  <c r="Q241" i="14"/>
  <c r="P241" i="14"/>
  <c r="O241" i="14"/>
  <c r="N241" i="14"/>
  <c r="M241" i="14"/>
  <c r="L241" i="14"/>
  <c r="K241" i="14"/>
  <c r="J241" i="14"/>
  <c r="I241" i="14"/>
  <c r="H241" i="14"/>
  <c r="G241" i="14"/>
  <c r="F241" i="14"/>
  <c r="E241" i="14"/>
  <c r="D241" i="14"/>
  <c r="C241" i="14"/>
  <c r="B241" i="14"/>
  <c r="A241" i="14"/>
  <c r="Z240" i="14"/>
  <c r="Y240" i="14"/>
  <c r="X240" i="14"/>
  <c r="W240" i="14"/>
  <c r="V240" i="14"/>
  <c r="U240" i="14"/>
  <c r="T240" i="14"/>
  <c r="S240" i="14"/>
  <c r="R240" i="14"/>
  <c r="Q240" i="14"/>
  <c r="P240" i="14"/>
  <c r="O240" i="14"/>
  <c r="N240" i="14"/>
  <c r="M240" i="14"/>
  <c r="L240" i="14"/>
  <c r="K240" i="14"/>
  <c r="J240" i="14"/>
  <c r="I240" i="14"/>
  <c r="H240" i="14"/>
  <c r="G240" i="14"/>
  <c r="F240" i="14"/>
  <c r="E240" i="14"/>
  <c r="D240" i="14"/>
  <c r="C240" i="14"/>
  <c r="B240" i="14"/>
  <c r="A240" i="14"/>
  <c r="Z239" i="14"/>
  <c r="Y239" i="14"/>
  <c r="X239" i="14"/>
  <c r="W239" i="14"/>
  <c r="V239" i="14"/>
  <c r="U239" i="14"/>
  <c r="T239" i="14"/>
  <c r="S239" i="14"/>
  <c r="R239" i="14"/>
  <c r="Q239" i="14"/>
  <c r="P239" i="14"/>
  <c r="O239" i="14"/>
  <c r="N239" i="14"/>
  <c r="M239" i="14"/>
  <c r="L239" i="14"/>
  <c r="K239" i="14"/>
  <c r="J239" i="14"/>
  <c r="I239" i="14"/>
  <c r="H239" i="14"/>
  <c r="G239" i="14"/>
  <c r="F239" i="14"/>
  <c r="E239" i="14"/>
  <c r="D239" i="14"/>
  <c r="C239" i="14"/>
  <c r="B239" i="14"/>
  <c r="A239" i="14"/>
  <c r="Z238" i="14"/>
  <c r="Y238" i="14"/>
  <c r="X238" i="14"/>
  <c r="W238" i="14"/>
  <c r="V238" i="14"/>
  <c r="U238" i="14"/>
  <c r="T238" i="14"/>
  <c r="S238" i="14"/>
  <c r="R238" i="14"/>
  <c r="Q238" i="14"/>
  <c r="P238" i="14"/>
  <c r="O238" i="14"/>
  <c r="N238" i="14"/>
  <c r="M238" i="14"/>
  <c r="L238" i="14"/>
  <c r="K238" i="14"/>
  <c r="J238" i="14"/>
  <c r="I238" i="14"/>
  <c r="H238" i="14"/>
  <c r="G238" i="14"/>
  <c r="F238" i="14"/>
  <c r="E238" i="14"/>
  <c r="D238" i="14"/>
  <c r="C238" i="14"/>
  <c r="B238" i="14"/>
  <c r="A238" i="14"/>
  <c r="Z237" i="14"/>
  <c r="Y237" i="14"/>
  <c r="X237" i="14"/>
  <c r="W237" i="14"/>
  <c r="V237" i="14"/>
  <c r="U237" i="14"/>
  <c r="T237" i="14"/>
  <c r="S237" i="14"/>
  <c r="R237" i="14"/>
  <c r="Q237" i="14"/>
  <c r="P237" i="14"/>
  <c r="O237" i="14"/>
  <c r="N237" i="14"/>
  <c r="M237" i="14"/>
  <c r="L237" i="14"/>
  <c r="K237" i="14"/>
  <c r="J237" i="14"/>
  <c r="I237" i="14"/>
  <c r="H237" i="14"/>
  <c r="G237" i="14"/>
  <c r="F237" i="14"/>
  <c r="E237" i="14"/>
  <c r="D237" i="14"/>
  <c r="C237" i="14"/>
  <c r="B237" i="14"/>
  <c r="A237" i="14"/>
  <c r="Z236" i="14"/>
  <c r="Y236" i="14"/>
  <c r="X236" i="14"/>
  <c r="W236" i="14"/>
  <c r="V236" i="14"/>
  <c r="U236" i="14"/>
  <c r="T236" i="14"/>
  <c r="S236" i="14"/>
  <c r="R236" i="14"/>
  <c r="Q236" i="14"/>
  <c r="P236" i="14"/>
  <c r="O236" i="14"/>
  <c r="N236" i="14"/>
  <c r="M236" i="14"/>
  <c r="L236" i="14"/>
  <c r="K236" i="14"/>
  <c r="J236" i="14"/>
  <c r="I236" i="14"/>
  <c r="H236" i="14"/>
  <c r="G236" i="14"/>
  <c r="F236" i="14"/>
  <c r="E236" i="14"/>
  <c r="D236" i="14"/>
  <c r="C236" i="14"/>
  <c r="B236" i="14"/>
  <c r="A236" i="14"/>
  <c r="Z235" i="14"/>
  <c r="Y235" i="14"/>
  <c r="X235" i="14"/>
  <c r="W235" i="14"/>
  <c r="V235" i="14"/>
  <c r="U235" i="14"/>
  <c r="T235" i="14"/>
  <c r="S235" i="14"/>
  <c r="R235" i="14"/>
  <c r="Q235" i="14"/>
  <c r="P235" i="14"/>
  <c r="O235" i="14"/>
  <c r="N235" i="14"/>
  <c r="M235" i="14"/>
  <c r="L235" i="14"/>
  <c r="K235" i="14"/>
  <c r="J235" i="14"/>
  <c r="I235" i="14"/>
  <c r="H235" i="14"/>
  <c r="G235" i="14"/>
  <c r="F235" i="14"/>
  <c r="E235" i="14"/>
  <c r="D235" i="14"/>
  <c r="C235" i="14"/>
  <c r="B235" i="14"/>
  <c r="A235" i="14"/>
  <c r="Z234" i="14"/>
  <c r="Y234" i="14"/>
  <c r="X234" i="14"/>
  <c r="W234" i="14"/>
  <c r="V234" i="14"/>
  <c r="U234" i="14"/>
  <c r="T234" i="14"/>
  <c r="S234" i="14"/>
  <c r="R234" i="14"/>
  <c r="Q234" i="14"/>
  <c r="P234" i="14"/>
  <c r="O234" i="14"/>
  <c r="N234" i="14"/>
  <c r="M234" i="14"/>
  <c r="L234" i="14"/>
  <c r="K234" i="14"/>
  <c r="J234" i="14"/>
  <c r="I234" i="14"/>
  <c r="H234" i="14"/>
  <c r="G234" i="14"/>
  <c r="F234" i="14"/>
  <c r="E234" i="14"/>
  <c r="D234" i="14"/>
  <c r="C234" i="14"/>
  <c r="B234" i="14"/>
  <c r="A234" i="14"/>
  <c r="Z233" i="14"/>
  <c r="Y233" i="14"/>
  <c r="X233" i="14"/>
  <c r="W233" i="14"/>
  <c r="V233" i="14"/>
  <c r="U233" i="14"/>
  <c r="T233" i="14"/>
  <c r="S233" i="14"/>
  <c r="R233" i="14"/>
  <c r="Q233" i="14"/>
  <c r="P233" i="14"/>
  <c r="O233" i="14"/>
  <c r="N233" i="14"/>
  <c r="M233" i="14"/>
  <c r="L233" i="14"/>
  <c r="K233" i="14"/>
  <c r="J233" i="14"/>
  <c r="I233" i="14"/>
  <c r="H233" i="14"/>
  <c r="G233" i="14"/>
  <c r="F233" i="14"/>
  <c r="E233" i="14"/>
  <c r="D233" i="14"/>
  <c r="C233" i="14"/>
  <c r="B233" i="14"/>
  <c r="A233" i="14"/>
  <c r="Z232" i="14"/>
  <c r="Y232" i="14"/>
  <c r="X232" i="14"/>
  <c r="W232" i="14"/>
  <c r="V232" i="14"/>
  <c r="U232" i="14"/>
  <c r="T232" i="14"/>
  <c r="S232" i="14"/>
  <c r="R232" i="14"/>
  <c r="Q232" i="14"/>
  <c r="P232" i="14"/>
  <c r="O232" i="14"/>
  <c r="N232" i="14"/>
  <c r="M232" i="14"/>
  <c r="L232" i="14"/>
  <c r="K232" i="14"/>
  <c r="J232" i="14"/>
  <c r="I232" i="14"/>
  <c r="H232" i="14"/>
  <c r="G232" i="14"/>
  <c r="F232" i="14"/>
  <c r="E232" i="14"/>
  <c r="D232" i="14"/>
  <c r="C232" i="14"/>
  <c r="B232" i="14"/>
  <c r="A232" i="14"/>
  <c r="Z231" i="14"/>
  <c r="Y231" i="14"/>
  <c r="X231" i="14"/>
  <c r="W231" i="14"/>
  <c r="V231" i="14"/>
  <c r="U231" i="14"/>
  <c r="T231" i="14"/>
  <c r="S231" i="14"/>
  <c r="R231" i="14"/>
  <c r="Q231" i="14"/>
  <c r="P231" i="14"/>
  <c r="O231" i="14"/>
  <c r="N231" i="14"/>
  <c r="M231" i="14"/>
  <c r="L231" i="14"/>
  <c r="K231" i="14"/>
  <c r="J231" i="14"/>
  <c r="I231" i="14"/>
  <c r="H231" i="14"/>
  <c r="G231" i="14"/>
  <c r="F231" i="14"/>
  <c r="E231" i="14"/>
  <c r="D231" i="14"/>
  <c r="C231" i="14"/>
  <c r="B231" i="14"/>
  <c r="A231" i="14"/>
  <c r="Z230" i="14"/>
  <c r="Y230" i="14"/>
  <c r="X230" i="14"/>
  <c r="W230" i="14"/>
  <c r="V230" i="14"/>
  <c r="U230" i="14"/>
  <c r="T230" i="14"/>
  <c r="S230" i="14"/>
  <c r="R230" i="14"/>
  <c r="Q230" i="14"/>
  <c r="P230" i="14"/>
  <c r="O230" i="14"/>
  <c r="N230" i="14"/>
  <c r="M230" i="14"/>
  <c r="L230" i="14"/>
  <c r="K230" i="14"/>
  <c r="J230" i="14"/>
  <c r="I230" i="14"/>
  <c r="H230" i="14"/>
  <c r="G230" i="14"/>
  <c r="F230" i="14"/>
  <c r="E230" i="14"/>
  <c r="D230" i="14"/>
  <c r="C230" i="14"/>
  <c r="B230" i="14"/>
  <c r="A230" i="14"/>
  <c r="Z229" i="14"/>
  <c r="Y229" i="14"/>
  <c r="X229" i="14"/>
  <c r="W229" i="14"/>
  <c r="V229" i="14"/>
  <c r="U229" i="14"/>
  <c r="T229" i="14"/>
  <c r="S229" i="14"/>
  <c r="R229" i="14"/>
  <c r="Q229" i="14"/>
  <c r="P229" i="14"/>
  <c r="O229" i="14"/>
  <c r="N229" i="14"/>
  <c r="M229" i="14"/>
  <c r="L229" i="14"/>
  <c r="K229" i="14"/>
  <c r="J229" i="14"/>
  <c r="I229" i="14"/>
  <c r="H229" i="14"/>
  <c r="G229" i="14"/>
  <c r="F229" i="14"/>
  <c r="E229" i="14"/>
  <c r="D229" i="14"/>
  <c r="C229" i="14"/>
  <c r="B229" i="14"/>
  <c r="A229" i="14"/>
  <c r="Z228" i="14"/>
  <c r="Y228" i="14"/>
  <c r="X228" i="14"/>
  <c r="W228" i="14"/>
  <c r="V228" i="14"/>
  <c r="U228" i="14"/>
  <c r="T228" i="14"/>
  <c r="S228" i="14"/>
  <c r="R228" i="14"/>
  <c r="Q228" i="14"/>
  <c r="P228" i="14"/>
  <c r="O228" i="14"/>
  <c r="N228" i="14"/>
  <c r="M228" i="14"/>
  <c r="L228" i="14"/>
  <c r="K228" i="14"/>
  <c r="J228" i="14"/>
  <c r="I228" i="14"/>
  <c r="H228" i="14"/>
  <c r="G228" i="14"/>
  <c r="F228" i="14"/>
  <c r="E228" i="14"/>
  <c r="D228" i="14"/>
  <c r="C228" i="14"/>
  <c r="B228" i="14"/>
  <c r="A228" i="14"/>
  <c r="Z227" i="14"/>
  <c r="Y227" i="14"/>
  <c r="X227" i="14"/>
  <c r="W227" i="14"/>
  <c r="V227" i="14"/>
  <c r="U227" i="14"/>
  <c r="T227" i="14"/>
  <c r="S227" i="14"/>
  <c r="R227" i="14"/>
  <c r="Q227" i="14"/>
  <c r="P227" i="14"/>
  <c r="O227" i="14"/>
  <c r="N227" i="14"/>
  <c r="M227" i="14"/>
  <c r="L227" i="14"/>
  <c r="K227" i="14"/>
  <c r="J227" i="14"/>
  <c r="I227" i="14"/>
  <c r="H227" i="14"/>
  <c r="G227" i="14"/>
  <c r="F227" i="14"/>
  <c r="E227" i="14"/>
  <c r="D227" i="14"/>
  <c r="C227" i="14"/>
  <c r="B227" i="14"/>
  <c r="A227" i="14"/>
  <c r="Z226" i="14"/>
  <c r="Y226" i="14"/>
  <c r="X226" i="14"/>
  <c r="W226" i="14"/>
  <c r="V226" i="14"/>
  <c r="U226" i="14"/>
  <c r="T226" i="14"/>
  <c r="S226" i="14"/>
  <c r="R226" i="14"/>
  <c r="Q226" i="14"/>
  <c r="P226" i="14"/>
  <c r="O226" i="14"/>
  <c r="N226" i="14"/>
  <c r="M226" i="14"/>
  <c r="L226" i="14"/>
  <c r="K226" i="14"/>
  <c r="J226" i="14"/>
  <c r="I226" i="14"/>
  <c r="H226" i="14"/>
  <c r="G226" i="14"/>
  <c r="F226" i="14"/>
  <c r="E226" i="14"/>
  <c r="D226" i="14"/>
  <c r="C226" i="14"/>
  <c r="B226" i="14"/>
  <c r="A226" i="14"/>
  <c r="Z225" i="14"/>
  <c r="Y225" i="14"/>
  <c r="X225" i="14"/>
  <c r="W225" i="14"/>
  <c r="V225" i="14"/>
  <c r="U225" i="14"/>
  <c r="T225" i="14"/>
  <c r="S225" i="14"/>
  <c r="R225" i="14"/>
  <c r="Q225" i="14"/>
  <c r="P225" i="14"/>
  <c r="O225" i="14"/>
  <c r="N225" i="14"/>
  <c r="M225" i="14"/>
  <c r="L225" i="14"/>
  <c r="K225" i="14"/>
  <c r="J225" i="14"/>
  <c r="I225" i="14"/>
  <c r="H225" i="14"/>
  <c r="G225" i="14"/>
  <c r="F225" i="14"/>
  <c r="E225" i="14"/>
  <c r="D225" i="14"/>
  <c r="C225" i="14"/>
  <c r="B225" i="14"/>
  <c r="A225" i="14"/>
  <c r="Z224" i="14"/>
  <c r="Y224" i="14"/>
  <c r="X224" i="14"/>
  <c r="W224" i="14"/>
  <c r="V224" i="14"/>
  <c r="U224" i="14"/>
  <c r="T224" i="14"/>
  <c r="S224" i="14"/>
  <c r="R224" i="14"/>
  <c r="Q224" i="14"/>
  <c r="P224" i="14"/>
  <c r="O224" i="14"/>
  <c r="N224" i="14"/>
  <c r="M224" i="14"/>
  <c r="L224" i="14"/>
  <c r="K224" i="14"/>
  <c r="J224" i="14"/>
  <c r="I224" i="14"/>
  <c r="H224" i="14"/>
  <c r="G224" i="14"/>
  <c r="F224" i="14"/>
  <c r="E224" i="14"/>
  <c r="D224" i="14"/>
  <c r="C224" i="14"/>
  <c r="B224" i="14"/>
  <c r="A224" i="14"/>
  <c r="Z223" i="14"/>
  <c r="Y223" i="14"/>
  <c r="X223" i="14"/>
  <c r="W223" i="14"/>
  <c r="V223" i="14"/>
  <c r="U223" i="14"/>
  <c r="T223" i="14"/>
  <c r="S223" i="14"/>
  <c r="R223" i="14"/>
  <c r="Q223" i="14"/>
  <c r="P223" i="14"/>
  <c r="O223" i="14"/>
  <c r="N223" i="14"/>
  <c r="M223" i="14"/>
  <c r="L223" i="14"/>
  <c r="K223" i="14"/>
  <c r="J223" i="14"/>
  <c r="I223" i="14"/>
  <c r="H223" i="14"/>
  <c r="G223" i="14"/>
  <c r="F223" i="14"/>
  <c r="E223" i="14"/>
  <c r="D223" i="14"/>
  <c r="C223" i="14"/>
  <c r="B223" i="14"/>
  <c r="A223" i="14"/>
  <c r="Z222" i="14"/>
  <c r="Y222" i="14"/>
  <c r="X222" i="14"/>
  <c r="W222" i="14"/>
  <c r="V222" i="14"/>
  <c r="U222" i="14"/>
  <c r="T222" i="14"/>
  <c r="S222" i="14"/>
  <c r="R222" i="14"/>
  <c r="Q222" i="14"/>
  <c r="P222" i="14"/>
  <c r="O222" i="14"/>
  <c r="N222" i="14"/>
  <c r="M222" i="14"/>
  <c r="L222" i="14"/>
  <c r="K222" i="14"/>
  <c r="J222" i="14"/>
  <c r="I222" i="14"/>
  <c r="H222" i="14"/>
  <c r="G222" i="14"/>
  <c r="F222" i="14"/>
  <c r="E222" i="14"/>
  <c r="D222" i="14"/>
  <c r="C222" i="14"/>
  <c r="B222" i="14"/>
  <c r="A222" i="14"/>
  <c r="Z221" i="14"/>
  <c r="Y221" i="14"/>
  <c r="X221" i="14"/>
  <c r="W221" i="14"/>
  <c r="V221" i="14"/>
  <c r="U221" i="14"/>
  <c r="T221" i="14"/>
  <c r="S221" i="14"/>
  <c r="R221" i="14"/>
  <c r="Q221" i="14"/>
  <c r="P221" i="14"/>
  <c r="O221" i="14"/>
  <c r="N221" i="14"/>
  <c r="M221" i="14"/>
  <c r="L221" i="14"/>
  <c r="K221" i="14"/>
  <c r="J221" i="14"/>
  <c r="I221" i="14"/>
  <c r="H221" i="14"/>
  <c r="G221" i="14"/>
  <c r="F221" i="14"/>
  <c r="E221" i="14"/>
  <c r="D221" i="14"/>
  <c r="C221" i="14"/>
  <c r="B221" i="14"/>
  <c r="A221" i="14"/>
  <c r="Z220" i="14"/>
  <c r="Y220" i="14"/>
  <c r="X220" i="14"/>
  <c r="W220" i="14"/>
  <c r="V220" i="14"/>
  <c r="U220" i="14"/>
  <c r="T220" i="14"/>
  <c r="S220" i="14"/>
  <c r="R220" i="14"/>
  <c r="Q220" i="14"/>
  <c r="P220" i="14"/>
  <c r="O220" i="14"/>
  <c r="N220" i="14"/>
  <c r="M220" i="14"/>
  <c r="L220" i="14"/>
  <c r="K220" i="14"/>
  <c r="J220" i="14"/>
  <c r="I220" i="14"/>
  <c r="H220" i="14"/>
  <c r="G220" i="14"/>
  <c r="F220" i="14"/>
  <c r="E220" i="14"/>
  <c r="D220" i="14"/>
  <c r="C220" i="14"/>
  <c r="B220" i="14"/>
  <c r="A220" i="14"/>
  <c r="Z219" i="14"/>
  <c r="Y219" i="14"/>
  <c r="X219" i="14"/>
  <c r="W219" i="14"/>
  <c r="V219" i="14"/>
  <c r="U219" i="14"/>
  <c r="T219" i="14"/>
  <c r="S219" i="14"/>
  <c r="R219" i="14"/>
  <c r="Q219" i="14"/>
  <c r="P219" i="14"/>
  <c r="O219" i="14"/>
  <c r="N219" i="14"/>
  <c r="M219" i="14"/>
  <c r="L219" i="14"/>
  <c r="K219" i="14"/>
  <c r="J219" i="14"/>
  <c r="I219" i="14"/>
  <c r="H219" i="14"/>
  <c r="G219" i="14"/>
  <c r="F219" i="14"/>
  <c r="E219" i="14"/>
  <c r="D219" i="14"/>
  <c r="C219" i="14"/>
  <c r="B219" i="14"/>
  <c r="A219" i="14"/>
  <c r="Z218" i="14"/>
  <c r="Y218" i="14"/>
  <c r="X218" i="14"/>
  <c r="W218" i="14"/>
  <c r="V218" i="14"/>
  <c r="U218" i="14"/>
  <c r="T218" i="14"/>
  <c r="S218" i="14"/>
  <c r="R218" i="14"/>
  <c r="Q218" i="14"/>
  <c r="P218" i="14"/>
  <c r="O218" i="14"/>
  <c r="N218" i="14"/>
  <c r="M218" i="14"/>
  <c r="L218" i="14"/>
  <c r="K218" i="14"/>
  <c r="J218" i="14"/>
  <c r="I218" i="14"/>
  <c r="H218" i="14"/>
  <c r="G218" i="14"/>
  <c r="F218" i="14"/>
  <c r="E218" i="14"/>
  <c r="D218" i="14"/>
  <c r="C218" i="14"/>
  <c r="B218" i="14"/>
  <c r="A218" i="14"/>
  <c r="Z217" i="14"/>
  <c r="Y217" i="14"/>
  <c r="X217" i="14"/>
  <c r="W217" i="14"/>
  <c r="V217" i="14"/>
  <c r="U217" i="14"/>
  <c r="T217" i="14"/>
  <c r="S217" i="14"/>
  <c r="R217" i="14"/>
  <c r="Q217" i="14"/>
  <c r="P217" i="14"/>
  <c r="O217" i="14"/>
  <c r="N217" i="14"/>
  <c r="M217" i="14"/>
  <c r="L217" i="14"/>
  <c r="K217" i="14"/>
  <c r="J217" i="14"/>
  <c r="I217" i="14"/>
  <c r="H217" i="14"/>
  <c r="G217" i="14"/>
  <c r="F217" i="14"/>
  <c r="E217" i="14"/>
  <c r="D217" i="14"/>
  <c r="C217" i="14"/>
  <c r="B217" i="14"/>
  <c r="A217" i="14"/>
  <c r="Z216" i="14"/>
  <c r="Y216" i="14"/>
  <c r="X216" i="14"/>
  <c r="W216" i="14"/>
  <c r="V216" i="14"/>
  <c r="U216" i="14"/>
  <c r="T216" i="14"/>
  <c r="S216" i="14"/>
  <c r="R216" i="14"/>
  <c r="Q216" i="14"/>
  <c r="P216" i="14"/>
  <c r="O216" i="14"/>
  <c r="N216" i="14"/>
  <c r="M216" i="14"/>
  <c r="L216" i="14"/>
  <c r="K216" i="14"/>
  <c r="J216" i="14"/>
  <c r="I216" i="14"/>
  <c r="H216" i="14"/>
  <c r="G216" i="14"/>
  <c r="F216" i="14"/>
  <c r="E216" i="14"/>
  <c r="D216" i="14"/>
  <c r="C216" i="14"/>
  <c r="B216" i="14"/>
  <c r="A216" i="14"/>
  <c r="Z215" i="14"/>
  <c r="Y215" i="14"/>
  <c r="X215" i="14"/>
  <c r="W215" i="14"/>
  <c r="V215" i="14"/>
  <c r="U215" i="14"/>
  <c r="T215" i="14"/>
  <c r="S215" i="14"/>
  <c r="R215" i="14"/>
  <c r="Q215" i="14"/>
  <c r="P215" i="14"/>
  <c r="O215" i="14"/>
  <c r="N215" i="14"/>
  <c r="M215" i="14"/>
  <c r="L215" i="14"/>
  <c r="K215" i="14"/>
  <c r="J215" i="14"/>
  <c r="I215" i="14"/>
  <c r="H215" i="14"/>
  <c r="G215" i="14"/>
  <c r="F215" i="14"/>
  <c r="E215" i="14"/>
  <c r="D215" i="14"/>
  <c r="C215" i="14"/>
  <c r="B215" i="14"/>
  <c r="A215" i="14"/>
  <c r="Z214" i="14"/>
  <c r="Y214" i="14"/>
  <c r="X214" i="14"/>
  <c r="W214" i="14"/>
  <c r="V214" i="14"/>
  <c r="U214" i="14"/>
  <c r="T214" i="14"/>
  <c r="S214" i="14"/>
  <c r="R214" i="14"/>
  <c r="Q214" i="14"/>
  <c r="P214" i="14"/>
  <c r="O214" i="14"/>
  <c r="N214" i="14"/>
  <c r="M214" i="14"/>
  <c r="L214" i="14"/>
  <c r="K214" i="14"/>
  <c r="J214" i="14"/>
  <c r="I214" i="14"/>
  <c r="H214" i="14"/>
  <c r="G214" i="14"/>
  <c r="F214" i="14"/>
  <c r="E214" i="14"/>
  <c r="D214" i="14"/>
  <c r="C214" i="14"/>
  <c r="B214" i="14"/>
  <c r="A214" i="14"/>
  <c r="Z213" i="14"/>
  <c r="Y213" i="14"/>
  <c r="X213" i="14"/>
  <c r="W213" i="14"/>
  <c r="V213" i="14"/>
  <c r="U213" i="14"/>
  <c r="T213" i="14"/>
  <c r="S213" i="14"/>
  <c r="R213" i="14"/>
  <c r="Q213" i="14"/>
  <c r="P213" i="14"/>
  <c r="O213" i="14"/>
  <c r="N213" i="14"/>
  <c r="M213" i="14"/>
  <c r="L213" i="14"/>
  <c r="K213" i="14"/>
  <c r="J213" i="14"/>
  <c r="I213" i="14"/>
  <c r="H213" i="14"/>
  <c r="G213" i="14"/>
  <c r="F213" i="14"/>
  <c r="E213" i="14"/>
  <c r="D213" i="14"/>
  <c r="C213" i="14"/>
  <c r="B213" i="14"/>
  <c r="A213" i="14"/>
  <c r="Z212" i="14"/>
  <c r="Y212" i="14"/>
  <c r="X212" i="14"/>
  <c r="W212" i="14"/>
  <c r="V212" i="14"/>
  <c r="U212" i="14"/>
  <c r="T212" i="14"/>
  <c r="S212" i="14"/>
  <c r="R212" i="14"/>
  <c r="Q212" i="14"/>
  <c r="P212" i="14"/>
  <c r="O212" i="14"/>
  <c r="N212" i="14"/>
  <c r="M212" i="14"/>
  <c r="L212" i="14"/>
  <c r="K212" i="14"/>
  <c r="J212" i="14"/>
  <c r="I212" i="14"/>
  <c r="H212" i="14"/>
  <c r="G212" i="14"/>
  <c r="F212" i="14"/>
  <c r="E212" i="14"/>
  <c r="D212" i="14"/>
  <c r="C212" i="14"/>
  <c r="B212" i="14"/>
  <c r="A212" i="14"/>
  <c r="Z211" i="14"/>
  <c r="Y211" i="14"/>
  <c r="X211" i="14"/>
  <c r="W211" i="14"/>
  <c r="V211" i="14"/>
  <c r="U211" i="14"/>
  <c r="T211" i="14"/>
  <c r="S211" i="14"/>
  <c r="R211" i="14"/>
  <c r="Q211" i="14"/>
  <c r="P211" i="14"/>
  <c r="O211" i="14"/>
  <c r="N211" i="14"/>
  <c r="M211" i="14"/>
  <c r="L211" i="14"/>
  <c r="K211" i="14"/>
  <c r="J211" i="14"/>
  <c r="I211" i="14"/>
  <c r="H211" i="14"/>
  <c r="G211" i="14"/>
  <c r="F211" i="14"/>
  <c r="E211" i="14"/>
  <c r="D211" i="14"/>
  <c r="C211" i="14"/>
  <c r="B211" i="14"/>
  <c r="A211" i="14"/>
  <c r="Z210" i="14"/>
  <c r="Y210" i="14"/>
  <c r="X210" i="14"/>
  <c r="W210" i="14"/>
  <c r="V210" i="14"/>
  <c r="U210" i="14"/>
  <c r="T210" i="14"/>
  <c r="S210" i="14"/>
  <c r="R210" i="14"/>
  <c r="Q210" i="14"/>
  <c r="P210" i="14"/>
  <c r="O210" i="14"/>
  <c r="N210" i="14"/>
  <c r="M210" i="14"/>
  <c r="L210" i="14"/>
  <c r="K210" i="14"/>
  <c r="J210" i="14"/>
  <c r="I210" i="14"/>
  <c r="H210" i="14"/>
  <c r="G210" i="14"/>
  <c r="F210" i="14"/>
  <c r="E210" i="14"/>
  <c r="D210" i="14"/>
  <c r="C210" i="14"/>
  <c r="B210" i="14"/>
  <c r="A210" i="14"/>
  <c r="Z209" i="14"/>
  <c r="Y209" i="14"/>
  <c r="X209" i="14"/>
  <c r="W209" i="14"/>
  <c r="V209" i="14"/>
  <c r="U209" i="14"/>
  <c r="T209" i="14"/>
  <c r="S209" i="14"/>
  <c r="R209" i="14"/>
  <c r="Q209" i="14"/>
  <c r="P209" i="14"/>
  <c r="O209" i="14"/>
  <c r="N209" i="14"/>
  <c r="M209" i="14"/>
  <c r="L209" i="14"/>
  <c r="K209" i="14"/>
  <c r="J209" i="14"/>
  <c r="I209" i="14"/>
  <c r="H209" i="14"/>
  <c r="G209" i="14"/>
  <c r="F209" i="14"/>
  <c r="E209" i="14"/>
  <c r="D209" i="14"/>
  <c r="C209" i="14"/>
  <c r="B209" i="14"/>
  <c r="A209" i="14"/>
  <c r="Z208" i="14"/>
  <c r="Y208" i="14"/>
  <c r="X208" i="14"/>
  <c r="W208" i="14"/>
  <c r="V208" i="14"/>
  <c r="U208" i="14"/>
  <c r="T208" i="14"/>
  <c r="S208" i="14"/>
  <c r="R208" i="14"/>
  <c r="Q208" i="14"/>
  <c r="P208" i="14"/>
  <c r="O208" i="14"/>
  <c r="N208" i="14"/>
  <c r="M208" i="14"/>
  <c r="L208" i="14"/>
  <c r="K208" i="14"/>
  <c r="J208" i="14"/>
  <c r="I208" i="14"/>
  <c r="H208" i="14"/>
  <c r="G208" i="14"/>
  <c r="F208" i="14"/>
  <c r="E208" i="14"/>
  <c r="D208" i="14"/>
  <c r="C208" i="14"/>
  <c r="B208" i="14"/>
  <c r="A208" i="14"/>
  <c r="Z207" i="14"/>
  <c r="Y207" i="14"/>
  <c r="X207" i="14"/>
  <c r="W207" i="14"/>
  <c r="V207" i="14"/>
  <c r="U207" i="14"/>
  <c r="T207" i="14"/>
  <c r="S207" i="14"/>
  <c r="R207" i="14"/>
  <c r="Q207" i="14"/>
  <c r="P207" i="14"/>
  <c r="O207" i="14"/>
  <c r="N207" i="14"/>
  <c r="M207" i="14"/>
  <c r="L207" i="14"/>
  <c r="K207" i="14"/>
  <c r="J207" i="14"/>
  <c r="I207" i="14"/>
  <c r="H207" i="14"/>
  <c r="G207" i="14"/>
  <c r="F207" i="14"/>
  <c r="E207" i="14"/>
  <c r="D207" i="14"/>
  <c r="C207" i="14"/>
  <c r="B207" i="14"/>
  <c r="A207" i="14"/>
  <c r="Z206" i="14"/>
  <c r="Y206" i="14"/>
  <c r="X206" i="14"/>
  <c r="W206" i="14"/>
  <c r="V206" i="14"/>
  <c r="U206" i="14"/>
  <c r="T206" i="14"/>
  <c r="S206" i="14"/>
  <c r="R206" i="14"/>
  <c r="Q206" i="14"/>
  <c r="P206" i="14"/>
  <c r="O206" i="14"/>
  <c r="N206" i="14"/>
  <c r="M206" i="14"/>
  <c r="L206" i="14"/>
  <c r="K206" i="14"/>
  <c r="J206" i="14"/>
  <c r="I206" i="14"/>
  <c r="H206" i="14"/>
  <c r="G206" i="14"/>
  <c r="F206" i="14"/>
  <c r="E206" i="14"/>
  <c r="D206" i="14"/>
  <c r="C206" i="14"/>
  <c r="B206" i="14"/>
  <c r="A206" i="14"/>
  <c r="Z205" i="14"/>
  <c r="Y205" i="14"/>
  <c r="X205" i="14"/>
  <c r="W205" i="14"/>
  <c r="V205" i="14"/>
  <c r="U205" i="14"/>
  <c r="T205" i="14"/>
  <c r="S205" i="14"/>
  <c r="R205" i="14"/>
  <c r="Q205" i="14"/>
  <c r="P205" i="14"/>
  <c r="O205" i="14"/>
  <c r="N205" i="14"/>
  <c r="M205" i="14"/>
  <c r="L205" i="14"/>
  <c r="K205" i="14"/>
  <c r="J205" i="14"/>
  <c r="I205" i="14"/>
  <c r="H205" i="14"/>
  <c r="G205" i="14"/>
  <c r="F205" i="14"/>
  <c r="E205" i="14"/>
  <c r="D205" i="14"/>
  <c r="C205" i="14"/>
  <c r="B205" i="14"/>
  <c r="A205" i="14"/>
  <c r="Z204" i="14"/>
  <c r="Y204" i="14"/>
  <c r="X204" i="14"/>
  <c r="W204" i="14"/>
  <c r="V204" i="14"/>
  <c r="U204" i="14"/>
  <c r="T204" i="14"/>
  <c r="S204" i="14"/>
  <c r="R204" i="14"/>
  <c r="Q204" i="14"/>
  <c r="P204" i="14"/>
  <c r="O204" i="14"/>
  <c r="N204" i="14"/>
  <c r="M204" i="14"/>
  <c r="L204" i="14"/>
  <c r="K204" i="14"/>
  <c r="J204" i="14"/>
  <c r="I204" i="14"/>
  <c r="H204" i="14"/>
  <c r="G204" i="14"/>
  <c r="F204" i="14"/>
  <c r="E204" i="14"/>
  <c r="D204" i="14"/>
  <c r="C204" i="14"/>
  <c r="B204" i="14"/>
  <c r="A204" i="14"/>
  <c r="Z203" i="14"/>
  <c r="Y203" i="14"/>
  <c r="X203" i="14"/>
  <c r="W203" i="14"/>
  <c r="V203" i="14"/>
  <c r="U203" i="14"/>
  <c r="T203" i="14"/>
  <c r="S203" i="14"/>
  <c r="R203" i="14"/>
  <c r="Q203" i="14"/>
  <c r="P203" i="14"/>
  <c r="O203" i="14"/>
  <c r="N203" i="14"/>
  <c r="M203" i="14"/>
  <c r="L203" i="14"/>
  <c r="K203" i="14"/>
  <c r="J203" i="14"/>
  <c r="I203" i="14"/>
  <c r="H203" i="14"/>
  <c r="G203" i="14"/>
  <c r="F203" i="14"/>
  <c r="E203" i="14"/>
  <c r="D203" i="14"/>
  <c r="C203" i="14"/>
  <c r="B203" i="14"/>
  <c r="A203" i="14"/>
  <c r="Z202" i="14"/>
  <c r="Y202" i="14"/>
  <c r="X202" i="14"/>
  <c r="W202" i="14"/>
  <c r="V202" i="14"/>
  <c r="U202" i="14"/>
  <c r="T202" i="14"/>
  <c r="S202" i="14"/>
  <c r="R202" i="14"/>
  <c r="Q202" i="14"/>
  <c r="P202" i="14"/>
  <c r="O202" i="14"/>
  <c r="N202" i="14"/>
  <c r="M202" i="14"/>
  <c r="L202" i="14"/>
  <c r="K202" i="14"/>
  <c r="J202" i="14"/>
  <c r="I202" i="14"/>
  <c r="H202" i="14"/>
  <c r="G202" i="14"/>
  <c r="F202" i="14"/>
  <c r="E202" i="14"/>
  <c r="D202" i="14"/>
  <c r="C202" i="14"/>
  <c r="B202" i="14"/>
  <c r="A202" i="14"/>
  <c r="Z201" i="14"/>
  <c r="Y201" i="14"/>
  <c r="X201" i="14"/>
  <c r="W201" i="14"/>
  <c r="V201" i="14"/>
  <c r="U201" i="14"/>
  <c r="T201" i="14"/>
  <c r="S201" i="14"/>
  <c r="R201" i="14"/>
  <c r="Q201" i="14"/>
  <c r="P201" i="14"/>
  <c r="O201" i="14"/>
  <c r="N201" i="14"/>
  <c r="M201" i="14"/>
  <c r="L201" i="14"/>
  <c r="K201" i="14"/>
  <c r="J201" i="14"/>
  <c r="I201" i="14"/>
  <c r="H201" i="14"/>
  <c r="G201" i="14"/>
  <c r="F201" i="14"/>
  <c r="E201" i="14"/>
  <c r="D201" i="14"/>
  <c r="C201" i="14"/>
  <c r="B201" i="14"/>
  <c r="A201" i="14"/>
  <c r="Z200" i="14"/>
  <c r="Y200" i="14"/>
  <c r="X200" i="14"/>
  <c r="W200" i="14"/>
  <c r="V200" i="14"/>
  <c r="U200" i="14"/>
  <c r="T200" i="14"/>
  <c r="S200" i="14"/>
  <c r="R200" i="14"/>
  <c r="Q200" i="14"/>
  <c r="P200" i="14"/>
  <c r="O200" i="14"/>
  <c r="N200" i="14"/>
  <c r="M200" i="14"/>
  <c r="L200" i="14"/>
  <c r="K200" i="14"/>
  <c r="J200" i="14"/>
  <c r="I200" i="14"/>
  <c r="H200" i="14"/>
  <c r="G200" i="14"/>
  <c r="F200" i="14"/>
  <c r="E200" i="14"/>
  <c r="D200" i="14"/>
  <c r="C200" i="14"/>
  <c r="B200" i="14"/>
  <c r="A200"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C199" i="14"/>
  <c r="B199" i="14"/>
  <c r="A199"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C198" i="14"/>
  <c r="B198" i="14"/>
  <c r="A198"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197"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196"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195"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C194" i="14"/>
  <c r="B194" i="14"/>
  <c r="A194"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193"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192"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191"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190"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189"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C188" i="14"/>
  <c r="B188" i="14"/>
  <c r="A188"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C187" i="14"/>
  <c r="B187" i="14"/>
  <c r="A187"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C186" i="14"/>
  <c r="B186" i="14"/>
  <c r="A186"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C185" i="14"/>
  <c r="B185" i="14"/>
  <c r="A185"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B184" i="14"/>
  <c r="A184"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C183" i="14"/>
  <c r="B183" i="14"/>
  <c r="A183"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C182" i="14"/>
  <c r="B182" i="14"/>
  <c r="A182"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C181" i="14"/>
  <c r="B181" i="14"/>
  <c r="A181"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C180" i="14"/>
  <c r="B180" i="14"/>
  <c r="A180"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179"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C178" i="14"/>
  <c r="B178" i="14"/>
  <c r="A178"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C177" i="14"/>
  <c r="B177" i="14"/>
  <c r="A177"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C176" i="14"/>
  <c r="B176" i="14"/>
  <c r="A176"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C175" i="14"/>
  <c r="B175" i="14"/>
  <c r="A175"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C174" i="14"/>
  <c r="B174" i="14"/>
  <c r="A174"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C173" i="14"/>
  <c r="B173" i="14"/>
  <c r="A173"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C172" i="14"/>
  <c r="B172" i="14"/>
  <c r="A172"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C171" i="14"/>
  <c r="B171" i="14"/>
  <c r="A171"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C170" i="14"/>
  <c r="B170" i="14"/>
  <c r="A170"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C169" i="14"/>
  <c r="B169" i="14"/>
  <c r="A169"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B168" i="14"/>
  <c r="A168"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C167" i="14"/>
  <c r="B167" i="14"/>
  <c r="A167"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C166" i="14"/>
  <c r="B166" i="14"/>
  <c r="A166"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165"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164"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C163" i="14"/>
  <c r="B163" i="14"/>
  <c r="A163"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C162" i="14"/>
  <c r="B162" i="14"/>
  <c r="A162"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C161" i="14"/>
  <c r="B161" i="14"/>
  <c r="A161"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B160" i="14"/>
  <c r="A160"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C159" i="14"/>
  <c r="B159" i="14"/>
  <c r="A159"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C158" i="14"/>
  <c r="B158" i="14"/>
  <c r="A158"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C157" i="14"/>
  <c r="B157" i="14"/>
  <c r="A157"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156"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C155" i="14"/>
  <c r="B155" i="14"/>
  <c r="A155"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C154" i="14"/>
  <c r="B154" i="14"/>
  <c r="A154"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A153"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B152" i="14"/>
  <c r="A152"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B151" i="14"/>
  <c r="A151"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C150" i="14"/>
  <c r="B150" i="14"/>
  <c r="A150"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C149" i="14"/>
  <c r="B149" i="14"/>
  <c r="A149"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B148" i="14"/>
  <c r="A148"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C147" i="14"/>
  <c r="B147" i="14"/>
  <c r="A147"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C146" i="14"/>
  <c r="B146" i="14"/>
  <c r="A146"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C145" i="14"/>
  <c r="B145" i="14"/>
  <c r="A145"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C144" i="14"/>
  <c r="B144" i="14"/>
  <c r="A144"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C143" i="14"/>
  <c r="B143" i="14"/>
  <c r="A143"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B142" i="14"/>
  <c r="A142"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C141" i="14"/>
  <c r="B141" i="14"/>
  <c r="A141"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C140" i="14"/>
  <c r="B140" i="14"/>
  <c r="A140"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B139" i="14"/>
  <c r="A139"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C138" i="14"/>
  <c r="B138" i="14"/>
  <c r="A138"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C137" i="14"/>
  <c r="B137" i="14"/>
  <c r="A137"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B136" i="14"/>
  <c r="A136" i="14"/>
  <c r="Z135" i="14"/>
  <c r="Y135" i="14"/>
  <c r="X135" i="14"/>
  <c r="W135" i="14"/>
  <c r="V135" i="14"/>
  <c r="U135" i="14"/>
  <c r="T135" i="14"/>
  <c r="S135" i="14"/>
  <c r="R135" i="14"/>
  <c r="Q135" i="14"/>
  <c r="P135" i="14"/>
  <c r="O135" i="14"/>
  <c r="N135" i="14"/>
  <c r="M135" i="14"/>
  <c r="L135" i="14"/>
  <c r="K135" i="14"/>
  <c r="J135" i="14"/>
  <c r="I135" i="14"/>
  <c r="H135" i="14"/>
  <c r="G135" i="14"/>
  <c r="F135" i="14"/>
  <c r="E135" i="14"/>
  <c r="D135" i="14"/>
  <c r="C135" i="14"/>
  <c r="B135" i="14"/>
  <c r="A135"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C134" i="14"/>
  <c r="B134" i="14"/>
  <c r="A134"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B133" i="14"/>
  <c r="A133"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132"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A131"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C130" i="14"/>
  <c r="B130" i="14"/>
  <c r="A130"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C129" i="14"/>
  <c r="B129" i="14"/>
  <c r="A129"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B128" i="14"/>
  <c r="A128"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C127" i="14"/>
  <c r="B127" i="14"/>
  <c r="A127"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B126" i="14"/>
  <c r="A126"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B125" i="14"/>
  <c r="A125"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B124" i="14"/>
  <c r="A124"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B123" i="14"/>
  <c r="A123"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B122" i="14"/>
  <c r="A122"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B121" i="14"/>
  <c r="A121"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B120" i="14"/>
  <c r="A120"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C119" i="14"/>
  <c r="B119" i="14"/>
  <c r="A119"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C118" i="14"/>
  <c r="B118" i="14"/>
  <c r="A118"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B117" i="14"/>
  <c r="A117"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B116" i="14"/>
  <c r="A116"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C115" i="14"/>
  <c r="B115" i="14"/>
  <c r="A115"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B114" i="14"/>
  <c r="A114"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B109" i="14"/>
  <c r="A109"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B108" i="14"/>
  <c r="A108"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A107"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B106" i="14"/>
  <c r="A106"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C105" i="14"/>
  <c r="B105" i="14"/>
  <c r="A105"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C104" i="14"/>
  <c r="B104" i="14"/>
  <c r="A104"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B103" i="14"/>
  <c r="A103"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B102" i="14"/>
  <c r="A102"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B101" i="14"/>
  <c r="A101"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C100" i="14"/>
  <c r="B100" i="14"/>
  <c r="A100" i="14"/>
  <c r="Z99" i="14"/>
  <c r="Y99" i="14"/>
  <c r="X99" i="14"/>
  <c r="W99" i="14"/>
  <c r="V99" i="14"/>
  <c r="U99" i="14"/>
  <c r="T99" i="14"/>
  <c r="S99" i="14"/>
  <c r="R99" i="14"/>
  <c r="Q99" i="14"/>
  <c r="P99" i="14"/>
  <c r="O99" i="14"/>
  <c r="N99" i="14"/>
  <c r="M99" i="14"/>
  <c r="L99" i="14"/>
  <c r="K99" i="14"/>
  <c r="J99" i="14"/>
  <c r="I99" i="14"/>
  <c r="H99" i="14"/>
  <c r="G99" i="14"/>
  <c r="F99" i="14"/>
  <c r="E99" i="14"/>
  <c r="D99" i="14"/>
  <c r="C99" i="14"/>
  <c r="B99" i="14"/>
  <c r="A99" i="14"/>
  <c r="Z98" i="14"/>
  <c r="Y98" i="14"/>
  <c r="X98" i="14"/>
  <c r="W98" i="14"/>
  <c r="V98" i="14"/>
  <c r="U98" i="14"/>
  <c r="T98" i="14"/>
  <c r="S98" i="14"/>
  <c r="R98" i="14"/>
  <c r="Q98" i="14"/>
  <c r="P98" i="14"/>
  <c r="O98" i="14"/>
  <c r="N98" i="14"/>
  <c r="M98" i="14"/>
  <c r="L98" i="14"/>
  <c r="K98" i="14"/>
  <c r="J98" i="14"/>
  <c r="I98" i="14"/>
  <c r="H98" i="14"/>
  <c r="G98" i="14"/>
  <c r="F98" i="14"/>
  <c r="E98" i="14"/>
  <c r="D98" i="14"/>
  <c r="C98" i="14"/>
  <c r="B98" i="14"/>
  <c r="A98" i="14"/>
  <c r="Z97" i="14"/>
  <c r="Y97" i="14"/>
  <c r="X97" i="14"/>
  <c r="W97" i="14"/>
  <c r="V97" i="14"/>
  <c r="U97" i="14"/>
  <c r="T97" i="14"/>
  <c r="S97" i="14"/>
  <c r="R97" i="14"/>
  <c r="Q97" i="14"/>
  <c r="P97" i="14"/>
  <c r="O97" i="14"/>
  <c r="N97" i="14"/>
  <c r="M97" i="14"/>
  <c r="L97" i="14"/>
  <c r="K97" i="14"/>
  <c r="J97" i="14"/>
  <c r="I97" i="14"/>
  <c r="H97" i="14"/>
  <c r="G97" i="14"/>
  <c r="F97" i="14"/>
  <c r="E97" i="14"/>
  <c r="D97" i="14"/>
  <c r="C97" i="14"/>
  <c r="B97" i="14"/>
  <c r="A97" i="14"/>
  <c r="Z96" i="14"/>
  <c r="Y96" i="14"/>
  <c r="X96" i="14"/>
  <c r="W96" i="14"/>
  <c r="V96" i="14"/>
  <c r="U96" i="14"/>
  <c r="T96" i="14"/>
  <c r="S96" i="14"/>
  <c r="R96" i="14"/>
  <c r="Q96" i="14"/>
  <c r="P96" i="14"/>
  <c r="O96" i="14"/>
  <c r="N96" i="14"/>
  <c r="M96" i="14"/>
  <c r="L96" i="14"/>
  <c r="K96" i="14"/>
  <c r="J96" i="14"/>
  <c r="I96" i="14"/>
  <c r="H96" i="14"/>
  <c r="G96" i="14"/>
  <c r="F96" i="14"/>
  <c r="E96" i="14"/>
  <c r="D96" i="14"/>
  <c r="C96" i="14"/>
  <c r="B96" i="14"/>
  <c r="A96" i="14"/>
  <c r="Z95" i="14"/>
  <c r="Y95" i="14"/>
  <c r="X95" i="14"/>
  <c r="W95" i="14"/>
  <c r="V95" i="14"/>
  <c r="U95" i="14"/>
  <c r="T95" i="14"/>
  <c r="S95" i="14"/>
  <c r="R95" i="14"/>
  <c r="Q95" i="14"/>
  <c r="P95" i="14"/>
  <c r="O95" i="14"/>
  <c r="N95" i="14"/>
  <c r="M95" i="14"/>
  <c r="L95" i="14"/>
  <c r="K95" i="14"/>
  <c r="J95" i="14"/>
  <c r="I95" i="14"/>
  <c r="H95" i="14"/>
  <c r="G95" i="14"/>
  <c r="F95" i="14"/>
  <c r="E95" i="14"/>
  <c r="D95" i="14"/>
  <c r="C95" i="14"/>
  <c r="B95" i="14"/>
  <c r="A95" i="14"/>
  <c r="Z94" i="14"/>
  <c r="Y94" i="14"/>
  <c r="X94" i="14"/>
  <c r="W94" i="14"/>
  <c r="V94" i="14"/>
  <c r="U94" i="14"/>
  <c r="T94" i="14"/>
  <c r="S94" i="14"/>
  <c r="R94" i="14"/>
  <c r="Q94" i="14"/>
  <c r="P94" i="14"/>
  <c r="O94" i="14"/>
  <c r="N94" i="14"/>
  <c r="M94" i="14"/>
  <c r="L94" i="14"/>
  <c r="K94" i="14"/>
  <c r="J94" i="14"/>
  <c r="I94" i="14"/>
  <c r="H94" i="14"/>
  <c r="G94" i="14"/>
  <c r="F94" i="14"/>
  <c r="E94" i="14"/>
  <c r="D94" i="14"/>
  <c r="C94" i="14"/>
  <c r="B94" i="14"/>
  <c r="A94" i="14"/>
  <c r="Z93" i="14"/>
  <c r="Y93" i="14"/>
  <c r="X93" i="14"/>
  <c r="W93" i="14"/>
  <c r="V93" i="14"/>
  <c r="U93" i="14"/>
  <c r="T93" i="14"/>
  <c r="S93" i="14"/>
  <c r="R93" i="14"/>
  <c r="Q93" i="14"/>
  <c r="P93" i="14"/>
  <c r="O93" i="14"/>
  <c r="N93" i="14"/>
  <c r="M93" i="14"/>
  <c r="L93" i="14"/>
  <c r="K93" i="14"/>
  <c r="J93" i="14"/>
  <c r="I93" i="14"/>
  <c r="H93" i="14"/>
  <c r="G93" i="14"/>
  <c r="F93" i="14"/>
  <c r="E93" i="14"/>
  <c r="D93" i="14"/>
  <c r="C93" i="14"/>
  <c r="B93" i="14"/>
  <c r="A93" i="14"/>
  <c r="Z92" i="14"/>
  <c r="Y92" i="14"/>
  <c r="X92" i="14"/>
  <c r="W92" i="14"/>
  <c r="V92" i="14"/>
  <c r="U92" i="14"/>
  <c r="T92" i="14"/>
  <c r="S92" i="14"/>
  <c r="R92" i="14"/>
  <c r="Q92" i="14"/>
  <c r="P92" i="14"/>
  <c r="O92" i="14"/>
  <c r="N92" i="14"/>
  <c r="M92" i="14"/>
  <c r="L92" i="14"/>
  <c r="K92" i="14"/>
  <c r="J92" i="14"/>
  <c r="I92" i="14"/>
  <c r="H92" i="14"/>
  <c r="G92" i="14"/>
  <c r="F92" i="14"/>
  <c r="E92" i="14"/>
  <c r="D92" i="14"/>
  <c r="C92" i="14"/>
  <c r="B92" i="14"/>
  <c r="A92" i="14"/>
  <c r="Z91" i="14"/>
  <c r="Y91" i="14"/>
  <c r="X91" i="14"/>
  <c r="W91" i="14"/>
  <c r="V91" i="14"/>
  <c r="U91" i="14"/>
  <c r="T91" i="14"/>
  <c r="S91" i="14"/>
  <c r="R91" i="14"/>
  <c r="Q91" i="14"/>
  <c r="P91" i="14"/>
  <c r="O91" i="14"/>
  <c r="N91" i="14"/>
  <c r="M91" i="14"/>
  <c r="L91" i="14"/>
  <c r="K91" i="14"/>
  <c r="J91" i="14"/>
  <c r="I91" i="14"/>
  <c r="H91" i="14"/>
  <c r="G91" i="14"/>
  <c r="F91" i="14"/>
  <c r="E91" i="14"/>
  <c r="D91" i="14"/>
  <c r="C91" i="14"/>
  <c r="B91" i="14"/>
  <c r="A91" i="14"/>
  <c r="Z90" i="14"/>
  <c r="Y90" i="14"/>
  <c r="X90" i="14"/>
  <c r="W90" i="14"/>
  <c r="V90" i="14"/>
  <c r="U90" i="14"/>
  <c r="T90" i="14"/>
  <c r="S90" i="14"/>
  <c r="R90" i="14"/>
  <c r="Q90" i="14"/>
  <c r="P90" i="14"/>
  <c r="O90" i="14"/>
  <c r="N90" i="14"/>
  <c r="M90" i="14"/>
  <c r="L90" i="14"/>
  <c r="K90" i="14"/>
  <c r="J90" i="14"/>
  <c r="I90" i="14"/>
  <c r="H90" i="14"/>
  <c r="G90" i="14"/>
  <c r="F90" i="14"/>
  <c r="E90" i="14"/>
  <c r="D90" i="14"/>
  <c r="C90" i="14"/>
  <c r="B90" i="14"/>
  <c r="A90" i="14"/>
  <c r="Z89" i="14"/>
  <c r="Y89" i="14"/>
  <c r="X89" i="14"/>
  <c r="W89" i="14"/>
  <c r="V89" i="14"/>
  <c r="U89" i="14"/>
  <c r="T89" i="14"/>
  <c r="S89" i="14"/>
  <c r="R89" i="14"/>
  <c r="Q89" i="14"/>
  <c r="P89" i="14"/>
  <c r="O89" i="14"/>
  <c r="N89" i="14"/>
  <c r="M89" i="14"/>
  <c r="L89" i="14"/>
  <c r="K89" i="14"/>
  <c r="J89" i="14"/>
  <c r="I89" i="14"/>
  <c r="H89" i="14"/>
  <c r="G89" i="14"/>
  <c r="F89" i="14"/>
  <c r="E89" i="14"/>
  <c r="D89" i="14"/>
  <c r="C89" i="14"/>
  <c r="B89" i="14"/>
  <c r="A89" i="14"/>
  <c r="Z88" i="14"/>
  <c r="Y88" i="14"/>
  <c r="X88" i="14"/>
  <c r="W88" i="14"/>
  <c r="V88" i="14"/>
  <c r="U88" i="14"/>
  <c r="T88" i="14"/>
  <c r="S88" i="14"/>
  <c r="R88" i="14"/>
  <c r="Q88" i="14"/>
  <c r="P88" i="14"/>
  <c r="O88" i="14"/>
  <c r="N88" i="14"/>
  <c r="M88" i="14"/>
  <c r="L88" i="14"/>
  <c r="K88" i="14"/>
  <c r="J88" i="14"/>
  <c r="I88" i="14"/>
  <c r="H88" i="14"/>
  <c r="G88" i="14"/>
  <c r="F88" i="14"/>
  <c r="E88" i="14"/>
  <c r="D88" i="14"/>
  <c r="C88" i="14"/>
  <c r="B88" i="14"/>
  <c r="A88" i="14"/>
  <c r="Z87" i="14"/>
  <c r="Y87" i="14"/>
  <c r="X87" i="14"/>
  <c r="W87" i="14"/>
  <c r="V87" i="14"/>
  <c r="U87" i="14"/>
  <c r="T87" i="14"/>
  <c r="S87" i="14"/>
  <c r="R87" i="14"/>
  <c r="Q87" i="14"/>
  <c r="P87" i="14"/>
  <c r="O87" i="14"/>
  <c r="N87" i="14"/>
  <c r="M87" i="14"/>
  <c r="L87" i="14"/>
  <c r="K87" i="14"/>
  <c r="J87" i="14"/>
  <c r="I87" i="14"/>
  <c r="H87" i="14"/>
  <c r="G87" i="14"/>
  <c r="F87" i="14"/>
  <c r="E87" i="14"/>
  <c r="D87" i="14"/>
  <c r="C87" i="14"/>
  <c r="B87" i="14"/>
  <c r="A87" i="14"/>
  <c r="Z86" i="14"/>
  <c r="Y86" i="14"/>
  <c r="X86" i="14"/>
  <c r="W86" i="14"/>
  <c r="V86" i="14"/>
  <c r="U86" i="14"/>
  <c r="T86" i="14"/>
  <c r="S86" i="14"/>
  <c r="R86" i="14"/>
  <c r="Q86" i="14"/>
  <c r="P86" i="14"/>
  <c r="O86" i="14"/>
  <c r="N86" i="14"/>
  <c r="M86" i="14"/>
  <c r="L86" i="14"/>
  <c r="K86" i="14"/>
  <c r="J86" i="14"/>
  <c r="I86" i="14"/>
  <c r="H86" i="14"/>
  <c r="G86" i="14"/>
  <c r="F86" i="14"/>
  <c r="E86" i="14"/>
  <c r="D86" i="14"/>
  <c r="C86" i="14"/>
  <c r="B86" i="14"/>
  <c r="A86"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A85" i="14"/>
  <c r="Z84" i="14"/>
  <c r="Y84" i="14"/>
  <c r="X84" i="14"/>
  <c r="W84" i="14"/>
  <c r="V84" i="14"/>
  <c r="U84" i="14"/>
  <c r="T84" i="14"/>
  <c r="S84" i="14"/>
  <c r="R84" i="14"/>
  <c r="Q84" i="14"/>
  <c r="P84" i="14"/>
  <c r="O84" i="14"/>
  <c r="N84" i="14"/>
  <c r="M84" i="14"/>
  <c r="L84" i="14"/>
  <c r="K84" i="14"/>
  <c r="J84" i="14"/>
  <c r="I84" i="14"/>
  <c r="H84" i="14"/>
  <c r="G84" i="14"/>
  <c r="F84" i="14"/>
  <c r="E84" i="14"/>
  <c r="D84" i="14"/>
  <c r="C84" i="14"/>
  <c r="B84" i="14"/>
  <c r="A84" i="14"/>
  <c r="Z83" i="14"/>
  <c r="Y83" i="14"/>
  <c r="X83" i="14"/>
  <c r="W83" i="14"/>
  <c r="V83" i="14"/>
  <c r="U83" i="14"/>
  <c r="T83" i="14"/>
  <c r="S83" i="14"/>
  <c r="R83" i="14"/>
  <c r="Q83" i="14"/>
  <c r="P83" i="14"/>
  <c r="O83" i="14"/>
  <c r="N83" i="14"/>
  <c r="M83" i="14"/>
  <c r="L83" i="14"/>
  <c r="K83" i="14"/>
  <c r="J83" i="14"/>
  <c r="I83" i="14"/>
  <c r="H83" i="14"/>
  <c r="G83" i="14"/>
  <c r="F83" i="14"/>
  <c r="E83" i="14"/>
  <c r="D83" i="14"/>
  <c r="C83" i="14"/>
  <c r="B83" i="14"/>
  <c r="A83" i="14"/>
  <c r="Z82" i="14"/>
  <c r="Y82" i="14"/>
  <c r="X82" i="14"/>
  <c r="W82" i="14"/>
  <c r="V82" i="14"/>
  <c r="U82" i="14"/>
  <c r="T82" i="14"/>
  <c r="S82" i="14"/>
  <c r="R82" i="14"/>
  <c r="Q82" i="14"/>
  <c r="P82" i="14"/>
  <c r="O82" i="14"/>
  <c r="N82" i="14"/>
  <c r="M82" i="14"/>
  <c r="L82" i="14"/>
  <c r="K82" i="14"/>
  <c r="J82" i="14"/>
  <c r="I82" i="14"/>
  <c r="H82" i="14"/>
  <c r="G82" i="14"/>
  <c r="F82" i="14"/>
  <c r="E82" i="14"/>
  <c r="D82" i="14"/>
  <c r="C82" i="14"/>
  <c r="B82" i="14"/>
  <c r="A82" i="14"/>
  <c r="Z81" i="14"/>
  <c r="Y81" i="14"/>
  <c r="X81" i="14"/>
  <c r="W81" i="14"/>
  <c r="V81" i="14"/>
  <c r="U81" i="14"/>
  <c r="T81" i="14"/>
  <c r="S81" i="14"/>
  <c r="R81" i="14"/>
  <c r="Q81" i="14"/>
  <c r="P81" i="14"/>
  <c r="O81" i="14"/>
  <c r="N81" i="14"/>
  <c r="M81" i="14"/>
  <c r="L81" i="14"/>
  <c r="K81" i="14"/>
  <c r="J81" i="14"/>
  <c r="I81" i="14"/>
  <c r="H81" i="14"/>
  <c r="G81" i="14"/>
  <c r="F81" i="14"/>
  <c r="E81" i="14"/>
  <c r="D81" i="14"/>
  <c r="C81" i="14"/>
  <c r="B81" i="14"/>
  <c r="A81" i="14"/>
  <c r="Z80" i="14"/>
  <c r="Y80" i="14"/>
  <c r="X80" i="14"/>
  <c r="W80" i="14"/>
  <c r="V80" i="14"/>
  <c r="U80" i="14"/>
  <c r="T80" i="14"/>
  <c r="S80" i="14"/>
  <c r="R80" i="14"/>
  <c r="Q80" i="14"/>
  <c r="P80" i="14"/>
  <c r="O80" i="14"/>
  <c r="N80" i="14"/>
  <c r="M80" i="14"/>
  <c r="L80" i="14"/>
  <c r="K80" i="14"/>
  <c r="J80" i="14"/>
  <c r="I80" i="14"/>
  <c r="H80" i="14"/>
  <c r="G80" i="14"/>
  <c r="F80" i="14"/>
  <c r="E80" i="14"/>
  <c r="D80" i="14"/>
  <c r="C80" i="14"/>
  <c r="B80" i="14"/>
  <c r="A80"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79"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78"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77"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76"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75"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74"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73"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72"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71"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70"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69"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68"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67"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66"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65"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64"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62"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61"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60"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59"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A58" i="14"/>
  <c r="Z57" i="14"/>
  <c r="Y57" i="14"/>
  <c r="X57" i="14"/>
  <c r="W57" i="14"/>
  <c r="V57" i="14"/>
  <c r="U57" i="14"/>
  <c r="T57" i="14"/>
  <c r="S57" i="14"/>
  <c r="R57" i="14"/>
  <c r="Q57" i="14"/>
  <c r="P57" i="14"/>
  <c r="O57" i="14"/>
  <c r="N57" i="14"/>
  <c r="M57" i="14"/>
  <c r="L57" i="14"/>
  <c r="K57" i="14"/>
  <c r="J57" i="14"/>
  <c r="I57" i="14"/>
  <c r="H57" i="14"/>
  <c r="G57" i="14"/>
  <c r="F57" i="14"/>
  <c r="E57" i="14"/>
  <c r="D57" i="14"/>
  <c r="C57" i="14"/>
  <c r="B57" i="14"/>
  <c r="A57"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A56" i="14"/>
  <c r="Z55" i="14"/>
  <c r="Y55" i="14"/>
  <c r="X55" i="14"/>
  <c r="W55" i="14"/>
  <c r="V55" i="14"/>
  <c r="U55" i="14"/>
  <c r="T55" i="14"/>
  <c r="S55" i="14"/>
  <c r="R55" i="14"/>
  <c r="Q55" i="14"/>
  <c r="P55" i="14"/>
  <c r="O55" i="14"/>
  <c r="N55" i="14"/>
  <c r="M55" i="14"/>
  <c r="L55" i="14"/>
  <c r="K55" i="14"/>
  <c r="J55" i="14"/>
  <c r="I55" i="14"/>
  <c r="H55" i="14"/>
  <c r="G55" i="14"/>
  <c r="F55" i="14"/>
  <c r="E55" i="14"/>
  <c r="D55" i="14"/>
  <c r="C55" i="14"/>
  <c r="B55" i="14"/>
  <c r="A55"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A54" i="14"/>
  <c r="Z53" i="14"/>
  <c r="Y53" i="14"/>
  <c r="X53" i="14"/>
  <c r="W53" i="14"/>
  <c r="V53" i="14"/>
  <c r="U53" i="14"/>
  <c r="T53" i="14"/>
  <c r="S53" i="14"/>
  <c r="R53" i="14"/>
  <c r="Q53" i="14"/>
  <c r="P53" i="14"/>
  <c r="O53" i="14"/>
  <c r="N53" i="14"/>
  <c r="M53" i="14"/>
  <c r="L53" i="14"/>
  <c r="K53" i="14"/>
  <c r="J53" i="14"/>
  <c r="I53" i="14"/>
  <c r="H53" i="14"/>
  <c r="G53" i="14"/>
  <c r="F53" i="14"/>
  <c r="E53" i="14"/>
  <c r="D53" i="14"/>
  <c r="C53" i="14"/>
  <c r="B53" i="14"/>
  <c r="A53"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A52"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A51" i="14"/>
  <c r="Z50" i="14"/>
  <c r="Y50" i="14"/>
  <c r="X50" i="14"/>
  <c r="W50" i="14"/>
  <c r="V50" i="14"/>
  <c r="U50" i="14"/>
  <c r="T50" i="14"/>
  <c r="S50" i="14"/>
  <c r="R50" i="14"/>
  <c r="Q50" i="14"/>
  <c r="P50" i="14"/>
  <c r="O50" i="14"/>
  <c r="N50" i="14"/>
  <c r="M50" i="14"/>
  <c r="L50" i="14"/>
  <c r="K50" i="14"/>
  <c r="J50" i="14"/>
  <c r="I50" i="14"/>
  <c r="H50" i="14"/>
  <c r="G50" i="14"/>
  <c r="F50" i="14"/>
  <c r="E50" i="14"/>
  <c r="D50" i="14"/>
  <c r="C50" i="14"/>
  <c r="B50" i="14"/>
  <c r="A50" i="14"/>
  <c r="Z49" i="14"/>
  <c r="Y49" i="14"/>
  <c r="X49" i="14"/>
  <c r="W49" i="14"/>
  <c r="V49" i="14"/>
  <c r="U49" i="14"/>
  <c r="T49" i="14"/>
  <c r="S49" i="14"/>
  <c r="R49" i="14"/>
  <c r="Q49" i="14"/>
  <c r="P49" i="14"/>
  <c r="O49" i="14"/>
  <c r="N49" i="14"/>
  <c r="M49" i="14"/>
  <c r="L49" i="14"/>
  <c r="K49" i="14"/>
  <c r="J49" i="14"/>
  <c r="I49" i="14"/>
  <c r="H49" i="14"/>
  <c r="G49" i="14"/>
  <c r="F49" i="14"/>
  <c r="E49" i="14"/>
  <c r="D49" i="14"/>
  <c r="C49" i="14"/>
  <c r="B49" i="14"/>
  <c r="A49" i="14"/>
  <c r="Z48" i="14"/>
  <c r="Y48" i="14"/>
  <c r="X48" i="14"/>
  <c r="W48" i="14"/>
  <c r="V48" i="14"/>
  <c r="U48" i="14"/>
  <c r="T48" i="14"/>
  <c r="S48" i="14"/>
  <c r="R48" i="14"/>
  <c r="Q48" i="14"/>
  <c r="P48" i="14"/>
  <c r="O48" i="14"/>
  <c r="N48" i="14"/>
  <c r="M48" i="14"/>
  <c r="L48" i="14"/>
  <c r="K48" i="14"/>
  <c r="J48" i="14"/>
  <c r="I48" i="14"/>
  <c r="H48" i="14"/>
  <c r="G48" i="14"/>
  <c r="F48" i="14"/>
  <c r="E48" i="14"/>
  <c r="D48" i="14"/>
  <c r="C48" i="14"/>
  <c r="B48" i="14"/>
  <c r="A48"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A47" i="14"/>
  <c r="Z46" i="14"/>
  <c r="Y46" i="14"/>
  <c r="X46" i="14"/>
  <c r="W46" i="14"/>
  <c r="V46" i="14"/>
  <c r="U46" i="14"/>
  <c r="T46" i="14"/>
  <c r="S46" i="14"/>
  <c r="R46" i="14"/>
  <c r="Q46" i="14"/>
  <c r="P46" i="14"/>
  <c r="O46" i="14"/>
  <c r="N46" i="14"/>
  <c r="M46" i="14"/>
  <c r="L46" i="14"/>
  <c r="K46" i="14"/>
  <c r="J46" i="14"/>
  <c r="I46" i="14"/>
  <c r="H46" i="14"/>
  <c r="G46" i="14"/>
  <c r="F46" i="14"/>
  <c r="E46" i="14"/>
  <c r="D46" i="14"/>
  <c r="C46" i="14"/>
  <c r="B46" i="14"/>
  <c r="A46" i="14"/>
  <c r="Z45" i="14"/>
  <c r="Y45" i="14"/>
  <c r="X45" i="14"/>
  <c r="W45" i="14"/>
  <c r="V45" i="14"/>
  <c r="U45" i="14"/>
  <c r="T45" i="14"/>
  <c r="S45" i="14"/>
  <c r="R45" i="14"/>
  <c r="Q45" i="14"/>
  <c r="P45" i="14"/>
  <c r="O45" i="14"/>
  <c r="N45" i="14"/>
  <c r="M45" i="14"/>
  <c r="L45" i="14"/>
  <c r="K45" i="14"/>
  <c r="J45" i="14"/>
  <c r="I45" i="14"/>
  <c r="H45" i="14"/>
  <c r="G45" i="14"/>
  <c r="F45" i="14"/>
  <c r="E45" i="14"/>
  <c r="D45" i="14"/>
  <c r="C45" i="14"/>
  <c r="B45" i="14"/>
  <c r="A45"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A44"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43"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A42" i="14"/>
  <c r="Z41" i="14"/>
  <c r="Y41" i="14"/>
  <c r="X41" i="14"/>
  <c r="W41" i="14"/>
  <c r="V41" i="14"/>
  <c r="U41" i="14"/>
  <c r="T41" i="14"/>
  <c r="S41" i="14"/>
  <c r="R41" i="14"/>
  <c r="Q41" i="14"/>
  <c r="P41" i="14"/>
  <c r="O41" i="14"/>
  <c r="N41" i="14"/>
  <c r="M41" i="14"/>
  <c r="L41" i="14"/>
  <c r="K41" i="14"/>
  <c r="J41" i="14"/>
  <c r="I41" i="14"/>
  <c r="H41" i="14"/>
  <c r="G41" i="14"/>
  <c r="F41" i="14"/>
  <c r="E41" i="14"/>
  <c r="D41" i="14"/>
  <c r="C41" i="14"/>
  <c r="B41" i="14"/>
  <c r="A41"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A40" i="14"/>
  <c r="Z39" i="14"/>
  <c r="Y39" i="14"/>
  <c r="X39" i="14"/>
  <c r="W39" i="14"/>
  <c r="V39" i="14"/>
  <c r="U39" i="14"/>
  <c r="T39" i="14"/>
  <c r="S39" i="14"/>
  <c r="R39" i="14"/>
  <c r="Q39" i="14"/>
  <c r="P39" i="14"/>
  <c r="O39" i="14"/>
  <c r="N39" i="14"/>
  <c r="M39" i="14"/>
  <c r="L39" i="14"/>
  <c r="K39" i="14"/>
  <c r="J39" i="14"/>
  <c r="I39" i="14"/>
  <c r="H39" i="14"/>
  <c r="G39" i="14"/>
  <c r="F39" i="14"/>
  <c r="E39" i="14"/>
  <c r="D39" i="14"/>
  <c r="C39" i="14"/>
  <c r="B39" i="14"/>
  <c r="A39" i="14"/>
  <c r="Z38" i="14"/>
  <c r="Y38" i="14"/>
  <c r="X38" i="14"/>
  <c r="W38" i="14"/>
  <c r="V38" i="14"/>
  <c r="U38" i="14"/>
  <c r="T38" i="14"/>
  <c r="S38" i="14"/>
  <c r="R38" i="14"/>
  <c r="Q38" i="14"/>
  <c r="P38" i="14"/>
  <c r="O38" i="14"/>
  <c r="N38" i="14"/>
  <c r="M38" i="14"/>
  <c r="L38" i="14"/>
  <c r="K38" i="14"/>
  <c r="J38" i="14"/>
  <c r="I38" i="14"/>
  <c r="H38" i="14"/>
  <c r="G38" i="14"/>
  <c r="F38" i="14"/>
  <c r="E38" i="14"/>
  <c r="D38" i="14"/>
  <c r="C38" i="14"/>
  <c r="B38" i="14"/>
  <c r="A38" i="14"/>
  <c r="Z37" i="14"/>
  <c r="Y37" i="14"/>
  <c r="X37" i="14"/>
  <c r="W37" i="14"/>
  <c r="V37" i="14"/>
  <c r="U37" i="14"/>
  <c r="T37" i="14"/>
  <c r="S37" i="14"/>
  <c r="R37" i="14"/>
  <c r="Q37" i="14"/>
  <c r="P37" i="14"/>
  <c r="O37" i="14"/>
  <c r="N37" i="14"/>
  <c r="M37" i="14"/>
  <c r="L37" i="14"/>
  <c r="K37" i="14"/>
  <c r="J37" i="14"/>
  <c r="I37" i="14"/>
  <c r="H37" i="14"/>
  <c r="G37" i="14"/>
  <c r="F37" i="14"/>
  <c r="E37" i="14"/>
  <c r="D37" i="14"/>
  <c r="C37" i="14"/>
  <c r="B37" i="14"/>
  <c r="A37"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36" i="14"/>
  <c r="Z35" i="14"/>
  <c r="Y35" i="14"/>
  <c r="X35" i="14"/>
  <c r="W35" i="14"/>
  <c r="V35" i="14"/>
  <c r="U35" i="14"/>
  <c r="T35" i="14"/>
  <c r="S35" i="14"/>
  <c r="R35" i="14"/>
  <c r="Q35" i="14"/>
  <c r="P35" i="14"/>
  <c r="O35" i="14"/>
  <c r="N35" i="14"/>
  <c r="M35" i="14"/>
  <c r="L35" i="14"/>
  <c r="K35" i="14"/>
  <c r="J35" i="14"/>
  <c r="I35" i="14"/>
  <c r="H35" i="14"/>
  <c r="G35" i="14"/>
  <c r="F35" i="14"/>
  <c r="E35" i="14"/>
  <c r="D35" i="14"/>
  <c r="C35" i="14"/>
  <c r="B35" i="14"/>
  <c r="A35" i="14"/>
  <c r="Z34" i="14"/>
  <c r="Y34" i="14"/>
  <c r="X34" i="14"/>
  <c r="W34" i="14"/>
  <c r="V34" i="14"/>
  <c r="U34" i="14"/>
  <c r="T34" i="14"/>
  <c r="S34" i="14"/>
  <c r="R34" i="14"/>
  <c r="Q34" i="14"/>
  <c r="P34" i="14"/>
  <c r="O34" i="14"/>
  <c r="N34" i="14"/>
  <c r="M34" i="14"/>
  <c r="L34" i="14"/>
  <c r="K34" i="14"/>
  <c r="J34" i="14"/>
  <c r="I34" i="14"/>
  <c r="H34" i="14"/>
  <c r="G34" i="14"/>
  <c r="F34" i="14"/>
  <c r="E34" i="14"/>
  <c r="D34" i="14"/>
  <c r="C34" i="14"/>
  <c r="B34" i="14"/>
  <c r="A34" i="14"/>
  <c r="Z33" i="14"/>
  <c r="Y33" i="14"/>
  <c r="X33" i="14"/>
  <c r="W33" i="14"/>
  <c r="V33" i="14"/>
  <c r="U33" i="14"/>
  <c r="T33" i="14"/>
  <c r="S33" i="14"/>
  <c r="R33" i="14"/>
  <c r="Q33" i="14"/>
  <c r="P33" i="14"/>
  <c r="O33" i="14"/>
  <c r="N33" i="14"/>
  <c r="M33" i="14"/>
  <c r="L33" i="14"/>
  <c r="K33" i="14"/>
  <c r="J33" i="14"/>
  <c r="I33" i="14"/>
  <c r="H33" i="14"/>
  <c r="G33" i="14"/>
  <c r="F33" i="14"/>
  <c r="E33" i="14"/>
  <c r="D33" i="14"/>
  <c r="C33" i="14"/>
  <c r="B33" i="14"/>
  <c r="A33" i="14"/>
  <c r="Z32" i="14"/>
  <c r="Y32" i="14"/>
  <c r="X32" i="14"/>
  <c r="W32" i="14"/>
  <c r="V32" i="14"/>
  <c r="U32" i="14"/>
  <c r="T32" i="14"/>
  <c r="S32" i="14"/>
  <c r="R32" i="14"/>
  <c r="Q32" i="14"/>
  <c r="P32" i="14"/>
  <c r="O32" i="14"/>
  <c r="N32" i="14"/>
  <c r="M32" i="14"/>
  <c r="L32" i="14"/>
  <c r="K32" i="14"/>
  <c r="J32" i="14"/>
  <c r="I32" i="14"/>
  <c r="H32" i="14"/>
  <c r="G32" i="14"/>
  <c r="F32" i="14"/>
  <c r="E32" i="14"/>
  <c r="D32" i="14"/>
  <c r="C32" i="14"/>
  <c r="B32" i="14"/>
  <c r="A32"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31" i="14"/>
  <c r="Z30" i="14"/>
  <c r="Y30" i="14"/>
  <c r="X30" i="14"/>
  <c r="W30" i="14"/>
  <c r="V30" i="14"/>
  <c r="U30" i="14"/>
  <c r="T30" i="14"/>
  <c r="S30" i="14"/>
  <c r="R30" i="14"/>
  <c r="Q30" i="14"/>
  <c r="P30" i="14"/>
  <c r="O30" i="14"/>
  <c r="N30" i="14"/>
  <c r="M30" i="14"/>
  <c r="L30" i="14"/>
  <c r="K30" i="14"/>
  <c r="J30" i="14"/>
  <c r="I30" i="14"/>
  <c r="H30" i="14"/>
  <c r="G30" i="14"/>
  <c r="F30" i="14"/>
  <c r="E30" i="14"/>
  <c r="D30" i="14"/>
  <c r="C30" i="14"/>
  <c r="B30" i="14"/>
  <c r="A30"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A29" i="14"/>
  <c r="Z28" i="14"/>
  <c r="Y28" i="14"/>
  <c r="X28" i="14"/>
  <c r="W28" i="14"/>
  <c r="V28" i="14"/>
  <c r="U28" i="14"/>
  <c r="T28" i="14"/>
  <c r="S28" i="14"/>
  <c r="R28" i="14"/>
  <c r="Q28" i="14"/>
  <c r="P28" i="14"/>
  <c r="O28" i="14"/>
  <c r="N28" i="14"/>
  <c r="M28" i="14"/>
  <c r="L28" i="14"/>
  <c r="K28" i="14"/>
  <c r="J28" i="14"/>
  <c r="I28" i="14"/>
  <c r="H28" i="14"/>
  <c r="G28" i="14"/>
  <c r="F28" i="14"/>
  <c r="E28" i="14"/>
  <c r="D28" i="14"/>
  <c r="C28" i="14"/>
  <c r="B28" i="14"/>
  <c r="A28" i="14"/>
  <c r="Z27" i="14"/>
  <c r="Y27" i="14"/>
  <c r="X27" i="14"/>
  <c r="W27" i="14"/>
  <c r="V27" i="14"/>
  <c r="U27" i="14"/>
  <c r="T27" i="14"/>
  <c r="S27" i="14"/>
  <c r="R27" i="14"/>
  <c r="Q27" i="14"/>
  <c r="P27" i="14"/>
  <c r="O27" i="14"/>
  <c r="N27" i="14"/>
  <c r="M27" i="14"/>
  <c r="L27" i="14"/>
  <c r="K27" i="14"/>
  <c r="J27" i="14"/>
  <c r="I27" i="14"/>
  <c r="H27" i="14"/>
  <c r="G27" i="14"/>
  <c r="F27" i="14"/>
  <c r="E27" i="14"/>
  <c r="D27" i="14"/>
  <c r="C27" i="14"/>
  <c r="B27" i="14"/>
  <c r="A27" i="14"/>
  <c r="Z26" i="14"/>
  <c r="Y26" i="14"/>
  <c r="X26" i="14"/>
  <c r="W26" i="14"/>
  <c r="V26" i="14"/>
  <c r="U26" i="14"/>
  <c r="T26" i="14"/>
  <c r="S26" i="14"/>
  <c r="R26" i="14"/>
  <c r="Q26" i="14"/>
  <c r="P26" i="14"/>
  <c r="O26" i="14"/>
  <c r="N26" i="14"/>
  <c r="M26" i="14"/>
  <c r="L26" i="14"/>
  <c r="K26" i="14"/>
  <c r="J26" i="14"/>
  <c r="I26" i="14"/>
  <c r="H26" i="14"/>
  <c r="G26" i="14"/>
  <c r="F26" i="14"/>
  <c r="E26" i="14"/>
  <c r="D26" i="14"/>
  <c r="C26" i="14"/>
  <c r="B26" i="14"/>
  <c r="A26"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A25" i="14"/>
  <c r="Z24" i="14"/>
  <c r="Y24" i="14"/>
  <c r="X24" i="14"/>
  <c r="W24" i="14"/>
  <c r="V24" i="14"/>
  <c r="U24" i="14"/>
  <c r="T24" i="14"/>
  <c r="S24" i="14"/>
  <c r="R24" i="14"/>
  <c r="Q24" i="14"/>
  <c r="P24" i="14"/>
  <c r="O24" i="14"/>
  <c r="N24" i="14"/>
  <c r="M24" i="14"/>
  <c r="L24" i="14"/>
  <c r="K24" i="14"/>
  <c r="J24" i="14"/>
  <c r="I24" i="14"/>
  <c r="H24" i="14"/>
  <c r="G24" i="14"/>
  <c r="F24" i="14"/>
  <c r="E24" i="14"/>
  <c r="D24" i="14"/>
  <c r="C24" i="14"/>
  <c r="B24" i="14"/>
  <c r="A24"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A23" i="14"/>
  <c r="Z22" i="14"/>
  <c r="Y22" i="14"/>
  <c r="X22" i="14"/>
  <c r="W22" i="14"/>
  <c r="V22" i="14"/>
  <c r="U22" i="14"/>
  <c r="T22" i="14"/>
  <c r="S22" i="14"/>
  <c r="R22" i="14"/>
  <c r="Q22" i="14"/>
  <c r="P22" i="14"/>
  <c r="O22" i="14"/>
  <c r="N22" i="14"/>
  <c r="M22" i="14"/>
  <c r="L22" i="14"/>
  <c r="K22" i="14"/>
  <c r="J22" i="14"/>
  <c r="I22" i="14"/>
  <c r="H22" i="14"/>
  <c r="G22" i="14"/>
  <c r="F22" i="14"/>
  <c r="E22" i="14"/>
  <c r="D22" i="14"/>
  <c r="C22" i="14"/>
  <c r="B22" i="14"/>
  <c r="A22"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A21" i="14"/>
  <c r="Z20" i="14"/>
  <c r="Y20" i="14"/>
  <c r="X20" i="14"/>
  <c r="W20" i="14"/>
  <c r="V20" i="14"/>
  <c r="U20" i="14"/>
  <c r="T20" i="14"/>
  <c r="S20" i="14"/>
  <c r="R20" i="14"/>
  <c r="Q20" i="14"/>
  <c r="P20" i="14"/>
  <c r="O20" i="14"/>
  <c r="N20" i="14"/>
  <c r="M20" i="14"/>
  <c r="L20" i="14"/>
  <c r="K20" i="14"/>
  <c r="J20" i="14"/>
  <c r="I20" i="14"/>
  <c r="H20" i="14"/>
  <c r="G20" i="14"/>
  <c r="F20" i="14"/>
  <c r="E20" i="14"/>
  <c r="D20" i="14"/>
  <c r="C20" i="14"/>
  <c r="B20" i="14"/>
  <c r="A20"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19"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18"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17" i="14"/>
  <c r="Z16" i="14"/>
  <c r="Y16" i="14"/>
  <c r="X16" i="14"/>
  <c r="W16" i="14"/>
  <c r="V16" i="14"/>
  <c r="U16" i="14"/>
  <c r="T16" i="14"/>
  <c r="S16" i="14"/>
  <c r="R16" i="14"/>
  <c r="Q16" i="14"/>
  <c r="P16" i="14"/>
  <c r="O16" i="14"/>
  <c r="N16" i="14"/>
  <c r="M16" i="14"/>
  <c r="L16" i="14"/>
  <c r="K16" i="14"/>
  <c r="J16" i="14"/>
  <c r="I16" i="14"/>
  <c r="H16" i="14"/>
  <c r="G16" i="14"/>
  <c r="F16" i="14"/>
  <c r="E16" i="14"/>
  <c r="D16" i="14"/>
  <c r="C16" i="14"/>
  <c r="B16" i="14"/>
  <c r="A16"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A15" i="14"/>
  <c r="Z14" i="14"/>
  <c r="Y14" i="14"/>
  <c r="X14" i="14"/>
  <c r="W14" i="14"/>
  <c r="V14" i="14"/>
  <c r="U14" i="14"/>
  <c r="T14" i="14"/>
  <c r="S14" i="14"/>
  <c r="R14" i="14"/>
  <c r="Q14" i="14"/>
  <c r="P14" i="14"/>
  <c r="O14" i="14"/>
  <c r="N14" i="14"/>
  <c r="M14" i="14"/>
  <c r="L14" i="14"/>
  <c r="K14" i="14"/>
  <c r="J14" i="14"/>
  <c r="I14" i="14"/>
  <c r="H14" i="14"/>
  <c r="G14" i="14"/>
  <c r="F14" i="14"/>
  <c r="E14" i="14"/>
  <c r="D14" i="14"/>
  <c r="C14" i="14"/>
  <c r="B14" i="14"/>
  <c r="A14"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13" i="14"/>
  <c r="Z12" i="14"/>
  <c r="Y12" i="14"/>
  <c r="X12" i="14"/>
  <c r="W12" i="14"/>
  <c r="V12" i="14"/>
  <c r="U12" i="14"/>
  <c r="T12" i="14"/>
  <c r="S12" i="14"/>
  <c r="R12" i="14"/>
  <c r="Q12" i="14"/>
  <c r="P12" i="14"/>
  <c r="O12" i="14"/>
  <c r="N12" i="14"/>
  <c r="M12" i="14"/>
  <c r="L12" i="14"/>
  <c r="K12" i="14"/>
  <c r="J12" i="14"/>
  <c r="I12" i="14"/>
  <c r="H12" i="14"/>
  <c r="G12" i="14"/>
  <c r="F12" i="14"/>
  <c r="E12" i="14"/>
  <c r="D12" i="14"/>
  <c r="C12" i="14"/>
  <c r="B12" i="14"/>
  <c r="A12"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11"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10" i="14"/>
  <c r="Z9" i="14"/>
  <c r="Y9" i="14"/>
  <c r="X9" i="14"/>
  <c r="W9" i="14"/>
  <c r="V9" i="14"/>
  <c r="U9" i="14"/>
  <c r="T9" i="14"/>
  <c r="S9" i="14"/>
  <c r="R9" i="14"/>
  <c r="Q9" i="14"/>
  <c r="P9" i="14"/>
  <c r="O9" i="14"/>
  <c r="N9" i="14"/>
  <c r="M9" i="14"/>
  <c r="L9" i="14"/>
  <c r="K9" i="14"/>
  <c r="J9" i="14"/>
  <c r="I9" i="14"/>
  <c r="H9" i="14"/>
  <c r="G9" i="14"/>
  <c r="F9" i="14"/>
  <c r="E9" i="14"/>
  <c r="D9" i="14"/>
  <c r="C9" i="14"/>
  <c r="B9" i="14"/>
  <c r="A9" i="14"/>
  <c r="Z8" i="14"/>
  <c r="Y8" i="14"/>
  <c r="X8" i="14"/>
  <c r="W8" i="14"/>
  <c r="V8" i="14"/>
  <c r="U8" i="14"/>
  <c r="T8" i="14"/>
  <c r="S8" i="14"/>
  <c r="R8" i="14"/>
  <c r="Q8" i="14"/>
  <c r="P8" i="14"/>
  <c r="O8" i="14"/>
  <c r="N8" i="14"/>
  <c r="M8" i="14"/>
  <c r="L8" i="14"/>
  <c r="K8" i="14"/>
  <c r="J8" i="14"/>
  <c r="I8" i="14"/>
  <c r="H8" i="14"/>
  <c r="G8" i="14"/>
  <c r="F8" i="14"/>
  <c r="E8" i="14"/>
  <c r="D8" i="14"/>
  <c r="C8" i="14"/>
  <c r="B8" i="14"/>
  <c r="A8" i="14"/>
  <c r="Z7" i="14"/>
  <c r="Y7" i="14"/>
  <c r="X7" i="14"/>
  <c r="W7" i="14"/>
  <c r="V7" i="14"/>
  <c r="U7" i="14"/>
  <c r="T7" i="14"/>
  <c r="S7" i="14"/>
  <c r="R7" i="14"/>
  <c r="Q7" i="14"/>
  <c r="P7" i="14"/>
  <c r="O7" i="14"/>
  <c r="N7" i="14"/>
  <c r="M7" i="14"/>
  <c r="L7" i="14"/>
  <c r="K7" i="14"/>
  <c r="J7" i="14"/>
  <c r="I7" i="14"/>
  <c r="H7" i="14"/>
  <c r="G7" i="14"/>
  <c r="F7" i="14"/>
  <c r="E7" i="14"/>
  <c r="D7" i="14"/>
  <c r="C7" i="14"/>
  <c r="B7" i="14"/>
  <c r="A7" i="14"/>
  <c r="Z6" i="14"/>
  <c r="Y6" i="14"/>
  <c r="X6" i="14"/>
  <c r="W6" i="14"/>
  <c r="V6" i="14"/>
  <c r="U6" i="14"/>
  <c r="T6" i="14"/>
  <c r="S6" i="14"/>
  <c r="R6" i="14"/>
  <c r="Q6" i="14"/>
  <c r="P6" i="14"/>
  <c r="O6" i="14"/>
  <c r="N6" i="14"/>
  <c r="M6" i="14"/>
  <c r="L6" i="14"/>
  <c r="K6" i="14"/>
  <c r="J6" i="14"/>
  <c r="I6" i="14"/>
  <c r="H6" i="14"/>
  <c r="G6" i="14"/>
  <c r="F6" i="14"/>
  <c r="E6" i="14"/>
  <c r="D6" i="14"/>
  <c r="C6" i="14"/>
  <c r="B6" i="14"/>
  <c r="A6" i="14"/>
  <c r="Z5" i="14"/>
  <c r="Y5" i="14"/>
  <c r="X5" i="14"/>
  <c r="W5" i="14"/>
  <c r="V5" i="14"/>
  <c r="U5" i="14"/>
  <c r="T5" i="14"/>
  <c r="S5" i="14"/>
  <c r="R5" i="14"/>
  <c r="Q5" i="14"/>
  <c r="P5" i="14"/>
  <c r="O5" i="14"/>
  <c r="N5" i="14"/>
  <c r="M5" i="14"/>
  <c r="L5" i="14"/>
  <c r="K5" i="14"/>
  <c r="J5" i="14"/>
  <c r="I5" i="14"/>
  <c r="H5" i="14"/>
  <c r="G5" i="14"/>
  <c r="F5" i="14"/>
  <c r="E5" i="14"/>
  <c r="D5" i="14"/>
  <c r="C5" i="14"/>
  <c r="B5" i="14"/>
  <c r="A5" i="14"/>
  <c r="Z4" i="14"/>
  <c r="Y4" i="14"/>
  <c r="X4" i="14"/>
  <c r="W4" i="14"/>
  <c r="V4" i="14"/>
  <c r="U4" i="14"/>
  <c r="T4" i="14"/>
  <c r="S4" i="14"/>
  <c r="R4" i="14"/>
  <c r="Q4" i="14"/>
  <c r="P4" i="14"/>
  <c r="O4" i="14"/>
  <c r="N4" i="14"/>
  <c r="M4" i="14"/>
  <c r="L4" i="14"/>
  <c r="K4" i="14"/>
  <c r="J4" i="14"/>
  <c r="I4" i="14"/>
  <c r="H4" i="14"/>
  <c r="G4" i="14"/>
  <c r="F4" i="14"/>
  <c r="E4" i="14"/>
  <c r="D4" i="14"/>
  <c r="C4" i="14"/>
  <c r="B4" i="14"/>
  <c r="A4" i="14"/>
  <c r="AH3" i="14"/>
  <c r="AG3" i="14"/>
  <c r="AF3" i="14"/>
  <c r="AE3" i="14"/>
  <c r="AD3" i="14"/>
  <c r="AC3" i="14"/>
  <c r="AG114" i="14" l="1"/>
  <c r="AG118" i="14"/>
  <c r="AG122" i="14"/>
  <c r="AG130" i="14"/>
  <c r="AG134" i="14"/>
  <c r="AG146" i="14"/>
  <c r="AG158" i="14"/>
  <c r="AG162" i="14"/>
  <c r="AG166" i="14"/>
  <c r="AG190" i="14"/>
  <c r="AG198" i="14"/>
  <c r="AG202" i="14"/>
  <c r="AG210" i="14"/>
  <c r="AG214" i="14"/>
  <c r="AG218" i="14"/>
  <c r="AG238" i="14"/>
  <c r="AG250" i="14"/>
  <c r="AG254" i="14"/>
  <c r="AG258" i="14"/>
  <c r="AG262" i="14"/>
  <c r="AG270" i="14"/>
  <c r="AG274" i="14"/>
  <c r="AG282" i="14"/>
  <c r="AG306" i="14"/>
  <c r="AG318" i="14"/>
  <c r="AG326" i="14"/>
  <c r="AG330" i="14"/>
  <c r="AG334" i="14"/>
  <c r="AG342" i="14"/>
  <c r="AG354" i="14"/>
  <c r="AG358" i="14"/>
  <c r="AG362" i="14"/>
  <c r="AG366" i="14"/>
  <c r="AG370" i="14"/>
  <c r="AG374" i="14"/>
  <c r="AG378" i="14"/>
  <c r="AG382" i="14"/>
  <c r="AG386" i="14"/>
  <c r="AG390" i="14"/>
  <c r="AG394" i="14"/>
  <c r="AG398" i="14"/>
  <c r="AG402" i="14"/>
  <c r="AG406" i="14"/>
  <c r="AG410" i="14"/>
  <c r="AG414" i="14"/>
  <c r="AG418" i="14"/>
  <c r="AG422" i="14"/>
  <c r="AG98" i="14"/>
  <c r="AG102" i="14"/>
  <c r="AG106" i="14"/>
  <c r="AG110" i="14"/>
  <c r="AG126" i="14"/>
  <c r="AG138" i="14"/>
  <c r="AG142" i="14"/>
  <c r="AG150" i="14"/>
  <c r="AG154" i="14"/>
  <c r="AG170" i="14"/>
  <c r="AG174" i="14"/>
  <c r="AG178" i="14"/>
  <c r="AG182" i="14"/>
  <c r="AG186" i="14"/>
  <c r="AG194" i="14"/>
  <c r="AG206" i="14"/>
  <c r="AG222" i="14"/>
  <c r="AG226" i="14"/>
  <c r="AG230" i="14"/>
  <c r="AG234" i="14"/>
  <c r="AG242" i="14"/>
  <c r="AG246" i="14"/>
  <c r="AG266" i="14"/>
  <c r="AG278" i="14"/>
  <c r="AG286" i="14"/>
  <c r="AG290" i="14"/>
  <c r="AG294" i="14"/>
  <c r="AG298" i="14"/>
  <c r="AG302" i="14"/>
  <c r="AG310" i="14"/>
  <c r="AG314" i="14"/>
  <c r="AG322" i="14"/>
  <c r="AG338" i="14"/>
  <c r="AG346" i="14"/>
  <c r="AG350" i="14"/>
  <c r="AG426" i="14"/>
  <c r="AG430" i="14"/>
  <c r="AG434" i="14"/>
  <c r="AG438" i="14"/>
  <c r="AG442" i="14"/>
  <c r="AG446" i="14"/>
  <c r="AG450" i="14"/>
  <c r="AG454" i="14"/>
  <c r="AG458" i="14"/>
  <c r="AG462" i="14"/>
  <c r="AG466" i="14"/>
  <c r="AG470" i="14"/>
  <c r="AG474" i="14"/>
  <c r="AG478" i="14"/>
  <c r="AG482" i="14"/>
  <c r="AG486" i="14"/>
  <c r="AG490" i="14"/>
  <c r="AG494" i="14"/>
  <c r="AG498" i="14"/>
  <c r="AG502" i="14"/>
  <c r="AG506" i="14"/>
  <c r="AG510" i="14"/>
  <c r="AG514" i="14"/>
  <c r="AG518" i="14"/>
  <c r="AG522" i="14"/>
  <c r="AG526" i="14"/>
  <c r="AG530" i="14"/>
  <c r="AG534" i="14"/>
  <c r="AG538" i="14"/>
  <c r="AG542" i="14"/>
  <c r="AG546" i="14"/>
  <c r="AG550" i="14"/>
  <c r="AG554" i="14"/>
  <c r="AG558" i="14"/>
  <c r="AG562" i="14"/>
  <c r="AG566" i="14"/>
  <c r="AG570" i="14"/>
  <c r="AG574" i="14"/>
  <c r="AG578" i="14"/>
  <c r="AG582" i="14"/>
  <c r="AG586" i="14"/>
  <c r="AG590" i="14"/>
  <c r="AG594" i="14"/>
  <c r="AG598" i="14"/>
  <c r="AG602" i="14"/>
  <c r="AG606" i="14"/>
  <c r="AG610" i="14"/>
  <c r="AG614" i="14"/>
  <c r="AG618" i="14"/>
  <c r="AG622" i="14"/>
  <c r="AG686" i="14"/>
  <c r="AG690" i="14"/>
  <c r="AG694" i="14"/>
  <c r="AG698" i="14"/>
  <c r="AG702" i="14"/>
  <c r="AG706" i="14"/>
  <c r="AG710" i="14"/>
  <c r="AG714" i="14"/>
  <c r="AG718" i="14"/>
  <c r="AG722" i="14"/>
  <c r="AG726" i="14"/>
  <c r="AG730" i="14"/>
  <c r="AG734" i="14"/>
  <c r="AG738" i="14"/>
  <c r="AG742" i="14"/>
  <c r="AG746" i="14"/>
  <c r="AG750" i="14"/>
  <c r="AG754" i="14"/>
  <c r="AG758" i="14"/>
  <c r="AG762" i="14"/>
  <c r="AG766" i="14"/>
  <c r="AG770" i="14"/>
  <c r="AG774" i="14"/>
  <c r="AG778" i="14"/>
  <c r="AG782" i="14"/>
  <c r="AG786" i="14"/>
  <c r="AG790" i="14"/>
  <c r="AG794" i="14"/>
  <c r="AG798" i="14"/>
  <c r="AG802" i="14"/>
  <c r="AG806" i="14"/>
  <c r="AG810" i="14"/>
  <c r="AG814" i="14"/>
  <c r="AG818" i="14"/>
  <c r="AG822" i="14"/>
  <c r="AD824" i="14"/>
  <c r="AD828" i="14"/>
  <c r="AD832" i="14"/>
  <c r="AD836" i="14"/>
  <c r="AD840" i="14"/>
  <c r="AD844" i="14"/>
  <c r="AD848" i="14"/>
  <c r="AD852" i="14"/>
  <c r="AD856" i="14"/>
  <c r="AD860" i="14"/>
  <c r="AD864" i="14"/>
  <c r="AD868" i="14"/>
  <c r="AH8" i="14"/>
  <c r="AH12" i="14"/>
  <c r="AH16" i="14"/>
  <c r="AH20" i="14"/>
  <c r="AH24" i="14"/>
  <c r="AH32" i="14"/>
  <c r="AH44" i="14"/>
  <c r="AH52" i="14"/>
  <c r="AH60" i="14"/>
  <c r="AH64" i="14"/>
  <c r="AH68" i="14"/>
  <c r="AG4" i="14"/>
  <c r="AG8" i="14"/>
  <c r="AG12" i="14"/>
  <c r="AG48" i="14"/>
  <c r="AG52" i="14"/>
  <c r="AG56" i="14"/>
  <c r="AG68" i="14"/>
  <c r="AG72" i="14"/>
  <c r="AG76" i="14"/>
  <c r="AG88" i="14"/>
  <c r="AG96" i="14"/>
  <c r="AG108" i="14"/>
  <c r="AG112" i="14"/>
  <c r="AG128" i="14"/>
  <c r="AG144" i="14"/>
  <c r="AG164" i="14"/>
  <c r="AG168" i="14"/>
  <c r="AG176" i="14"/>
  <c r="AG184" i="14"/>
  <c r="AG196" i="14"/>
  <c r="AG204" i="14"/>
  <c r="AG208" i="14"/>
  <c r="AG216" i="14"/>
  <c r="AG220" i="14"/>
  <c r="AG228" i="14"/>
  <c r="AG236" i="14"/>
  <c r="AG240" i="14"/>
  <c r="AG244" i="14"/>
  <c r="AG248" i="14"/>
  <c r="AG252" i="14"/>
  <c r="AG260" i="14"/>
  <c r="AG264" i="14"/>
  <c r="AG268" i="14"/>
  <c r="AG272" i="14"/>
  <c r="AG276" i="14"/>
  <c r="AG284" i="14"/>
  <c r="AG304" i="14"/>
  <c r="AG308" i="14"/>
  <c r="AG320" i="14"/>
  <c r="AG328" i="14"/>
  <c r="AG332" i="14"/>
  <c r="AG336" i="14"/>
  <c r="AG340" i="14"/>
  <c r="AG344" i="14"/>
  <c r="AG348" i="14"/>
  <c r="AG352" i="14"/>
  <c r="AG356" i="14"/>
  <c r="AG360" i="14"/>
  <c r="AG364" i="14"/>
  <c r="AG380" i="14"/>
  <c r="AG384" i="14"/>
  <c r="AG400" i="14"/>
  <c r="AG404" i="14"/>
  <c r="AG408" i="14"/>
  <c r="AG412" i="14"/>
  <c r="AH4" i="14"/>
  <c r="AH28" i="14"/>
  <c r="AH36" i="14"/>
  <c r="AH40" i="14"/>
  <c r="AH56" i="14"/>
  <c r="AG16" i="14"/>
  <c r="AG20" i="14"/>
  <c r="AG24" i="14"/>
  <c r="AG44" i="14"/>
  <c r="AG60" i="14"/>
  <c r="AG64" i="14"/>
  <c r="AG80" i="14"/>
  <c r="AG84" i="14"/>
  <c r="AG92" i="14"/>
  <c r="AG100" i="14"/>
  <c r="AG104" i="14"/>
  <c r="AG116" i="14"/>
  <c r="AG120" i="14"/>
  <c r="AG124" i="14"/>
  <c r="AG132" i="14"/>
  <c r="AG136" i="14"/>
  <c r="AG140" i="14"/>
  <c r="AG148" i="14"/>
  <c r="AG152" i="14"/>
  <c r="AG156" i="14"/>
  <c r="AG160" i="14"/>
  <c r="AG172" i="14"/>
  <c r="AG180" i="14"/>
  <c r="AG188" i="14"/>
  <c r="AG192" i="14"/>
  <c r="AG200" i="14"/>
  <c r="AG212" i="14"/>
  <c r="AG224" i="14"/>
  <c r="AG232" i="14"/>
  <c r="AG256" i="14"/>
  <c r="AG280" i="14"/>
  <c r="AG288" i="14"/>
  <c r="AG292" i="14"/>
  <c r="AG296" i="14"/>
  <c r="AG300" i="14"/>
  <c r="AG312" i="14"/>
  <c r="AG316" i="14"/>
  <c r="AG324" i="14"/>
  <c r="AG368" i="14"/>
  <c r="AG372" i="14"/>
  <c r="AG376" i="14"/>
  <c r="AG388" i="14"/>
  <c r="AG392" i="14"/>
  <c r="AG396" i="14"/>
  <c r="AG416" i="14"/>
  <c r="AG420" i="14"/>
  <c r="AG424" i="14"/>
  <c r="AH84" i="14"/>
  <c r="AH96" i="14"/>
  <c r="AH100" i="14"/>
  <c r="AH120" i="14"/>
  <c r="AH136" i="14"/>
  <c r="AH140" i="14"/>
  <c r="AH152" i="14"/>
  <c r="AH156" i="14"/>
  <c r="AH164" i="14"/>
  <c r="AH168" i="14"/>
  <c r="AH184" i="14"/>
  <c r="AH188" i="14"/>
  <c r="AH204" i="14"/>
  <c r="AH212" i="14"/>
  <c r="AH216" i="14"/>
  <c r="AH220" i="14"/>
  <c r="AH240" i="14"/>
  <c r="AH304" i="14"/>
  <c r="AH308" i="14"/>
  <c r="AH316" i="14"/>
  <c r="AH656" i="14"/>
  <c r="AH660" i="14"/>
  <c r="AH664" i="14"/>
  <c r="AH668" i="14"/>
  <c r="AH672" i="14"/>
  <c r="AH676" i="14"/>
  <c r="AH680" i="14"/>
  <c r="AH684" i="14"/>
  <c r="AH688" i="14"/>
  <c r="AH692" i="14"/>
  <c r="AH696" i="14"/>
  <c r="AH700" i="14"/>
  <c r="AH704" i="14"/>
  <c r="AH708" i="14"/>
  <c r="AH712" i="14"/>
  <c r="AH716" i="14"/>
  <c r="AH720" i="14"/>
  <c r="AH724" i="14"/>
  <c r="AH728" i="14"/>
  <c r="AH732" i="14"/>
  <c r="AH72" i="14"/>
  <c r="AH76" i="14"/>
  <c r="AH80" i="14"/>
  <c r="AH88" i="14"/>
  <c r="AH92" i="14"/>
  <c r="AH104" i="14"/>
  <c r="AH108" i="14"/>
  <c r="AH112" i="14"/>
  <c r="AH116" i="14"/>
  <c r="AH124" i="14"/>
  <c r="AH128" i="14"/>
  <c r="AH132" i="14"/>
  <c r="AH144" i="14"/>
  <c r="AH148" i="14"/>
  <c r="AH160" i="14"/>
  <c r="AH172" i="14"/>
  <c r="AH176" i="14"/>
  <c r="AH180" i="14"/>
  <c r="AH192" i="14"/>
  <c r="AH196" i="14"/>
  <c r="AH200" i="14"/>
  <c r="AH208" i="14"/>
  <c r="AH224" i="14"/>
  <c r="AH228" i="14"/>
  <c r="AH312" i="14"/>
  <c r="AD473" i="14"/>
  <c r="AD477" i="14"/>
  <c r="AD481" i="14"/>
  <c r="AD485" i="14"/>
  <c r="AD489" i="14"/>
  <c r="AD493" i="14"/>
  <c r="AD497" i="14"/>
  <c r="AD501" i="14"/>
  <c r="AD505" i="14"/>
  <c r="AD509" i="14"/>
  <c r="AG428" i="14"/>
  <c r="AG432" i="14"/>
  <c r="AG436" i="14"/>
  <c r="AG440" i="14"/>
  <c r="AG444" i="14"/>
  <c r="AG448" i="14"/>
  <c r="AG452" i="14"/>
  <c r="AG456" i="14"/>
  <c r="AG460" i="14"/>
  <c r="AG464" i="14"/>
  <c r="AG468" i="14"/>
  <c r="AG472" i="14"/>
  <c r="AG476" i="14"/>
  <c r="AG480" i="14"/>
  <c r="AG484" i="14"/>
  <c r="AG488" i="14"/>
  <c r="AG492" i="14"/>
  <c r="AG496" i="14"/>
  <c r="AG500" i="14"/>
  <c r="AG504" i="14"/>
  <c r="AG508" i="14"/>
  <c r="AG512" i="14"/>
  <c r="AG516" i="14"/>
  <c r="AG520" i="14"/>
  <c r="AG524" i="14"/>
  <c r="AG528" i="14"/>
  <c r="AG532" i="14"/>
  <c r="AG536" i="14"/>
  <c r="AG540" i="14"/>
  <c r="AG544" i="14"/>
  <c r="AG548" i="14"/>
  <c r="AG552" i="14"/>
  <c r="AG556" i="14"/>
  <c r="AG560" i="14"/>
  <c r="AG564" i="14"/>
  <c r="AG568" i="14"/>
  <c r="AG572" i="14"/>
  <c r="AG576" i="14"/>
  <c r="AG580" i="14"/>
  <c r="AG584" i="14"/>
  <c r="AG588" i="14"/>
  <c r="AG592" i="14"/>
  <c r="AG596" i="14"/>
  <c r="AG600" i="14"/>
  <c r="AG604" i="14"/>
  <c r="AG608" i="14"/>
  <c r="AG612" i="14"/>
  <c r="AG616" i="14"/>
  <c r="AG620" i="14"/>
  <c r="AG624" i="14"/>
  <c r="AG628" i="14"/>
  <c r="AG632" i="14"/>
  <c r="AG636" i="14"/>
  <c r="AG640" i="14"/>
  <c r="AG644" i="14"/>
  <c r="AG648" i="14"/>
  <c r="AG652" i="14"/>
  <c r="AG656" i="14"/>
  <c r="AG660" i="14"/>
  <c r="AG664" i="14"/>
  <c r="AG668" i="14"/>
  <c r="AG672" i="14"/>
  <c r="AG676" i="14"/>
  <c r="AG680" i="14"/>
  <c r="AG684" i="14"/>
  <c r="AG688" i="14"/>
  <c r="AG692" i="14"/>
  <c r="AG696" i="14"/>
  <c r="AG700" i="14"/>
  <c r="AG704" i="14"/>
  <c r="AG708" i="14"/>
  <c r="AG712" i="14"/>
  <c r="AG716" i="14"/>
  <c r="AG720" i="14"/>
  <c r="AG724" i="14"/>
  <c r="AG728" i="14"/>
  <c r="AG732" i="14"/>
  <c r="AG940" i="14"/>
  <c r="AG944" i="14"/>
  <c r="AG948" i="14"/>
  <c r="AG952" i="14"/>
  <c r="AG956" i="14"/>
  <c r="AG960" i="14"/>
  <c r="AG964" i="14"/>
  <c r="AG1004" i="14"/>
  <c r="AD942" i="14"/>
  <c r="AD946" i="14"/>
  <c r="AF947" i="14"/>
  <c r="AD950" i="14"/>
  <c r="AD954" i="14"/>
  <c r="AD958" i="14"/>
  <c r="AD962" i="14"/>
  <c r="AD966" i="14"/>
  <c r="AD974" i="14"/>
  <c r="AD986" i="14"/>
  <c r="AD990" i="14"/>
  <c r="AD994" i="14"/>
  <c r="AD998" i="14"/>
  <c r="AD1002" i="14"/>
  <c r="AG819" i="14"/>
  <c r="AF314" i="14"/>
  <c r="AF322" i="14"/>
  <c r="AF326" i="14"/>
  <c r="AF330" i="14"/>
  <c r="AF334" i="14"/>
  <c r="AF338" i="14"/>
  <c r="AF342" i="14"/>
  <c r="AF346" i="14"/>
  <c r="AF362" i="14"/>
  <c r="AF406" i="14"/>
  <c r="AF410" i="14"/>
  <c r="AF414" i="14"/>
  <c r="AF418" i="14"/>
  <c r="AF422" i="14"/>
  <c r="AF426" i="14"/>
  <c r="AF430" i="14"/>
  <c r="AF458" i="14"/>
  <c r="AF478" i="14"/>
  <c r="AF482" i="14"/>
  <c r="AF486" i="14"/>
  <c r="AF490" i="14"/>
  <c r="AF494" i="14"/>
  <c r="AF498" i="14"/>
  <c r="AF502" i="14"/>
  <c r="AF506" i="14"/>
  <c r="AF510" i="14"/>
  <c r="AF998" i="14"/>
  <c r="AG744" i="14"/>
  <c r="AG748" i="14"/>
  <c r="AG752" i="14"/>
  <c r="AG756" i="14"/>
  <c r="AG760" i="14"/>
  <c r="AG764" i="14"/>
  <c r="AG768" i="14"/>
  <c r="AG772" i="14"/>
  <c r="AG776" i="14"/>
  <c r="AG780" i="14"/>
  <c r="AG784" i="14"/>
  <c r="AG788" i="14"/>
  <c r="AG792" i="14"/>
  <c r="AG796" i="14"/>
  <c r="AG800" i="14"/>
  <c r="AG804" i="14"/>
  <c r="AG808" i="14"/>
  <c r="AG812" i="14"/>
  <c r="AG816" i="14"/>
  <c r="AD970" i="14"/>
  <c r="AF971" i="14"/>
  <c r="AG641" i="14"/>
  <c r="AG645" i="14"/>
  <c r="AG649" i="14"/>
  <c r="AG653" i="14"/>
  <c r="AG826" i="14"/>
  <c r="AG830" i="14"/>
  <c r="AG834" i="14"/>
  <c r="AG838" i="14"/>
  <c r="AG842" i="14"/>
  <c r="AG846" i="14"/>
  <c r="AG850" i="14"/>
  <c r="AG854" i="14"/>
  <c r="AG858" i="14"/>
  <c r="AG862" i="14"/>
  <c r="AG866" i="14"/>
  <c r="AG870" i="14"/>
  <c r="AG874" i="14"/>
  <c r="AH875" i="14"/>
  <c r="AG878" i="14"/>
  <c r="AH879" i="14"/>
  <c r="AG882" i="14"/>
  <c r="AH883" i="14"/>
  <c r="AH887" i="14"/>
  <c r="AH891" i="14"/>
  <c r="AH895" i="14"/>
  <c r="AH899" i="14"/>
  <c r="AD820" i="14"/>
  <c r="AH25" i="14"/>
  <c r="AH41" i="14"/>
  <c r="AH81" i="14"/>
  <c r="AG11" i="14"/>
  <c r="AG15" i="14"/>
  <c r="AG19" i="14"/>
  <c r="AG23" i="14"/>
  <c r="AG27" i="14"/>
  <c r="AG43" i="14"/>
  <c r="AG51" i="14"/>
  <c r="AG55" i="14"/>
  <c r="AG59" i="14"/>
  <c r="AG63" i="14"/>
  <c r="AG67" i="14"/>
  <c r="AG71" i="14"/>
  <c r="AG75" i="14"/>
  <c r="AG79" i="14"/>
  <c r="AG83" i="14"/>
  <c r="AG87" i="14"/>
  <c r="AG91" i="14"/>
  <c r="AG95" i="14"/>
  <c r="AG99" i="14"/>
  <c r="AG103" i="14"/>
  <c r="AG107" i="14"/>
  <c r="AG111" i="14"/>
  <c r="AG115" i="14"/>
  <c r="AG119" i="14"/>
  <c r="AH244" i="14"/>
  <c r="AH248" i="14"/>
  <c r="AH252" i="14"/>
  <c r="AH256" i="14"/>
  <c r="AG259" i="14"/>
  <c r="AH260" i="14"/>
  <c r="AG263" i="14"/>
  <c r="AH264" i="14"/>
  <c r="AG267" i="14"/>
  <c r="AH268" i="14"/>
  <c r="AG271" i="14"/>
  <c r="AH272" i="14"/>
  <c r="AG275" i="14"/>
  <c r="AH276" i="14"/>
  <c r="AG279" i="14"/>
  <c r="AH280" i="14"/>
  <c r="AG283" i="14"/>
  <c r="AH284" i="14"/>
  <c r="AG287" i="14"/>
  <c r="AH288" i="14"/>
  <c r="AG291" i="14"/>
  <c r="AH292" i="14"/>
  <c r="AG295" i="14"/>
  <c r="AH296" i="14"/>
  <c r="AG299" i="14"/>
  <c r="AH300" i="14"/>
  <c r="AG303" i="14"/>
  <c r="AH29" i="14"/>
  <c r="AH49" i="14"/>
  <c r="AH65" i="14"/>
  <c r="AH69" i="14"/>
  <c r="AH285" i="14"/>
  <c r="AH289" i="14"/>
  <c r="AH293" i="14"/>
  <c r="AH297" i="14"/>
  <c r="AH301" i="14"/>
  <c r="AH305" i="14"/>
  <c r="AH309" i="14"/>
  <c r="AH317" i="14"/>
  <c r="AH341" i="14"/>
  <c r="AH345" i="14"/>
  <c r="AH349" i="14"/>
  <c r="AH353" i="14"/>
  <c r="AH357" i="14"/>
  <c r="AH361" i="14"/>
  <c r="AH433" i="14"/>
  <c r="AH437" i="14"/>
  <c r="AH21" i="14"/>
  <c r="AH33" i="14"/>
  <c r="AH37" i="14"/>
  <c r="AH77" i="14"/>
  <c r="AH89" i="14"/>
  <c r="AD6" i="14"/>
  <c r="AF7" i="14"/>
  <c r="AD10" i="14"/>
  <c r="AF11" i="14"/>
  <c r="AD14" i="14"/>
  <c r="AF15" i="14"/>
  <c r="AD18" i="14"/>
  <c r="AF19" i="14"/>
  <c r="AD22" i="14"/>
  <c r="AF23" i="14"/>
  <c r="AD26" i="14"/>
  <c r="AF27" i="14"/>
  <c r="AD30" i="14"/>
  <c r="AF31" i="14"/>
  <c r="AD254" i="14"/>
  <c r="AD258" i="14"/>
  <c r="AF259" i="14"/>
  <c r="AD262" i="14"/>
  <c r="AF263" i="14"/>
  <c r="AD266" i="14"/>
  <c r="AF267" i="14"/>
  <c r="AD270" i="14"/>
  <c r="AF271" i="14"/>
  <c r="AD274" i="14"/>
  <c r="AF275" i="14"/>
  <c r="AD278" i="14"/>
  <c r="AF279" i="14"/>
  <c r="AD282" i="14"/>
  <c r="AF283" i="14"/>
  <c r="AD286" i="14"/>
  <c r="AF287" i="14"/>
  <c r="AD290" i="14"/>
  <c r="AF291" i="14"/>
  <c r="AD294" i="14"/>
  <c r="AF295" i="14"/>
  <c r="AD298" i="14"/>
  <c r="AF299" i="14"/>
  <c r="AD302" i="14"/>
  <c r="AH45" i="14"/>
  <c r="AH53" i="14"/>
  <c r="AH73" i="14"/>
  <c r="AG261" i="14"/>
  <c r="AG265" i="14"/>
  <c r="AG269" i="14"/>
  <c r="AG273" i="14"/>
  <c r="AG277" i="14"/>
  <c r="AG281" i="14"/>
  <c r="AG285" i="14"/>
  <c r="AG289" i="14"/>
  <c r="AG293" i="14"/>
  <c r="AG297" i="14"/>
  <c r="AG301" i="14"/>
  <c r="AH57" i="14"/>
  <c r="AH5" i="14"/>
  <c r="AH9" i="14"/>
  <c r="AH13" i="14"/>
  <c r="AH17" i="14"/>
  <c r="AH85" i="14"/>
  <c r="AH175" i="14"/>
  <c r="AH179" i="14"/>
  <c r="AH183" i="14"/>
  <c r="AH187" i="14"/>
  <c r="AH191" i="14"/>
  <c r="AH195" i="14"/>
  <c r="AH199" i="14"/>
  <c r="AH203" i="14"/>
  <c r="AH207" i="14"/>
  <c r="AH211" i="14"/>
  <c r="AH215" i="14"/>
  <c r="AH219" i="14"/>
  <c r="AH223" i="14"/>
  <c r="AH227" i="14"/>
  <c r="AH231" i="14"/>
  <c r="AH235" i="14"/>
  <c r="AH239" i="14"/>
  <c r="AH247" i="14"/>
  <c r="AH255" i="14"/>
  <c r="AH259" i="14"/>
  <c r="AH263" i="14"/>
  <c r="AH267" i="14"/>
  <c r="AH271" i="14"/>
  <c r="AH275" i="14"/>
  <c r="AH279" i="14"/>
  <c r="AH299" i="14"/>
  <c r="AH303" i="14"/>
  <c r="AH307" i="14"/>
  <c r="AH311" i="14"/>
  <c r="AH315" i="14"/>
  <c r="AH319" i="14"/>
  <c r="AH323" i="14"/>
  <c r="AH61" i="14"/>
  <c r="AC4" i="14"/>
  <c r="AD256" i="14"/>
  <c r="AD260" i="14"/>
  <c r="AD264" i="14"/>
  <c r="AD268" i="14"/>
  <c r="AD272" i="14"/>
  <c r="AD276" i="14"/>
  <c r="AD280" i="14"/>
  <c r="AD284" i="14"/>
  <c r="AD288" i="14"/>
  <c r="AD292" i="14"/>
  <c r="AD296" i="14"/>
  <c r="AG307" i="14"/>
  <c r="AG311" i="14"/>
  <c r="AG315" i="14"/>
  <c r="AG319" i="14"/>
  <c r="AH320" i="14"/>
  <c r="AG323" i="14"/>
  <c r="AH324" i="14"/>
  <c r="AG327" i="14"/>
  <c r="AH328" i="14"/>
  <c r="AG331" i="14"/>
  <c r="AH332" i="14"/>
  <c r="AG335" i="14"/>
  <c r="AH336" i="14"/>
  <c r="AG339" i="14"/>
  <c r="AH340" i="14"/>
  <c r="AG343" i="14"/>
  <c r="AH344" i="14"/>
  <c r="AG347" i="14"/>
  <c r="AH348" i="14"/>
  <c r="AG351" i="14"/>
  <c r="AH352" i="14"/>
  <c r="AG355" i="14"/>
  <c r="AH356" i="14"/>
  <c r="AG359" i="14"/>
  <c r="AH360" i="14"/>
  <c r="AG363" i="14"/>
  <c r="AH364" i="14"/>
  <c r="AG367" i="14"/>
  <c r="AH368" i="14"/>
  <c r="AG371" i="14"/>
  <c r="AH372" i="14"/>
  <c r="AG375" i="14"/>
  <c r="AH376" i="14"/>
  <c r="AG379" i="14"/>
  <c r="AH380" i="14"/>
  <c r="AG383" i="14"/>
  <c r="AH384" i="14"/>
  <c r="AG387" i="14"/>
  <c r="AH388" i="14"/>
  <c r="AG391" i="14"/>
  <c r="AH392" i="14"/>
  <c r="AG395" i="14"/>
  <c r="AH396" i="14"/>
  <c r="AG399" i="14"/>
  <c r="AH400" i="14"/>
  <c r="AG403" i="14"/>
  <c r="AH404" i="14"/>
  <c r="AG407" i="14"/>
  <c r="AH408" i="14"/>
  <c r="AG411" i="14"/>
  <c r="AH412" i="14"/>
  <c r="AG415" i="14"/>
  <c r="AH416" i="14"/>
  <c r="AG419" i="14"/>
  <c r="AH420" i="14"/>
  <c r="AG423" i="14"/>
  <c r="AH424" i="14"/>
  <c r="AG427" i="14"/>
  <c r="AH428" i="14"/>
  <c r="AG431" i="14"/>
  <c r="AH432" i="14"/>
  <c r="AG435" i="14"/>
  <c r="AH436" i="14"/>
  <c r="AG439" i="14"/>
  <c r="AH440" i="14"/>
  <c r="AG443" i="14"/>
  <c r="AH444" i="14"/>
  <c r="AG447" i="14"/>
  <c r="AH448" i="14"/>
  <c r="AG451" i="14"/>
  <c r="AH452" i="14"/>
  <c r="AG455" i="14"/>
  <c r="AH456" i="14"/>
  <c r="AG459" i="14"/>
  <c r="AH460" i="14"/>
  <c r="AG463" i="14"/>
  <c r="AH464" i="14"/>
  <c r="AG467" i="14"/>
  <c r="AH468" i="14"/>
  <c r="AG471" i="14"/>
  <c r="AH472" i="14"/>
  <c r="AG475" i="14"/>
  <c r="AH476" i="14"/>
  <c r="AG479" i="14"/>
  <c r="AH480" i="14"/>
  <c r="AG483" i="14"/>
  <c r="AH484" i="14"/>
  <c r="AG487" i="14"/>
  <c r="AH488" i="14"/>
  <c r="AG491" i="14"/>
  <c r="AH492" i="14"/>
  <c r="AG495" i="14"/>
  <c r="AH496" i="14"/>
  <c r="AG499" i="14"/>
  <c r="AH465" i="14"/>
  <c r="AF303" i="14"/>
  <c r="AD306" i="14"/>
  <c r="AF307" i="14"/>
  <c r="AD310" i="14"/>
  <c r="AF311" i="14"/>
  <c r="AD314" i="14"/>
  <c r="AF315" i="14"/>
  <c r="AD318" i="14"/>
  <c r="AF319" i="14"/>
  <c r="AD322" i="14"/>
  <c r="AF323" i="14"/>
  <c r="AD326" i="14"/>
  <c r="AF327" i="14"/>
  <c r="AD330" i="14"/>
  <c r="AF331" i="14"/>
  <c r="AD334" i="14"/>
  <c r="AF335" i="14"/>
  <c r="AD338" i="14"/>
  <c r="AF339" i="14"/>
  <c r="AD342" i="14"/>
  <c r="AF343" i="14"/>
  <c r="AD346" i="14"/>
  <c r="AF347" i="14"/>
  <c r="AD350" i="14"/>
  <c r="AF351" i="14"/>
  <c r="AD354" i="14"/>
  <c r="AF355" i="14"/>
  <c r="AD358" i="14"/>
  <c r="AF359" i="14"/>
  <c r="AD362" i="14"/>
  <c r="AF363" i="14"/>
  <c r="AD366" i="14"/>
  <c r="AF367" i="14"/>
  <c r="AD370" i="14"/>
  <c r="AF371" i="14"/>
  <c r="AD374" i="14"/>
  <c r="AF375" i="14"/>
  <c r="AD378" i="14"/>
  <c r="AF379" i="14"/>
  <c r="AD382" i="14"/>
  <c r="AF383" i="14"/>
  <c r="AD386" i="14"/>
  <c r="AF387" i="14"/>
  <c r="AD390" i="14"/>
  <c r="AF391" i="14"/>
  <c r="AD394" i="14"/>
  <c r="AF395" i="14"/>
  <c r="AD398" i="14"/>
  <c r="AF399" i="14"/>
  <c r="AD402" i="14"/>
  <c r="AF403" i="14"/>
  <c r="AD406" i="14"/>
  <c r="AF407" i="14"/>
  <c r="AD410" i="14"/>
  <c r="AF411" i="14"/>
  <c r="AD414" i="14"/>
  <c r="AF415" i="14"/>
  <c r="AD418" i="14"/>
  <c r="AF419" i="14"/>
  <c r="AD422" i="14"/>
  <c r="AF423" i="14"/>
  <c r="AD426" i="14"/>
  <c r="AF427" i="14"/>
  <c r="AD430" i="14"/>
  <c r="AF431" i="14"/>
  <c r="AD434" i="14"/>
  <c r="AF435" i="14"/>
  <c r="AD438" i="14"/>
  <c r="AF439" i="14"/>
  <c r="AD442" i="14"/>
  <c r="AF443" i="14"/>
  <c r="AD446" i="14"/>
  <c r="AF447" i="14"/>
  <c r="AD450" i="14"/>
  <c r="AF451" i="14"/>
  <c r="AD454" i="14"/>
  <c r="AF455" i="14"/>
  <c r="AD458" i="14"/>
  <c r="AF459" i="14"/>
  <c r="AD462" i="14"/>
  <c r="AF463" i="14"/>
  <c r="AD466" i="14"/>
  <c r="AF467" i="14"/>
  <c r="AD470" i="14"/>
  <c r="AF471" i="14"/>
  <c r="AG305" i="14"/>
  <c r="AG309" i="14"/>
  <c r="AG313" i="14"/>
  <c r="AG317" i="14"/>
  <c r="AG321" i="14"/>
  <c r="AG325" i="14"/>
  <c r="AG329" i="14"/>
  <c r="AG333" i="14"/>
  <c r="AG337" i="14"/>
  <c r="AG341" i="14"/>
  <c r="AG345" i="14"/>
  <c r="AG349" i="14"/>
  <c r="AG353" i="14"/>
  <c r="AG357" i="14"/>
  <c r="AG361" i="14"/>
  <c r="AG365" i="14"/>
  <c r="AG369" i="14"/>
  <c r="AG373" i="14"/>
  <c r="AG377" i="14"/>
  <c r="AG381" i="14"/>
  <c r="AG385" i="14"/>
  <c r="AG389" i="14"/>
  <c r="AG393" i="14"/>
  <c r="AG397" i="14"/>
  <c r="AG401" i="14"/>
  <c r="AG405" i="14"/>
  <c r="AG409" i="14"/>
  <c r="AG413" i="14"/>
  <c r="AG417" i="14"/>
  <c r="AG421" i="14"/>
  <c r="AG425" i="14"/>
  <c r="AG429" i="14"/>
  <c r="AG433" i="14"/>
  <c r="AG437" i="14"/>
  <c r="AG441" i="14"/>
  <c r="AG445" i="14"/>
  <c r="AG449" i="14"/>
  <c r="AG453" i="14"/>
  <c r="AG457" i="14"/>
  <c r="AG461" i="14"/>
  <c r="AG465" i="14"/>
  <c r="AG469" i="14"/>
  <c r="AG473" i="14"/>
  <c r="AG477" i="14"/>
  <c r="AG481" i="14"/>
  <c r="AG485" i="14"/>
  <c r="AG489" i="14"/>
  <c r="AG493" i="14"/>
  <c r="AG497" i="14"/>
  <c r="AH363" i="14"/>
  <c r="AH367" i="14"/>
  <c r="AH371" i="14"/>
  <c r="AH375" i="14"/>
  <c r="AH379" i="14"/>
  <c r="AH383" i="14"/>
  <c r="AH387" i="14"/>
  <c r="AH391" i="14"/>
  <c r="AH395" i="14"/>
  <c r="AH399" i="14"/>
  <c r="AH403" i="14"/>
  <c r="AH407" i="14"/>
  <c r="AH411" i="14"/>
  <c r="AH415" i="14"/>
  <c r="AH419" i="14"/>
  <c r="AH423" i="14"/>
  <c r="AH427" i="14"/>
  <c r="AH431" i="14"/>
  <c r="AH435" i="14"/>
  <c r="AH439" i="14"/>
  <c r="AH455" i="14"/>
  <c r="AH459" i="14"/>
  <c r="AH463" i="14"/>
  <c r="AH467" i="14"/>
  <c r="AH471" i="14"/>
  <c r="AH475" i="14"/>
  <c r="AH479" i="14"/>
  <c r="AH483" i="14"/>
  <c r="AH487" i="14"/>
  <c r="AH491" i="14"/>
  <c r="AH495" i="14"/>
  <c r="AH499" i="14"/>
  <c r="AH503" i="14"/>
  <c r="AH507" i="14"/>
  <c r="AD300" i="14"/>
  <c r="AD304" i="14"/>
  <c r="AD308" i="14"/>
  <c r="AD312" i="14"/>
  <c r="AD316" i="14"/>
  <c r="AD320" i="14"/>
  <c r="AD324" i="14"/>
  <c r="AD328" i="14"/>
  <c r="AD332" i="14"/>
  <c r="AD336" i="14"/>
  <c r="AD340" i="14"/>
  <c r="AD344" i="14"/>
  <c r="AD348" i="14"/>
  <c r="AD352" i="14"/>
  <c r="AD356" i="14"/>
  <c r="AD360" i="14"/>
  <c r="AD364" i="14"/>
  <c r="AD368" i="14"/>
  <c r="AD372" i="14"/>
  <c r="AD376" i="14"/>
  <c r="AD380" i="14"/>
  <c r="AD384" i="14"/>
  <c r="AD388" i="14"/>
  <c r="AD392" i="14"/>
  <c r="AD396" i="14"/>
  <c r="AD400" i="14"/>
  <c r="AD404" i="14"/>
  <c r="AD408" i="14"/>
  <c r="AD412" i="14"/>
  <c r="AD416" i="14"/>
  <c r="AD420" i="14"/>
  <c r="AD424" i="14"/>
  <c r="AD428" i="14"/>
  <c r="AD432" i="14"/>
  <c r="AD436" i="14"/>
  <c r="AD440" i="14"/>
  <c r="AD444" i="14"/>
  <c r="AD448" i="14"/>
  <c r="AD452" i="14"/>
  <c r="AD456" i="14"/>
  <c r="AD460" i="14"/>
  <c r="AD464" i="14"/>
  <c r="AD468" i="14"/>
  <c r="AD472" i="14"/>
  <c r="AD476" i="14"/>
  <c r="AD480" i="14"/>
  <c r="AD484" i="14"/>
  <c r="AD488" i="14"/>
  <c r="AD492" i="14"/>
  <c r="AH500" i="14"/>
  <c r="AG503" i="14"/>
  <c r="AH504" i="14"/>
  <c r="AG507" i="14"/>
  <c r="AH508" i="14"/>
  <c r="AG511" i="14"/>
  <c r="AH512" i="14"/>
  <c r="AG515" i="14"/>
  <c r="AH516" i="14"/>
  <c r="AG519" i="14"/>
  <c r="AH520" i="14"/>
  <c r="AG523" i="14"/>
  <c r="AH524" i="14"/>
  <c r="AG527" i="14"/>
  <c r="AH528" i="14"/>
  <c r="AG531" i="14"/>
  <c r="AH532" i="14"/>
  <c r="AG535" i="14"/>
  <c r="AH536" i="14"/>
  <c r="AG539" i="14"/>
  <c r="AH540" i="14"/>
  <c r="AG543" i="14"/>
  <c r="AH544" i="14"/>
  <c r="AG547" i="14"/>
  <c r="AH548" i="14"/>
  <c r="AG551" i="14"/>
  <c r="AH552" i="14"/>
  <c r="AG555" i="14"/>
  <c r="AH556" i="14"/>
  <c r="AG559" i="14"/>
  <c r="AH560" i="14"/>
  <c r="AG563" i="14"/>
  <c r="AH564" i="14"/>
  <c r="AG567" i="14"/>
  <c r="AH568" i="14"/>
  <c r="AG571" i="14"/>
  <c r="AH572" i="14"/>
  <c r="AG575" i="14"/>
  <c r="AH576" i="14"/>
  <c r="AG579" i="14"/>
  <c r="AH580" i="14"/>
  <c r="AG583" i="14"/>
  <c r="AH584" i="14"/>
  <c r="AG587" i="14"/>
  <c r="AH588" i="14"/>
  <c r="AG591" i="14"/>
  <c r="AH592" i="14"/>
  <c r="AG595" i="14"/>
  <c r="AH596" i="14"/>
  <c r="AG599" i="14"/>
  <c r="AH600" i="14"/>
  <c r="AG603" i="14"/>
  <c r="AH604" i="14"/>
  <c r="AG607" i="14"/>
  <c r="AH608" i="14"/>
  <c r="AG611" i="14"/>
  <c r="AH612" i="14"/>
  <c r="AG615" i="14"/>
  <c r="AH616" i="14"/>
  <c r="AG619" i="14"/>
  <c r="AH620" i="14"/>
  <c r="AG623" i="14"/>
  <c r="AH624" i="14"/>
  <c r="AG627" i="14"/>
  <c r="AH628" i="14"/>
  <c r="AG631" i="14"/>
  <c r="AH632" i="14"/>
  <c r="AG635" i="14"/>
  <c r="AH636" i="14"/>
  <c r="AG639" i="14"/>
  <c r="AH640" i="14"/>
  <c r="AG643" i="14"/>
  <c r="AH644" i="14"/>
  <c r="AG647" i="14"/>
  <c r="AH648" i="14"/>
  <c r="AG651" i="14"/>
  <c r="AH652" i="14"/>
  <c r="AG655" i="14"/>
  <c r="AG659" i="14"/>
  <c r="AG663" i="14"/>
  <c r="AG667" i="14"/>
  <c r="AG671" i="14"/>
  <c r="AG675" i="14"/>
  <c r="AG679" i="14"/>
  <c r="AG683" i="14"/>
  <c r="AG501" i="14"/>
  <c r="AG505" i="14"/>
  <c r="AG509" i="14"/>
  <c r="AG513" i="14"/>
  <c r="AG517" i="14"/>
  <c r="AG521" i="14"/>
  <c r="AG525" i="14"/>
  <c r="AG529" i="14"/>
  <c r="AG533" i="14"/>
  <c r="AG537" i="14"/>
  <c r="AG541" i="14"/>
  <c r="AG545" i="14"/>
  <c r="AG549" i="14"/>
  <c r="AG553" i="14"/>
  <c r="AG557" i="14"/>
  <c r="AG561" i="14"/>
  <c r="AG565" i="14"/>
  <c r="AG569" i="14"/>
  <c r="AG573" i="14"/>
  <c r="AG577" i="14"/>
  <c r="AG581" i="14"/>
  <c r="AG585" i="14"/>
  <c r="AG589" i="14"/>
  <c r="AG593" i="14"/>
  <c r="AG597" i="14"/>
  <c r="AG601" i="14"/>
  <c r="AG605" i="14"/>
  <c r="AG609" i="14"/>
  <c r="AG613" i="14"/>
  <c r="AG617" i="14"/>
  <c r="AG621" i="14"/>
  <c r="AG625" i="14"/>
  <c r="AG629" i="14"/>
  <c r="AG633" i="14"/>
  <c r="AG637" i="14"/>
  <c r="AG657" i="14"/>
  <c r="AG661" i="14"/>
  <c r="AH511" i="14"/>
  <c r="AH515" i="14"/>
  <c r="AH519" i="14"/>
  <c r="AH523" i="14"/>
  <c r="AH527" i="14"/>
  <c r="AH531" i="14"/>
  <c r="AH535" i="14"/>
  <c r="AH539" i="14"/>
  <c r="AH543" i="14"/>
  <c r="AH547" i="14"/>
  <c r="AH551" i="14"/>
  <c r="AH555" i="14"/>
  <c r="AH559" i="14"/>
  <c r="AH563" i="14"/>
  <c r="AH567" i="14"/>
  <c r="AH571" i="14"/>
  <c r="AH575" i="14"/>
  <c r="AH579" i="14"/>
  <c r="AH583" i="14"/>
  <c r="AH587" i="14"/>
  <c r="AH591" i="14"/>
  <c r="AH595" i="14"/>
  <c r="AH599" i="14"/>
  <c r="AH603" i="14"/>
  <c r="AH607" i="14"/>
  <c r="AH611" i="14"/>
  <c r="AH615" i="14"/>
  <c r="AH619" i="14"/>
  <c r="AH623" i="14"/>
  <c r="AG626" i="14"/>
  <c r="AH627" i="14"/>
  <c r="AG630" i="14"/>
  <c r="AH631" i="14"/>
  <c r="AG634" i="14"/>
  <c r="AH635" i="14"/>
  <c r="AG638" i="14"/>
  <c r="AH639" i="14"/>
  <c r="AG642" i="14"/>
  <c r="AH643" i="14"/>
  <c r="AG646" i="14"/>
  <c r="AH647" i="14"/>
  <c r="AG650" i="14"/>
  <c r="AH651" i="14"/>
  <c r="AG654" i="14"/>
  <c r="AH655" i="14"/>
  <c r="AG658" i="14"/>
  <c r="AH659" i="14"/>
  <c r="AG662" i="14"/>
  <c r="AH663" i="14"/>
  <c r="AG666" i="14"/>
  <c r="AH667" i="14"/>
  <c r="AG670" i="14"/>
  <c r="AH671" i="14"/>
  <c r="AG674" i="14"/>
  <c r="AH675" i="14"/>
  <c r="AG678" i="14"/>
  <c r="AH679" i="14"/>
  <c r="AG682" i="14"/>
  <c r="AH683" i="14"/>
  <c r="AH687" i="14"/>
  <c r="AD496" i="14"/>
  <c r="AD500" i="14"/>
  <c r="AD504" i="14"/>
  <c r="AD508" i="14"/>
  <c r="AD512" i="14"/>
  <c r="AD516" i="14"/>
  <c r="AD520" i="14"/>
  <c r="AD524" i="14"/>
  <c r="AD528" i="14"/>
  <c r="AD532" i="14"/>
  <c r="AD536" i="14"/>
  <c r="AD540" i="14"/>
  <c r="AD544" i="14"/>
  <c r="AD548" i="14"/>
  <c r="AD552" i="14"/>
  <c r="AD556" i="14"/>
  <c r="AD560" i="14"/>
  <c r="AD564" i="14"/>
  <c r="AD568" i="14"/>
  <c r="AD572" i="14"/>
  <c r="AD576" i="14"/>
  <c r="AD580" i="14"/>
  <c r="AD584" i="14"/>
  <c r="AD588" i="14"/>
  <c r="AD592" i="14"/>
  <c r="AD596" i="14"/>
  <c r="AD600" i="14"/>
  <c r="AD604" i="14"/>
  <c r="AD608" i="14"/>
  <c r="AD612" i="14"/>
  <c r="AD616" i="14"/>
  <c r="AD620" i="14"/>
  <c r="AD624" i="14"/>
  <c r="AD628" i="14"/>
  <c r="AD632" i="14"/>
  <c r="AD636" i="14"/>
  <c r="AD640" i="14"/>
  <c r="AD644" i="14"/>
  <c r="AD648" i="14"/>
  <c r="AD652" i="14"/>
  <c r="AD656" i="14"/>
  <c r="AD660" i="14"/>
  <c r="AG687" i="14"/>
  <c r="AG691" i="14"/>
  <c r="AG695" i="14"/>
  <c r="AG699" i="14"/>
  <c r="AG703" i="14"/>
  <c r="AG707" i="14"/>
  <c r="AG711" i="14"/>
  <c r="AG715" i="14"/>
  <c r="AG719" i="14"/>
  <c r="AG723" i="14"/>
  <c r="AG727" i="14"/>
  <c r="AG731" i="14"/>
  <c r="AG735" i="14"/>
  <c r="AG739" i="14"/>
  <c r="AG743" i="14"/>
  <c r="AG747" i="14"/>
  <c r="AG751" i="14"/>
  <c r="AG755" i="14"/>
  <c r="AG759" i="14"/>
  <c r="AG763" i="14"/>
  <c r="AG767" i="14"/>
  <c r="AG771" i="14"/>
  <c r="AG775" i="14"/>
  <c r="AG779" i="14"/>
  <c r="AG783" i="14"/>
  <c r="AG787" i="14"/>
  <c r="AG791" i="14"/>
  <c r="AG795" i="14"/>
  <c r="AG799" i="14"/>
  <c r="AG803" i="14"/>
  <c r="AG807" i="14"/>
  <c r="AG811" i="14"/>
  <c r="AG815" i="14"/>
  <c r="AG955" i="14"/>
  <c r="AG959" i="14"/>
  <c r="AG963" i="14"/>
  <c r="AG979" i="14"/>
  <c r="AG983" i="14"/>
  <c r="AG987" i="14"/>
  <c r="AG991" i="14"/>
  <c r="AD1001" i="14"/>
  <c r="AF1002" i="14"/>
  <c r="AG820" i="14"/>
  <c r="AG824" i="14"/>
  <c r="AG828" i="14"/>
  <c r="AG832" i="14"/>
  <c r="AG836" i="14"/>
  <c r="AG840" i="14"/>
  <c r="AG844" i="14"/>
  <c r="AG848" i="14"/>
  <c r="AG852" i="14"/>
  <c r="AG856" i="14"/>
  <c r="AG860" i="14"/>
  <c r="AG864" i="14"/>
  <c r="AG868" i="14"/>
  <c r="AG872" i="14"/>
  <c r="AG876" i="14"/>
  <c r="AG880" i="14"/>
  <c r="AG884" i="14"/>
  <c r="AG888" i="14"/>
  <c r="AG892" i="14"/>
  <c r="AG896" i="14"/>
  <c r="AG900" i="14"/>
  <c r="AG904" i="14"/>
  <c r="AG908" i="14"/>
  <c r="AG912" i="14"/>
  <c r="AG916" i="14"/>
  <c r="AG920" i="14"/>
  <c r="AG924" i="14"/>
  <c r="AG928" i="14"/>
  <c r="AG932" i="14"/>
  <c r="AG936" i="14"/>
  <c r="AG968" i="14"/>
  <c r="AG972" i="14"/>
  <c r="AG976" i="14"/>
  <c r="AG980" i="14"/>
  <c r="AG984" i="14"/>
  <c r="AG988" i="14"/>
  <c r="AG992" i="14"/>
  <c r="AG996" i="14"/>
  <c r="AG1000" i="14"/>
  <c r="AG665" i="14"/>
  <c r="AG669" i="14"/>
  <c r="AG673" i="14"/>
  <c r="AG677" i="14"/>
  <c r="AG681" i="14"/>
  <c r="AG685" i="14"/>
  <c r="AG689" i="14"/>
  <c r="AG693" i="14"/>
  <c r="AG697" i="14"/>
  <c r="AG701" i="14"/>
  <c r="AG705" i="14"/>
  <c r="AG709" i="14"/>
  <c r="AG713" i="14"/>
  <c r="AG717" i="14"/>
  <c r="AG721" i="14"/>
  <c r="AG725" i="14"/>
  <c r="AG729" i="14"/>
  <c r="AG733" i="14"/>
  <c r="AG737" i="14"/>
  <c r="AG741" i="14"/>
  <c r="AG745" i="14"/>
  <c r="AG749" i="14"/>
  <c r="AG753" i="14"/>
  <c r="AG757" i="14"/>
  <c r="AG761" i="14"/>
  <c r="AG765" i="14"/>
  <c r="AG769" i="14"/>
  <c r="AG773" i="14"/>
  <c r="AG777" i="14"/>
  <c r="AG781" i="14"/>
  <c r="AG785" i="14"/>
  <c r="AG789" i="14"/>
  <c r="AG793" i="14"/>
  <c r="AG797" i="14"/>
  <c r="AG801" i="14"/>
  <c r="AG805" i="14"/>
  <c r="AG809" i="14"/>
  <c r="AG813" i="14"/>
  <c r="AG817" i="14"/>
  <c r="AG821" i="14"/>
  <c r="AG825" i="14"/>
  <c r="AG829" i="14"/>
  <c r="AG833" i="14"/>
  <c r="AG837" i="14"/>
  <c r="AG841" i="14"/>
  <c r="AG845" i="14"/>
  <c r="AG849" i="14"/>
  <c r="AG853" i="14"/>
  <c r="AG857" i="14"/>
  <c r="AG861" i="14"/>
  <c r="AG865" i="14"/>
  <c r="AG869" i="14"/>
  <c r="AG873" i="14"/>
  <c r="AG877" i="14"/>
  <c r="AG881" i="14"/>
  <c r="AG885" i="14"/>
  <c r="AG889" i="14"/>
  <c r="AG893" i="14"/>
  <c r="AG897" i="14"/>
  <c r="AG901" i="14"/>
  <c r="AG905" i="14"/>
  <c r="AG909" i="14"/>
  <c r="AG913" i="14"/>
  <c r="AG917" i="14"/>
  <c r="AG921" i="14"/>
  <c r="AG925" i="14"/>
  <c r="AG929" i="14"/>
  <c r="AG933" i="14"/>
  <c r="AG937" i="14"/>
  <c r="AG941" i="14"/>
  <c r="AG945" i="14"/>
  <c r="AG949" i="14"/>
  <c r="AG953" i="14"/>
  <c r="AG957" i="14"/>
  <c r="AG961" i="14"/>
  <c r="AG965" i="14"/>
  <c r="AG969" i="14"/>
  <c r="AG973" i="14"/>
  <c r="AG977" i="14"/>
  <c r="AG981" i="14"/>
  <c r="AG985" i="14"/>
  <c r="AG989" i="14"/>
  <c r="AG993" i="14"/>
  <c r="AG997" i="14"/>
  <c r="AG1001" i="14"/>
  <c r="AH691" i="14"/>
  <c r="AH695" i="14"/>
  <c r="AH699" i="14"/>
  <c r="AH703" i="14"/>
  <c r="AH707" i="14"/>
  <c r="AH711" i="14"/>
  <c r="AH715" i="14"/>
  <c r="AH719" i="14"/>
  <c r="AH723" i="14"/>
  <c r="AH727" i="14"/>
  <c r="AH731" i="14"/>
  <c r="AH735" i="14"/>
  <c r="AH739" i="14"/>
  <c r="AH743" i="14"/>
  <c r="AH747" i="14"/>
  <c r="AH751" i="14"/>
  <c r="AH755" i="14"/>
  <c r="AH759" i="14"/>
  <c r="AH763" i="14"/>
  <c r="AH767" i="14"/>
  <c r="AH771" i="14"/>
  <c r="AH775" i="14"/>
  <c r="AH779" i="14"/>
  <c r="AH783" i="14"/>
  <c r="AH787" i="14"/>
  <c r="AH791" i="14"/>
  <c r="AH795" i="14"/>
  <c r="AH799" i="14"/>
  <c r="AH803" i="14"/>
  <c r="AH807" i="14"/>
  <c r="AH811" i="14"/>
  <c r="AH815" i="14"/>
  <c r="AG886" i="14"/>
  <c r="AG890" i="14"/>
  <c r="AG894" i="14"/>
  <c r="AG898" i="14"/>
  <c r="AG902" i="14"/>
  <c r="AH903" i="14"/>
  <c r="AG906" i="14"/>
  <c r="AH907" i="14"/>
  <c r="AG910" i="14"/>
  <c r="AH911" i="14"/>
  <c r="AG914" i="14"/>
  <c r="AH915" i="14"/>
  <c r="AG918" i="14"/>
  <c r="AH919" i="14"/>
  <c r="AG922" i="14"/>
  <c r="AH923" i="14"/>
  <c r="AG926" i="14"/>
  <c r="AH927" i="14"/>
  <c r="AG930" i="14"/>
  <c r="AH931" i="14"/>
  <c r="AG934" i="14"/>
  <c r="AH935" i="14"/>
  <c r="AG938" i="14"/>
  <c r="AH939" i="14"/>
  <c r="AG942" i="14"/>
  <c r="AH943" i="14"/>
  <c r="AG946" i="14"/>
  <c r="AH947" i="14"/>
  <c r="AG950" i="14"/>
  <c r="AH951" i="14"/>
  <c r="AG954" i="14"/>
  <c r="AH955" i="14"/>
  <c r="AG958" i="14"/>
  <c r="AH959" i="14"/>
  <c r="AG962" i="14"/>
  <c r="AH963" i="14"/>
  <c r="AG966" i="14"/>
  <c r="AH967" i="14"/>
  <c r="AG970" i="14"/>
  <c r="AH971" i="14"/>
  <c r="AG974" i="14"/>
  <c r="AH975" i="14"/>
  <c r="AG978" i="14"/>
  <c r="AH979" i="14"/>
  <c r="AG982" i="14"/>
  <c r="AH983" i="14"/>
  <c r="AG986" i="14"/>
  <c r="AG990" i="14"/>
  <c r="AG994" i="14"/>
  <c r="AG998" i="14"/>
  <c r="AG1002" i="14"/>
  <c r="AD664" i="14"/>
  <c r="AD668" i="14"/>
  <c r="AD672" i="14"/>
  <c r="AD676" i="14"/>
  <c r="AD680" i="14"/>
  <c r="AD684" i="14"/>
  <c r="AD688" i="14"/>
  <c r="AD692" i="14"/>
  <c r="AD696" i="14"/>
  <c r="AD700" i="14"/>
  <c r="AD704" i="14"/>
  <c r="AD708" i="14"/>
  <c r="AD712" i="14"/>
  <c r="AD716" i="14"/>
  <c r="AD720" i="14"/>
  <c r="AD724" i="14"/>
  <c r="AD728" i="14"/>
  <c r="AD732" i="14"/>
  <c r="AD736" i="14"/>
  <c r="AD740" i="14"/>
  <c r="AD744" i="14"/>
  <c r="AD748" i="14"/>
  <c r="AD752" i="14"/>
  <c r="AD756" i="14"/>
  <c r="AD760" i="14"/>
  <c r="AD764" i="14"/>
  <c r="AD768" i="14"/>
  <c r="AD772" i="14"/>
  <c r="AD776" i="14"/>
  <c r="AD780" i="14"/>
  <c r="AD784" i="14"/>
  <c r="AD788" i="14"/>
  <c r="AD792" i="14"/>
  <c r="AD796" i="14"/>
  <c r="AD800" i="14"/>
  <c r="AD804" i="14"/>
  <c r="AD808" i="14"/>
  <c r="AD812" i="14"/>
  <c r="AD816" i="14"/>
  <c r="AD872" i="14"/>
  <c r="AD876" i="14"/>
  <c r="AD880" i="14"/>
  <c r="AD884" i="14"/>
  <c r="AD888" i="14"/>
  <c r="AD892" i="14"/>
  <c r="AD896" i="14"/>
  <c r="AD900" i="14"/>
  <c r="AD904" i="14"/>
  <c r="AD908" i="14"/>
  <c r="AD912" i="14"/>
  <c r="AD916" i="14"/>
  <c r="AD920" i="14"/>
  <c r="AD924" i="14"/>
  <c r="AD928" i="14"/>
  <c r="AD932" i="14"/>
  <c r="AD936" i="14"/>
  <c r="AD940" i="14"/>
  <c r="AD944" i="14"/>
  <c r="AD948" i="14"/>
  <c r="AD952" i="14"/>
  <c r="AD956" i="14"/>
  <c r="AD960" i="14"/>
  <c r="AD964" i="14"/>
  <c r="AD968" i="14"/>
  <c r="AD972" i="14"/>
  <c r="AD976" i="14"/>
  <c r="AD980" i="14"/>
  <c r="AD984" i="14"/>
  <c r="AD988" i="14"/>
  <c r="AD992" i="14"/>
  <c r="AD996" i="14"/>
  <c r="AD1000" i="14"/>
  <c r="AG35" i="14"/>
  <c r="AG31" i="14"/>
  <c r="AG39" i="14"/>
  <c r="AH93" i="14"/>
  <c r="AD34" i="14"/>
  <c r="AF35" i="14"/>
  <c r="AD38" i="14"/>
  <c r="AF39" i="14"/>
  <c r="AD42" i="14"/>
  <c r="AF43" i="14"/>
  <c r="AD46" i="14"/>
  <c r="AD50" i="14"/>
  <c r="AF51" i="14"/>
  <c r="AD54" i="14"/>
  <c r="AF55" i="14"/>
  <c r="AD58" i="14"/>
  <c r="AF59" i="14"/>
  <c r="AD62" i="14"/>
  <c r="AF63" i="14"/>
  <c r="AD66" i="14"/>
  <c r="AF67" i="14"/>
  <c r="AD70" i="14"/>
  <c r="AF71" i="14"/>
  <c r="AD74" i="14"/>
  <c r="AF75" i="14"/>
  <c r="AD78" i="14"/>
  <c r="AF79" i="14"/>
  <c r="AD82" i="14"/>
  <c r="AF83" i="14"/>
  <c r="AG5" i="14"/>
  <c r="AG13" i="14"/>
  <c r="AG17" i="14"/>
  <c r="AG21" i="14"/>
  <c r="AG25" i="14"/>
  <c r="AG29" i="14"/>
  <c r="AG33" i="14"/>
  <c r="AG37" i="14"/>
  <c r="AG41" i="14"/>
  <c r="AG45" i="14"/>
  <c r="AG49" i="14"/>
  <c r="AG53" i="14"/>
  <c r="AG57" i="14"/>
  <c r="AG61" i="14"/>
  <c r="AG65" i="14"/>
  <c r="AG69" i="14"/>
  <c r="AG9" i="14"/>
  <c r="AG50" i="14"/>
  <c r="AG54" i="14"/>
  <c r="AG58" i="14"/>
  <c r="AG62" i="14"/>
  <c r="AG66" i="14"/>
  <c r="AG70" i="14"/>
  <c r="AG74" i="14"/>
  <c r="AG78" i="14"/>
  <c r="AG82" i="14"/>
  <c r="AG86" i="14"/>
  <c r="AG90" i="14"/>
  <c r="AG94" i="14"/>
  <c r="AG123" i="14"/>
  <c r="AG127" i="14"/>
  <c r="AG131" i="14"/>
  <c r="AG135" i="14"/>
  <c r="AG139" i="14"/>
  <c r="AG143" i="14"/>
  <c r="AG147" i="14"/>
  <c r="AG151" i="14"/>
  <c r="AG155" i="14"/>
  <c r="AG159" i="14"/>
  <c r="AG163" i="14"/>
  <c r="AG167" i="14"/>
  <c r="AG171" i="14"/>
  <c r="AG175" i="14"/>
  <c r="AG179" i="14"/>
  <c r="AG183" i="14"/>
  <c r="AG187" i="14"/>
  <c r="AG191" i="14"/>
  <c r="AG195" i="14"/>
  <c r="AG199" i="14"/>
  <c r="AG203" i="14"/>
  <c r="AG207" i="14"/>
  <c r="AG211" i="14"/>
  <c r="AG215" i="14"/>
  <c r="AG219" i="14"/>
  <c r="AG223" i="14"/>
  <c r="AG227" i="14"/>
  <c r="AG231" i="14"/>
  <c r="AH232" i="14"/>
  <c r="AG235" i="14"/>
  <c r="AH236" i="14"/>
  <c r="AG239" i="14"/>
  <c r="AG243" i="14"/>
  <c r="AG247" i="14"/>
  <c r="AG251" i="14"/>
  <c r="AG255" i="14"/>
  <c r="AD89" i="14"/>
  <c r="AD93" i="14"/>
  <c r="AD97" i="14"/>
  <c r="AD101" i="14"/>
  <c r="AD105" i="14"/>
  <c r="AD109" i="14"/>
  <c r="AF110" i="14"/>
  <c r="AD113" i="14"/>
  <c r="AF114" i="14"/>
  <c r="AD117" i="14"/>
  <c r="AF118" i="14"/>
  <c r="AD121" i="14"/>
  <c r="AF122" i="14"/>
  <c r="AD125" i="14"/>
  <c r="AF126" i="14"/>
  <c r="AD129" i="14"/>
  <c r="AF130" i="14"/>
  <c r="AD133" i="14"/>
  <c r="AF134" i="14"/>
  <c r="AD137" i="14"/>
  <c r="AF138" i="14"/>
  <c r="AD141" i="14"/>
  <c r="AF142" i="14"/>
  <c r="AD145" i="14"/>
  <c r="AF146" i="14"/>
  <c r="AD149" i="14"/>
  <c r="AF150" i="14"/>
  <c r="AD153" i="14"/>
  <c r="AF174" i="14"/>
  <c r="AH97" i="14"/>
  <c r="AH101" i="14"/>
  <c r="AH105" i="14"/>
  <c r="AD86" i="14"/>
  <c r="AF87" i="14"/>
  <c r="AD90" i="14"/>
  <c r="AF91" i="14"/>
  <c r="AD94" i="14"/>
  <c r="AF95" i="14"/>
  <c r="AD98" i="14"/>
  <c r="AF99" i="14"/>
  <c r="AD102" i="14"/>
  <c r="AF103" i="14"/>
  <c r="AD106" i="14"/>
  <c r="AF107" i="14"/>
  <c r="AD110" i="14"/>
  <c r="AF111" i="14"/>
  <c r="AD114" i="14"/>
  <c r="AF115" i="14"/>
  <c r="AD118" i="14"/>
  <c r="AF119" i="14"/>
  <c r="AD122" i="14"/>
  <c r="AF123" i="14"/>
  <c r="AD126" i="14"/>
  <c r="AF127" i="14"/>
  <c r="AD130" i="14"/>
  <c r="AF131" i="14"/>
  <c r="AD134" i="14"/>
  <c r="AF135" i="14"/>
  <c r="AD138" i="14"/>
  <c r="AF139" i="14"/>
  <c r="AD142" i="14"/>
  <c r="AF143" i="14"/>
  <c r="AD146" i="14"/>
  <c r="AF147" i="14"/>
  <c r="AD150" i="14"/>
  <c r="AF151" i="14"/>
  <c r="AD154" i="14"/>
  <c r="AF155" i="14"/>
  <c r="AD158" i="14"/>
  <c r="AF159" i="14"/>
  <c r="AD162" i="14"/>
  <c r="AF163" i="14"/>
  <c r="AD166" i="14"/>
  <c r="AF167" i="14"/>
  <c r="AD170" i="14"/>
  <c r="AF171" i="14"/>
  <c r="AD174" i="14"/>
  <c r="AF175" i="14"/>
  <c r="AD178" i="14"/>
  <c r="AF179" i="14"/>
  <c r="AD182" i="14"/>
  <c r="AF183" i="14"/>
  <c r="AD186" i="14"/>
  <c r="AF187" i="14"/>
  <c r="AD190" i="14"/>
  <c r="AF191" i="14"/>
  <c r="AD194" i="14"/>
  <c r="AF195" i="14"/>
  <c r="AD198" i="14"/>
  <c r="AF199" i="14"/>
  <c r="AD202" i="14"/>
  <c r="AF203" i="14"/>
  <c r="AD206" i="14"/>
  <c r="AF207" i="14"/>
  <c r="AD210" i="14"/>
  <c r="AF211" i="14"/>
  <c r="AD214" i="14"/>
  <c r="AF215" i="14"/>
  <c r="AD218" i="14"/>
  <c r="AF219" i="14"/>
  <c r="AD222" i="14"/>
  <c r="AF223" i="14"/>
  <c r="AD226" i="14"/>
  <c r="AF227" i="14"/>
  <c r="AD230" i="14"/>
  <c r="AF231" i="14"/>
  <c r="AD234" i="14"/>
  <c r="AF235" i="14"/>
  <c r="AD238" i="14"/>
  <c r="AF239" i="14"/>
  <c r="AD242" i="14"/>
  <c r="AF243" i="14"/>
  <c r="AD246" i="14"/>
  <c r="AF247" i="14"/>
  <c r="AD250" i="14"/>
  <c r="AF251" i="14"/>
  <c r="AF255" i="14"/>
  <c r="AG73" i="14"/>
  <c r="AG77" i="14"/>
  <c r="AG81" i="14"/>
  <c r="AG85" i="14"/>
  <c r="AG89" i="14"/>
  <c r="AG93" i="14"/>
  <c r="AG97" i="14"/>
  <c r="AG101" i="14"/>
  <c r="AG105" i="14"/>
  <c r="AG109" i="14"/>
  <c r="AG113" i="14"/>
  <c r="AG117" i="14"/>
  <c r="AG121" i="14"/>
  <c r="AG125" i="14"/>
  <c r="AG129" i="14"/>
  <c r="AG133" i="14"/>
  <c r="AG137" i="14"/>
  <c r="AG141" i="14"/>
  <c r="AG145" i="14"/>
  <c r="AG149" i="14"/>
  <c r="AG153" i="14"/>
  <c r="AG157" i="14"/>
  <c r="AG161" i="14"/>
  <c r="AG165" i="14"/>
  <c r="AG169" i="14"/>
  <c r="AG173" i="14"/>
  <c r="AG177" i="14"/>
  <c r="AG181" i="14"/>
  <c r="AG185" i="14"/>
  <c r="AG189" i="14"/>
  <c r="AG193" i="14"/>
  <c r="AG197" i="14"/>
  <c r="AG201" i="14"/>
  <c r="AG205" i="14"/>
  <c r="AG209" i="14"/>
  <c r="AG213" i="14"/>
  <c r="AG217" i="14"/>
  <c r="AG221" i="14"/>
  <c r="AG225" i="14"/>
  <c r="AG229" i="14"/>
  <c r="AG233" i="14"/>
  <c r="AG237" i="14"/>
  <c r="AG241" i="14"/>
  <c r="AG245" i="14"/>
  <c r="AG249" i="14"/>
  <c r="AG253" i="14"/>
  <c r="AG257" i="14"/>
  <c r="AH243" i="14"/>
  <c r="AH251" i="14"/>
  <c r="AD156" i="14"/>
  <c r="AD160" i="14"/>
  <c r="AD164" i="14"/>
  <c r="AD168" i="14"/>
  <c r="AD172" i="14"/>
  <c r="AD176" i="14"/>
  <c r="AD180" i="14"/>
  <c r="AD184" i="14"/>
  <c r="AD188" i="14"/>
  <c r="AD192" i="14"/>
  <c r="AD196" i="14"/>
  <c r="AD200" i="14"/>
  <c r="AD204" i="14"/>
  <c r="AD208" i="14"/>
  <c r="AD212" i="14"/>
  <c r="AD216" i="14"/>
  <c r="AD220" i="14"/>
  <c r="AD224" i="14"/>
  <c r="AD228" i="14"/>
  <c r="AD232" i="14"/>
  <c r="AD236" i="14"/>
  <c r="AD240" i="14"/>
  <c r="AD244" i="14"/>
  <c r="AD248" i="14"/>
  <c r="AD252" i="14"/>
  <c r="AG47" i="14"/>
  <c r="AH48" i="14"/>
  <c r="AF47" i="14"/>
  <c r="AG46" i="14"/>
  <c r="AG28" i="14"/>
  <c r="AG32" i="14"/>
  <c r="AG36" i="14"/>
  <c r="AG40" i="14"/>
  <c r="AG26" i="14"/>
  <c r="AG30" i="14"/>
  <c r="AG34" i="14"/>
  <c r="AG38" i="14"/>
  <c r="AG42" i="14"/>
  <c r="AG22" i="14"/>
  <c r="AG7" i="14"/>
  <c r="AG6" i="14"/>
  <c r="AG10" i="14"/>
  <c r="AG14" i="14"/>
  <c r="AG18" i="14"/>
  <c r="AC25" i="14"/>
  <c r="AC57" i="14"/>
  <c r="AE61" i="14"/>
  <c r="AC69" i="14"/>
  <c r="AE137" i="14"/>
  <c r="AC141" i="14"/>
  <c r="AE197" i="14"/>
  <c r="AE205" i="14"/>
  <c r="AE213" i="14"/>
  <c r="AC217" i="14"/>
  <c r="AE221" i="14"/>
  <c r="AE225" i="14"/>
  <c r="AE245" i="14"/>
  <c r="AE281" i="14"/>
  <c r="AE297" i="14"/>
  <c r="AI301" i="14"/>
  <c r="AC301" i="14"/>
  <c r="AE309" i="14"/>
  <c r="AE313" i="14"/>
  <c r="AI317" i="14"/>
  <c r="AC317" i="14"/>
  <c r="AE317" i="14"/>
  <c r="AI321" i="14"/>
  <c r="AC321" i="14"/>
  <c r="AE325" i="14"/>
  <c r="AI329" i="14"/>
  <c r="AC329" i="14"/>
  <c r="AE329" i="14"/>
  <c r="AI333" i="14"/>
  <c r="AC333" i="14"/>
  <c r="AI337" i="14"/>
  <c r="AC337" i="14"/>
  <c r="AE337" i="14"/>
  <c r="AI341" i="14"/>
  <c r="AC341" i="14"/>
  <c r="AE341" i="14"/>
  <c r="AI345" i="14"/>
  <c r="AC345" i="14"/>
  <c r="AE345" i="14"/>
  <c r="AI349" i="14"/>
  <c r="AC349" i="14"/>
  <c r="AE349" i="14"/>
  <c r="AI353" i="14"/>
  <c r="AC353" i="14"/>
  <c r="AE353" i="14"/>
  <c r="AI357" i="14"/>
  <c r="AC357" i="14"/>
  <c r="AE357" i="14"/>
  <c r="AI361" i="14"/>
  <c r="AC361" i="14"/>
  <c r="AE361" i="14"/>
  <c r="AI365" i="14"/>
  <c r="AC365" i="14"/>
  <c r="AE365" i="14"/>
  <c r="AI369" i="14"/>
  <c r="AC369" i="14"/>
  <c r="AE369" i="14"/>
  <c r="AI373" i="14"/>
  <c r="AC373" i="14"/>
  <c r="AE373" i="14"/>
  <c r="AI377" i="14"/>
  <c r="AC377" i="14"/>
  <c r="AE377" i="14"/>
  <c r="AI381" i="14"/>
  <c r="AC381" i="14"/>
  <c r="AE381" i="14"/>
  <c r="AI385" i="14"/>
  <c r="AC385" i="14"/>
  <c r="AE385" i="14"/>
  <c r="AI389" i="14"/>
  <c r="AC389" i="14"/>
  <c r="AE389" i="14"/>
  <c r="AI393" i="14"/>
  <c r="AC393" i="14"/>
  <c r="AE393" i="14"/>
  <c r="AI397" i="14"/>
  <c r="AC397" i="14"/>
  <c r="AE397" i="14"/>
  <c r="AI401" i="14"/>
  <c r="AC401" i="14"/>
  <c r="AE401" i="14"/>
  <c r="AI405" i="14"/>
  <c r="AC405" i="14"/>
  <c r="AE405" i="14"/>
  <c r="AI409" i="14"/>
  <c r="AC409" i="14"/>
  <c r="AE409" i="14"/>
  <c r="AI413" i="14"/>
  <c r="AC413" i="14"/>
  <c r="AE413" i="14"/>
  <c r="AI417" i="14"/>
  <c r="AC417" i="14"/>
  <c r="AE417" i="14"/>
  <c r="AI421" i="14"/>
  <c r="AC421" i="14"/>
  <c r="AE421" i="14"/>
  <c r="AI425" i="14"/>
  <c r="AC425" i="14"/>
  <c r="AE425" i="14"/>
  <c r="AI429" i="14"/>
  <c r="AC429" i="14"/>
  <c r="AE429" i="14"/>
  <c r="AI433" i="14"/>
  <c r="AC433" i="14"/>
  <c r="AE433" i="14"/>
  <c r="AI437" i="14"/>
  <c r="AC437" i="14"/>
  <c r="AE437" i="14"/>
  <c r="AI441" i="14"/>
  <c r="AC441" i="14"/>
  <c r="AE441" i="14"/>
  <c r="AI445" i="14"/>
  <c r="AC445" i="14"/>
  <c r="AE445" i="14"/>
  <c r="AI449" i="14"/>
  <c r="AC449" i="14"/>
  <c r="AE449" i="14"/>
  <c r="AI453" i="14"/>
  <c r="AC453" i="14"/>
  <c r="AE453" i="14"/>
  <c r="AI457" i="14"/>
  <c r="AC457" i="14"/>
  <c r="AE457" i="14"/>
  <c r="AI461" i="14"/>
  <c r="AC461" i="14"/>
  <c r="AE461" i="14"/>
  <c r="AI465" i="14"/>
  <c r="AC465" i="14"/>
  <c r="AE465" i="14"/>
  <c r="AI469" i="14"/>
  <c r="AC469" i="14"/>
  <c r="AE469" i="14"/>
  <c r="AI473" i="14"/>
  <c r="AC473" i="14"/>
  <c r="AE473" i="14"/>
  <c r="AI477" i="14"/>
  <c r="AC477" i="14"/>
  <c r="AE477" i="14"/>
  <c r="AI481" i="14"/>
  <c r="AC481" i="14"/>
  <c r="AE481" i="14"/>
  <c r="AI485" i="14"/>
  <c r="AC485" i="14"/>
  <c r="AE485" i="14"/>
  <c r="AI489" i="14"/>
  <c r="AC489" i="14"/>
  <c r="AE489" i="14"/>
  <c r="AI493" i="14"/>
  <c r="AC493" i="14"/>
  <c r="AE493" i="14"/>
  <c r="AI497" i="14"/>
  <c r="AC497" i="14"/>
  <c r="AE497" i="14"/>
  <c r="AI501" i="14"/>
  <c r="AC501" i="14"/>
  <c r="AE501" i="14"/>
  <c r="AI505" i="14"/>
  <c r="AC505" i="14"/>
  <c r="AE505" i="14"/>
  <c r="AI509" i="14"/>
  <c r="AC509" i="14"/>
  <c r="AE509" i="14"/>
  <c r="AI513" i="14"/>
  <c r="AC513" i="14"/>
  <c r="AE513" i="14"/>
  <c r="AI517" i="14"/>
  <c r="AC517" i="14"/>
  <c r="AE517" i="14"/>
  <c r="AI521" i="14"/>
  <c r="AC521" i="14"/>
  <c r="AE521" i="14"/>
  <c r="AI525" i="14"/>
  <c r="AC525" i="14"/>
  <c r="AE525" i="14"/>
  <c r="AI529" i="14"/>
  <c r="AC529" i="14"/>
  <c r="AE529" i="14"/>
  <c r="AI533" i="14"/>
  <c r="AC533" i="14"/>
  <c r="AE533" i="14"/>
  <c r="AI537" i="14"/>
  <c r="AC537" i="14"/>
  <c r="AE537" i="14"/>
  <c r="AI541" i="14"/>
  <c r="AC541" i="14"/>
  <c r="AE541" i="14"/>
  <c r="AI545" i="14"/>
  <c r="AC545" i="14"/>
  <c r="AE545" i="14"/>
  <c r="AI549" i="14"/>
  <c r="AC549" i="14"/>
  <c r="AE549" i="14"/>
  <c r="AI553" i="14"/>
  <c r="AC553" i="14"/>
  <c r="AE553" i="14"/>
  <c r="AI557" i="14"/>
  <c r="AC557" i="14"/>
  <c r="AE557" i="14"/>
  <c r="AI561" i="14"/>
  <c r="AC561" i="14"/>
  <c r="AE561" i="14"/>
  <c r="AI565" i="14"/>
  <c r="AC565" i="14"/>
  <c r="AE565" i="14"/>
  <c r="AI569" i="14"/>
  <c r="AC569" i="14"/>
  <c r="AE569" i="14"/>
  <c r="AI573" i="14"/>
  <c r="AC573" i="14"/>
  <c r="AE573" i="14"/>
  <c r="AI577" i="14"/>
  <c r="AC577" i="14"/>
  <c r="AE577" i="14"/>
  <c r="AI581" i="14"/>
  <c r="AC581" i="14"/>
  <c r="AE581" i="14"/>
  <c r="AI585" i="14"/>
  <c r="AC585" i="14"/>
  <c r="AE585" i="14"/>
  <c r="AI589" i="14"/>
  <c r="AC589" i="14"/>
  <c r="AE589" i="14"/>
  <c r="AI593" i="14"/>
  <c r="AC593" i="14"/>
  <c r="AE593" i="14"/>
  <c r="AI597" i="14"/>
  <c r="AC597" i="14"/>
  <c r="AE597" i="14"/>
  <c r="AI601" i="14"/>
  <c r="AC601" i="14"/>
  <c r="AE601" i="14"/>
  <c r="AI605" i="14"/>
  <c r="AC605" i="14"/>
  <c r="AE605" i="14"/>
  <c r="AI609" i="14"/>
  <c r="AC609" i="14"/>
  <c r="AE609" i="14"/>
  <c r="AI613" i="14"/>
  <c r="AC613" i="14"/>
  <c r="AE613" i="14"/>
  <c r="AI617" i="14"/>
  <c r="AC617" i="14"/>
  <c r="AE617" i="14"/>
  <c r="AI621" i="14"/>
  <c r="AC621" i="14"/>
  <c r="AE621" i="14"/>
  <c r="AI625" i="14"/>
  <c r="AC625" i="14"/>
  <c r="AE625" i="14"/>
  <c r="AI629" i="14"/>
  <c r="AC629" i="14"/>
  <c r="AE629" i="14"/>
  <c r="AI633" i="14"/>
  <c r="AC633" i="14"/>
  <c r="AE633" i="14"/>
  <c r="AI637" i="14"/>
  <c r="AC637" i="14"/>
  <c r="AE637" i="14"/>
  <c r="AI641" i="14"/>
  <c r="AC641" i="14"/>
  <c r="AE641" i="14"/>
  <c r="AI645" i="14"/>
  <c r="AC645" i="14"/>
  <c r="AE645" i="14"/>
  <c r="AI649" i="14"/>
  <c r="AC649" i="14"/>
  <c r="AE649" i="14"/>
  <c r="AI653" i="14"/>
  <c r="AC653" i="14"/>
  <c r="AE653" i="14"/>
  <c r="AI657" i="14"/>
  <c r="AC657" i="14"/>
  <c r="AE657" i="14"/>
  <c r="AI661" i="14"/>
  <c r="AC661" i="14"/>
  <c r="AE661" i="14"/>
  <c r="AI665" i="14"/>
  <c r="AC665" i="14"/>
  <c r="AE665" i="14"/>
  <c r="AI669" i="14"/>
  <c r="AC669" i="14"/>
  <c r="AE669" i="14"/>
  <c r="AI673" i="14"/>
  <c r="AC673" i="14"/>
  <c r="AE673" i="14"/>
  <c r="AI677" i="14"/>
  <c r="AC677" i="14"/>
  <c r="AE677" i="14"/>
  <c r="AI681" i="14"/>
  <c r="AC681" i="14"/>
  <c r="AE681" i="14"/>
  <c r="AI685" i="14"/>
  <c r="AC685" i="14"/>
  <c r="AE685" i="14"/>
  <c r="AI689" i="14"/>
  <c r="AC689" i="14"/>
  <c r="AE689" i="14"/>
  <c r="AI693" i="14"/>
  <c r="AC693" i="14"/>
  <c r="AE693" i="14"/>
  <c r="AI697" i="14"/>
  <c r="AC697" i="14"/>
  <c r="AE697" i="14"/>
  <c r="AI701" i="14"/>
  <c r="AC701" i="14"/>
  <c r="AE701" i="14"/>
  <c r="AI705" i="14"/>
  <c r="AC705" i="14"/>
  <c r="AE705" i="14"/>
  <c r="AI709" i="14"/>
  <c r="AC709" i="14"/>
  <c r="AE709" i="14"/>
  <c r="AI713" i="14"/>
  <c r="AC713" i="14"/>
  <c r="AE713" i="14"/>
  <c r="AI717" i="14"/>
  <c r="AC717" i="14"/>
  <c r="AE717" i="14"/>
  <c r="AI721" i="14"/>
  <c r="AC721" i="14"/>
  <c r="AE721" i="14"/>
  <c r="AI725" i="14"/>
  <c r="AC725" i="14"/>
  <c r="AE725" i="14"/>
  <c r="AI729" i="14"/>
  <c r="AC729" i="14"/>
  <c r="AE729" i="14"/>
  <c r="AI733" i="14"/>
  <c r="AC733" i="14"/>
  <c r="AE733" i="14"/>
  <c r="AI737" i="14"/>
  <c r="AC737" i="14"/>
  <c r="AE737" i="14"/>
  <c r="AE13" i="14"/>
  <c r="AC17" i="14"/>
  <c r="AE25" i="14"/>
  <c r="AC29" i="14"/>
  <c r="AE33" i="14"/>
  <c r="AE41" i="14"/>
  <c r="AE69" i="14"/>
  <c r="AC73" i="14"/>
  <c r="AE77" i="14"/>
  <c r="AC93" i="14"/>
  <c r="AC125" i="14"/>
  <c r="AC129" i="14"/>
  <c r="AC149" i="14"/>
  <c r="AE153" i="14"/>
  <c r="AC169" i="14"/>
  <c r="AC173" i="14"/>
  <c r="AE181" i="14"/>
  <c r="AE229" i="14"/>
  <c r="AE237" i="14"/>
  <c r="AC257" i="14"/>
  <c r="AE265" i="14"/>
  <c r="AE269" i="14"/>
  <c r="AI313" i="14"/>
  <c r="AC313" i="14"/>
  <c r="AE333" i="14"/>
  <c r="AD5" i="14"/>
  <c r="AF6" i="14"/>
  <c r="AD9" i="14"/>
  <c r="AF10" i="14"/>
  <c r="AD13" i="14"/>
  <c r="AF14" i="14"/>
  <c r="AD17" i="14"/>
  <c r="AF18" i="14"/>
  <c r="AD21" i="14"/>
  <c r="AF22" i="14"/>
  <c r="AD25" i="14"/>
  <c r="AF26" i="14"/>
  <c r="AD29" i="14"/>
  <c r="AF30" i="14"/>
  <c r="AD33" i="14"/>
  <c r="AF34" i="14"/>
  <c r="AD37" i="14"/>
  <c r="AF38" i="14"/>
  <c r="AD41" i="14"/>
  <c r="AF42" i="14"/>
  <c r="AD45" i="14"/>
  <c r="AF46" i="14"/>
  <c r="AD49" i="14"/>
  <c r="AF50" i="14"/>
  <c r="AD53" i="14"/>
  <c r="AF54" i="14"/>
  <c r="AD57" i="14"/>
  <c r="AF58" i="14"/>
  <c r="AD61" i="14"/>
  <c r="AF62" i="14"/>
  <c r="AD65" i="14"/>
  <c r="AF66" i="14"/>
  <c r="AD69" i="14"/>
  <c r="AF70" i="14"/>
  <c r="AD73" i="14"/>
  <c r="AF74" i="14"/>
  <c r="AD77" i="14"/>
  <c r="AF78" i="14"/>
  <c r="AD81" i="14"/>
  <c r="AF82" i="14"/>
  <c r="AD85" i="14"/>
  <c r="AF86" i="14"/>
  <c r="AF90" i="14"/>
  <c r="AF94" i="14"/>
  <c r="AF98" i="14"/>
  <c r="AF102" i="14"/>
  <c r="AF106" i="14"/>
  <c r="AF154" i="14"/>
  <c r="AD157" i="14"/>
  <c r="AF158" i="14"/>
  <c r="AD161" i="14"/>
  <c r="AF162" i="14"/>
  <c r="AD165" i="14"/>
  <c r="AF166" i="14"/>
  <c r="AD169" i="14"/>
  <c r="AF170" i="14"/>
  <c r="AD173" i="14"/>
  <c r="AD177" i="14"/>
  <c r="AF178" i="14"/>
  <c r="AD181" i="14"/>
  <c r="AF182" i="14"/>
  <c r="AD185" i="14"/>
  <c r="AF186" i="14"/>
  <c r="AD189" i="14"/>
  <c r="AF190" i="14"/>
  <c r="AD193" i="14"/>
  <c r="AF194" i="14"/>
  <c r="AD197" i="14"/>
  <c r="AF198" i="14"/>
  <c r="AD201" i="14"/>
  <c r="AF202" i="14"/>
  <c r="AD205" i="14"/>
  <c r="AF206" i="14"/>
  <c r="AD209" i="14"/>
  <c r="AF210" i="14"/>
  <c r="AD213" i="14"/>
  <c r="AF214" i="14"/>
  <c r="AD217" i="14"/>
  <c r="AF218" i="14"/>
  <c r="AD221" i="14"/>
  <c r="AF222" i="14"/>
  <c r="AD225" i="14"/>
  <c r="AF226" i="14"/>
  <c r="AD229" i="14"/>
  <c r="AF230" i="14"/>
  <c r="AD233" i="14"/>
  <c r="AF234" i="14"/>
  <c r="AD237" i="14"/>
  <c r="AF238" i="14"/>
  <c r="AD241" i="14"/>
  <c r="AF242" i="14"/>
  <c r="AD245" i="14"/>
  <c r="AF246" i="14"/>
  <c r="AD249" i="14"/>
  <c r="AF250" i="14"/>
  <c r="AD253" i="14"/>
  <c r="AF254" i="14"/>
  <c r="AD257" i="14"/>
  <c r="AF258" i="14"/>
  <c r="AD261" i="14"/>
  <c r="AF262" i="14"/>
  <c r="AD265" i="14"/>
  <c r="AF266" i="14"/>
  <c r="AD269" i="14"/>
  <c r="AF270" i="14"/>
  <c r="AD273" i="14"/>
  <c r="AF274" i="14"/>
  <c r="AD277" i="14"/>
  <c r="AF278" i="14"/>
  <c r="AC5" i="14"/>
  <c r="AE17" i="14"/>
  <c r="AE21" i="14"/>
  <c r="AC37" i="14"/>
  <c r="AC41" i="14"/>
  <c r="AC53" i="14"/>
  <c r="AE57" i="14"/>
  <c r="AC97" i="14"/>
  <c r="AE105" i="14"/>
  <c r="AE109" i="14"/>
  <c r="AC113" i="14"/>
  <c r="AC157" i="14"/>
  <c r="AC177" i="14"/>
  <c r="AC185" i="14"/>
  <c r="AC233" i="14"/>
  <c r="AE249" i="14"/>
  <c r="AE257" i="14"/>
  <c r="AE261" i="14"/>
  <c r="AE277" i="14"/>
  <c r="AE293" i="14"/>
  <c r="AI325" i="14"/>
  <c r="AC325" i="14"/>
  <c r="AC14" i="14"/>
  <c r="AE14" i="14"/>
  <c r="AC18" i="14"/>
  <c r="AE18" i="14"/>
  <c r="AC22" i="14"/>
  <c r="AE22" i="14"/>
  <c r="AC26" i="14"/>
  <c r="AE26" i="14"/>
  <c r="AC30" i="14"/>
  <c r="AE30" i="14"/>
  <c r="AC34" i="14"/>
  <c r="AE34" i="14"/>
  <c r="AC38" i="14"/>
  <c r="AE38" i="14"/>
  <c r="AC42" i="14"/>
  <c r="AE42" i="14"/>
  <c r="AC46" i="14"/>
  <c r="AE46" i="14"/>
  <c r="AC50" i="14"/>
  <c r="AE50" i="14"/>
  <c r="AC54" i="14"/>
  <c r="AE54" i="14"/>
  <c r="AC58" i="14"/>
  <c r="AE58" i="14"/>
  <c r="AC62" i="14"/>
  <c r="AE62" i="14"/>
  <c r="AC66" i="14"/>
  <c r="AE66" i="14"/>
  <c r="AC70" i="14"/>
  <c r="AE70" i="14"/>
  <c r="AC74" i="14"/>
  <c r="AE74" i="14"/>
  <c r="AC78" i="14"/>
  <c r="AE78" i="14"/>
  <c r="AC82" i="14"/>
  <c r="AE82" i="14"/>
  <c r="AC86" i="14"/>
  <c r="AE86" i="14"/>
  <c r="AC90" i="14"/>
  <c r="AE90" i="14"/>
  <c r="AC94" i="14"/>
  <c r="AE94" i="14"/>
  <c r="AC98" i="14"/>
  <c r="AE98" i="14"/>
  <c r="AC102" i="14"/>
  <c r="AE102" i="14"/>
  <c r="AC106" i="14"/>
  <c r="AE106" i="14"/>
  <c r="AH109" i="14"/>
  <c r="AC110" i="14"/>
  <c r="AE110" i="14"/>
  <c r="AH113" i="14"/>
  <c r="AC114" i="14"/>
  <c r="AE114" i="14"/>
  <c r="AH117" i="14"/>
  <c r="AC118" i="14"/>
  <c r="AE118" i="14"/>
  <c r="AH121" i="14"/>
  <c r="AC122" i="14"/>
  <c r="AE122" i="14"/>
  <c r="AH125" i="14"/>
  <c r="AC126" i="14"/>
  <c r="AE126" i="14"/>
  <c r="AH129" i="14"/>
  <c r="AC130" i="14"/>
  <c r="AE130" i="14"/>
  <c r="AH133" i="14"/>
  <c r="AC134" i="14"/>
  <c r="AE134" i="14"/>
  <c r="AH137" i="14"/>
  <c r="AC138" i="14"/>
  <c r="AE138" i="14"/>
  <c r="AH141" i="14"/>
  <c r="AC142" i="14"/>
  <c r="AE142" i="14"/>
  <c r="AH145" i="14"/>
  <c r="AC146" i="14"/>
  <c r="AE146" i="14"/>
  <c r="AH149" i="14"/>
  <c r="AC150" i="14"/>
  <c r="AE150" i="14"/>
  <c r="AH153" i="14"/>
  <c r="AC154" i="14"/>
  <c r="AE154" i="14"/>
  <c r="AH157" i="14"/>
  <c r="AC158" i="14"/>
  <c r="AE158" i="14"/>
  <c r="AH161" i="14"/>
  <c r="AC162" i="14"/>
  <c r="AE162" i="14"/>
  <c r="AH165" i="14"/>
  <c r="AC166" i="14"/>
  <c r="AE166" i="14"/>
  <c r="AH169" i="14"/>
  <c r="AC170" i="14"/>
  <c r="AE170" i="14"/>
  <c r="AH173" i="14"/>
  <c r="AC174" i="14"/>
  <c r="AE174" i="14"/>
  <c r="AH177" i="14"/>
  <c r="AC178" i="14"/>
  <c r="AE178" i="14"/>
  <c r="AH181" i="14"/>
  <c r="AC182" i="14"/>
  <c r="AE182" i="14"/>
  <c r="AH185" i="14"/>
  <c r="AC186" i="14"/>
  <c r="AE186" i="14"/>
  <c r="AH189" i="14"/>
  <c r="AC190" i="14"/>
  <c r="AE190" i="14"/>
  <c r="AH193" i="14"/>
  <c r="AC194" i="14"/>
  <c r="AE194" i="14"/>
  <c r="AH197" i="14"/>
  <c r="AC198" i="14"/>
  <c r="AE198" i="14"/>
  <c r="AH201" i="14"/>
  <c r="AC202" i="14"/>
  <c r="AE202" i="14"/>
  <c r="AH205" i="14"/>
  <c r="AC206" i="14"/>
  <c r="AE206" i="14"/>
  <c r="AH209" i="14"/>
  <c r="AC210" i="14"/>
  <c r="AE210" i="14"/>
  <c r="AH213" i="14"/>
  <c r="AC214" i="14"/>
  <c r="AE214" i="14"/>
  <c r="AH217" i="14"/>
  <c r="AC218" i="14"/>
  <c r="AE218" i="14"/>
  <c r="AH221" i="14"/>
  <c r="AC222" i="14"/>
  <c r="AE222" i="14"/>
  <c r="AH225" i="14"/>
  <c r="AC226" i="14"/>
  <c r="AE226" i="14"/>
  <c r="AH229" i="14"/>
  <c r="AC230" i="14"/>
  <c r="AE230" i="14"/>
  <c r="AH233" i="14"/>
  <c r="AC234" i="14"/>
  <c r="AE234" i="14"/>
  <c r="AH237" i="14"/>
  <c r="AC238" i="14"/>
  <c r="AE238" i="14"/>
  <c r="AH241" i="14"/>
  <c r="AC242" i="14"/>
  <c r="AE242" i="14"/>
  <c r="AH245" i="14"/>
  <c r="AC246" i="14"/>
  <c r="AE246" i="14"/>
  <c r="AH249" i="14"/>
  <c r="AC250" i="14"/>
  <c r="AE250" i="14"/>
  <c r="AH253" i="14"/>
  <c r="AC254" i="14"/>
  <c r="AE254" i="14"/>
  <c r="AH257" i="14"/>
  <c r="AC258" i="14"/>
  <c r="AE258" i="14"/>
  <c r="AH261" i="14"/>
  <c r="AI262" i="14"/>
  <c r="AC262" i="14"/>
  <c r="AE262" i="14"/>
  <c r="AH265" i="14"/>
  <c r="AI266" i="14"/>
  <c r="AC266" i="14"/>
  <c r="AE266" i="14"/>
  <c r="AH269" i="14"/>
  <c r="AI270" i="14"/>
  <c r="AC270" i="14"/>
  <c r="AE270" i="14"/>
  <c r="AH273" i="14"/>
  <c r="AI274" i="14"/>
  <c r="AC274" i="14"/>
  <c r="AE274" i="14"/>
  <c r="AH277" i="14"/>
  <c r="AI278" i="14"/>
  <c r="AC278" i="14"/>
  <c r="AE278" i="14"/>
  <c r="AC45" i="14"/>
  <c r="AC49" i="14"/>
  <c r="AC65" i="14"/>
  <c r="AE101" i="14"/>
  <c r="AE117" i="14"/>
  <c r="AC121" i="14"/>
  <c r="AE125" i="14"/>
  <c r="AC145" i="14"/>
  <c r="AE149" i="14"/>
  <c r="AE201" i="14"/>
  <c r="AC205" i="14"/>
  <c r="AC209" i="14"/>
  <c r="AC241" i="14"/>
  <c r="AC245" i="14"/>
  <c r="AI285" i="14"/>
  <c r="AC285" i="14"/>
  <c r="AE289" i="14"/>
  <c r="AE321" i="14"/>
  <c r="AE45" i="14"/>
  <c r="AE85" i="14"/>
  <c r="AC89" i="14"/>
  <c r="AC101" i="14"/>
  <c r="AE121" i="14"/>
  <c r="AC137" i="14"/>
  <c r="AC189" i="14"/>
  <c r="AE209" i="14"/>
  <c r="AC213" i="14"/>
  <c r="AC221" i="14"/>
  <c r="AC225" i="14"/>
  <c r="AC249" i="14"/>
  <c r="AC253" i="14"/>
  <c r="AI269" i="14"/>
  <c r="AC269" i="14"/>
  <c r="AE273" i="14"/>
  <c r="AC10" i="14"/>
  <c r="AH6" i="14"/>
  <c r="AC7" i="14"/>
  <c r="AE7" i="14"/>
  <c r="AH10" i="14"/>
  <c r="AC11" i="14"/>
  <c r="AE11" i="14"/>
  <c r="AH14" i="14"/>
  <c r="AC15" i="14"/>
  <c r="AE15" i="14"/>
  <c r="AH18" i="14"/>
  <c r="AC19" i="14"/>
  <c r="AE19" i="14"/>
  <c r="AH22" i="14"/>
  <c r="AC23" i="14"/>
  <c r="AE23" i="14"/>
  <c r="AH26" i="14"/>
  <c r="AC27" i="14"/>
  <c r="AE27" i="14"/>
  <c r="AH30" i="14"/>
  <c r="AC31" i="14"/>
  <c r="AE31" i="14"/>
  <c r="AH34" i="14"/>
  <c r="AC35" i="14"/>
  <c r="AE35" i="14"/>
  <c r="AH38" i="14"/>
  <c r="AC39" i="14"/>
  <c r="AE39" i="14"/>
  <c r="AH42" i="14"/>
  <c r="AC43" i="14"/>
  <c r="AE43" i="14"/>
  <c r="AH46" i="14"/>
  <c r="AC47" i="14"/>
  <c r="AE47" i="14"/>
  <c r="AH50" i="14"/>
  <c r="AC51" i="14"/>
  <c r="AE51" i="14"/>
  <c r="AH54" i="14"/>
  <c r="AC55" i="14"/>
  <c r="AE55" i="14"/>
  <c r="AH58" i="14"/>
  <c r="AC59" i="14"/>
  <c r="AE59" i="14"/>
  <c r="AH62" i="14"/>
  <c r="AC63" i="14"/>
  <c r="AE63" i="14"/>
  <c r="AH66" i="14"/>
  <c r="AC67" i="14"/>
  <c r="AE67" i="14"/>
  <c r="AH70" i="14"/>
  <c r="AC71" i="14"/>
  <c r="AE71" i="14"/>
  <c r="AH74" i="14"/>
  <c r="AC75" i="14"/>
  <c r="AE75" i="14"/>
  <c r="AH78" i="14"/>
  <c r="AC79" i="14"/>
  <c r="AE79" i="14"/>
  <c r="AH82" i="14"/>
  <c r="AC83" i="14"/>
  <c r="AE83" i="14"/>
  <c r="AH86" i="14"/>
  <c r="AC87" i="14"/>
  <c r="AE87" i="14"/>
  <c r="AH90" i="14"/>
  <c r="AC91" i="14"/>
  <c r="AE91" i="14"/>
  <c r="AH94" i="14"/>
  <c r="AC95" i="14"/>
  <c r="AE95" i="14"/>
  <c r="AH98" i="14"/>
  <c r="AC99" i="14"/>
  <c r="AE99" i="14"/>
  <c r="AH102" i="14"/>
  <c r="AC103" i="14"/>
  <c r="AE103" i="14"/>
  <c r="AH106" i="14"/>
  <c r="AC107" i="14"/>
  <c r="AE107" i="14"/>
  <c r="AH110" i="14"/>
  <c r="AC111" i="14"/>
  <c r="AE111" i="14"/>
  <c r="AH114" i="14"/>
  <c r="AC115" i="14"/>
  <c r="AE115" i="14"/>
  <c r="AH118" i="14"/>
  <c r="AC119" i="14"/>
  <c r="AE119" i="14"/>
  <c r="AH122" i="14"/>
  <c r="AC123" i="14"/>
  <c r="AE123" i="14"/>
  <c r="AH126" i="14"/>
  <c r="AC127" i="14"/>
  <c r="AE127" i="14"/>
  <c r="AH130" i="14"/>
  <c r="AC131" i="14"/>
  <c r="AE131" i="14"/>
  <c r="AH134" i="14"/>
  <c r="AC135" i="14"/>
  <c r="AE135" i="14"/>
  <c r="AH138" i="14"/>
  <c r="AC139" i="14"/>
  <c r="AE139" i="14"/>
  <c r="AH142" i="14"/>
  <c r="AC143" i="14"/>
  <c r="AE143" i="14"/>
  <c r="AH146" i="14"/>
  <c r="AC147" i="14"/>
  <c r="AE147" i="14"/>
  <c r="AH150" i="14"/>
  <c r="AC151" i="14"/>
  <c r="AE151" i="14"/>
  <c r="AH154" i="14"/>
  <c r="AC155" i="14"/>
  <c r="AE155" i="14"/>
  <c r="AH158" i="14"/>
  <c r="AC159" i="14"/>
  <c r="AE159" i="14"/>
  <c r="AH162" i="14"/>
  <c r="AC163" i="14"/>
  <c r="AE163" i="14"/>
  <c r="AH166" i="14"/>
  <c r="AC167" i="14"/>
  <c r="AE167" i="14"/>
  <c r="AH170" i="14"/>
  <c r="AC171" i="14"/>
  <c r="AE171" i="14"/>
  <c r="AH174" i="14"/>
  <c r="AC175" i="14"/>
  <c r="AE175" i="14"/>
  <c r="AH178" i="14"/>
  <c r="AC179" i="14"/>
  <c r="AE179" i="14"/>
  <c r="AH182" i="14"/>
  <c r="AC183" i="14"/>
  <c r="AE183" i="14"/>
  <c r="AH186" i="14"/>
  <c r="AC187" i="14"/>
  <c r="AE187" i="14"/>
  <c r="AH190" i="14"/>
  <c r="AC191" i="14"/>
  <c r="AE191" i="14"/>
  <c r="AH194" i="14"/>
  <c r="AC195" i="14"/>
  <c r="AE195" i="14"/>
  <c r="AH198" i="14"/>
  <c r="AC199" i="14"/>
  <c r="AE199" i="14"/>
  <c r="AH202" i="14"/>
  <c r="AC203" i="14"/>
  <c r="AE203" i="14"/>
  <c r="AH206" i="14"/>
  <c r="AC207" i="14"/>
  <c r="AE207" i="14"/>
  <c r="AH210" i="14"/>
  <c r="AC211" i="14"/>
  <c r="AE211" i="14"/>
  <c r="AH214" i="14"/>
  <c r="AC215" i="14"/>
  <c r="AE215" i="14"/>
  <c r="AH218" i="14"/>
  <c r="AC219" i="14"/>
  <c r="AE219" i="14"/>
  <c r="AH222" i="14"/>
  <c r="AC223" i="14"/>
  <c r="AE223" i="14"/>
  <c r="AH226" i="14"/>
  <c r="AC227" i="14"/>
  <c r="AE227" i="14"/>
  <c r="AH230" i="14"/>
  <c r="AC231" i="14"/>
  <c r="AE231" i="14"/>
  <c r="AH234" i="14"/>
  <c r="AC235" i="14"/>
  <c r="AE235" i="14"/>
  <c r="AH238" i="14"/>
  <c r="AC239" i="14"/>
  <c r="AE239" i="14"/>
  <c r="AH242" i="14"/>
  <c r="AC243" i="14"/>
  <c r="AE243" i="14"/>
  <c r="AH246" i="14"/>
  <c r="AC247" i="14"/>
  <c r="AE247" i="14"/>
  <c r="AH250" i="14"/>
  <c r="AC251" i="14"/>
  <c r="AE251" i="14"/>
  <c r="AH254" i="14"/>
  <c r="AC255" i="14"/>
  <c r="AE255" i="14"/>
  <c r="AH258" i="14"/>
  <c r="AI259" i="14"/>
  <c r="AC259" i="14"/>
  <c r="AE259" i="14"/>
  <c r="AH262" i="14"/>
  <c r="AI263" i="14"/>
  <c r="AC263" i="14"/>
  <c r="AE263" i="14"/>
  <c r="AH266" i="14"/>
  <c r="AI267" i="14"/>
  <c r="AC267" i="14"/>
  <c r="AE267" i="14"/>
  <c r="AH270" i="14"/>
  <c r="AI271" i="14"/>
  <c r="AC271" i="14"/>
  <c r="AE271" i="14"/>
  <c r="AH274" i="14"/>
  <c r="AI275" i="14"/>
  <c r="AC275" i="14"/>
  <c r="AE275" i="14"/>
  <c r="AH278" i="14"/>
  <c r="AE5" i="14"/>
  <c r="AE9" i="14"/>
  <c r="AC13" i="14"/>
  <c r="AC21" i="14"/>
  <c r="AE29" i="14"/>
  <c r="AC33" i="14"/>
  <c r="AC77" i="14"/>
  <c r="AC81" i="14"/>
  <c r="AE89" i="14"/>
  <c r="AE93" i="14"/>
  <c r="AE113" i="14"/>
  <c r="AE129" i="14"/>
  <c r="AC133" i="14"/>
  <c r="AE145" i="14"/>
  <c r="AE169" i="14"/>
  <c r="AC181" i="14"/>
  <c r="AE185" i="14"/>
  <c r="AE193" i="14"/>
  <c r="AC229" i="14"/>
  <c r="AE233" i="14"/>
  <c r="AI261" i="14"/>
  <c r="AC261" i="14"/>
  <c r="AI265" i="14"/>
  <c r="AC265" i="14"/>
  <c r="AI305" i="14"/>
  <c r="AC305" i="14"/>
  <c r="AE6" i="14"/>
  <c r="AF4" i="14"/>
  <c r="AD7" i="14"/>
  <c r="AF8" i="14"/>
  <c r="AD11" i="14"/>
  <c r="AF12" i="14"/>
  <c r="AD15" i="14"/>
  <c r="AF16" i="14"/>
  <c r="AD19" i="14"/>
  <c r="AF20" i="14"/>
  <c r="AD23" i="14"/>
  <c r="AF24" i="14"/>
  <c r="AD27" i="14"/>
  <c r="AF28" i="14"/>
  <c r="AD31" i="14"/>
  <c r="AF32" i="14"/>
  <c r="AD35" i="14"/>
  <c r="AF36" i="14"/>
  <c r="AD39" i="14"/>
  <c r="AF40" i="14"/>
  <c r="AD43" i="14"/>
  <c r="AF44" i="14"/>
  <c r="AD47" i="14"/>
  <c r="AF48" i="14"/>
  <c r="AD51" i="14"/>
  <c r="AF52" i="14"/>
  <c r="AD55" i="14"/>
  <c r="AF56" i="14"/>
  <c r="AD59" i="14"/>
  <c r="AF60" i="14"/>
  <c r="AD63" i="14"/>
  <c r="AF64" i="14"/>
  <c r="AD67" i="14"/>
  <c r="AF68" i="14"/>
  <c r="AD71" i="14"/>
  <c r="AF72" i="14"/>
  <c r="AD75" i="14"/>
  <c r="AF76" i="14"/>
  <c r="AD79" i="14"/>
  <c r="AF80" i="14"/>
  <c r="AD83" i="14"/>
  <c r="AF84" i="14"/>
  <c r="AD87" i="14"/>
  <c r="AF88" i="14"/>
  <c r="AD91" i="14"/>
  <c r="AF92" i="14"/>
  <c r="AD95" i="14"/>
  <c r="AF96" i="14"/>
  <c r="AD99" i="14"/>
  <c r="AF100" i="14"/>
  <c r="AD103" i="14"/>
  <c r="AF104" i="14"/>
  <c r="AD107" i="14"/>
  <c r="AF108" i="14"/>
  <c r="AD111" i="14"/>
  <c r="AF112" i="14"/>
  <c r="AD115" i="14"/>
  <c r="AF116" i="14"/>
  <c r="AD119" i="14"/>
  <c r="AF120" i="14"/>
  <c r="AD123" i="14"/>
  <c r="AF124" i="14"/>
  <c r="AD127" i="14"/>
  <c r="AF128" i="14"/>
  <c r="AD131" i="14"/>
  <c r="AF132" i="14"/>
  <c r="AD135" i="14"/>
  <c r="AF136" i="14"/>
  <c r="AD139" i="14"/>
  <c r="AF140" i="14"/>
  <c r="AD143" i="14"/>
  <c r="AF144" i="14"/>
  <c r="AD147" i="14"/>
  <c r="AF148" i="14"/>
  <c r="AD151" i="14"/>
  <c r="AF152" i="14"/>
  <c r="AD155" i="14"/>
  <c r="AF156" i="14"/>
  <c r="AD159" i="14"/>
  <c r="AF160" i="14"/>
  <c r="AD163" i="14"/>
  <c r="AF164" i="14"/>
  <c r="AD167" i="14"/>
  <c r="AF168" i="14"/>
  <c r="AD171" i="14"/>
  <c r="AF172" i="14"/>
  <c r="AD175" i="14"/>
  <c r="AF176" i="14"/>
  <c r="AD179" i="14"/>
  <c r="AF180" i="14"/>
  <c r="AD183" i="14"/>
  <c r="AF184" i="14"/>
  <c r="AD187" i="14"/>
  <c r="AF188" i="14"/>
  <c r="AD191" i="14"/>
  <c r="AF192" i="14"/>
  <c r="AD195" i="14"/>
  <c r="AF196" i="14"/>
  <c r="AD199" i="14"/>
  <c r="AF200" i="14"/>
  <c r="AD203" i="14"/>
  <c r="AF204" i="14"/>
  <c r="AD207" i="14"/>
  <c r="AF208" i="14"/>
  <c r="AD211" i="14"/>
  <c r="AF212" i="14"/>
  <c r="AD215" i="14"/>
  <c r="AF216" i="14"/>
  <c r="AD219" i="14"/>
  <c r="AF220" i="14"/>
  <c r="AD223" i="14"/>
  <c r="AF224" i="14"/>
  <c r="AD227" i="14"/>
  <c r="AF228" i="14"/>
  <c r="AD231" i="14"/>
  <c r="AF232" i="14"/>
  <c r="AD235" i="14"/>
  <c r="AF236" i="14"/>
  <c r="AD239" i="14"/>
  <c r="AF240" i="14"/>
  <c r="AD243" i="14"/>
  <c r="AF244" i="14"/>
  <c r="AD247" i="14"/>
  <c r="AF248" i="14"/>
  <c r="AD251" i="14"/>
  <c r="AF252" i="14"/>
  <c r="AD255" i="14"/>
  <c r="AF256" i="14"/>
  <c r="AD259" i="14"/>
  <c r="AF260" i="14"/>
  <c r="AD263" i="14"/>
  <c r="AF264" i="14"/>
  <c r="AD267" i="14"/>
  <c r="AF268" i="14"/>
  <c r="AD271" i="14"/>
  <c r="AF272" i="14"/>
  <c r="AD275" i="14"/>
  <c r="AF276" i="14"/>
  <c r="AD279" i="14"/>
  <c r="AF280" i="14"/>
  <c r="AC9" i="14"/>
  <c r="AE37" i="14"/>
  <c r="AE81" i="14"/>
  <c r="AE97" i="14"/>
  <c r="AC105" i="14"/>
  <c r="AC109" i="14"/>
  <c r="AE133" i="14"/>
  <c r="AE141" i="14"/>
  <c r="AC153" i="14"/>
  <c r="AE157" i="14"/>
  <c r="AC161" i="14"/>
  <c r="AC165" i="14"/>
  <c r="AE173" i="14"/>
  <c r="AE177" i="14"/>
  <c r="AE217" i="14"/>
  <c r="AE253" i="14"/>
  <c r="AI277" i="14"/>
  <c r="AC277" i="14"/>
  <c r="AI281" i="14"/>
  <c r="AC281" i="14"/>
  <c r="AE285" i="14"/>
  <c r="AE301" i="14"/>
  <c r="AE305" i="14"/>
  <c r="AI309" i="14"/>
  <c r="AC309" i="14"/>
  <c r="AC6" i="14"/>
  <c r="AE4" i="14"/>
  <c r="AH7" i="14"/>
  <c r="AC8" i="14"/>
  <c r="AE8" i="14"/>
  <c r="AH11" i="14"/>
  <c r="AC12" i="14"/>
  <c r="AE12" i="14"/>
  <c r="AH15" i="14"/>
  <c r="AC16" i="14"/>
  <c r="AE16" i="14"/>
  <c r="AH19" i="14"/>
  <c r="AC20" i="14"/>
  <c r="AE20" i="14"/>
  <c r="AH23" i="14"/>
  <c r="AC24" i="14"/>
  <c r="AE24" i="14"/>
  <c r="AH27" i="14"/>
  <c r="AC28" i="14"/>
  <c r="AE28" i="14"/>
  <c r="AH31" i="14"/>
  <c r="AC32" i="14"/>
  <c r="AE32" i="14"/>
  <c r="AH35" i="14"/>
  <c r="AC36" i="14"/>
  <c r="AE36" i="14"/>
  <c r="AH39" i="14"/>
  <c r="AC40" i="14"/>
  <c r="AE40" i="14"/>
  <c r="AH43" i="14"/>
  <c r="AC44" i="14"/>
  <c r="AE44" i="14"/>
  <c r="AH47" i="14"/>
  <c r="AC48" i="14"/>
  <c r="AE48" i="14"/>
  <c r="AH51" i="14"/>
  <c r="AC52" i="14"/>
  <c r="AE52" i="14"/>
  <c r="AH55" i="14"/>
  <c r="AC56" i="14"/>
  <c r="AE56" i="14"/>
  <c r="AH59" i="14"/>
  <c r="AC60" i="14"/>
  <c r="AE60" i="14"/>
  <c r="AH63" i="14"/>
  <c r="AC64" i="14"/>
  <c r="AE64" i="14"/>
  <c r="AH67" i="14"/>
  <c r="AC68" i="14"/>
  <c r="AE68" i="14"/>
  <c r="AH71" i="14"/>
  <c r="AC72" i="14"/>
  <c r="AE72" i="14"/>
  <c r="AH75" i="14"/>
  <c r="AC76" i="14"/>
  <c r="AE76" i="14"/>
  <c r="AH79" i="14"/>
  <c r="AC80" i="14"/>
  <c r="AE80" i="14"/>
  <c r="AH83" i="14"/>
  <c r="AC84" i="14"/>
  <c r="AE84" i="14"/>
  <c r="AH87" i="14"/>
  <c r="AC88" i="14"/>
  <c r="AE88" i="14"/>
  <c r="AH91" i="14"/>
  <c r="AC92" i="14"/>
  <c r="AE92" i="14"/>
  <c r="AH95" i="14"/>
  <c r="AC96" i="14"/>
  <c r="AE96" i="14"/>
  <c r="AH99" i="14"/>
  <c r="AC100" i="14"/>
  <c r="AE100" i="14"/>
  <c r="AH103" i="14"/>
  <c r="AC104" i="14"/>
  <c r="AE104" i="14"/>
  <c r="AH107" i="14"/>
  <c r="AC108" i="14"/>
  <c r="AE108" i="14"/>
  <c r="AH111" i="14"/>
  <c r="AC112" i="14"/>
  <c r="AE112" i="14"/>
  <c r="AH115" i="14"/>
  <c r="AC116" i="14"/>
  <c r="AE116" i="14"/>
  <c r="AH119" i="14"/>
  <c r="AC120" i="14"/>
  <c r="AE120" i="14"/>
  <c r="AH123" i="14"/>
  <c r="AC124" i="14"/>
  <c r="AE124" i="14"/>
  <c r="AH127" i="14"/>
  <c r="AC128" i="14"/>
  <c r="AE128" i="14"/>
  <c r="AH131" i="14"/>
  <c r="AC132" i="14"/>
  <c r="AE132" i="14"/>
  <c r="AH135" i="14"/>
  <c r="AC136" i="14"/>
  <c r="AE136" i="14"/>
  <c r="AH139" i="14"/>
  <c r="AC140" i="14"/>
  <c r="AE140" i="14"/>
  <c r="AH143" i="14"/>
  <c r="AC144" i="14"/>
  <c r="AE144" i="14"/>
  <c r="AH147" i="14"/>
  <c r="AC148" i="14"/>
  <c r="AE148" i="14"/>
  <c r="AH151" i="14"/>
  <c r="AC152" i="14"/>
  <c r="AE152" i="14"/>
  <c r="AH155" i="14"/>
  <c r="AC156" i="14"/>
  <c r="AI156" i="14" s="1"/>
  <c r="AE156" i="14"/>
  <c r="AH159" i="14"/>
  <c r="AC160" i="14"/>
  <c r="AE160" i="14"/>
  <c r="AH163" i="14"/>
  <c r="AC164" i="14"/>
  <c r="AE164" i="14"/>
  <c r="AH167" i="14"/>
  <c r="AC168" i="14"/>
  <c r="AE168" i="14"/>
  <c r="AH171" i="14"/>
  <c r="AC172" i="14"/>
  <c r="AE172" i="14"/>
  <c r="AC176" i="14"/>
  <c r="AE176" i="14"/>
  <c r="AC180" i="14"/>
  <c r="AE180" i="14"/>
  <c r="AC184" i="14"/>
  <c r="AI184" i="14" s="1"/>
  <c r="AE184" i="14"/>
  <c r="AC188" i="14"/>
  <c r="AE188" i="14"/>
  <c r="AC192" i="14"/>
  <c r="AE192" i="14"/>
  <c r="AC196" i="14"/>
  <c r="AE196" i="14"/>
  <c r="AC200" i="14"/>
  <c r="AE200" i="14"/>
  <c r="AC204" i="14"/>
  <c r="AE204" i="14"/>
  <c r="AC208" i="14"/>
  <c r="AE208" i="14"/>
  <c r="AC212" i="14"/>
  <c r="AE212" i="14"/>
  <c r="AC216" i="14"/>
  <c r="AE216" i="14"/>
  <c r="AC220" i="14"/>
  <c r="AE220" i="14"/>
  <c r="AC224" i="14"/>
  <c r="AE224" i="14"/>
  <c r="AC228" i="14"/>
  <c r="AE228" i="14"/>
  <c r="AC232" i="14"/>
  <c r="AE232" i="14"/>
  <c r="AC236" i="14"/>
  <c r="AE236" i="14"/>
  <c r="AC240" i="14"/>
  <c r="AE240" i="14"/>
  <c r="AC244" i="14"/>
  <c r="AE244" i="14"/>
  <c r="AC248" i="14"/>
  <c r="AE248" i="14"/>
  <c r="AC252" i="14"/>
  <c r="AE252" i="14"/>
  <c r="AC256" i="14"/>
  <c r="AE256" i="14"/>
  <c r="AI260" i="14"/>
  <c r="AC260" i="14"/>
  <c r="AE260" i="14"/>
  <c r="AI264" i="14"/>
  <c r="AC264" i="14"/>
  <c r="AE264" i="14"/>
  <c r="AI268" i="14"/>
  <c r="AC268" i="14"/>
  <c r="AE268" i="14"/>
  <c r="AI272" i="14"/>
  <c r="AC272" i="14"/>
  <c r="AE272" i="14"/>
  <c r="AI276" i="14"/>
  <c r="AC276" i="14"/>
  <c r="AE276" i="14"/>
  <c r="AE49" i="14"/>
  <c r="AE53" i="14"/>
  <c r="AC61" i="14"/>
  <c r="AE65" i="14"/>
  <c r="AE73" i="14"/>
  <c r="AC85" i="14"/>
  <c r="AC117" i="14"/>
  <c r="AE161" i="14"/>
  <c r="AE165" i="14"/>
  <c r="AE189" i="14"/>
  <c r="AC193" i="14"/>
  <c r="AC197" i="14"/>
  <c r="AC201" i="14"/>
  <c r="AC237" i="14"/>
  <c r="AE241" i="14"/>
  <c r="AI273" i="14"/>
  <c r="AC273" i="14"/>
  <c r="AI289" i="14"/>
  <c r="AC289" i="14"/>
  <c r="AI293" i="14"/>
  <c r="AC293" i="14"/>
  <c r="AI297" i="14"/>
  <c r="AC297" i="14"/>
  <c r="AE10" i="14"/>
  <c r="AD4" i="14"/>
  <c r="AF5" i="14"/>
  <c r="AD8" i="14"/>
  <c r="AF9" i="14"/>
  <c r="AD12" i="14"/>
  <c r="AF13" i="14"/>
  <c r="AD16" i="14"/>
  <c r="AF17" i="14"/>
  <c r="AD20" i="14"/>
  <c r="AF21" i="14"/>
  <c r="AD24" i="14"/>
  <c r="AF25" i="14"/>
  <c r="AD28" i="14"/>
  <c r="AF29" i="14"/>
  <c r="AD32" i="14"/>
  <c r="AF33" i="14"/>
  <c r="AD36" i="14"/>
  <c r="AF37" i="14"/>
  <c r="AD40" i="14"/>
  <c r="AF41" i="14"/>
  <c r="AD44" i="14"/>
  <c r="AF45" i="14"/>
  <c r="AD48" i="14"/>
  <c r="AF49" i="14"/>
  <c r="AD52" i="14"/>
  <c r="AF53" i="14"/>
  <c r="AD56" i="14"/>
  <c r="AF57" i="14"/>
  <c r="AD60" i="14"/>
  <c r="AF61" i="14"/>
  <c r="AD64" i="14"/>
  <c r="AF65" i="14"/>
  <c r="AD68" i="14"/>
  <c r="AF69" i="14"/>
  <c r="AD72" i="14"/>
  <c r="AF73" i="14"/>
  <c r="AD76" i="14"/>
  <c r="AF77" i="14"/>
  <c r="AD80" i="14"/>
  <c r="AF81" i="14"/>
  <c r="AD84" i="14"/>
  <c r="AF85" i="14"/>
  <c r="AD88" i="14"/>
  <c r="AF89" i="14"/>
  <c r="AD92" i="14"/>
  <c r="AF93" i="14"/>
  <c r="AD96" i="14"/>
  <c r="AF97" i="14"/>
  <c r="AD100" i="14"/>
  <c r="AF101" i="14"/>
  <c r="AD104" i="14"/>
  <c r="AF105" i="14"/>
  <c r="AD108" i="14"/>
  <c r="AF109" i="14"/>
  <c r="AD112" i="14"/>
  <c r="AF113" i="14"/>
  <c r="AD116" i="14"/>
  <c r="AF117" i="14"/>
  <c r="AD120" i="14"/>
  <c r="AF121" i="14"/>
  <c r="AD124" i="14"/>
  <c r="AF125" i="14"/>
  <c r="AD128" i="14"/>
  <c r="AF129" i="14"/>
  <c r="AD132" i="14"/>
  <c r="AF133" i="14"/>
  <c r="AD136" i="14"/>
  <c r="AF137" i="14"/>
  <c r="AI137" i="14" s="1"/>
  <c r="AD140" i="14"/>
  <c r="AF141" i="14"/>
  <c r="AD144" i="14"/>
  <c r="AF145" i="14"/>
  <c r="AD148" i="14"/>
  <c r="AF149" i="14"/>
  <c r="AD152" i="14"/>
  <c r="AF153" i="14"/>
  <c r="AI153" i="14" s="1"/>
  <c r="AF157" i="14"/>
  <c r="AF161" i="14"/>
  <c r="AF165" i="14"/>
  <c r="AF169" i="14"/>
  <c r="AF173" i="14"/>
  <c r="AF177" i="14"/>
  <c r="AF181" i="14"/>
  <c r="AF185" i="14"/>
  <c r="AF189" i="14"/>
  <c r="AF193" i="14"/>
  <c r="AF197" i="14"/>
  <c r="AF201" i="14"/>
  <c r="AF205" i="14"/>
  <c r="AF209" i="14"/>
  <c r="AF213" i="14"/>
  <c r="AF217" i="14"/>
  <c r="AF221" i="14"/>
  <c r="AF225" i="14"/>
  <c r="AF229" i="14"/>
  <c r="AI229" i="14" s="1"/>
  <c r="AF233" i="14"/>
  <c r="AF237" i="14"/>
  <c r="AF241" i="14"/>
  <c r="AF245" i="14"/>
  <c r="AF249" i="14"/>
  <c r="AF253" i="14"/>
  <c r="AF257" i="14"/>
  <c r="AF261" i="14"/>
  <c r="AF265" i="14"/>
  <c r="AF269" i="14"/>
  <c r="AF273" i="14"/>
  <c r="AF277" i="14"/>
  <c r="AF281" i="14"/>
  <c r="AF285" i="14"/>
  <c r="AF289" i="14"/>
  <c r="AI741" i="14"/>
  <c r="AC741" i="14"/>
  <c r="AE741" i="14"/>
  <c r="AI745" i="14"/>
  <c r="AC745" i="14"/>
  <c r="AE745" i="14"/>
  <c r="AI749" i="14"/>
  <c r="AC749" i="14"/>
  <c r="AE749" i="14"/>
  <c r="AI753" i="14"/>
  <c r="AC753" i="14"/>
  <c r="AE753" i="14"/>
  <c r="AI757" i="14"/>
  <c r="AC757" i="14"/>
  <c r="AE757" i="14"/>
  <c r="AI761" i="14"/>
  <c r="AC761" i="14"/>
  <c r="AE761" i="14"/>
  <c r="AI765" i="14"/>
  <c r="AC765" i="14"/>
  <c r="AE765" i="14"/>
  <c r="AI769" i="14"/>
  <c r="AC769" i="14"/>
  <c r="AE769" i="14"/>
  <c r="AI773" i="14"/>
  <c r="AC773" i="14"/>
  <c r="AE773" i="14"/>
  <c r="AI777" i="14"/>
  <c r="AC777" i="14"/>
  <c r="AE777" i="14"/>
  <c r="AI781" i="14"/>
  <c r="AC781" i="14"/>
  <c r="AE781" i="14"/>
  <c r="AI785" i="14"/>
  <c r="AC785" i="14"/>
  <c r="AE785" i="14"/>
  <c r="AI789" i="14"/>
  <c r="AC789" i="14"/>
  <c r="AE789" i="14"/>
  <c r="AI793" i="14"/>
  <c r="AC793" i="14"/>
  <c r="AE793" i="14"/>
  <c r="AI797" i="14"/>
  <c r="AC797" i="14"/>
  <c r="AE797" i="14"/>
  <c r="AI801" i="14"/>
  <c r="AC801" i="14"/>
  <c r="AE801" i="14"/>
  <c r="AI805" i="14"/>
  <c r="AC805" i="14"/>
  <c r="AE805" i="14"/>
  <c r="AI809" i="14"/>
  <c r="AC809" i="14"/>
  <c r="AE809" i="14"/>
  <c r="AI813" i="14"/>
  <c r="AC813" i="14"/>
  <c r="AE813" i="14"/>
  <c r="AI817" i="14"/>
  <c r="AC817" i="14"/>
  <c r="AE817" i="14"/>
  <c r="AI821" i="14"/>
  <c r="AC821" i="14"/>
  <c r="AE821" i="14"/>
  <c r="AI825" i="14"/>
  <c r="AC825" i="14"/>
  <c r="AE825" i="14"/>
  <c r="AI829" i="14"/>
  <c r="AC829" i="14"/>
  <c r="AE829" i="14"/>
  <c r="AI833" i="14"/>
  <c r="AC833" i="14"/>
  <c r="AE833" i="14"/>
  <c r="AI837" i="14"/>
  <c r="AC837" i="14"/>
  <c r="AE837" i="14"/>
  <c r="AI841" i="14"/>
  <c r="AC841" i="14"/>
  <c r="AE841" i="14"/>
  <c r="AI845" i="14"/>
  <c r="AC845" i="14"/>
  <c r="AE845" i="14"/>
  <c r="AI849" i="14"/>
  <c r="AC849" i="14"/>
  <c r="AE849" i="14"/>
  <c r="AI853" i="14"/>
  <c r="AC853" i="14"/>
  <c r="AE853" i="14"/>
  <c r="AI857" i="14"/>
  <c r="AC857" i="14"/>
  <c r="AE857" i="14"/>
  <c r="AI861" i="14"/>
  <c r="AC861" i="14"/>
  <c r="AE861" i="14"/>
  <c r="AI865" i="14"/>
  <c r="AC865" i="14"/>
  <c r="AE865" i="14"/>
  <c r="AI869" i="14"/>
  <c r="AC869" i="14"/>
  <c r="AE869" i="14"/>
  <c r="AI873" i="14"/>
  <c r="AC873" i="14"/>
  <c r="AE873" i="14"/>
  <c r="AI877" i="14"/>
  <c r="AC877" i="14"/>
  <c r="AE877" i="14"/>
  <c r="AI881" i="14"/>
  <c r="AC881" i="14"/>
  <c r="AE881" i="14"/>
  <c r="AI885" i="14"/>
  <c r="AC885" i="14"/>
  <c r="AE885" i="14"/>
  <c r="AI889" i="14"/>
  <c r="AC889" i="14"/>
  <c r="AE889" i="14"/>
  <c r="AI893" i="14"/>
  <c r="AC893" i="14"/>
  <c r="AE893" i="14"/>
  <c r="AI897" i="14"/>
  <c r="AC897" i="14"/>
  <c r="AE897" i="14"/>
  <c r="AI901" i="14"/>
  <c r="AC901" i="14"/>
  <c r="AE901" i="14"/>
  <c r="AI905" i="14"/>
  <c r="AC905" i="14"/>
  <c r="AE905" i="14"/>
  <c r="AI909" i="14"/>
  <c r="AC909" i="14"/>
  <c r="AE909" i="14"/>
  <c r="AI913" i="14"/>
  <c r="AC913" i="14"/>
  <c r="AE913" i="14"/>
  <c r="AI917" i="14"/>
  <c r="AC917" i="14"/>
  <c r="AE917" i="14"/>
  <c r="AI921" i="14"/>
  <c r="AC921" i="14"/>
  <c r="AE921" i="14"/>
  <c r="AI925" i="14"/>
  <c r="AC925" i="14"/>
  <c r="AE925" i="14"/>
  <c r="AI929" i="14"/>
  <c r="AC929" i="14"/>
  <c r="AE929" i="14"/>
  <c r="AI933" i="14"/>
  <c r="AC933" i="14"/>
  <c r="AE933" i="14"/>
  <c r="AI937" i="14"/>
  <c r="AC937" i="14"/>
  <c r="AE937" i="14"/>
  <c r="AI941" i="14"/>
  <c r="AC941" i="14"/>
  <c r="AE941" i="14"/>
  <c r="AI945" i="14"/>
  <c r="AC945" i="14"/>
  <c r="AE945" i="14"/>
  <c r="AI949" i="14"/>
  <c r="AC949" i="14"/>
  <c r="AE949" i="14"/>
  <c r="AI953" i="14"/>
  <c r="AC953" i="14"/>
  <c r="AE953" i="14"/>
  <c r="AI957" i="14"/>
  <c r="AC957" i="14"/>
  <c r="AE957" i="14"/>
  <c r="AI961" i="14"/>
  <c r="AC961" i="14"/>
  <c r="AE961" i="14"/>
  <c r="AI965" i="14"/>
  <c r="AC965" i="14"/>
  <c r="AE965" i="14"/>
  <c r="AI969" i="14"/>
  <c r="AC969" i="14"/>
  <c r="AE969" i="14"/>
  <c r="AI973" i="14"/>
  <c r="AC973" i="14"/>
  <c r="AE973" i="14"/>
  <c r="AI977" i="14"/>
  <c r="AC977" i="14"/>
  <c r="AE977" i="14"/>
  <c r="AI981" i="14"/>
  <c r="AC981" i="14"/>
  <c r="AE981" i="14"/>
  <c r="AI985" i="14"/>
  <c r="AC985" i="14"/>
  <c r="AE985" i="14"/>
  <c r="AI989" i="14"/>
  <c r="AC989" i="14"/>
  <c r="AE989" i="14"/>
  <c r="AI993" i="14"/>
  <c r="AC993" i="14"/>
  <c r="AE993" i="14"/>
  <c r="AI997" i="14"/>
  <c r="AC997" i="14"/>
  <c r="AE997" i="14"/>
  <c r="AI1001" i="14"/>
  <c r="AC1001" i="14"/>
  <c r="AE1001" i="14"/>
  <c r="AD281" i="14"/>
  <c r="AF282" i="14"/>
  <c r="AD285" i="14"/>
  <c r="AF286" i="14"/>
  <c r="AD289" i="14"/>
  <c r="AF290" i="14"/>
  <c r="AD293" i="14"/>
  <c r="AF294" i="14"/>
  <c r="AD297" i="14"/>
  <c r="AF298" i="14"/>
  <c r="AD301" i="14"/>
  <c r="AF302" i="14"/>
  <c r="AD305" i="14"/>
  <c r="AF306" i="14"/>
  <c r="AD309" i="14"/>
  <c r="AF310" i="14"/>
  <c r="AD313" i="14"/>
  <c r="AD317" i="14"/>
  <c r="AF318" i="14"/>
  <c r="AD321" i="14"/>
  <c r="AD325" i="14"/>
  <c r="AD329" i="14"/>
  <c r="AD333" i="14"/>
  <c r="AD337" i="14"/>
  <c r="AD341" i="14"/>
  <c r="AD345" i="14"/>
  <c r="AD349" i="14"/>
  <c r="AF350" i="14"/>
  <c r="AD353" i="14"/>
  <c r="AF354" i="14"/>
  <c r="AD357" i="14"/>
  <c r="AF358" i="14"/>
  <c r="AD361" i="14"/>
  <c r="AD365" i="14"/>
  <c r="AF366" i="14"/>
  <c r="AD369" i="14"/>
  <c r="AF370" i="14"/>
  <c r="AD373" i="14"/>
  <c r="AF374" i="14"/>
  <c r="AD377" i="14"/>
  <c r="AF378" i="14"/>
  <c r="AD381" i="14"/>
  <c r="AF382" i="14"/>
  <c r="AD385" i="14"/>
  <c r="AF386" i="14"/>
  <c r="AD389" i="14"/>
  <c r="AF390" i="14"/>
  <c r="AD393" i="14"/>
  <c r="AF394" i="14"/>
  <c r="AD397" i="14"/>
  <c r="AF398" i="14"/>
  <c r="AD401" i="14"/>
  <c r="AF402" i="14"/>
  <c r="AD405" i="14"/>
  <c r="AD409" i="14"/>
  <c r="AD413" i="14"/>
  <c r="AD417" i="14"/>
  <c r="AD421" i="14"/>
  <c r="AD425" i="14"/>
  <c r="AD429" i="14"/>
  <c r="AD433" i="14"/>
  <c r="AF434" i="14"/>
  <c r="AD437" i="14"/>
  <c r="AF438" i="14"/>
  <c r="AD441" i="14"/>
  <c r="AF442" i="14"/>
  <c r="AD445" i="14"/>
  <c r="AF446" i="14"/>
  <c r="AD449" i="14"/>
  <c r="AF450" i="14"/>
  <c r="AD453" i="14"/>
  <c r="AF454" i="14"/>
  <c r="AD457" i="14"/>
  <c r="AD461" i="14"/>
  <c r="AF462" i="14"/>
  <c r="AD465" i="14"/>
  <c r="AF466" i="14"/>
  <c r="AD469" i="14"/>
  <c r="AF470" i="14"/>
  <c r="AF474" i="14"/>
  <c r="AD513" i="14"/>
  <c r="AF514" i="14"/>
  <c r="AD517" i="14"/>
  <c r="AF518" i="14"/>
  <c r="AD521" i="14"/>
  <c r="AF522" i="14"/>
  <c r="AD525" i="14"/>
  <c r="AF526" i="14"/>
  <c r="AD529" i="14"/>
  <c r="AF530" i="14"/>
  <c r="AD533" i="14"/>
  <c r="AF534" i="14"/>
  <c r="AD537" i="14"/>
  <c r="AF538" i="14"/>
  <c r="AD541" i="14"/>
  <c r="AF542" i="14"/>
  <c r="AD545" i="14"/>
  <c r="AF546" i="14"/>
  <c r="AD549" i="14"/>
  <c r="AF550" i="14"/>
  <c r="AD553" i="14"/>
  <c r="AF554" i="14"/>
  <c r="AD557" i="14"/>
  <c r="AF558" i="14"/>
  <c r="AD561" i="14"/>
  <c r="AF562" i="14"/>
  <c r="AD565" i="14"/>
  <c r="AF566" i="14"/>
  <c r="AD569" i="14"/>
  <c r="AF570" i="14"/>
  <c r="AD573" i="14"/>
  <c r="AF574" i="14"/>
  <c r="AD577" i="14"/>
  <c r="AF578" i="14"/>
  <c r="AD581" i="14"/>
  <c r="AF582" i="14"/>
  <c r="AD585" i="14"/>
  <c r="AF586" i="14"/>
  <c r="AD589" i="14"/>
  <c r="AF590" i="14"/>
  <c r="AD593" i="14"/>
  <c r="AF594" i="14"/>
  <c r="AD597" i="14"/>
  <c r="AF598" i="14"/>
  <c r="AD601" i="14"/>
  <c r="AF602" i="14"/>
  <c r="AD605" i="14"/>
  <c r="AF606" i="14"/>
  <c r="AD609" i="14"/>
  <c r="AF610" i="14"/>
  <c r="AD613" i="14"/>
  <c r="AF614" i="14"/>
  <c r="AD617" i="14"/>
  <c r="AF618" i="14"/>
  <c r="AD621" i="14"/>
  <c r="AF622" i="14"/>
  <c r="AD625" i="14"/>
  <c r="AF626" i="14"/>
  <c r="AD629" i="14"/>
  <c r="AF630" i="14"/>
  <c r="AD633" i="14"/>
  <c r="AF634" i="14"/>
  <c r="AD637" i="14"/>
  <c r="AF638" i="14"/>
  <c r="AD641" i="14"/>
  <c r="AF642" i="14"/>
  <c r="AD645" i="14"/>
  <c r="AF646" i="14"/>
  <c r="AD649" i="14"/>
  <c r="AF650" i="14"/>
  <c r="AD653" i="14"/>
  <c r="AF654" i="14"/>
  <c r="AD657" i="14"/>
  <c r="AF658" i="14"/>
  <c r="AD661" i="14"/>
  <c r="AF662" i="14"/>
  <c r="AD665" i="14"/>
  <c r="AH281" i="14"/>
  <c r="AI282" i="14"/>
  <c r="AC282" i="14"/>
  <c r="AE282" i="14"/>
  <c r="AI286" i="14"/>
  <c r="AC286" i="14"/>
  <c r="AE286" i="14"/>
  <c r="AI290" i="14"/>
  <c r="AC290" i="14"/>
  <c r="AE290" i="14"/>
  <c r="AI294" i="14"/>
  <c r="AC294" i="14"/>
  <c r="AE294" i="14"/>
  <c r="AI298" i="14"/>
  <c r="AC298" i="14"/>
  <c r="AE298" i="14"/>
  <c r="AI302" i="14"/>
  <c r="AC302" i="14"/>
  <c r="AE302" i="14"/>
  <c r="AI306" i="14"/>
  <c r="AC306" i="14"/>
  <c r="AE306" i="14"/>
  <c r="AI310" i="14"/>
  <c r="AC310" i="14"/>
  <c r="AE310" i="14"/>
  <c r="AH313" i="14"/>
  <c r="AI314" i="14"/>
  <c r="AC314" i="14"/>
  <c r="AE314" i="14"/>
  <c r="AI318" i="14"/>
  <c r="AC318" i="14"/>
  <c r="AE318" i="14"/>
  <c r="AH321" i="14"/>
  <c r="AI322" i="14"/>
  <c r="AC322" i="14"/>
  <c r="AE322" i="14"/>
  <c r="AH325" i="14"/>
  <c r="AI326" i="14"/>
  <c r="AC326" i="14"/>
  <c r="AE326" i="14"/>
  <c r="AH329" i="14"/>
  <c r="AI330" i="14"/>
  <c r="AC330" i="14"/>
  <c r="AE330" i="14"/>
  <c r="AH333" i="14"/>
  <c r="AI334" i="14"/>
  <c r="AC334" i="14"/>
  <c r="AE334" i="14"/>
  <c r="AH337" i="14"/>
  <c r="AI338" i="14"/>
  <c r="AC338" i="14"/>
  <c r="AE338" i="14"/>
  <c r="AI342" i="14"/>
  <c r="AC342" i="14"/>
  <c r="AE342" i="14"/>
  <c r="AI346" i="14"/>
  <c r="AC346" i="14"/>
  <c r="AE346" i="14"/>
  <c r="AI350" i="14"/>
  <c r="AC350" i="14"/>
  <c r="AE350" i="14"/>
  <c r="AI354" i="14"/>
  <c r="AC354" i="14"/>
  <c r="AE354" i="14"/>
  <c r="AI358" i="14"/>
  <c r="AC358" i="14"/>
  <c r="AE358" i="14"/>
  <c r="AI362" i="14"/>
  <c r="AC362" i="14"/>
  <c r="AE362" i="14"/>
  <c r="AH365" i="14"/>
  <c r="AI366" i="14"/>
  <c r="AC366" i="14"/>
  <c r="AE366" i="14"/>
  <c r="AH369" i="14"/>
  <c r="AI370" i="14"/>
  <c r="AC370" i="14"/>
  <c r="AE370" i="14"/>
  <c r="AH373" i="14"/>
  <c r="AI374" i="14"/>
  <c r="AC374" i="14"/>
  <c r="AE374" i="14"/>
  <c r="AH377" i="14"/>
  <c r="AI378" i="14"/>
  <c r="AC378" i="14"/>
  <c r="AE378" i="14"/>
  <c r="AH381" i="14"/>
  <c r="AI382" i="14"/>
  <c r="AC382" i="14"/>
  <c r="AE382" i="14"/>
  <c r="AH385" i="14"/>
  <c r="AI386" i="14"/>
  <c r="AC386" i="14"/>
  <c r="AE386" i="14"/>
  <c r="AH389" i="14"/>
  <c r="AI390" i="14"/>
  <c r="AC390" i="14"/>
  <c r="AE390" i="14"/>
  <c r="AH393" i="14"/>
  <c r="AI394" i="14"/>
  <c r="AC394" i="14"/>
  <c r="AE394" i="14"/>
  <c r="AH397" i="14"/>
  <c r="AI398" i="14"/>
  <c r="AC398" i="14"/>
  <c r="AE398" i="14"/>
  <c r="AH401" i="14"/>
  <c r="AI402" i="14"/>
  <c r="AC402" i="14"/>
  <c r="AE402" i="14"/>
  <c r="AH405" i="14"/>
  <c r="AI406" i="14"/>
  <c r="AC406" i="14"/>
  <c r="AE406" i="14"/>
  <c r="AH409" i="14"/>
  <c r="AI410" i="14"/>
  <c r="AC410" i="14"/>
  <c r="AE410" i="14"/>
  <c r="AH413" i="14"/>
  <c r="AI414" i="14"/>
  <c r="AC414" i="14"/>
  <c r="AE414" i="14"/>
  <c r="AH417" i="14"/>
  <c r="AI418" i="14"/>
  <c r="AC418" i="14"/>
  <c r="AE418" i="14"/>
  <c r="AH421" i="14"/>
  <c r="AI422" i="14"/>
  <c r="AC422" i="14"/>
  <c r="AE422" i="14"/>
  <c r="AH425" i="14"/>
  <c r="AI426" i="14"/>
  <c r="AC426" i="14"/>
  <c r="AE426" i="14"/>
  <c r="AH429" i="14"/>
  <c r="AI430" i="14"/>
  <c r="AC430" i="14"/>
  <c r="AE430" i="14"/>
  <c r="AI434" i="14"/>
  <c r="AC434" i="14"/>
  <c r="AE434" i="14"/>
  <c r="AI438" i="14"/>
  <c r="AC438" i="14"/>
  <c r="AE438" i="14"/>
  <c r="AH441" i="14"/>
  <c r="AI442" i="14"/>
  <c r="AC442" i="14"/>
  <c r="AE442" i="14"/>
  <c r="AH445" i="14"/>
  <c r="AI446" i="14"/>
  <c r="AC446" i="14"/>
  <c r="AE446" i="14"/>
  <c r="AH449" i="14"/>
  <c r="AI450" i="14"/>
  <c r="AC450" i="14"/>
  <c r="AE450" i="14"/>
  <c r="AH453" i="14"/>
  <c r="AI454" i="14"/>
  <c r="AC454" i="14"/>
  <c r="AE454" i="14"/>
  <c r="AH457" i="14"/>
  <c r="AI458" i="14"/>
  <c r="AC458" i="14"/>
  <c r="AE458" i="14"/>
  <c r="AH461" i="14"/>
  <c r="AI462" i="14"/>
  <c r="AC462" i="14"/>
  <c r="AE462" i="14"/>
  <c r="AI466" i="14"/>
  <c r="AC466" i="14"/>
  <c r="AE466" i="14"/>
  <c r="AH469" i="14"/>
  <c r="AI470" i="14"/>
  <c r="AC470" i="14"/>
  <c r="AE470" i="14"/>
  <c r="AH473" i="14"/>
  <c r="AI474" i="14"/>
  <c r="AC474" i="14"/>
  <c r="AE474" i="14"/>
  <c r="AH477" i="14"/>
  <c r="AI478" i="14"/>
  <c r="AC478" i="14"/>
  <c r="AE478" i="14"/>
  <c r="AH481" i="14"/>
  <c r="AI482" i="14"/>
  <c r="AC482" i="14"/>
  <c r="AE482" i="14"/>
  <c r="AH485" i="14"/>
  <c r="AI486" i="14"/>
  <c r="AC486" i="14"/>
  <c r="AE486" i="14"/>
  <c r="AH489" i="14"/>
  <c r="AI490" i="14"/>
  <c r="AC490" i="14"/>
  <c r="AE490" i="14"/>
  <c r="AH493" i="14"/>
  <c r="AI494" i="14"/>
  <c r="AC494" i="14"/>
  <c r="AE494" i="14"/>
  <c r="AH497" i="14"/>
  <c r="AI498" i="14"/>
  <c r="AC498" i="14"/>
  <c r="AE498" i="14"/>
  <c r="AH501" i="14"/>
  <c r="AI502" i="14"/>
  <c r="AC502" i="14"/>
  <c r="AE502" i="14"/>
  <c r="AH505" i="14"/>
  <c r="AI506" i="14"/>
  <c r="AC506" i="14"/>
  <c r="AE506" i="14"/>
  <c r="AH509" i="14"/>
  <c r="AI510" i="14"/>
  <c r="AC510" i="14"/>
  <c r="AE510" i="14"/>
  <c r="AH513" i="14"/>
  <c r="AI514" i="14"/>
  <c r="AC514" i="14"/>
  <c r="AE514" i="14"/>
  <c r="AH517" i="14"/>
  <c r="AI518" i="14"/>
  <c r="AC518" i="14"/>
  <c r="AE518" i="14"/>
  <c r="AH521" i="14"/>
  <c r="AI522" i="14"/>
  <c r="AC522" i="14"/>
  <c r="AE522" i="14"/>
  <c r="AH525" i="14"/>
  <c r="AI526" i="14"/>
  <c r="AC526" i="14"/>
  <c r="AE526" i="14"/>
  <c r="AH529" i="14"/>
  <c r="AI530" i="14"/>
  <c r="AC530" i="14"/>
  <c r="AE530" i="14"/>
  <c r="AH533" i="14"/>
  <c r="AI534" i="14"/>
  <c r="AC534" i="14"/>
  <c r="AE534" i="14"/>
  <c r="AH537" i="14"/>
  <c r="AI538" i="14"/>
  <c r="AC538" i="14"/>
  <c r="AE538" i="14"/>
  <c r="AH541" i="14"/>
  <c r="AI542" i="14"/>
  <c r="AC542" i="14"/>
  <c r="AE542" i="14"/>
  <c r="AH545" i="14"/>
  <c r="AI546" i="14"/>
  <c r="AC546" i="14"/>
  <c r="AE546" i="14"/>
  <c r="AH549" i="14"/>
  <c r="AI550" i="14"/>
  <c r="AC550" i="14"/>
  <c r="AE550" i="14"/>
  <c r="AH553" i="14"/>
  <c r="AI554" i="14"/>
  <c r="AC554" i="14"/>
  <c r="AE554" i="14"/>
  <c r="AH557" i="14"/>
  <c r="AI558" i="14"/>
  <c r="AC558" i="14"/>
  <c r="AE558" i="14"/>
  <c r="AH561" i="14"/>
  <c r="AI562" i="14"/>
  <c r="AC562" i="14"/>
  <c r="AE562" i="14"/>
  <c r="AH565" i="14"/>
  <c r="AI566" i="14"/>
  <c r="AC566" i="14"/>
  <c r="AE566" i="14"/>
  <c r="AH569" i="14"/>
  <c r="AI570" i="14"/>
  <c r="AC570" i="14"/>
  <c r="AE570" i="14"/>
  <c r="AH573" i="14"/>
  <c r="AI574" i="14"/>
  <c r="AC574" i="14"/>
  <c r="AE574" i="14"/>
  <c r="AH577" i="14"/>
  <c r="AI578" i="14"/>
  <c r="AC578" i="14"/>
  <c r="AE578" i="14"/>
  <c r="AH581" i="14"/>
  <c r="AI582" i="14"/>
  <c r="AC582" i="14"/>
  <c r="AE582" i="14"/>
  <c r="AH585" i="14"/>
  <c r="AI586" i="14"/>
  <c r="AC586" i="14"/>
  <c r="AE586" i="14"/>
  <c r="AH589" i="14"/>
  <c r="AI590" i="14"/>
  <c r="AC590" i="14"/>
  <c r="AE590" i="14"/>
  <c r="AH593" i="14"/>
  <c r="AI594" i="14"/>
  <c r="AC594" i="14"/>
  <c r="AE594" i="14"/>
  <c r="AH597" i="14"/>
  <c r="AI598" i="14"/>
  <c r="AC598" i="14"/>
  <c r="AE598" i="14"/>
  <c r="AH601" i="14"/>
  <c r="AI602" i="14"/>
  <c r="AC602" i="14"/>
  <c r="AE602" i="14"/>
  <c r="AH605" i="14"/>
  <c r="AI606" i="14"/>
  <c r="AC606" i="14"/>
  <c r="AE606" i="14"/>
  <c r="AH609" i="14"/>
  <c r="AI610" i="14"/>
  <c r="AC610" i="14"/>
  <c r="AE610" i="14"/>
  <c r="AH613" i="14"/>
  <c r="AI614" i="14"/>
  <c r="AC614" i="14"/>
  <c r="AE614" i="14"/>
  <c r="AH617" i="14"/>
  <c r="AI618" i="14"/>
  <c r="AC618" i="14"/>
  <c r="AE618" i="14"/>
  <c r="AH621" i="14"/>
  <c r="AI622" i="14"/>
  <c r="AC622" i="14"/>
  <c r="AE622" i="14"/>
  <c r="AH625" i="14"/>
  <c r="AI626" i="14"/>
  <c r="AC626" i="14"/>
  <c r="AE626" i="14"/>
  <c r="AH629" i="14"/>
  <c r="AI630" i="14"/>
  <c r="AC630" i="14"/>
  <c r="AE630" i="14"/>
  <c r="AH633" i="14"/>
  <c r="AI634" i="14"/>
  <c r="AC634" i="14"/>
  <c r="AE634" i="14"/>
  <c r="AH637" i="14"/>
  <c r="AI638" i="14"/>
  <c r="AC638" i="14"/>
  <c r="AE638" i="14"/>
  <c r="AH641" i="14"/>
  <c r="AI642" i="14"/>
  <c r="AC642" i="14"/>
  <c r="AE642" i="14"/>
  <c r="AH645" i="14"/>
  <c r="AI646" i="14"/>
  <c r="AC646" i="14"/>
  <c r="AE646" i="14"/>
  <c r="AH649" i="14"/>
  <c r="AI650" i="14"/>
  <c r="AC650" i="14"/>
  <c r="AE650" i="14"/>
  <c r="AH653" i="14"/>
  <c r="AI654" i="14"/>
  <c r="AC654" i="14"/>
  <c r="AE654" i="14"/>
  <c r="AH657" i="14"/>
  <c r="AI658" i="14"/>
  <c r="AC658" i="14"/>
  <c r="AE658" i="14"/>
  <c r="AH661" i="14"/>
  <c r="AI662" i="14"/>
  <c r="AC662" i="14"/>
  <c r="AE662" i="14"/>
  <c r="AD474" i="14"/>
  <c r="AF475" i="14"/>
  <c r="AD478" i="14"/>
  <c r="AF479" i="14"/>
  <c r="AD482" i="14"/>
  <c r="AF483" i="14"/>
  <c r="AD486" i="14"/>
  <c r="AF487" i="14"/>
  <c r="AD490" i="14"/>
  <c r="AF491" i="14"/>
  <c r="AD494" i="14"/>
  <c r="AF495" i="14"/>
  <c r="AD498" i="14"/>
  <c r="AF499" i="14"/>
  <c r="AD502" i="14"/>
  <c r="AF503" i="14"/>
  <c r="AD506" i="14"/>
  <c r="AF507" i="14"/>
  <c r="AD510" i="14"/>
  <c r="AF511" i="14"/>
  <c r="AD514" i="14"/>
  <c r="AF515" i="14"/>
  <c r="AD518" i="14"/>
  <c r="AF519" i="14"/>
  <c r="AD522" i="14"/>
  <c r="AF523" i="14"/>
  <c r="AD526" i="14"/>
  <c r="AF527" i="14"/>
  <c r="AD530" i="14"/>
  <c r="AF531" i="14"/>
  <c r="AD534" i="14"/>
  <c r="AF535" i="14"/>
  <c r="AD538" i="14"/>
  <c r="AF539" i="14"/>
  <c r="AD542" i="14"/>
  <c r="AF543" i="14"/>
  <c r="AD546" i="14"/>
  <c r="AF547" i="14"/>
  <c r="AD550" i="14"/>
  <c r="AF551" i="14"/>
  <c r="AD554" i="14"/>
  <c r="AF555" i="14"/>
  <c r="AD558" i="14"/>
  <c r="AF559" i="14"/>
  <c r="AD562" i="14"/>
  <c r="AF563" i="14"/>
  <c r="AD566" i="14"/>
  <c r="AF567" i="14"/>
  <c r="AD570" i="14"/>
  <c r="AF571" i="14"/>
  <c r="AD574" i="14"/>
  <c r="AF575" i="14"/>
  <c r="AD578" i="14"/>
  <c r="AF579" i="14"/>
  <c r="AD582" i="14"/>
  <c r="AF583" i="14"/>
  <c r="AD586" i="14"/>
  <c r="AF587" i="14"/>
  <c r="AD590" i="14"/>
  <c r="AF591" i="14"/>
  <c r="AD594" i="14"/>
  <c r="AF595" i="14"/>
  <c r="AD598" i="14"/>
  <c r="AF599" i="14"/>
  <c r="AD602" i="14"/>
  <c r="AF603" i="14"/>
  <c r="AD606" i="14"/>
  <c r="AF607" i="14"/>
  <c r="AD610" i="14"/>
  <c r="AF611" i="14"/>
  <c r="AD614" i="14"/>
  <c r="AF615" i="14"/>
  <c r="AD618" i="14"/>
  <c r="AF619" i="14"/>
  <c r="AD622" i="14"/>
  <c r="AF623" i="14"/>
  <c r="AD626" i="14"/>
  <c r="AF627" i="14"/>
  <c r="AD630" i="14"/>
  <c r="AF631" i="14"/>
  <c r="AD634" i="14"/>
  <c r="AF635" i="14"/>
  <c r="AD638" i="14"/>
  <c r="AF639" i="14"/>
  <c r="AD642" i="14"/>
  <c r="AF643" i="14"/>
  <c r="AD646" i="14"/>
  <c r="AF647" i="14"/>
  <c r="AD650" i="14"/>
  <c r="AF651" i="14"/>
  <c r="AD654" i="14"/>
  <c r="AF655" i="14"/>
  <c r="AD658" i="14"/>
  <c r="AF659" i="14"/>
  <c r="AD662" i="14"/>
  <c r="AF663" i="14"/>
  <c r="AD666" i="14"/>
  <c r="AF667" i="14"/>
  <c r="AD670" i="14"/>
  <c r="AF671" i="14"/>
  <c r="AD674" i="14"/>
  <c r="AF675" i="14"/>
  <c r="AD678" i="14"/>
  <c r="AF679" i="14"/>
  <c r="AI279" i="14"/>
  <c r="AC279" i="14"/>
  <c r="AE279" i="14"/>
  <c r="AH282" i="14"/>
  <c r="AI283" i="14"/>
  <c r="AC283" i="14"/>
  <c r="AE283" i="14"/>
  <c r="AH286" i="14"/>
  <c r="AI287" i="14"/>
  <c r="AC287" i="14"/>
  <c r="AE287" i="14"/>
  <c r="AH290" i="14"/>
  <c r="AI291" i="14"/>
  <c r="AC291" i="14"/>
  <c r="AE291" i="14"/>
  <c r="AH294" i="14"/>
  <c r="AI295" i="14"/>
  <c r="AC295" i="14"/>
  <c r="AE295" i="14"/>
  <c r="AH298" i="14"/>
  <c r="AI299" i="14"/>
  <c r="AC299" i="14"/>
  <c r="AE299" i="14"/>
  <c r="AH302" i="14"/>
  <c r="AI303" i="14"/>
  <c r="AC303" i="14"/>
  <c r="AE303" i="14"/>
  <c r="AH306" i="14"/>
  <c r="AI307" i="14"/>
  <c r="AC307" i="14"/>
  <c r="AE307" i="14"/>
  <c r="AH310" i="14"/>
  <c r="AI311" i="14"/>
  <c r="AC311" i="14"/>
  <c r="AE311" i="14"/>
  <c r="AH314" i="14"/>
  <c r="AI315" i="14"/>
  <c r="AC315" i="14"/>
  <c r="AE315" i="14"/>
  <c r="AH318" i="14"/>
  <c r="AI319" i="14"/>
  <c r="AC319" i="14"/>
  <c r="AE319" i="14"/>
  <c r="AH322" i="14"/>
  <c r="AI323" i="14"/>
  <c r="AC323" i="14"/>
  <c r="AE323" i="14"/>
  <c r="AH326" i="14"/>
  <c r="AI327" i="14"/>
  <c r="AC327" i="14"/>
  <c r="AE327" i="14"/>
  <c r="AH330" i="14"/>
  <c r="AI331" i="14"/>
  <c r="AC331" i="14"/>
  <c r="AE331" i="14"/>
  <c r="AH334" i="14"/>
  <c r="AI335" i="14"/>
  <c r="AC335" i="14"/>
  <c r="AE335" i="14"/>
  <c r="AH338" i="14"/>
  <c r="AI339" i="14"/>
  <c r="AC339" i="14"/>
  <c r="AE339" i="14"/>
  <c r="AH342" i="14"/>
  <c r="AI343" i="14"/>
  <c r="AC343" i="14"/>
  <c r="AE343" i="14"/>
  <c r="AH346" i="14"/>
  <c r="AI347" i="14"/>
  <c r="AC347" i="14"/>
  <c r="AE347" i="14"/>
  <c r="AH350" i="14"/>
  <c r="AI351" i="14"/>
  <c r="AC351" i="14"/>
  <c r="AE351" i="14"/>
  <c r="AH354" i="14"/>
  <c r="AI355" i="14"/>
  <c r="AC355" i="14"/>
  <c r="AE355" i="14"/>
  <c r="AH358" i="14"/>
  <c r="AI359" i="14"/>
  <c r="AC359" i="14"/>
  <c r="AE359" i="14"/>
  <c r="AH362" i="14"/>
  <c r="AI363" i="14"/>
  <c r="AC363" i="14"/>
  <c r="AE363" i="14"/>
  <c r="AH366" i="14"/>
  <c r="AI367" i="14"/>
  <c r="AC367" i="14"/>
  <c r="AE367" i="14"/>
  <c r="AH370" i="14"/>
  <c r="AI371" i="14"/>
  <c r="AC371" i="14"/>
  <c r="AE371" i="14"/>
  <c r="AH374" i="14"/>
  <c r="AI375" i="14"/>
  <c r="AC375" i="14"/>
  <c r="AE375" i="14"/>
  <c r="AH378" i="14"/>
  <c r="AI379" i="14"/>
  <c r="AC379" i="14"/>
  <c r="AE379" i="14"/>
  <c r="AH382" i="14"/>
  <c r="AI383" i="14"/>
  <c r="AC383" i="14"/>
  <c r="AE383" i="14"/>
  <c r="AH386" i="14"/>
  <c r="AI387" i="14"/>
  <c r="AC387" i="14"/>
  <c r="AE387" i="14"/>
  <c r="AH390" i="14"/>
  <c r="AI391" i="14"/>
  <c r="AC391" i="14"/>
  <c r="AE391" i="14"/>
  <c r="AH394" i="14"/>
  <c r="AI395" i="14"/>
  <c r="AC395" i="14"/>
  <c r="AE395" i="14"/>
  <c r="AH398" i="14"/>
  <c r="AI399" i="14"/>
  <c r="AC399" i="14"/>
  <c r="AE399" i="14"/>
  <c r="AH402" i="14"/>
  <c r="AI403" i="14"/>
  <c r="AC403" i="14"/>
  <c r="AE403" i="14"/>
  <c r="AH406" i="14"/>
  <c r="AI407" i="14"/>
  <c r="AC407" i="14"/>
  <c r="AE407" i="14"/>
  <c r="AH410" i="14"/>
  <c r="AI411" i="14"/>
  <c r="AC411" i="14"/>
  <c r="AE411" i="14"/>
  <c r="AH414" i="14"/>
  <c r="AI415" i="14"/>
  <c r="AC415" i="14"/>
  <c r="AE415" i="14"/>
  <c r="AH418" i="14"/>
  <c r="AI419" i="14"/>
  <c r="AC419" i="14"/>
  <c r="AE419" i="14"/>
  <c r="AH422" i="14"/>
  <c r="AI423" i="14"/>
  <c r="AC423" i="14"/>
  <c r="AE423" i="14"/>
  <c r="AH426" i="14"/>
  <c r="AI427" i="14"/>
  <c r="AC427" i="14"/>
  <c r="AE427" i="14"/>
  <c r="AH430" i="14"/>
  <c r="AI431" i="14"/>
  <c r="AC431" i="14"/>
  <c r="AE431" i="14"/>
  <c r="AH434" i="14"/>
  <c r="AI435" i="14"/>
  <c r="AC435" i="14"/>
  <c r="AE435" i="14"/>
  <c r="AH438" i="14"/>
  <c r="AI439" i="14"/>
  <c r="AC439" i="14"/>
  <c r="AE439" i="14"/>
  <c r="AH442" i="14"/>
  <c r="AI443" i="14"/>
  <c r="AC443" i="14"/>
  <c r="AE443" i="14"/>
  <c r="AH446" i="14"/>
  <c r="AI447" i="14"/>
  <c r="AC447" i="14"/>
  <c r="AE447" i="14"/>
  <c r="AH450" i="14"/>
  <c r="AI451" i="14"/>
  <c r="AC451" i="14"/>
  <c r="AE451" i="14"/>
  <c r="AH454" i="14"/>
  <c r="AI455" i="14"/>
  <c r="AC455" i="14"/>
  <c r="AE455" i="14"/>
  <c r="AH458" i="14"/>
  <c r="AI459" i="14"/>
  <c r="AC459" i="14"/>
  <c r="AE459" i="14"/>
  <c r="AH462" i="14"/>
  <c r="AI463" i="14"/>
  <c r="AC463" i="14"/>
  <c r="AE463" i="14"/>
  <c r="AH466" i="14"/>
  <c r="AI467" i="14"/>
  <c r="AC467" i="14"/>
  <c r="AE467" i="14"/>
  <c r="AH470" i="14"/>
  <c r="AI471" i="14"/>
  <c r="AC471" i="14"/>
  <c r="AE471" i="14"/>
  <c r="AH474" i="14"/>
  <c r="AI475" i="14"/>
  <c r="AC475" i="14"/>
  <c r="AE475" i="14"/>
  <c r="AH478" i="14"/>
  <c r="AI479" i="14"/>
  <c r="AC479" i="14"/>
  <c r="AE479" i="14"/>
  <c r="AH482" i="14"/>
  <c r="AI483" i="14"/>
  <c r="AC483" i="14"/>
  <c r="AE483" i="14"/>
  <c r="AH486" i="14"/>
  <c r="AI487" i="14"/>
  <c r="AC487" i="14"/>
  <c r="AE487" i="14"/>
  <c r="AH490" i="14"/>
  <c r="AI491" i="14"/>
  <c r="AC491" i="14"/>
  <c r="AE491" i="14"/>
  <c r="AH494" i="14"/>
  <c r="AI495" i="14"/>
  <c r="AC495" i="14"/>
  <c r="AE495" i="14"/>
  <c r="AH498" i="14"/>
  <c r="AI499" i="14"/>
  <c r="AC499" i="14"/>
  <c r="AE499" i="14"/>
  <c r="AH502" i="14"/>
  <c r="AI503" i="14"/>
  <c r="AC503" i="14"/>
  <c r="AE503" i="14"/>
  <c r="AH506" i="14"/>
  <c r="AI507" i="14"/>
  <c r="AC507" i="14"/>
  <c r="AE507" i="14"/>
  <c r="AH510" i="14"/>
  <c r="AI511" i="14"/>
  <c r="AC511" i="14"/>
  <c r="AE511" i="14"/>
  <c r="AH514" i="14"/>
  <c r="AI515" i="14"/>
  <c r="AC515" i="14"/>
  <c r="AE515" i="14"/>
  <c r="AH518" i="14"/>
  <c r="AI519" i="14"/>
  <c r="AC519" i="14"/>
  <c r="AE519" i="14"/>
  <c r="AH522" i="14"/>
  <c r="AI523" i="14"/>
  <c r="AC523" i="14"/>
  <c r="AE523" i="14"/>
  <c r="AH526" i="14"/>
  <c r="AI527" i="14"/>
  <c r="AC527" i="14"/>
  <c r="AE527" i="14"/>
  <c r="AH530" i="14"/>
  <c r="AI531" i="14"/>
  <c r="AC531" i="14"/>
  <c r="AE531" i="14"/>
  <c r="AH534" i="14"/>
  <c r="AI535" i="14"/>
  <c r="AC535" i="14"/>
  <c r="AE535" i="14"/>
  <c r="AH538" i="14"/>
  <c r="AI539" i="14"/>
  <c r="AC539" i="14"/>
  <c r="AE539" i="14"/>
  <c r="AH542" i="14"/>
  <c r="AI543" i="14"/>
  <c r="AC543" i="14"/>
  <c r="AE543" i="14"/>
  <c r="AH546" i="14"/>
  <c r="AI547" i="14"/>
  <c r="AC547" i="14"/>
  <c r="AE547" i="14"/>
  <c r="AH550" i="14"/>
  <c r="AI551" i="14"/>
  <c r="AC551" i="14"/>
  <c r="AE551" i="14"/>
  <c r="AH554" i="14"/>
  <c r="AI555" i="14"/>
  <c r="AC555" i="14"/>
  <c r="AE555" i="14"/>
  <c r="AH558" i="14"/>
  <c r="AI559" i="14"/>
  <c r="AC559" i="14"/>
  <c r="AE559" i="14"/>
  <c r="AH562" i="14"/>
  <c r="AI563" i="14"/>
  <c r="AC563" i="14"/>
  <c r="AE563" i="14"/>
  <c r="AH566" i="14"/>
  <c r="AI567" i="14"/>
  <c r="AC567" i="14"/>
  <c r="AE567" i="14"/>
  <c r="AH570" i="14"/>
  <c r="AI571" i="14"/>
  <c r="AC571" i="14"/>
  <c r="AE571" i="14"/>
  <c r="AH574" i="14"/>
  <c r="AI575" i="14"/>
  <c r="AC575" i="14"/>
  <c r="AE575" i="14"/>
  <c r="AH578" i="14"/>
  <c r="AI579" i="14"/>
  <c r="AC579" i="14"/>
  <c r="AE579" i="14"/>
  <c r="AH582" i="14"/>
  <c r="AI583" i="14"/>
  <c r="AC583" i="14"/>
  <c r="AE583" i="14"/>
  <c r="AH586" i="14"/>
  <c r="AI587" i="14"/>
  <c r="AC587" i="14"/>
  <c r="AE587" i="14"/>
  <c r="AH590" i="14"/>
  <c r="AI591" i="14"/>
  <c r="AC591" i="14"/>
  <c r="AE591" i="14"/>
  <c r="AH594" i="14"/>
  <c r="AI595" i="14"/>
  <c r="AC595" i="14"/>
  <c r="AE595" i="14"/>
  <c r="AH598" i="14"/>
  <c r="AI599" i="14"/>
  <c r="AC599" i="14"/>
  <c r="AE599" i="14"/>
  <c r="AH602" i="14"/>
  <c r="AI603" i="14"/>
  <c r="AC603" i="14"/>
  <c r="AE603" i="14"/>
  <c r="AH606" i="14"/>
  <c r="AI607" i="14"/>
  <c r="AC607" i="14"/>
  <c r="AE607" i="14"/>
  <c r="AH610" i="14"/>
  <c r="AI611" i="14"/>
  <c r="AC611" i="14"/>
  <c r="AE611" i="14"/>
  <c r="AH614" i="14"/>
  <c r="AI615" i="14"/>
  <c r="AC615" i="14"/>
  <c r="AE615" i="14"/>
  <c r="AH618" i="14"/>
  <c r="AI619" i="14"/>
  <c r="AC619" i="14"/>
  <c r="AE619" i="14"/>
  <c r="AH622" i="14"/>
  <c r="AI623" i="14"/>
  <c r="AC623" i="14"/>
  <c r="AE623" i="14"/>
  <c r="AH626" i="14"/>
  <c r="AI627" i="14"/>
  <c r="AC627" i="14"/>
  <c r="AE627" i="14"/>
  <c r="AH630" i="14"/>
  <c r="AI631" i="14"/>
  <c r="AC631" i="14"/>
  <c r="AE631" i="14"/>
  <c r="AH634" i="14"/>
  <c r="AI635" i="14"/>
  <c r="AC635" i="14"/>
  <c r="AE635" i="14"/>
  <c r="AH638" i="14"/>
  <c r="AI639" i="14"/>
  <c r="AC639" i="14"/>
  <c r="AE639" i="14"/>
  <c r="AH642" i="14"/>
  <c r="AI643" i="14"/>
  <c r="AC643" i="14"/>
  <c r="AE643" i="14"/>
  <c r="AH646" i="14"/>
  <c r="AI647" i="14"/>
  <c r="AC647" i="14"/>
  <c r="AE647" i="14"/>
  <c r="AH650" i="14"/>
  <c r="AI651" i="14"/>
  <c r="AC651" i="14"/>
  <c r="AE651" i="14"/>
  <c r="AH654" i="14"/>
  <c r="AI655" i="14"/>
  <c r="AC655" i="14"/>
  <c r="AE655" i="14"/>
  <c r="AH658" i="14"/>
  <c r="AI659" i="14"/>
  <c r="AC659" i="14"/>
  <c r="AE659" i="14"/>
  <c r="AH662" i="14"/>
  <c r="AI663" i="14"/>
  <c r="AC663" i="14"/>
  <c r="AE663" i="14"/>
  <c r="AH666" i="14"/>
  <c r="AI667" i="14"/>
  <c r="AC667" i="14"/>
  <c r="AE667" i="14"/>
  <c r="AH670" i="14"/>
  <c r="AI671" i="14"/>
  <c r="AC671" i="14"/>
  <c r="AE671" i="14"/>
  <c r="AH674" i="14"/>
  <c r="AI675" i="14"/>
  <c r="AC675" i="14"/>
  <c r="AE675" i="14"/>
  <c r="AH678" i="14"/>
  <c r="AI679" i="14"/>
  <c r="AC679" i="14"/>
  <c r="AE679" i="14"/>
  <c r="AH682" i="14"/>
  <c r="AI683" i="14"/>
  <c r="AC683" i="14"/>
  <c r="AE683" i="14"/>
  <c r="AH686" i="14"/>
  <c r="AD283" i="14"/>
  <c r="AF284" i="14"/>
  <c r="AD287" i="14"/>
  <c r="AF288" i="14"/>
  <c r="AD291" i="14"/>
  <c r="AF292" i="14"/>
  <c r="AD295" i="14"/>
  <c r="AF296" i="14"/>
  <c r="AD299" i="14"/>
  <c r="AF300" i="14"/>
  <c r="AD303" i="14"/>
  <c r="AF304" i="14"/>
  <c r="AD307" i="14"/>
  <c r="AF308" i="14"/>
  <c r="AD311" i="14"/>
  <c r="AF312" i="14"/>
  <c r="AD315" i="14"/>
  <c r="AF316" i="14"/>
  <c r="AD319" i="14"/>
  <c r="AF320" i="14"/>
  <c r="AD323" i="14"/>
  <c r="AF324" i="14"/>
  <c r="AD327" i="14"/>
  <c r="AF328" i="14"/>
  <c r="AD331" i="14"/>
  <c r="AF332" i="14"/>
  <c r="AD335" i="14"/>
  <c r="AF336" i="14"/>
  <c r="AD339" i="14"/>
  <c r="AF340" i="14"/>
  <c r="AD343" i="14"/>
  <c r="AF344" i="14"/>
  <c r="AD347" i="14"/>
  <c r="AF348" i="14"/>
  <c r="AD351" i="14"/>
  <c r="AF352" i="14"/>
  <c r="AD355" i="14"/>
  <c r="AF356" i="14"/>
  <c r="AD359" i="14"/>
  <c r="AF360" i="14"/>
  <c r="AD363" i="14"/>
  <c r="AF364" i="14"/>
  <c r="AD367" i="14"/>
  <c r="AF368" i="14"/>
  <c r="AD371" i="14"/>
  <c r="AF372" i="14"/>
  <c r="AD375" i="14"/>
  <c r="AF376" i="14"/>
  <c r="AD379" i="14"/>
  <c r="AF380" i="14"/>
  <c r="AD383" i="14"/>
  <c r="AF384" i="14"/>
  <c r="AD387" i="14"/>
  <c r="AF388" i="14"/>
  <c r="AD391" i="14"/>
  <c r="AF392" i="14"/>
  <c r="AD395" i="14"/>
  <c r="AF396" i="14"/>
  <c r="AD399" i="14"/>
  <c r="AF400" i="14"/>
  <c r="AD403" i="14"/>
  <c r="AF404" i="14"/>
  <c r="AD407" i="14"/>
  <c r="AF408" i="14"/>
  <c r="AD411" i="14"/>
  <c r="AF412" i="14"/>
  <c r="AD415" i="14"/>
  <c r="AF416" i="14"/>
  <c r="AD419" i="14"/>
  <c r="AF420" i="14"/>
  <c r="AD423" i="14"/>
  <c r="AF424" i="14"/>
  <c r="AD427" i="14"/>
  <c r="AF428" i="14"/>
  <c r="AD431" i="14"/>
  <c r="AF432" i="14"/>
  <c r="AD435" i="14"/>
  <c r="AF436" i="14"/>
  <c r="AD439" i="14"/>
  <c r="AF440" i="14"/>
  <c r="AD443" i="14"/>
  <c r="AF444" i="14"/>
  <c r="AD447" i="14"/>
  <c r="AF448" i="14"/>
  <c r="AD451" i="14"/>
  <c r="AF452" i="14"/>
  <c r="AD455" i="14"/>
  <c r="AF456" i="14"/>
  <c r="AD459" i="14"/>
  <c r="AF460" i="14"/>
  <c r="AD463" i="14"/>
  <c r="AF464" i="14"/>
  <c r="AD467" i="14"/>
  <c r="AF468" i="14"/>
  <c r="AD471" i="14"/>
  <c r="AF472" i="14"/>
  <c r="AD475" i="14"/>
  <c r="AF476" i="14"/>
  <c r="AD479" i="14"/>
  <c r="AF480" i="14"/>
  <c r="AD483" i="14"/>
  <c r="AF484" i="14"/>
  <c r="AD487" i="14"/>
  <c r="AF488" i="14"/>
  <c r="AD491" i="14"/>
  <c r="AF492" i="14"/>
  <c r="AD495" i="14"/>
  <c r="AF496" i="14"/>
  <c r="AD499" i="14"/>
  <c r="AF500" i="14"/>
  <c r="AD503" i="14"/>
  <c r="AF504" i="14"/>
  <c r="AD507" i="14"/>
  <c r="AF508" i="14"/>
  <c r="AD511" i="14"/>
  <c r="AF512" i="14"/>
  <c r="AD515" i="14"/>
  <c r="AF516" i="14"/>
  <c r="AD519" i="14"/>
  <c r="AF520" i="14"/>
  <c r="AD523" i="14"/>
  <c r="AF524" i="14"/>
  <c r="AD527" i="14"/>
  <c r="AF528" i="14"/>
  <c r="AD531" i="14"/>
  <c r="AF532" i="14"/>
  <c r="AD535" i="14"/>
  <c r="AF536" i="14"/>
  <c r="AD539" i="14"/>
  <c r="AF540" i="14"/>
  <c r="AD543" i="14"/>
  <c r="AF544" i="14"/>
  <c r="AD547" i="14"/>
  <c r="AF548" i="14"/>
  <c r="AD551" i="14"/>
  <c r="AF552" i="14"/>
  <c r="AD555" i="14"/>
  <c r="AF556" i="14"/>
  <c r="AD559" i="14"/>
  <c r="AF560" i="14"/>
  <c r="AD563" i="14"/>
  <c r="AF564" i="14"/>
  <c r="AD567" i="14"/>
  <c r="AF568" i="14"/>
  <c r="AD571" i="14"/>
  <c r="AF572" i="14"/>
  <c r="AD575" i="14"/>
  <c r="AF576" i="14"/>
  <c r="AD579" i="14"/>
  <c r="AF580" i="14"/>
  <c r="AD583" i="14"/>
  <c r="AF584" i="14"/>
  <c r="AD587" i="14"/>
  <c r="AF588" i="14"/>
  <c r="AD591" i="14"/>
  <c r="AF592" i="14"/>
  <c r="AD595" i="14"/>
  <c r="AF596" i="14"/>
  <c r="AD599" i="14"/>
  <c r="AF600" i="14"/>
  <c r="AD603" i="14"/>
  <c r="AF604" i="14"/>
  <c r="AD607" i="14"/>
  <c r="AF608" i="14"/>
  <c r="AD611" i="14"/>
  <c r="AF612" i="14"/>
  <c r="AD615" i="14"/>
  <c r="AF616" i="14"/>
  <c r="AD619" i="14"/>
  <c r="AF620" i="14"/>
  <c r="AD623" i="14"/>
  <c r="AF624" i="14"/>
  <c r="AD627" i="14"/>
  <c r="AF628" i="14"/>
  <c r="AD631" i="14"/>
  <c r="AF632" i="14"/>
  <c r="AD635" i="14"/>
  <c r="AF636" i="14"/>
  <c r="AD639" i="14"/>
  <c r="AF640" i="14"/>
  <c r="AD643" i="14"/>
  <c r="AF644" i="14"/>
  <c r="AD647" i="14"/>
  <c r="AF648" i="14"/>
  <c r="AD651" i="14"/>
  <c r="AF652" i="14"/>
  <c r="AD655" i="14"/>
  <c r="AF656" i="14"/>
  <c r="AD659" i="14"/>
  <c r="AF660" i="14"/>
  <c r="AD663" i="14"/>
  <c r="AF664" i="14"/>
  <c r="AI280" i="14"/>
  <c r="AC280" i="14"/>
  <c r="AE280" i="14"/>
  <c r="AH283" i="14"/>
  <c r="AI284" i="14"/>
  <c r="AC284" i="14"/>
  <c r="AE284" i="14"/>
  <c r="AH287" i="14"/>
  <c r="AI288" i="14"/>
  <c r="AC288" i="14"/>
  <c r="AE288" i="14"/>
  <c r="AH291" i="14"/>
  <c r="AI292" i="14"/>
  <c r="AC292" i="14"/>
  <c r="AE292" i="14"/>
  <c r="AH295" i="14"/>
  <c r="AI296" i="14"/>
  <c r="AC296" i="14"/>
  <c r="AE296" i="14"/>
  <c r="AI300" i="14"/>
  <c r="AC300" i="14"/>
  <c r="AE300" i="14"/>
  <c r="AI304" i="14"/>
  <c r="AC304" i="14"/>
  <c r="AE304" i="14"/>
  <c r="AI308" i="14"/>
  <c r="AC308" i="14"/>
  <c r="AE308" i="14"/>
  <c r="AI312" i="14"/>
  <c r="AC312" i="14"/>
  <c r="AE312" i="14"/>
  <c r="AI316" i="14"/>
  <c r="AC316" i="14"/>
  <c r="AE316" i="14"/>
  <c r="AI320" i="14"/>
  <c r="AC320" i="14"/>
  <c r="AE320" i="14"/>
  <c r="AI324" i="14"/>
  <c r="AC324" i="14"/>
  <c r="AE324" i="14"/>
  <c r="AH327" i="14"/>
  <c r="AI328" i="14"/>
  <c r="AC328" i="14"/>
  <c r="AE328" i="14"/>
  <c r="AH331" i="14"/>
  <c r="AI332" i="14"/>
  <c r="AC332" i="14"/>
  <c r="AE332" i="14"/>
  <c r="AH335" i="14"/>
  <c r="AI336" i="14"/>
  <c r="AC336" i="14"/>
  <c r="AE336" i="14"/>
  <c r="AH339" i="14"/>
  <c r="AI340" i="14"/>
  <c r="AC340" i="14"/>
  <c r="AE340" i="14"/>
  <c r="AH343" i="14"/>
  <c r="AI344" i="14"/>
  <c r="AC344" i="14"/>
  <c r="AE344" i="14"/>
  <c r="AH347" i="14"/>
  <c r="AI348" i="14"/>
  <c r="AC348" i="14"/>
  <c r="AE348" i="14"/>
  <c r="AH351" i="14"/>
  <c r="AI352" i="14"/>
  <c r="AC352" i="14"/>
  <c r="AE352" i="14"/>
  <c r="AH355" i="14"/>
  <c r="AI356" i="14"/>
  <c r="AC356" i="14"/>
  <c r="AE356" i="14"/>
  <c r="AH359" i="14"/>
  <c r="AI360" i="14"/>
  <c r="AC360" i="14"/>
  <c r="AE360" i="14"/>
  <c r="AI364" i="14"/>
  <c r="AC364" i="14"/>
  <c r="AE364" i="14"/>
  <c r="AI368" i="14"/>
  <c r="AC368" i="14"/>
  <c r="AE368" i="14"/>
  <c r="AI372" i="14"/>
  <c r="AC372" i="14"/>
  <c r="AE372" i="14"/>
  <c r="AI376" i="14"/>
  <c r="AC376" i="14"/>
  <c r="AE376" i="14"/>
  <c r="AI380" i="14"/>
  <c r="AC380" i="14"/>
  <c r="AE380" i="14"/>
  <c r="AI384" i="14"/>
  <c r="AC384" i="14"/>
  <c r="AE384" i="14"/>
  <c r="AI388" i="14"/>
  <c r="AC388" i="14"/>
  <c r="AE388" i="14"/>
  <c r="AI392" i="14"/>
  <c r="AC392" i="14"/>
  <c r="AE392" i="14"/>
  <c r="AI396" i="14"/>
  <c r="AC396" i="14"/>
  <c r="AE396" i="14"/>
  <c r="AI400" i="14"/>
  <c r="AC400" i="14"/>
  <c r="AE400" i="14"/>
  <c r="AI404" i="14"/>
  <c r="AC404" i="14"/>
  <c r="AE404" i="14"/>
  <c r="AI408" i="14"/>
  <c r="AC408" i="14"/>
  <c r="AE408" i="14"/>
  <c r="AI412" i="14"/>
  <c r="AC412" i="14"/>
  <c r="AE412" i="14"/>
  <c r="AI416" i="14"/>
  <c r="AC416" i="14"/>
  <c r="AE416" i="14"/>
  <c r="AI420" i="14"/>
  <c r="AC420" i="14"/>
  <c r="AE420" i="14"/>
  <c r="AI424" i="14"/>
  <c r="AC424" i="14"/>
  <c r="AE424" i="14"/>
  <c r="AI428" i="14"/>
  <c r="AC428" i="14"/>
  <c r="AE428" i="14"/>
  <c r="AI432" i="14"/>
  <c r="AC432" i="14"/>
  <c r="AE432" i="14"/>
  <c r="AI436" i="14"/>
  <c r="AC436" i="14"/>
  <c r="AE436" i="14"/>
  <c r="AI440" i="14"/>
  <c r="AC440" i="14"/>
  <c r="AE440" i="14"/>
  <c r="AH443" i="14"/>
  <c r="AI444" i="14"/>
  <c r="AC444" i="14"/>
  <c r="AE444" i="14"/>
  <c r="AH447" i="14"/>
  <c r="AI448" i="14"/>
  <c r="AC448" i="14"/>
  <c r="AE448" i="14"/>
  <c r="AH451" i="14"/>
  <c r="AI452" i="14"/>
  <c r="AC452" i="14"/>
  <c r="AE452" i="14"/>
  <c r="AI456" i="14"/>
  <c r="AC456" i="14"/>
  <c r="AE456" i="14"/>
  <c r="AI460" i="14"/>
  <c r="AC460" i="14"/>
  <c r="AE460" i="14"/>
  <c r="AI464" i="14"/>
  <c r="AC464" i="14"/>
  <c r="AE464" i="14"/>
  <c r="AI468" i="14"/>
  <c r="AC468" i="14"/>
  <c r="AE468" i="14"/>
  <c r="AI472" i="14"/>
  <c r="AC472" i="14"/>
  <c r="AE472" i="14"/>
  <c r="AI476" i="14"/>
  <c r="AC476" i="14"/>
  <c r="AE476" i="14"/>
  <c r="AI480" i="14"/>
  <c r="AC480" i="14"/>
  <c r="AE480" i="14"/>
  <c r="AI484" i="14"/>
  <c r="AC484" i="14"/>
  <c r="AE484" i="14"/>
  <c r="AI488" i="14"/>
  <c r="AC488" i="14"/>
  <c r="AE488" i="14"/>
  <c r="AI492" i="14"/>
  <c r="AC492" i="14"/>
  <c r="AE492" i="14"/>
  <c r="AI496" i="14"/>
  <c r="AC496" i="14"/>
  <c r="AE496" i="14"/>
  <c r="AI500" i="14"/>
  <c r="AC500" i="14"/>
  <c r="AE500" i="14"/>
  <c r="AI504" i="14"/>
  <c r="AC504" i="14"/>
  <c r="AE504" i="14"/>
  <c r="AI508" i="14"/>
  <c r="AC508" i="14"/>
  <c r="AE508" i="14"/>
  <c r="AI512" i="14"/>
  <c r="AC512" i="14"/>
  <c r="AE512" i="14"/>
  <c r="AI516" i="14"/>
  <c r="AC516" i="14"/>
  <c r="AE516" i="14"/>
  <c r="AI520" i="14"/>
  <c r="AC520" i="14"/>
  <c r="AE520" i="14"/>
  <c r="AI524" i="14"/>
  <c r="AC524" i="14"/>
  <c r="AE524" i="14"/>
  <c r="AI528" i="14"/>
  <c r="AC528" i="14"/>
  <c r="AE528" i="14"/>
  <c r="AI532" i="14"/>
  <c r="AC532" i="14"/>
  <c r="AE532" i="14"/>
  <c r="AI536" i="14"/>
  <c r="AC536" i="14"/>
  <c r="AE536" i="14"/>
  <c r="AI540" i="14"/>
  <c r="AC540" i="14"/>
  <c r="AE540" i="14"/>
  <c r="AI544" i="14"/>
  <c r="AC544" i="14"/>
  <c r="AE544" i="14"/>
  <c r="AI548" i="14"/>
  <c r="AC548" i="14"/>
  <c r="AE548" i="14"/>
  <c r="AI552" i="14"/>
  <c r="AC552" i="14"/>
  <c r="AE552" i="14"/>
  <c r="AI556" i="14"/>
  <c r="AC556" i="14"/>
  <c r="AE556" i="14"/>
  <c r="AI560" i="14"/>
  <c r="AC560" i="14"/>
  <c r="AE560" i="14"/>
  <c r="AI564" i="14"/>
  <c r="AC564" i="14"/>
  <c r="AE564" i="14"/>
  <c r="AI568" i="14"/>
  <c r="AC568" i="14"/>
  <c r="AE568" i="14"/>
  <c r="AI572" i="14"/>
  <c r="AC572" i="14"/>
  <c r="AE572" i="14"/>
  <c r="AI576" i="14"/>
  <c r="AC576" i="14"/>
  <c r="AE576" i="14"/>
  <c r="AI580" i="14"/>
  <c r="AC580" i="14"/>
  <c r="AE580" i="14"/>
  <c r="AI584" i="14"/>
  <c r="AC584" i="14"/>
  <c r="AE584" i="14"/>
  <c r="AI588" i="14"/>
  <c r="AC588" i="14"/>
  <c r="AE588" i="14"/>
  <c r="AI592" i="14"/>
  <c r="AC592" i="14"/>
  <c r="AE592" i="14"/>
  <c r="AI596" i="14"/>
  <c r="AC596" i="14"/>
  <c r="AE596" i="14"/>
  <c r="AI600" i="14"/>
  <c r="AC600" i="14"/>
  <c r="AE600" i="14"/>
  <c r="AI604" i="14"/>
  <c r="AC604" i="14"/>
  <c r="AE604" i="14"/>
  <c r="AI608" i="14"/>
  <c r="AC608" i="14"/>
  <c r="AE608" i="14"/>
  <c r="AI612" i="14"/>
  <c r="AC612" i="14"/>
  <c r="AE612" i="14"/>
  <c r="AI616" i="14"/>
  <c r="AC616" i="14"/>
  <c r="AE616" i="14"/>
  <c r="AI620" i="14"/>
  <c r="AC620" i="14"/>
  <c r="AE620" i="14"/>
  <c r="AI624" i="14"/>
  <c r="AC624" i="14"/>
  <c r="AE624" i="14"/>
  <c r="AI628" i="14"/>
  <c r="AC628" i="14"/>
  <c r="AE628" i="14"/>
  <c r="AI632" i="14"/>
  <c r="AC632" i="14"/>
  <c r="AE632" i="14"/>
  <c r="AI636" i="14"/>
  <c r="AC636" i="14"/>
  <c r="AE636" i="14"/>
  <c r="AI640" i="14"/>
  <c r="AC640" i="14"/>
  <c r="AE640" i="14"/>
  <c r="AI644" i="14"/>
  <c r="AC644" i="14"/>
  <c r="AE644" i="14"/>
  <c r="AI648" i="14"/>
  <c r="AC648" i="14"/>
  <c r="AE648" i="14"/>
  <c r="AI652" i="14"/>
  <c r="AC652" i="14"/>
  <c r="AE652" i="14"/>
  <c r="AI656" i="14"/>
  <c r="AC656" i="14"/>
  <c r="AE656" i="14"/>
  <c r="AI660" i="14"/>
  <c r="AC660" i="14"/>
  <c r="AE660" i="14"/>
  <c r="AI664" i="14"/>
  <c r="AC664" i="14"/>
  <c r="AE664" i="14"/>
  <c r="AI668" i="14"/>
  <c r="AC668" i="14"/>
  <c r="AE668" i="14"/>
  <c r="AI672" i="14"/>
  <c r="AC672" i="14"/>
  <c r="AE672" i="14"/>
  <c r="AI676" i="14"/>
  <c r="AC676" i="14"/>
  <c r="AE676" i="14"/>
  <c r="AI680" i="14"/>
  <c r="AC680" i="14"/>
  <c r="AE680" i="14"/>
  <c r="AI684" i="14"/>
  <c r="AC684" i="14"/>
  <c r="AE684" i="14"/>
  <c r="AI688" i="14"/>
  <c r="AC688" i="14"/>
  <c r="AE688" i="14"/>
  <c r="AI692" i="14"/>
  <c r="AC692" i="14"/>
  <c r="AE692" i="14"/>
  <c r="AI696" i="14"/>
  <c r="AC696" i="14"/>
  <c r="AE696" i="14"/>
  <c r="AI700" i="14"/>
  <c r="AC700" i="14"/>
  <c r="AE700" i="14"/>
  <c r="AF293" i="14"/>
  <c r="AF297" i="14"/>
  <c r="AF301" i="14"/>
  <c r="AF305" i="14"/>
  <c r="AF309" i="14"/>
  <c r="AF313" i="14"/>
  <c r="AF317" i="14"/>
  <c r="AF321" i="14"/>
  <c r="AF325" i="14"/>
  <c r="AF329" i="14"/>
  <c r="AF333" i="14"/>
  <c r="AF337" i="14"/>
  <c r="AF341" i="14"/>
  <c r="AF345" i="14"/>
  <c r="AF349" i="14"/>
  <c r="AF353" i="14"/>
  <c r="AF357" i="14"/>
  <c r="AF361" i="14"/>
  <c r="AF365" i="14"/>
  <c r="AF369" i="14"/>
  <c r="AF373" i="14"/>
  <c r="AF377" i="14"/>
  <c r="AF381" i="14"/>
  <c r="AF385" i="14"/>
  <c r="AF389" i="14"/>
  <c r="AF393" i="14"/>
  <c r="AF397" i="14"/>
  <c r="AF401" i="14"/>
  <c r="AF405" i="14"/>
  <c r="AF409" i="14"/>
  <c r="AF413" i="14"/>
  <c r="AF417" i="14"/>
  <c r="AF421" i="14"/>
  <c r="AF425" i="14"/>
  <c r="AF429" i="14"/>
  <c r="AF433" i="14"/>
  <c r="AF437" i="14"/>
  <c r="AF441" i="14"/>
  <c r="AF445" i="14"/>
  <c r="AF449" i="14"/>
  <c r="AF453" i="14"/>
  <c r="AF457" i="14"/>
  <c r="AF461" i="14"/>
  <c r="AF465" i="14"/>
  <c r="AF469" i="14"/>
  <c r="AF473" i="14"/>
  <c r="AF477" i="14"/>
  <c r="AF481" i="14"/>
  <c r="AF485" i="14"/>
  <c r="AF489" i="14"/>
  <c r="AF493" i="14"/>
  <c r="AF497" i="14"/>
  <c r="AF501" i="14"/>
  <c r="AF505" i="14"/>
  <c r="AF509" i="14"/>
  <c r="AF513" i="14"/>
  <c r="AF517" i="14"/>
  <c r="AF521" i="14"/>
  <c r="AF525" i="14"/>
  <c r="AF529" i="14"/>
  <c r="AF533" i="14"/>
  <c r="AF537" i="14"/>
  <c r="AF541" i="14"/>
  <c r="AF545" i="14"/>
  <c r="AF549" i="14"/>
  <c r="AF553" i="14"/>
  <c r="AF557" i="14"/>
  <c r="AF561" i="14"/>
  <c r="AF565" i="14"/>
  <c r="AF569" i="14"/>
  <c r="AF573" i="14"/>
  <c r="AF577" i="14"/>
  <c r="AF581" i="14"/>
  <c r="AF585" i="14"/>
  <c r="AF589" i="14"/>
  <c r="AF593" i="14"/>
  <c r="AF597" i="14"/>
  <c r="AF601" i="14"/>
  <c r="AF605" i="14"/>
  <c r="AF609" i="14"/>
  <c r="AF613" i="14"/>
  <c r="AF617" i="14"/>
  <c r="AF621" i="14"/>
  <c r="AF625" i="14"/>
  <c r="AF629" i="14"/>
  <c r="AF633" i="14"/>
  <c r="AF637" i="14"/>
  <c r="AF641" i="14"/>
  <c r="AF645" i="14"/>
  <c r="AF649" i="14"/>
  <c r="AF653" i="14"/>
  <c r="AF657" i="14"/>
  <c r="AF661" i="14"/>
  <c r="AF665" i="14"/>
  <c r="AF669" i="14"/>
  <c r="AF673" i="14"/>
  <c r="AF677" i="14"/>
  <c r="AF681" i="14"/>
  <c r="AF685" i="14"/>
  <c r="AF689" i="14"/>
  <c r="AF693" i="14"/>
  <c r="AF697" i="14"/>
  <c r="AF701" i="14"/>
  <c r="AF705" i="14"/>
  <c r="AF709" i="14"/>
  <c r="AF713" i="14"/>
  <c r="AF717" i="14"/>
  <c r="AF721" i="14"/>
  <c r="AF725" i="14"/>
  <c r="AF729" i="14"/>
  <c r="AF733" i="14"/>
  <c r="AF737" i="14"/>
  <c r="AF741" i="14"/>
  <c r="AF745" i="14"/>
  <c r="AF749" i="14"/>
  <c r="AF753" i="14"/>
  <c r="AF757" i="14"/>
  <c r="AF761" i="14"/>
  <c r="AF765" i="14"/>
  <c r="AF666" i="14"/>
  <c r="AD669" i="14"/>
  <c r="AF670" i="14"/>
  <c r="AD673" i="14"/>
  <c r="AF674" i="14"/>
  <c r="AD677" i="14"/>
  <c r="AF678" i="14"/>
  <c r="AD681" i="14"/>
  <c r="AF682" i="14"/>
  <c r="AD685" i="14"/>
  <c r="AF686" i="14"/>
  <c r="AD689" i="14"/>
  <c r="AF690" i="14"/>
  <c r="AD693" i="14"/>
  <c r="AF694" i="14"/>
  <c r="AD697" i="14"/>
  <c r="AF698" i="14"/>
  <c r="AD701" i="14"/>
  <c r="AF702" i="14"/>
  <c r="AD705" i="14"/>
  <c r="AF706" i="14"/>
  <c r="AD709" i="14"/>
  <c r="AF710" i="14"/>
  <c r="AD713" i="14"/>
  <c r="AF714" i="14"/>
  <c r="AD717" i="14"/>
  <c r="AF718" i="14"/>
  <c r="AD721" i="14"/>
  <c r="AF722" i="14"/>
  <c r="AD725" i="14"/>
  <c r="AF726" i="14"/>
  <c r="AD729" i="14"/>
  <c r="AF730" i="14"/>
  <c r="AD733" i="14"/>
  <c r="AF734" i="14"/>
  <c r="AD737" i="14"/>
  <c r="AF738" i="14"/>
  <c r="AD741" i="14"/>
  <c r="AF742" i="14"/>
  <c r="AD745" i="14"/>
  <c r="AF746" i="14"/>
  <c r="AD749" i="14"/>
  <c r="AF750" i="14"/>
  <c r="AD753" i="14"/>
  <c r="AF754" i="14"/>
  <c r="AD757" i="14"/>
  <c r="AF758" i="14"/>
  <c r="AD761" i="14"/>
  <c r="AF762" i="14"/>
  <c r="AD765" i="14"/>
  <c r="AF766" i="14"/>
  <c r="AD769" i="14"/>
  <c r="AF770" i="14"/>
  <c r="AD773" i="14"/>
  <c r="AF774" i="14"/>
  <c r="AD777" i="14"/>
  <c r="AF778" i="14"/>
  <c r="AD781" i="14"/>
  <c r="AF782" i="14"/>
  <c r="AD785" i="14"/>
  <c r="AF786" i="14"/>
  <c r="AD789" i="14"/>
  <c r="AF790" i="14"/>
  <c r="AD793" i="14"/>
  <c r="AF794" i="14"/>
  <c r="AD797" i="14"/>
  <c r="AF798" i="14"/>
  <c r="AD801" i="14"/>
  <c r="AF802" i="14"/>
  <c r="AD805" i="14"/>
  <c r="AF806" i="14"/>
  <c r="AD809" i="14"/>
  <c r="AF810" i="14"/>
  <c r="AD813" i="14"/>
  <c r="AF814" i="14"/>
  <c r="AD817" i="14"/>
  <c r="AF818" i="14"/>
  <c r="AD821" i="14"/>
  <c r="AF822" i="14"/>
  <c r="AD825" i="14"/>
  <c r="AF826" i="14"/>
  <c r="AD829" i="14"/>
  <c r="AF830" i="14"/>
  <c r="AD833" i="14"/>
  <c r="AF834" i="14"/>
  <c r="AD837" i="14"/>
  <c r="AF838" i="14"/>
  <c r="AD841" i="14"/>
  <c r="AF842" i="14"/>
  <c r="AD845" i="14"/>
  <c r="AF846" i="14"/>
  <c r="AD849" i="14"/>
  <c r="AF850" i="14"/>
  <c r="AD853" i="14"/>
  <c r="AF854" i="14"/>
  <c r="AD857" i="14"/>
  <c r="AF858" i="14"/>
  <c r="AD861" i="14"/>
  <c r="AF862" i="14"/>
  <c r="AD865" i="14"/>
  <c r="AF866" i="14"/>
  <c r="AD869" i="14"/>
  <c r="AF870" i="14"/>
  <c r="AD873" i="14"/>
  <c r="AF874" i="14"/>
  <c r="AD877" i="14"/>
  <c r="AF878" i="14"/>
  <c r="AD881" i="14"/>
  <c r="AF882" i="14"/>
  <c r="AD885" i="14"/>
  <c r="AF886" i="14"/>
  <c r="AD889" i="14"/>
  <c r="AF890" i="14"/>
  <c r="AD893" i="14"/>
  <c r="AF894" i="14"/>
  <c r="AD897" i="14"/>
  <c r="AF898" i="14"/>
  <c r="AD901" i="14"/>
  <c r="AF902" i="14"/>
  <c r="AD905" i="14"/>
  <c r="AF906" i="14"/>
  <c r="AD909" i="14"/>
  <c r="AF910" i="14"/>
  <c r="AD913" i="14"/>
  <c r="AF914" i="14"/>
  <c r="AD917" i="14"/>
  <c r="AF918" i="14"/>
  <c r="AD921" i="14"/>
  <c r="AF922" i="14"/>
  <c r="AD925" i="14"/>
  <c r="AF926" i="14"/>
  <c r="AD929" i="14"/>
  <c r="AF930" i="14"/>
  <c r="AD933" i="14"/>
  <c r="AF934" i="14"/>
  <c r="AD937" i="14"/>
  <c r="AF938" i="14"/>
  <c r="AD941" i="14"/>
  <c r="AF942" i="14"/>
  <c r="AD945" i="14"/>
  <c r="AF946" i="14"/>
  <c r="AD949" i="14"/>
  <c r="AF950" i="14"/>
  <c r="AD953" i="14"/>
  <c r="AF954" i="14"/>
  <c r="AD957" i="14"/>
  <c r="AF958" i="14"/>
  <c r="AD961" i="14"/>
  <c r="AF962" i="14"/>
  <c r="AD965" i="14"/>
  <c r="AF966" i="14"/>
  <c r="AD969" i="14"/>
  <c r="AF970" i="14"/>
  <c r="AD973" i="14"/>
  <c r="AF974" i="14"/>
  <c r="AD977" i="14"/>
  <c r="AF978" i="14"/>
  <c r="AD981" i="14"/>
  <c r="AF982" i="14"/>
  <c r="AD985" i="14"/>
  <c r="AF986" i="14"/>
  <c r="AD989" i="14"/>
  <c r="AF990" i="14"/>
  <c r="AD993" i="14"/>
  <c r="AF994" i="14"/>
  <c r="AD997" i="14"/>
  <c r="AH665" i="14"/>
  <c r="AI666" i="14"/>
  <c r="AC666" i="14"/>
  <c r="AE666" i="14"/>
  <c r="AH669" i="14"/>
  <c r="AI670" i="14"/>
  <c r="AC670" i="14"/>
  <c r="AE670" i="14"/>
  <c r="AH673" i="14"/>
  <c r="AI674" i="14"/>
  <c r="AC674" i="14"/>
  <c r="AE674" i="14"/>
  <c r="AH677" i="14"/>
  <c r="AI678" i="14"/>
  <c r="AC678" i="14"/>
  <c r="AE678" i="14"/>
  <c r="AH681" i="14"/>
  <c r="AI682" i="14"/>
  <c r="AC682" i="14"/>
  <c r="AE682" i="14"/>
  <c r="AH685" i="14"/>
  <c r="AI686" i="14"/>
  <c r="AC686" i="14"/>
  <c r="AE686" i="14"/>
  <c r="AH689" i="14"/>
  <c r="AI690" i="14"/>
  <c r="AC690" i="14"/>
  <c r="AE690" i="14"/>
  <c r="AH693" i="14"/>
  <c r="AI694" i="14"/>
  <c r="AC694" i="14"/>
  <c r="AE694" i="14"/>
  <c r="AH697" i="14"/>
  <c r="AI698" i="14"/>
  <c r="AC698" i="14"/>
  <c r="AE698" i="14"/>
  <c r="AH701" i="14"/>
  <c r="AI702" i="14"/>
  <c r="AC702" i="14"/>
  <c r="AE702" i="14"/>
  <c r="AH705" i="14"/>
  <c r="AI706" i="14"/>
  <c r="AC706" i="14"/>
  <c r="AE706" i="14"/>
  <c r="AH709" i="14"/>
  <c r="AI710" i="14"/>
  <c r="AC710" i="14"/>
  <c r="AE710" i="14"/>
  <c r="AH713" i="14"/>
  <c r="AI714" i="14"/>
  <c r="AC714" i="14"/>
  <c r="AE714" i="14"/>
  <c r="AH717" i="14"/>
  <c r="AI718" i="14"/>
  <c r="AC718" i="14"/>
  <c r="AE718" i="14"/>
  <c r="AH721" i="14"/>
  <c r="AI722" i="14"/>
  <c r="AC722" i="14"/>
  <c r="AE722" i="14"/>
  <c r="AH725" i="14"/>
  <c r="AI726" i="14"/>
  <c r="AC726" i="14"/>
  <c r="AE726" i="14"/>
  <c r="AH729" i="14"/>
  <c r="AI730" i="14"/>
  <c r="AC730" i="14"/>
  <c r="AE730" i="14"/>
  <c r="AH733" i="14"/>
  <c r="AI734" i="14"/>
  <c r="AC734" i="14"/>
  <c r="AE734" i="14"/>
  <c r="AH737" i="14"/>
  <c r="AI738" i="14"/>
  <c r="AC738" i="14"/>
  <c r="AE738" i="14"/>
  <c r="AH741" i="14"/>
  <c r="AI742" i="14"/>
  <c r="AC742" i="14"/>
  <c r="AE742" i="14"/>
  <c r="AH745" i="14"/>
  <c r="AI746" i="14"/>
  <c r="AC746" i="14"/>
  <c r="AE746" i="14"/>
  <c r="AH749" i="14"/>
  <c r="AI750" i="14"/>
  <c r="AC750" i="14"/>
  <c r="AE750" i="14"/>
  <c r="AH753" i="14"/>
  <c r="AI754" i="14"/>
  <c r="AC754" i="14"/>
  <c r="AE754" i="14"/>
  <c r="AH757" i="14"/>
  <c r="AI758" i="14"/>
  <c r="AC758" i="14"/>
  <c r="AE758" i="14"/>
  <c r="AH761" i="14"/>
  <c r="AI762" i="14"/>
  <c r="AC762" i="14"/>
  <c r="AE762" i="14"/>
  <c r="AH765" i="14"/>
  <c r="AI766" i="14"/>
  <c r="AC766" i="14"/>
  <c r="AE766" i="14"/>
  <c r="AH769" i="14"/>
  <c r="AI770" i="14"/>
  <c r="AC770" i="14"/>
  <c r="AE770" i="14"/>
  <c r="AH773" i="14"/>
  <c r="AI774" i="14"/>
  <c r="AC774" i="14"/>
  <c r="AE774" i="14"/>
  <c r="AH777" i="14"/>
  <c r="AI778" i="14"/>
  <c r="AC778" i="14"/>
  <c r="AE778" i="14"/>
  <c r="AH781" i="14"/>
  <c r="AI782" i="14"/>
  <c r="AC782" i="14"/>
  <c r="AE782" i="14"/>
  <c r="AH785" i="14"/>
  <c r="AI786" i="14"/>
  <c r="AC786" i="14"/>
  <c r="AE786" i="14"/>
  <c r="AH789" i="14"/>
  <c r="AI790" i="14"/>
  <c r="AC790" i="14"/>
  <c r="AE790" i="14"/>
  <c r="AH793" i="14"/>
  <c r="AI794" i="14"/>
  <c r="AC794" i="14"/>
  <c r="AE794" i="14"/>
  <c r="AH797" i="14"/>
  <c r="AI798" i="14"/>
  <c r="AC798" i="14"/>
  <c r="AE798" i="14"/>
  <c r="AH801" i="14"/>
  <c r="AI802" i="14"/>
  <c r="AC802" i="14"/>
  <c r="AE802" i="14"/>
  <c r="AH805" i="14"/>
  <c r="AI806" i="14"/>
  <c r="AC806" i="14"/>
  <c r="AE806" i="14"/>
  <c r="AH809" i="14"/>
  <c r="AI810" i="14"/>
  <c r="AC810" i="14"/>
  <c r="AE810" i="14"/>
  <c r="AH813" i="14"/>
  <c r="AI814" i="14"/>
  <c r="AC814" i="14"/>
  <c r="AE814" i="14"/>
  <c r="AH817" i="14"/>
  <c r="AI818" i="14"/>
  <c r="AC818" i="14"/>
  <c r="AE818" i="14"/>
  <c r="AH821" i="14"/>
  <c r="AI822" i="14"/>
  <c r="AC822" i="14"/>
  <c r="AE822" i="14"/>
  <c r="AH825" i="14"/>
  <c r="AI826" i="14"/>
  <c r="AC826" i="14"/>
  <c r="AE826" i="14"/>
  <c r="AH829" i="14"/>
  <c r="AI830" i="14"/>
  <c r="AC830" i="14"/>
  <c r="AE830" i="14"/>
  <c r="AH833" i="14"/>
  <c r="AI834" i="14"/>
  <c r="AC834" i="14"/>
  <c r="AE834" i="14"/>
  <c r="AH837" i="14"/>
  <c r="AI838" i="14"/>
  <c r="AC838" i="14"/>
  <c r="AE838" i="14"/>
  <c r="AH841" i="14"/>
  <c r="AI842" i="14"/>
  <c r="AC842" i="14"/>
  <c r="AE842" i="14"/>
  <c r="AH845" i="14"/>
  <c r="AI846" i="14"/>
  <c r="AC846" i="14"/>
  <c r="AE846" i="14"/>
  <c r="AH849" i="14"/>
  <c r="AI850" i="14"/>
  <c r="AC850" i="14"/>
  <c r="AE850" i="14"/>
  <c r="AH853" i="14"/>
  <c r="AI854" i="14"/>
  <c r="AC854" i="14"/>
  <c r="AE854" i="14"/>
  <c r="AH857" i="14"/>
  <c r="AI858" i="14"/>
  <c r="AC858" i="14"/>
  <c r="AE858" i="14"/>
  <c r="AH861" i="14"/>
  <c r="AI862" i="14"/>
  <c r="AC862" i="14"/>
  <c r="AE862" i="14"/>
  <c r="AH865" i="14"/>
  <c r="AI866" i="14"/>
  <c r="AC866" i="14"/>
  <c r="AE866" i="14"/>
  <c r="AH869" i="14"/>
  <c r="AI870" i="14"/>
  <c r="AC870" i="14"/>
  <c r="AE870" i="14"/>
  <c r="AH873" i="14"/>
  <c r="AI874" i="14"/>
  <c r="AC874" i="14"/>
  <c r="AE874" i="14"/>
  <c r="AH877" i="14"/>
  <c r="AI878" i="14"/>
  <c r="AC878" i="14"/>
  <c r="AE878" i="14"/>
  <c r="AH881" i="14"/>
  <c r="AI882" i="14"/>
  <c r="AC882" i="14"/>
  <c r="AE882" i="14"/>
  <c r="AH885" i="14"/>
  <c r="AI886" i="14"/>
  <c r="AC886" i="14"/>
  <c r="AE886" i="14"/>
  <c r="AH889" i="14"/>
  <c r="AI890" i="14"/>
  <c r="AC890" i="14"/>
  <c r="AE890" i="14"/>
  <c r="AH893" i="14"/>
  <c r="AI894" i="14"/>
  <c r="AC894" i="14"/>
  <c r="AE894" i="14"/>
  <c r="AH897" i="14"/>
  <c r="AI898" i="14"/>
  <c r="AC898" i="14"/>
  <c r="AE898" i="14"/>
  <c r="AH901" i="14"/>
  <c r="AI902" i="14"/>
  <c r="AC902" i="14"/>
  <c r="AE902" i="14"/>
  <c r="AH905" i="14"/>
  <c r="AI906" i="14"/>
  <c r="AC906" i="14"/>
  <c r="AE906" i="14"/>
  <c r="AH909" i="14"/>
  <c r="AI910" i="14"/>
  <c r="AC910" i="14"/>
  <c r="AE910" i="14"/>
  <c r="AH913" i="14"/>
  <c r="AI914" i="14"/>
  <c r="AC914" i="14"/>
  <c r="AE914" i="14"/>
  <c r="AH917" i="14"/>
  <c r="AI918" i="14"/>
  <c r="AC918" i="14"/>
  <c r="AE918" i="14"/>
  <c r="AH921" i="14"/>
  <c r="AI922" i="14"/>
  <c r="AC922" i="14"/>
  <c r="AE922" i="14"/>
  <c r="AH925" i="14"/>
  <c r="AI926" i="14"/>
  <c r="AC926" i="14"/>
  <c r="AE926" i="14"/>
  <c r="AH929" i="14"/>
  <c r="AI930" i="14"/>
  <c r="AC930" i="14"/>
  <c r="AE930" i="14"/>
  <c r="AH933" i="14"/>
  <c r="AI934" i="14"/>
  <c r="AC934" i="14"/>
  <c r="AE934" i="14"/>
  <c r="AH937" i="14"/>
  <c r="AI938" i="14"/>
  <c r="AC938" i="14"/>
  <c r="AE938" i="14"/>
  <c r="AH941" i="14"/>
  <c r="AI942" i="14"/>
  <c r="AC942" i="14"/>
  <c r="AE942" i="14"/>
  <c r="AH945" i="14"/>
  <c r="AI946" i="14"/>
  <c r="AC946" i="14"/>
  <c r="AE946" i="14"/>
  <c r="AH949" i="14"/>
  <c r="AI950" i="14"/>
  <c r="AC950" i="14"/>
  <c r="AE950" i="14"/>
  <c r="AH953" i="14"/>
  <c r="AI954" i="14"/>
  <c r="AC954" i="14"/>
  <c r="AE954" i="14"/>
  <c r="AH957" i="14"/>
  <c r="AI958" i="14"/>
  <c r="AC958" i="14"/>
  <c r="AE958" i="14"/>
  <c r="AH961" i="14"/>
  <c r="AI962" i="14"/>
  <c r="AC962" i="14"/>
  <c r="AE962" i="14"/>
  <c r="AH965" i="14"/>
  <c r="AI966" i="14"/>
  <c r="AC966" i="14"/>
  <c r="AE966" i="14"/>
  <c r="AH969" i="14"/>
  <c r="AI970" i="14"/>
  <c r="AC970" i="14"/>
  <c r="AE970" i="14"/>
  <c r="AH973" i="14"/>
  <c r="AI974" i="14"/>
  <c r="AC974" i="14"/>
  <c r="AE974" i="14"/>
  <c r="AH977" i="14"/>
  <c r="AI978" i="14"/>
  <c r="AC978" i="14"/>
  <c r="AE978" i="14"/>
  <c r="AH981" i="14"/>
  <c r="AI982" i="14"/>
  <c r="AC982" i="14"/>
  <c r="AE982" i="14"/>
  <c r="AH985" i="14"/>
  <c r="AI986" i="14"/>
  <c r="AC986" i="14"/>
  <c r="AE986" i="14"/>
  <c r="AH989" i="14"/>
  <c r="AI990" i="14"/>
  <c r="AC990" i="14"/>
  <c r="AE990" i="14"/>
  <c r="AH993" i="14"/>
  <c r="AI994" i="14"/>
  <c r="AC994" i="14"/>
  <c r="AE994" i="14"/>
  <c r="AH997" i="14"/>
  <c r="AI998" i="14"/>
  <c r="AC998" i="14"/>
  <c r="AE998" i="14"/>
  <c r="AH1001" i="14"/>
  <c r="AI1002" i="14"/>
  <c r="AC1002" i="14"/>
  <c r="AE1002" i="14"/>
  <c r="AD682" i="14"/>
  <c r="AF683" i="14"/>
  <c r="AD686" i="14"/>
  <c r="AF687" i="14"/>
  <c r="AD690" i="14"/>
  <c r="AF691" i="14"/>
  <c r="AD694" i="14"/>
  <c r="AF695" i="14"/>
  <c r="AD698" i="14"/>
  <c r="AF699" i="14"/>
  <c r="AD702" i="14"/>
  <c r="AF703" i="14"/>
  <c r="AD706" i="14"/>
  <c r="AF707" i="14"/>
  <c r="AD710" i="14"/>
  <c r="AF711" i="14"/>
  <c r="AD714" i="14"/>
  <c r="AF715" i="14"/>
  <c r="AD718" i="14"/>
  <c r="AF719" i="14"/>
  <c r="AD722" i="14"/>
  <c r="AF723" i="14"/>
  <c r="AD726" i="14"/>
  <c r="AF727" i="14"/>
  <c r="AD730" i="14"/>
  <c r="AF731" i="14"/>
  <c r="AD734" i="14"/>
  <c r="AF735" i="14"/>
  <c r="AD738" i="14"/>
  <c r="AF739" i="14"/>
  <c r="AD742" i="14"/>
  <c r="AF743" i="14"/>
  <c r="AD746" i="14"/>
  <c r="AF747" i="14"/>
  <c r="AD750" i="14"/>
  <c r="AF751" i="14"/>
  <c r="AD754" i="14"/>
  <c r="AF755" i="14"/>
  <c r="AD758" i="14"/>
  <c r="AF759" i="14"/>
  <c r="AD762" i="14"/>
  <c r="AF763" i="14"/>
  <c r="AD766" i="14"/>
  <c r="AF767" i="14"/>
  <c r="AD770" i="14"/>
  <c r="AF771" i="14"/>
  <c r="AD774" i="14"/>
  <c r="AF775" i="14"/>
  <c r="AD778" i="14"/>
  <c r="AF779" i="14"/>
  <c r="AD782" i="14"/>
  <c r="AF783" i="14"/>
  <c r="AD786" i="14"/>
  <c r="AF787" i="14"/>
  <c r="AD790" i="14"/>
  <c r="AF791" i="14"/>
  <c r="AD794" i="14"/>
  <c r="AF795" i="14"/>
  <c r="AD798" i="14"/>
  <c r="AF799" i="14"/>
  <c r="AD802" i="14"/>
  <c r="AF803" i="14"/>
  <c r="AD806" i="14"/>
  <c r="AF807" i="14"/>
  <c r="AD810" i="14"/>
  <c r="AF811" i="14"/>
  <c r="AD814" i="14"/>
  <c r="AF815" i="14"/>
  <c r="AD818" i="14"/>
  <c r="AF819" i="14"/>
  <c r="AD822" i="14"/>
  <c r="AF823" i="14"/>
  <c r="AD826" i="14"/>
  <c r="AF827" i="14"/>
  <c r="AD830" i="14"/>
  <c r="AF831" i="14"/>
  <c r="AD834" i="14"/>
  <c r="AF835" i="14"/>
  <c r="AD838" i="14"/>
  <c r="AF839" i="14"/>
  <c r="AD842" i="14"/>
  <c r="AF843" i="14"/>
  <c r="AD846" i="14"/>
  <c r="AF847" i="14"/>
  <c r="AD850" i="14"/>
  <c r="AF851" i="14"/>
  <c r="AD854" i="14"/>
  <c r="AF855" i="14"/>
  <c r="AD858" i="14"/>
  <c r="AF859" i="14"/>
  <c r="AD862" i="14"/>
  <c r="AF863" i="14"/>
  <c r="AD866" i="14"/>
  <c r="AF867" i="14"/>
  <c r="AD870" i="14"/>
  <c r="AF871" i="14"/>
  <c r="AD874" i="14"/>
  <c r="AF875" i="14"/>
  <c r="AD878" i="14"/>
  <c r="AF879" i="14"/>
  <c r="AD882" i="14"/>
  <c r="AF883" i="14"/>
  <c r="AD886" i="14"/>
  <c r="AF887" i="14"/>
  <c r="AD890" i="14"/>
  <c r="AF891" i="14"/>
  <c r="AD894" i="14"/>
  <c r="AF895" i="14"/>
  <c r="AD898" i="14"/>
  <c r="AF899" i="14"/>
  <c r="AD902" i="14"/>
  <c r="AF903" i="14"/>
  <c r="AD906" i="14"/>
  <c r="AF907" i="14"/>
  <c r="AD910" i="14"/>
  <c r="AF911" i="14"/>
  <c r="AD914" i="14"/>
  <c r="AF915" i="14"/>
  <c r="AD918" i="14"/>
  <c r="AF919" i="14"/>
  <c r="AD922" i="14"/>
  <c r="AF923" i="14"/>
  <c r="AD926" i="14"/>
  <c r="AF927" i="14"/>
  <c r="AD930" i="14"/>
  <c r="AF931" i="14"/>
  <c r="AD934" i="14"/>
  <c r="AF935" i="14"/>
  <c r="AD938" i="14"/>
  <c r="AF939" i="14"/>
  <c r="AF943" i="14"/>
  <c r="AF951" i="14"/>
  <c r="AF955" i="14"/>
  <c r="AF959" i="14"/>
  <c r="AF963" i="14"/>
  <c r="AF967" i="14"/>
  <c r="AF975" i="14"/>
  <c r="AD978" i="14"/>
  <c r="AF979" i="14"/>
  <c r="AD982" i="14"/>
  <c r="AF983" i="14"/>
  <c r="AF987" i="14"/>
  <c r="AF991" i="14"/>
  <c r="AF995" i="14"/>
  <c r="AI687" i="14"/>
  <c r="AC687" i="14"/>
  <c r="AE687" i="14"/>
  <c r="AH690" i="14"/>
  <c r="AI691" i="14"/>
  <c r="AC691" i="14"/>
  <c r="AE691" i="14"/>
  <c r="AH694" i="14"/>
  <c r="AI695" i="14"/>
  <c r="AC695" i="14"/>
  <c r="AE695" i="14"/>
  <c r="AH698" i="14"/>
  <c r="AI699" i="14"/>
  <c r="AC699" i="14"/>
  <c r="AE699" i="14"/>
  <c r="AH702" i="14"/>
  <c r="AI703" i="14"/>
  <c r="AC703" i="14"/>
  <c r="AE703" i="14"/>
  <c r="AH706" i="14"/>
  <c r="AI707" i="14"/>
  <c r="AC707" i="14"/>
  <c r="AE707" i="14"/>
  <c r="AH710" i="14"/>
  <c r="AI711" i="14"/>
  <c r="AC711" i="14"/>
  <c r="AE711" i="14"/>
  <c r="AH714" i="14"/>
  <c r="AI715" i="14"/>
  <c r="AC715" i="14"/>
  <c r="AE715" i="14"/>
  <c r="AH718" i="14"/>
  <c r="AI719" i="14"/>
  <c r="AC719" i="14"/>
  <c r="AE719" i="14"/>
  <c r="AH722" i="14"/>
  <c r="AI723" i="14"/>
  <c r="AC723" i="14"/>
  <c r="AE723" i="14"/>
  <c r="AH726" i="14"/>
  <c r="AI727" i="14"/>
  <c r="AC727" i="14"/>
  <c r="AE727" i="14"/>
  <c r="AH730" i="14"/>
  <c r="AI731" i="14"/>
  <c r="AC731" i="14"/>
  <c r="AE731" i="14"/>
  <c r="AH734" i="14"/>
  <c r="AI735" i="14"/>
  <c r="AC735" i="14"/>
  <c r="AE735" i="14"/>
  <c r="AH738" i="14"/>
  <c r="AI739" i="14"/>
  <c r="AC739" i="14"/>
  <c r="AE739" i="14"/>
  <c r="AH742" i="14"/>
  <c r="AI743" i="14"/>
  <c r="AC743" i="14"/>
  <c r="AE743" i="14"/>
  <c r="AH746" i="14"/>
  <c r="AI747" i="14"/>
  <c r="AC747" i="14"/>
  <c r="AE747" i="14"/>
  <c r="AH750" i="14"/>
  <c r="AI751" i="14"/>
  <c r="AC751" i="14"/>
  <c r="AE751" i="14"/>
  <c r="AH754" i="14"/>
  <c r="AI755" i="14"/>
  <c r="AC755" i="14"/>
  <c r="AE755" i="14"/>
  <c r="AH758" i="14"/>
  <c r="AI759" i="14"/>
  <c r="AC759" i="14"/>
  <c r="AE759" i="14"/>
  <c r="AH762" i="14"/>
  <c r="AI763" i="14"/>
  <c r="AC763" i="14"/>
  <c r="AE763" i="14"/>
  <c r="AH766" i="14"/>
  <c r="AI767" i="14"/>
  <c r="AC767" i="14"/>
  <c r="AE767" i="14"/>
  <c r="AH770" i="14"/>
  <c r="AI771" i="14"/>
  <c r="AC771" i="14"/>
  <c r="AE771" i="14"/>
  <c r="AH774" i="14"/>
  <c r="AI775" i="14"/>
  <c r="AC775" i="14"/>
  <c r="AE775" i="14"/>
  <c r="AH778" i="14"/>
  <c r="AI779" i="14"/>
  <c r="AC779" i="14"/>
  <c r="AE779" i="14"/>
  <c r="AH782" i="14"/>
  <c r="AI783" i="14"/>
  <c r="AC783" i="14"/>
  <c r="AE783" i="14"/>
  <c r="AH786" i="14"/>
  <c r="AI787" i="14"/>
  <c r="AC787" i="14"/>
  <c r="AE787" i="14"/>
  <c r="AH790" i="14"/>
  <c r="AI791" i="14"/>
  <c r="AC791" i="14"/>
  <c r="AE791" i="14"/>
  <c r="AH794" i="14"/>
  <c r="AI795" i="14"/>
  <c r="AC795" i="14"/>
  <c r="AE795" i="14"/>
  <c r="AH798" i="14"/>
  <c r="AI799" i="14"/>
  <c r="AC799" i="14"/>
  <c r="AE799" i="14"/>
  <c r="AH802" i="14"/>
  <c r="AI803" i="14"/>
  <c r="AC803" i="14"/>
  <c r="AE803" i="14"/>
  <c r="AH806" i="14"/>
  <c r="AI807" i="14"/>
  <c r="AC807" i="14"/>
  <c r="AE807" i="14"/>
  <c r="AH810" i="14"/>
  <c r="AI811" i="14"/>
  <c r="AC811" i="14"/>
  <c r="AE811" i="14"/>
  <c r="AH814" i="14"/>
  <c r="AI815" i="14"/>
  <c r="AC815" i="14"/>
  <c r="AE815" i="14"/>
  <c r="AH818" i="14"/>
  <c r="AI819" i="14"/>
  <c r="AC819" i="14"/>
  <c r="AE819" i="14"/>
  <c r="AH822" i="14"/>
  <c r="AI823" i="14"/>
  <c r="AC823" i="14"/>
  <c r="AE823" i="14"/>
  <c r="AH826" i="14"/>
  <c r="AI827" i="14"/>
  <c r="AC827" i="14"/>
  <c r="AE827" i="14"/>
  <c r="AH830" i="14"/>
  <c r="AI831" i="14"/>
  <c r="AC831" i="14"/>
  <c r="AE831" i="14"/>
  <c r="AH834" i="14"/>
  <c r="AI835" i="14"/>
  <c r="AC835" i="14"/>
  <c r="AE835" i="14"/>
  <c r="AH838" i="14"/>
  <c r="AI839" i="14"/>
  <c r="AC839" i="14"/>
  <c r="AE839" i="14"/>
  <c r="AH842" i="14"/>
  <c r="AI843" i="14"/>
  <c r="AC843" i="14"/>
  <c r="AE843" i="14"/>
  <c r="AH846" i="14"/>
  <c r="AI847" i="14"/>
  <c r="AC847" i="14"/>
  <c r="AE847" i="14"/>
  <c r="AH850" i="14"/>
  <c r="AI851" i="14"/>
  <c r="AC851" i="14"/>
  <c r="AE851" i="14"/>
  <c r="AH854" i="14"/>
  <c r="AI855" i="14"/>
  <c r="AC855" i="14"/>
  <c r="AE855" i="14"/>
  <c r="AH858" i="14"/>
  <c r="AI859" i="14"/>
  <c r="AC859" i="14"/>
  <c r="AE859" i="14"/>
  <c r="AH862" i="14"/>
  <c r="AI863" i="14"/>
  <c r="AC863" i="14"/>
  <c r="AE863" i="14"/>
  <c r="AH866" i="14"/>
  <c r="AI867" i="14"/>
  <c r="AC867" i="14"/>
  <c r="AE867" i="14"/>
  <c r="AH870" i="14"/>
  <c r="AI871" i="14"/>
  <c r="AC871" i="14"/>
  <c r="AE871" i="14"/>
  <c r="AH874" i="14"/>
  <c r="AI875" i="14"/>
  <c r="AC875" i="14"/>
  <c r="AE875" i="14"/>
  <c r="AH878" i="14"/>
  <c r="AI879" i="14"/>
  <c r="AC879" i="14"/>
  <c r="AE879" i="14"/>
  <c r="AH882" i="14"/>
  <c r="AI883" i="14"/>
  <c r="AC883" i="14"/>
  <c r="AE883" i="14"/>
  <c r="AH886" i="14"/>
  <c r="AI887" i="14"/>
  <c r="AC887" i="14"/>
  <c r="AE887" i="14"/>
  <c r="AH890" i="14"/>
  <c r="AI891" i="14"/>
  <c r="AC891" i="14"/>
  <c r="AE891" i="14"/>
  <c r="AH894" i="14"/>
  <c r="AI895" i="14"/>
  <c r="AC895" i="14"/>
  <c r="AE895" i="14"/>
  <c r="AH898" i="14"/>
  <c r="AI899" i="14"/>
  <c r="AC899" i="14"/>
  <c r="AE899" i="14"/>
  <c r="AH902" i="14"/>
  <c r="AI903" i="14"/>
  <c r="AC903" i="14"/>
  <c r="AE903" i="14"/>
  <c r="AH906" i="14"/>
  <c r="AI907" i="14"/>
  <c r="AC907" i="14"/>
  <c r="AE907" i="14"/>
  <c r="AH910" i="14"/>
  <c r="AI911" i="14"/>
  <c r="AC911" i="14"/>
  <c r="AE911" i="14"/>
  <c r="AH914" i="14"/>
  <c r="AI915" i="14"/>
  <c r="AC915" i="14"/>
  <c r="AE915" i="14"/>
  <c r="AH918" i="14"/>
  <c r="AI919" i="14"/>
  <c r="AC919" i="14"/>
  <c r="AE919" i="14"/>
  <c r="AH922" i="14"/>
  <c r="AI923" i="14"/>
  <c r="AC923" i="14"/>
  <c r="AE923" i="14"/>
  <c r="AH926" i="14"/>
  <c r="AI927" i="14"/>
  <c r="AC927" i="14"/>
  <c r="AE927" i="14"/>
  <c r="AH930" i="14"/>
  <c r="AI931" i="14"/>
  <c r="AC931" i="14"/>
  <c r="AE931" i="14"/>
  <c r="AH934" i="14"/>
  <c r="AI935" i="14"/>
  <c r="AC935" i="14"/>
  <c r="AE935" i="14"/>
  <c r="AH938" i="14"/>
  <c r="AI939" i="14"/>
  <c r="AC939" i="14"/>
  <c r="AE939" i="14"/>
  <c r="AH942" i="14"/>
  <c r="AI943" i="14"/>
  <c r="AC943" i="14"/>
  <c r="AE943" i="14"/>
  <c r="AH946" i="14"/>
  <c r="AI947" i="14"/>
  <c r="AC947" i="14"/>
  <c r="AE947" i="14"/>
  <c r="AH950" i="14"/>
  <c r="AI951" i="14"/>
  <c r="AC951" i="14"/>
  <c r="AE951" i="14"/>
  <c r="AH954" i="14"/>
  <c r="AI955" i="14"/>
  <c r="AC955" i="14"/>
  <c r="AE955" i="14"/>
  <c r="AH958" i="14"/>
  <c r="AI959" i="14"/>
  <c r="AC959" i="14"/>
  <c r="AE959" i="14"/>
  <c r="AH962" i="14"/>
  <c r="AI963" i="14"/>
  <c r="AC963" i="14"/>
  <c r="AE963" i="14"/>
  <c r="AH966" i="14"/>
  <c r="AI967" i="14"/>
  <c r="AC967" i="14"/>
  <c r="AE967" i="14"/>
  <c r="AH970" i="14"/>
  <c r="AI971" i="14"/>
  <c r="AC971" i="14"/>
  <c r="AE971" i="14"/>
  <c r="AH974" i="14"/>
  <c r="AI975" i="14"/>
  <c r="AC975" i="14"/>
  <c r="AE975" i="14"/>
  <c r="AH978" i="14"/>
  <c r="AI979" i="14"/>
  <c r="AC979" i="14"/>
  <c r="AE979" i="14"/>
  <c r="AH982" i="14"/>
  <c r="AI983" i="14"/>
  <c r="AC983" i="14"/>
  <c r="AE983" i="14"/>
  <c r="AH986" i="14"/>
  <c r="AI987" i="14"/>
  <c r="AC987" i="14"/>
  <c r="AE987" i="14"/>
  <c r="AH990" i="14"/>
  <c r="AI991" i="14"/>
  <c r="AC991" i="14"/>
  <c r="AE991" i="14"/>
  <c r="AH994" i="14"/>
  <c r="AI995" i="14"/>
  <c r="AC995" i="14"/>
  <c r="AE995" i="14"/>
  <c r="AH998" i="14"/>
  <c r="AI999" i="14"/>
  <c r="AC999" i="14"/>
  <c r="AE999" i="14"/>
  <c r="AH1002" i="14"/>
  <c r="AI1003" i="14"/>
  <c r="AC1003" i="14"/>
  <c r="AE1003" i="14"/>
  <c r="AD667" i="14"/>
  <c r="AF668" i="14"/>
  <c r="AD671" i="14"/>
  <c r="AF672" i="14"/>
  <c r="AD675" i="14"/>
  <c r="AF676" i="14"/>
  <c r="AD679" i="14"/>
  <c r="AF680" i="14"/>
  <c r="AD683" i="14"/>
  <c r="AF684" i="14"/>
  <c r="AD687" i="14"/>
  <c r="AF688" i="14"/>
  <c r="AD691" i="14"/>
  <c r="AF692" i="14"/>
  <c r="AD695" i="14"/>
  <c r="AF696" i="14"/>
  <c r="AD699" i="14"/>
  <c r="AF700" i="14"/>
  <c r="AD703" i="14"/>
  <c r="AF704" i="14"/>
  <c r="AD707" i="14"/>
  <c r="AF708" i="14"/>
  <c r="AD711" i="14"/>
  <c r="AF712" i="14"/>
  <c r="AD715" i="14"/>
  <c r="AF716" i="14"/>
  <c r="AD719" i="14"/>
  <c r="AF720" i="14"/>
  <c r="AD723" i="14"/>
  <c r="AF724" i="14"/>
  <c r="AD727" i="14"/>
  <c r="AF728" i="14"/>
  <c r="AD731" i="14"/>
  <c r="AF732" i="14"/>
  <c r="AD735" i="14"/>
  <c r="AF736" i="14"/>
  <c r="AD739" i="14"/>
  <c r="AF740" i="14"/>
  <c r="AD743" i="14"/>
  <c r="AF744" i="14"/>
  <c r="AD747" i="14"/>
  <c r="AF748" i="14"/>
  <c r="AD751" i="14"/>
  <c r="AF752" i="14"/>
  <c r="AD755" i="14"/>
  <c r="AF756" i="14"/>
  <c r="AD759" i="14"/>
  <c r="AF760" i="14"/>
  <c r="AD763" i="14"/>
  <c r="AF764" i="14"/>
  <c r="AD767" i="14"/>
  <c r="AF768" i="14"/>
  <c r="AD771" i="14"/>
  <c r="AF772" i="14"/>
  <c r="AD775" i="14"/>
  <c r="AF776" i="14"/>
  <c r="AD779" i="14"/>
  <c r="AF780" i="14"/>
  <c r="AD783" i="14"/>
  <c r="AF784" i="14"/>
  <c r="AD787" i="14"/>
  <c r="AF788" i="14"/>
  <c r="AD791" i="14"/>
  <c r="AF792" i="14"/>
  <c r="AD795" i="14"/>
  <c r="AF796" i="14"/>
  <c r="AD799" i="14"/>
  <c r="AF800" i="14"/>
  <c r="AD803" i="14"/>
  <c r="AF804" i="14"/>
  <c r="AD807" i="14"/>
  <c r="AF808" i="14"/>
  <c r="AD811" i="14"/>
  <c r="AF812" i="14"/>
  <c r="AD815" i="14"/>
  <c r="AF816" i="14"/>
  <c r="AD819" i="14"/>
  <c r="AF820" i="14"/>
  <c r="AD823" i="14"/>
  <c r="AF824" i="14"/>
  <c r="AD827" i="14"/>
  <c r="AF828" i="14"/>
  <c r="AD831" i="14"/>
  <c r="AF832" i="14"/>
  <c r="AD835" i="14"/>
  <c r="AF836" i="14"/>
  <c r="AD839" i="14"/>
  <c r="AF840" i="14"/>
  <c r="AD843" i="14"/>
  <c r="AF844" i="14"/>
  <c r="AD847" i="14"/>
  <c r="AF848" i="14"/>
  <c r="AD851" i="14"/>
  <c r="AF852" i="14"/>
  <c r="AD855" i="14"/>
  <c r="AF856" i="14"/>
  <c r="AD859" i="14"/>
  <c r="AF860" i="14"/>
  <c r="AD863" i="14"/>
  <c r="AF864" i="14"/>
  <c r="AD867" i="14"/>
  <c r="AF868" i="14"/>
  <c r="AD871" i="14"/>
  <c r="AF872" i="14"/>
  <c r="AD875" i="14"/>
  <c r="AF876" i="14"/>
  <c r="AD879" i="14"/>
  <c r="AF880" i="14"/>
  <c r="AD883" i="14"/>
  <c r="AF884" i="14"/>
  <c r="AD887" i="14"/>
  <c r="AF888" i="14"/>
  <c r="AD891" i="14"/>
  <c r="AF892" i="14"/>
  <c r="AD895" i="14"/>
  <c r="AF896" i="14"/>
  <c r="AD899" i="14"/>
  <c r="AF900" i="14"/>
  <c r="AD903" i="14"/>
  <c r="AF904" i="14"/>
  <c r="AD907" i="14"/>
  <c r="AF908" i="14"/>
  <c r="AD911" i="14"/>
  <c r="AF912" i="14"/>
  <c r="AD915" i="14"/>
  <c r="AF916" i="14"/>
  <c r="AD919" i="14"/>
  <c r="AF920" i="14"/>
  <c r="AD923" i="14"/>
  <c r="AF924" i="14"/>
  <c r="AD927" i="14"/>
  <c r="AF928" i="14"/>
  <c r="AD931" i="14"/>
  <c r="AF932" i="14"/>
  <c r="AD935" i="14"/>
  <c r="AF936" i="14"/>
  <c r="AD939" i="14"/>
  <c r="AF940" i="14"/>
  <c r="AD943" i="14"/>
  <c r="AF944" i="14"/>
  <c r="AD947" i="14"/>
  <c r="AF948" i="14"/>
  <c r="AD951" i="14"/>
  <c r="AF952" i="14"/>
  <c r="AD955" i="14"/>
  <c r="AF956" i="14"/>
  <c r="AD959" i="14"/>
  <c r="AF960" i="14"/>
  <c r="AD963" i="14"/>
  <c r="AF964" i="14"/>
  <c r="AD967" i="14"/>
  <c r="AF968" i="14"/>
  <c r="AD971" i="14"/>
  <c r="AF972" i="14"/>
  <c r="AD975" i="14"/>
  <c r="AF976" i="14"/>
  <c r="AD979" i="14"/>
  <c r="AF980" i="14"/>
  <c r="AD983" i="14"/>
  <c r="AF984" i="14"/>
  <c r="AD987" i="14"/>
  <c r="AF988" i="14"/>
  <c r="AD991" i="14"/>
  <c r="AF992" i="14"/>
  <c r="AD995" i="14"/>
  <c r="AF996" i="14"/>
  <c r="AD999" i="14"/>
  <c r="AF1000" i="14"/>
  <c r="AD1003" i="14"/>
  <c r="AF1004" i="14"/>
  <c r="AI704" i="14"/>
  <c r="AC704" i="14"/>
  <c r="AE704" i="14"/>
  <c r="AI708" i="14"/>
  <c r="AC708" i="14"/>
  <c r="AE708" i="14"/>
  <c r="AI712" i="14"/>
  <c r="AC712" i="14"/>
  <c r="AE712" i="14"/>
  <c r="AI716" i="14"/>
  <c r="AC716" i="14"/>
  <c r="AE716" i="14"/>
  <c r="AI720" i="14"/>
  <c r="AC720" i="14"/>
  <c r="AE720" i="14"/>
  <c r="AI724" i="14"/>
  <c r="AC724" i="14"/>
  <c r="AE724" i="14"/>
  <c r="AI728" i="14"/>
  <c r="AC728" i="14"/>
  <c r="AE728" i="14"/>
  <c r="AI732" i="14"/>
  <c r="AC732" i="14"/>
  <c r="AE732" i="14"/>
  <c r="AI736" i="14"/>
  <c r="AC736" i="14"/>
  <c r="AE736" i="14"/>
  <c r="AI740" i="14"/>
  <c r="AC740" i="14"/>
  <c r="AE740" i="14"/>
  <c r="AI744" i="14"/>
  <c r="AC744" i="14"/>
  <c r="AE744" i="14"/>
  <c r="AI748" i="14"/>
  <c r="AC748" i="14"/>
  <c r="AE748" i="14"/>
  <c r="AI752" i="14"/>
  <c r="AC752" i="14"/>
  <c r="AE752" i="14"/>
  <c r="AI756" i="14"/>
  <c r="AC756" i="14"/>
  <c r="AE756" i="14"/>
  <c r="AI760" i="14"/>
  <c r="AC760" i="14"/>
  <c r="AE760" i="14"/>
  <c r="AI764" i="14"/>
  <c r="AC764" i="14"/>
  <c r="AE764" i="14"/>
  <c r="AI768" i="14"/>
  <c r="AC768" i="14"/>
  <c r="AE768" i="14"/>
  <c r="AI772" i="14"/>
  <c r="AC772" i="14"/>
  <c r="AE772" i="14"/>
  <c r="AI776" i="14"/>
  <c r="AC776" i="14"/>
  <c r="AE776" i="14"/>
  <c r="AI780" i="14"/>
  <c r="AC780" i="14"/>
  <c r="AE780" i="14"/>
  <c r="AI784" i="14"/>
  <c r="AC784" i="14"/>
  <c r="AE784" i="14"/>
  <c r="AI788" i="14"/>
  <c r="AC788" i="14"/>
  <c r="AE788" i="14"/>
  <c r="AI792" i="14"/>
  <c r="AC792" i="14"/>
  <c r="AE792" i="14"/>
  <c r="AI796" i="14"/>
  <c r="AC796" i="14"/>
  <c r="AE796" i="14"/>
  <c r="AI800" i="14"/>
  <c r="AC800" i="14"/>
  <c r="AE800" i="14"/>
  <c r="AI804" i="14"/>
  <c r="AC804" i="14"/>
  <c r="AE804" i="14"/>
  <c r="AI808" i="14"/>
  <c r="AC808" i="14"/>
  <c r="AE808" i="14"/>
  <c r="AI812" i="14"/>
  <c r="AC812" i="14"/>
  <c r="AE812" i="14"/>
  <c r="AI816" i="14"/>
  <c r="AC816" i="14"/>
  <c r="AE816" i="14"/>
  <c r="AI820" i="14"/>
  <c r="AC820" i="14"/>
  <c r="AE820" i="14"/>
  <c r="AI824" i="14"/>
  <c r="AC824" i="14"/>
  <c r="AE824" i="14"/>
  <c r="AI828" i="14"/>
  <c r="AC828" i="14"/>
  <c r="AE828" i="14"/>
  <c r="AI832" i="14"/>
  <c r="AC832" i="14"/>
  <c r="AE832" i="14"/>
  <c r="AI836" i="14"/>
  <c r="AC836" i="14"/>
  <c r="AE836" i="14"/>
  <c r="AI840" i="14"/>
  <c r="AC840" i="14"/>
  <c r="AE840" i="14"/>
  <c r="AI844" i="14"/>
  <c r="AC844" i="14"/>
  <c r="AE844" i="14"/>
  <c r="AI848" i="14"/>
  <c r="AC848" i="14"/>
  <c r="AE848" i="14"/>
  <c r="AI852" i="14"/>
  <c r="AC852" i="14"/>
  <c r="AE852" i="14"/>
  <c r="AI856" i="14"/>
  <c r="AC856" i="14"/>
  <c r="AE856" i="14"/>
  <c r="AI860" i="14"/>
  <c r="AC860" i="14"/>
  <c r="AE860" i="14"/>
  <c r="AI864" i="14"/>
  <c r="AC864" i="14"/>
  <c r="AE864" i="14"/>
  <c r="AI868" i="14"/>
  <c r="AC868" i="14"/>
  <c r="AE868" i="14"/>
  <c r="AI872" i="14"/>
  <c r="AC872" i="14"/>
  <c r="AE872" i="14"/>
  <c r="AI876" i="14"/>
  <c r="AC876" i="14"/>
  <c r="AE876" i="14"/>
  <c r="AI880" i="14"/>
  <c r="AC880" i="14"/>
  <c r="AE880" i="14"/>
  <c r="AI884" i="14"/>
  <c r="AC884" i="14"/>
  <c r="AE884" i="14"/>
  <c r="AI888" i="14"/>
  <c r="AC888" i="14"/>
  <c r="AE888" i="14"/>
  <c r="AI892" i="14"/>
  <c r="AC892" i="14"/>
  <c r="AE892" i="14"/>
  <c r="AI896" i="14"/>
  <c r="AC896" i="14"/>
  <c r="AE896" i="14"/>
  <c r="AI900" i="14"/>
  <c r="AC900" i="14"/>
  <c r="AE900" i="14"/>
  <c r="AI904" i="14"/>
  <c r="AC904" i="14"/>
  <c r="AE904" i="14"/>
  <c r="AI908" i="14"/>
  <c r="AC908" i="14"/>
  <c r="AE908" i="14"/>
  <c r="AI912" i="14"/>
  <c r="AC912" i="14"/>
  <c r="AE912" i="14"/>
  <c r="AI916" i="14"/>
  <c r="AC916" i="14"/>
  <c r="AE916" i="14"/>
  <c r="AI920" i="14"/>
  <c r="AC920" i="14"/>
  <c r="AE920" i="14"/>
  <c r="AI924" i="14"/>
  <c r="AC924" i="14"/>
  <c r="AE924" i="14"/>
  <c r="AI928" i="14"/>
  <c r="AC928" i="14"/>
  <c r="AE928" i="14"/>
  <c r="AI932" i="14"/>
  <c r="AC932" i="14"/>
  <c r="AE932" i="14"/>
  <c r="AI936" i="14"/>
  <c r="AC936" i="14"/>
  <c r="AE936" i="14"/>
  <c r="AI940" i="14"/>
  <c r="AC940" i="14"/>
  <c r="AE940" i="14"/>
  <c r="AI944" i="14"/>
  <c r="AC944" i="14"/>
  <c r="AE944" i="14"/>
  <c r="AI948" i="14"/>
  <c r="AC948" i="14"/>
  <c r="AE948" i="14"/>
  <c r="AI952" i="14"/>
  <c r="AC952" i="14"/>
  <c r="AE952" i="14"/>
  <c r="AI956" i="14"/>
  <c r="AC956" i="14"/>
  <c r="AE956" i="14"/>
  <c r="AI960" i="14"/>
  <c r="AC960" i="14"/>
  <c r="AE960" i="14"/>
  <c r="AI964" i="14"/>
  <c r="AC964" i="14"/>
  <c r="AE964" i="14"/>
  <c r="AI968" i="14"/>
  <c r="AC968" i="14"/>
  <c r="AE968" i="14"/>
  <c r="AI972" i="14"/>
  <c r="AC972" i="14"/>
  <c r="AE972" i="14"/>
  <c r="AI976" i="14"/>
  <c r="AC976" i="14"/>
  <c r="AE976" i="14"/>
  <c r="AI980" i="14"/>
  <c r="AC980" i="14"/>
  <c r="AE980" i="14"/>
  <c r="AI984" i="14"/>
  <c r="AC984" i="14"/>
  <c r="AE984" i="14"/>
  <c r="AH987" i="14"/>
  <c r="AI988" i="14"/>
  <c r="AC988" i="14"/>
  <c r="AE988" i="14"/>
  <c r="AH991" i="14"/>
  <c r="AI992" i="14"/>
  <c r="AC992" i="14"/>
  <c r="AE992" i="14"/>
  <c r="AH995" i="14"/>
  <c r="AI996" i="14"/>
  <c r="AC996" i="14"/>
  <c r="AE996" i="14"/>
  <c r="AH999" i="14"/>
  <c r="AI1000" i="14"/>
  <c r="AC1000" i="14"/>
  <c r="AE1000" i="14"/>
  <c r="AH1003" i="14"/>
  <c r="AI1004" i="14"/>
  <c r="AC1004" i="14"/>
  <c r="AE1004" i="14"/>
  <c r="AF769" i="14"/>
  <c r="AF773" i="14"/>
  <c r="AF777" i="14"/>
  <c r="AF781" i="14"/>
  <c r="AF785" i="14"/>
  <c r="AF789" i="14"/>
  <c r="AF793" i="14"/>
  <c r="AF797" i="14"/>
  <c r="AF801" i="14"/>
  <c r="AF805" i="14"/>
  <c r="AF809" i="14"/>
  <c r="AF813" i="14"/>
  <c r="AF817" i="14"/>
  <c r="AF821" i="14"/>
  <c r="AF825" i="14"/>
  <c r="AF829" i="14"/>
  <c r="AF833" i="14"/>
  <c r="AF837" i="14"/>
  <c r="AF841" i="14"/>
  <c r="AF845" i="14"/>
  <c r="AF849" i="14"/>
  <c r="AF853" i="14"/>
  <c r="AF857" i="14"/>
  <c r="AF861" i="14"/>
  <c r="AF865" i="14"/>
  <c r="AF869" i="14"/>
  <c r="AF873" i="14"/>
  <c r="AF877" i="14"/>
  <c r="AF881" i="14"/>
  <c r="AF885" i="14"/>
  <c r="AF889" i="14"/>
  <c r="AF893" i="14"/>
  <c r="AF897" i="14"/>
  <c r="AF901" i="14"/>
  <c r="AF905" i="14"/>
  <c r="AF909" i="14"/>
  <c r="AF913" i="14"/>
  <c r="AF917" i="14"/>
  <c r="AF921" i="14"/>
  <c r="AF925" i="14"/>
  <c r="AF929" i="14"/>
  <c r="AF933" i="14"/>
  <c r="AF937" i="14"/>
  <c r="AF941" i="14"/>
  <c r="AF945" i="14"/>
  <c r="AF949" i="14"/>
  <c r="AF953" i="14"/>
  <c r="AF957" i="14"/>
  <c r="AF961" i="14"/>
  <c r="AF965" i="14"/>
  <c r="AF969" i="14"/>
  <c r="AF973" i="14"/>
  <c r="AF977" i="14"/>
  <c r="AF981" i="14"/>
  <c r="AF985" i="14"/>
  <c r="AF989" i="14"/>
  <c r="AF993" i="14"/>
  <c r="AF997" i="14"/>
  <c r="AF1001" i="14"/>
  <c r="AD1004" i="14"/>
  <c r="A8" i="11"/>
  <c r="A7" i="11"/>
  <c r="A6" i="11"/>
  <c r="A5" i="11"/>
  <c r="A4" i="11"/>
  <c r="A3" i="11"/>
  <c r="AI82" i="14" l="1"/>
  <c r="AI16" i="14"/>
  <c r="AI239" i="14"/>
  <c r="AI207" i="14"/>
  <c r="AI175" i="14"/>
  <c r="AI221" i="14"/>
  <c r="AI212" i="14"/>
  <c r="AI200" i="14"/>
  <c r="AI177" i="14"/>
  <c r="AI109" i="14"/>
  <c r="AI149" i="14"/>
  <c r="AI126" i="14"/>
  <c r="AI201" i="14"/>
  <c r="AI77" i="14"/>
  <c r="AI61" i="14"/>
  <c r="AI237" i="14"/>
  <c r="AI252" i="14"/>
  <c r="AI28" i="14"/>
  <c r="AI50" i="14"/>
  <c r="AI158" i="14"/>
  <c r="AI197" i="14"/>
  <c r="AI65" i="14"/>
  <c r="AI248" i="14"/>
  <c r="AI232" i="14"/>
  <c r="AI188" i="14"/>
  <c r="AI94" i="14"/>
  <c r="AI62" i="14"/>
  <c r="AI244" i="14"/>
  <c r="AI216" i="14"/>
  <c r="AI143" i="14"/>
  <c r="AI111" i="14"/>
  <c r="AI79" i="14"/>
  <c r="AI160" i="14"/>
  <c r="AI128" i="14"/>
  <c r="AI96" i="14"/>
  <c r="AI64" i="14"/>
  <c r="AI133" i="14"/>
  <c r="AI227" i="14"/>
  <c r="AI195" i="14"/>
  <c r="AI163" i="14"/>
  <c r="AI131" i="14"/>
  <c r="AI99" i="14"/>
  <c r="AI67" i="14"/>
  <c r="AI46" i="14"/>
  <c r="AI246" i="14"/>
  <c r="AI214" i="14"/>
  <c r="AI182" i="14"/>
  <c r="AI90" i="14"/>
  <c r="AI58" i="14"/>
  <c r="AI57" i="14"/>
  <c r="AI25" i="14"/>
  <c r="AI208" i="14"/>
  <c r="AI180" i="14"/>
  <c r="AI257" i="14"/>
  <c r="AI236" i="14"/>
  <c r="AI196" i="14"/>
  <c r="AI148" i="14"/>
  <c r="AI116" i="14"/>
  <c r="AI84" i="14"/>
  <c r="AI52" i="14"/>
  <c r="AI129" i="14"/>
  <c r="AI247" i="14"/>
  <c r="AI215" i="14"/>
  <c r="AI183" i="14"/>
  <c r="AI151" i="14"/>
  <c r="AI119" i="14"/>
  <c r="AI87" i="14"/>
  <c r="AI55" i="14"/>
  <c r="AI234" i="14"/>
  <c r="AI202" i="14"/>
  <c r="AI170" i="14"/>
  <c r="AI138" i="14"/>
  <c r="AI106" i="14"/>
  <c r="AI74" i="14"/>
  <c r="AI125" i="14"/>
  <c r="AI181" i="14"/>
  <c r="AI8" i="14"/>
  <c r="AI220" i="14"/>
  <c r="AI192" i="14"/>
  <c r="AI168" i="14"/>
  <c r="AI136" i="14"/>
  <c r="AI104" i="14"/>
  <c r="AI72" i="14"/>
  <c r="AI105" i="14"/>
  <c r="AI235" i="14"/>
  <c r="AI203" i="14"/>
  <c r="AI171" i="14"/>
  <c r="AI139" i="14"/>
  <c r="AI107" i="14"/>
  <c r="AI86" i="14"/>
  <c r="AI75" i="14"/>
  <c r="AI54" i="14"/>
  <c r="AI145" i="14"/>
  <c r="AI254" i="14"/>
  <c r="AI222" i="14"/>
  <c r="AI190" i="14"/>
  <c r="AI157" i="14"/>
  <c r="AI69" i="14"/>
  <c r="AI93" i="14"/>
  <c r="AI209" i="14"/>
  <c r="AI117" i="14"/>
  <c r="AI85" i="14"/>
  <c r="AI189" i="14"/>
  <c r="AI53" i="14"/>
  <c r="AI124" i="14"/>
  <c r="AI92" i="14"/>
  <c r="AI60" i="14"/>
  <c r="AI97" i="14"/>
  <c r="AI255" i="14"/>
  <c r="AI223" i="14"/>
  <c r="AI191" i="14"/>
  <c r="AI159" i="14"/>
  <c r="AI127" i="14"/>
  <c r="AI95" i="14"/>
  <c r="AI63" i="14"/>
  <c r="AI42" i="14"/>
  <c r="AI253" i="14"/>
  <c r="AI242" i="14"/>
  <c r="AI210" i="14"/>
  <c r="AI178" i="14"/>
  <c r="AI166" i="14"/>
  <c r="AI146" i="14"/>
  <c r="AI134" i="14"/>
  <c r="AI114" i="14"/>
  <c r="AI102" i="14"/>
  <c r="AI70" i="14"/>
  <c r="AI22" i="14"/>
  <c r="AI113" i="14"/>
  <c r="AI20" i="14"/>
  <c r="AI165" i="14"/>
  <c r="AI49" i="14"/>
  <c r="AI256" i="14"/>
  <c r="AI204" i="14"/>
  <c r="AI176" i="14"/>
  <c r="AI144" i="14"/>
  <c r="AI112" i="14"/>
  <c r="AI80" i="14"/>
  <c r="AI81" i="14"/>
  <c r="AI31" i="14"/>
  <c r="AI185" i="14"/>
  <c r="AI243" i="14"/>
  <c r="AI211" i="14"/>
  <c r="AI179" i="14"/>
  <c r="AI147" i="14"/>
  <c r="AI115" i="14"/>
  <c r="AI83" i="14"/>
  <c r="AI51" i="14"/>
  <c r="AI249" i="14"/>
  <c r="AI101" i="14"/>
  <c r="AI245" i="14"/>
  <c r="AI121" i="14"/>
  <c r="AI230" i="14"/>
  <c r="AI198" i="14"/>
  <c r="AI169" i="14"/>
  <c r="AI173" i="14"/>
  <c r="AI73" i="14"/>
  <c r="AI33" i="14"/>
  <c r="AI161" i="14"/>
  <c r="AI164" i="14"/>
  <c r="AI132" i="14"/>
  <c r="AI100" i="14"/>
  <c r="AI68" i="14"/>
  <c r="AI6" i="14"/>
  <c r="AI231" i="14"/>
  <c r="AI199" i="14"/>
  <c r="AI167" i="14"/>
  <c r="AI135" i="14"/>
  <c r="AI103" i="14"/>
  <c r="AI71" i="14"/>
  <c r="AI18" i="14"/>
  <c r="AI225" i="14"/>
  <c r="AI89" i="14"/>
  <c r="AI241" i="14"/>
  <c r="AI250" i="14"/>
  <c r="AI218" i="14"/>
  <c r="AI186" i="14"/>
  <c r="AI154" i="14"/>
  <c r="AI142" i="14"/>
  <c r="AI122" i="14"/>
  <c r="AI110" i="14"/>
  <c r="AI98" i="14"/>
  <c r="AI66" i="14"/>
  <c r="AI217" i="14"/>
  <c r="AI240" i="14"/>
  <c r="AI228" i="14"/>
  <c r="AI152" i="14"/>
  <c r="AI120" i="14"/>
  <c r="AI88" i="14"/>
  <c r="AI56" i="14"/>
  <c r="AI251" i="14"/>
  <c r="AI219" i="14"/>
  <c r="AI187" i="14"/>
  <c r="AI155" i="14"/>
  <c r="AI123" i="14"/>
  <c r="AI91" i="14"/>
  <c r="AI59" i="14"/>
  <c r="AI38" i="14"/>
  <c r="AI238" i="14"/>
  <c r="AI206" i="14"/>
  <c r="AI174" i="14"/>
  <c r="AI193" i="14"/>
  <c r="AI224" i="14"/>
  <c r="AI172" i="14"/>
  <c r="AI140" i="14"/>
  <c r="AI108" i="14"/>
  <c r="AI76" i="14"/>
  <c r="AI141" i="14"/>
  <c r="AI213" i="14"/>
  <c r="AI205" i="14"/>
  <c r="AI258" i="14"/>
  <c r="AI226" i="14"/>
  <c r="AI194" i="14"/>
  <c r="AI162" i="14"/>
  <c r="AI150" i="14"/>
  <c r="AI130" i="14"/>
  <c r="AI118" i="14"/>
  <c r="AI78" i="14"/>
  <c r="AI233" i="14"/>
  <c r="AI21" i="14"/>
  <c r="AI29" i="14"/>
  <c r="AI41" i="14"/>
  <c r="AI44" i="14"/>
  <c r="AI24" i="14"/>
  <c r="AI39" i="14"/>
  <c r="AI27" i="14"/>
  <c r="AI30" i="14"/>
  <c r="AI32" i="14"/>
  <c r="AI15" i="14"/>
  <c r="AI14" i="14"/>
  <c r="AI36" i="14"/>
  <c r="AI35" i="14"/>
  <c r="AI23" i="14"/>
  <c r="AI26" i="14"/>
  <c r="AI40" i="14"/>
  <c r="AI45" i="14"/>
  <c r="AI37" i="14"/>
  <c r="AI34" i="14"/>
  <c r="AI48" i="14"/>
  <c r="AI17" i="14"/>
  <c r="AI12" i="14"/>
  <c r="AI47" i="14"/>
  <c r="AI43" i="14"/>
  <c r="AI19" i="14"/>
  <c r="AI5" i="14"/>
  <c r="AI10" i="14"/>
  <c r="AI4" i="14"/>
  <c r="AI9" i="14"/>
  <c r="AI11" i="14"/>
  <c r="AI7" i="14"/>
  <c r="AI13" i="14"/>
  <c r="K42" i="2"/>
  <c r="K41" i="2"/>
  <c r="AH3" i="7"/>
  <c r="AG3" i="7"/>
  <c r="AF3" i="7"/>
  <c r="AE3" i="7"/>
  <c r="AD3" i="7"/>
  <c r="AC3"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AH1002" i="7" s="1"/>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G1002" i="7" l="1"/>
  <c r="AE1004" i="7"/>
  <c r="AD1003" i="7"/>
  <c r="AF1004" i="7"/>
  <c r="AC1003" i="7"/>
  <c r="AE1003" i="7"/>
  <c r="AF1001" i="7"/>
  <c r="AD1004" i="7"/>
  <c r="AH1003" i="7"/>
  <c r="AC1004" i="7"/>
  <c r="AE1001" i="7"/>
  <c r="AG1003" i="7"/>
  <c r="AH1004" i="7"/>
  <c r="AD1001" i="7"/>
  <c r="AH1001" i="7"/>
  <c r="AC1002" i="7"/>
  <c r="AE1002" i="7"/>
  <c r="AG1004" i="7"/>
  <c r="AC1001" i="7"/>
  <c r="AF1002" i="7"/>
  <c r="AD1002" i="7"/>
  <c r="AF1003" i="7"/>
  <c r="AG1001" i="7"/>
  <c r="P5" i="4"/>
  <c r="M5" i="4"/>
  <c r="J5" i="4"/>
  <c r="G5" i="4"/>
  <c r="I5" i="3"/>
  <c r="I6" i="3"/>
  <c r="I7" i="3"/>
  <c r="I8" i="3"/>
  <c r="I9" i="3"/>
  <c r="I10" i="3"/>
  <c r="H28" i="2"/>
  <c r="H17" i="2"/>
  <c r="H12" i="2"/>
  <c r="H5" i="2"/>
  <c r="H20" i="2"/>
  <c r="H9" i="2"/>
  <c r="H8" i="2"/>
  <c r="H7" i="2"/>
  <c r="H21" i="2"/>
  <c r="H19" i="2"/>
  <c r="H13" i="2"/>
  <c r="H10" i="2"/>
  <c r="H25" i="2"/>
  <c r="H24" i="2"/>
  <c r="H22" i="2"/>
  <c r="H11" i="2"/>
  <c r="H23" i="2"/>
  <c r="H15" i="2"/>
  <c r="H6" i="2"/>
  <c r="H4" i="2"/>
  <c r="H14" i="2"/>
  <c r="H16" i="2"/>
  <c r="H18" i="2"/>
  <c r="H27" i="2"/>
  <c r="H26" i="2"/>
  <c r="G3" i="2"/>
  <c r="G4" i="2"/>
  <c r="G5" i="2"/>
  <c r="G6" i="2"/>
  <c r="G7" i="2"/>
  <c r="G8" i="2"/>
  <c r="G9" i="2"/>
  <c r="G10" i="2"/>
  <c r="G11" i="2"/>
  <c r="G12" i="2"/>
  <c r="G13" i="2"/>
  <c r="G14" i="2"/>
  <c r="G15" i="2"/>
  <c r="G16" i="2"/>
  <c r="G17" i="2"/>
  <c r="G18" i="2"/>
  <c r="G19" i="2"/>
  <c r="G20" i="2"/>
  <c r="G21" i="2"/>
  <c r="G22" i="2"/>
  <c r="G23" i="2"/>
  <c r="G24" i="2"/>
  <c r="G25" i="2"/>
  <c r="G26" i="2"/>
  <c r="G27" i="2"/>
  <c r="G28" i="2"/>
  <c r="F3" i="2"/>
  <c r="F4" i="2"/>
  <c r="F5" i="2"/>
  <c r="F6" i="2"/>
  <c r="F7" i="2"/>
  <c r="F8" i="2"/>
  <c r="F9" i="2"/>
  <c r="F10" i="2"/>
  <c r="F11" i="2"/>
  <c r="F12" i="2"/>
  <c r="F13" i="2"/>
  <c r="F14" i="2"/>
  <c r="F15" i="2"/>
  <c r="F16" i="2"/>
  <c r="F17" i="2"/>
  <c r="F18" i="2"/>
  <c r="F19" i="2"/>
  <c r="F20" i="2"/>
  <c r="F21" i="2"/>
  <c r="F22" i="2"/>
  <c r="F23" i="2"/>
  <c r="F24" i="2"/>
  <c r="F25" i="2"/>
  <c r="F26" i="2"/>
  <c r="F27" i="2"/>
  <c r="F28" i="2"/>
  <c r="B20" i="18" l="1"/>
  <c r="J7" i="18"/>
  <c r="J18" i="18"/>
  <c r="J22" i="18"/>
  <c r="J8" i="18"/>
  <c r="B25" i="18"/>
  <c r="B22" i="18"/>
  <c r="B13" i="18"/>
  <c r="B23" i="18"/>
  <c r="B7" i="18"/>
  <c r="J16" i="18"/>
  <c r="J24" i="18"/>
  <c r="J9" i="18"/>
  <c r="B28" i="18"/>
  <c r="B4" i="18"/>
  <c r="B14" i="18"/>
  <c r="B6" i="18"/>
  <c r="J14" i="18"/>
  <c r="J25" i="18"/>
  <c r="J20" i="18"/>
  <c r="J27" i="18"/>
  <c r="B3" i="18"/>
  <c r="B21" i="18"/>
  <c r="B5" i="18"/>
  <c r="J4" i="18"/>
  <c r="J10" i="18"/>
  <c r="J5" i="18"/>
  <c r="B15" i="18"/>
  <c r="B18" i="18"/>
  <c r="B12" i="18"/>
  <c r="J6" i="18"/>
  <c r="J13" i="18"/>
  <c r="J12" i="18"/>
  <c r="B10" i="18"/>
  <c r="B17" i="18"/>
  <c r="B9" i="18"/>
  <c r="B27" i="18"/>
  <c r="B19" i="18"/>
  <c r="B11" i="18"/>
  <c r="J15" i="18"/>
  <c r="J19" i="18"/>
  <c r="J17" i="18"/>
  <c r="J11" i="18"/>
  <c r="B24" i="18"/>
  <c r="B16" i="18"/>
  <c r="B8" i="18"/>
  <c r="B26" i="18"/>
  <c r="J26" i="18"/>
  <c r="J23" i="18"/>
  <c r="J21" i="18"/>
  <c r="J28" i="18"/>
  <c r="D30" i="3"/>
  <c r="D29" i="3"/>
  <c r="D28" i="3"/>
  <c r="D27" i="3"/>
  <c r="D26" i="3"/>
  <c r="D25" i="3"/>
  <c r="D24" i="3"/>
  <c r="D23" i="3"/>
  <c r="D22" i="3"/>
  <c r="D21" i="3"/>
  <c r="D20" i="3"/>
  <c r="D19" i="3"/>
  <c r="D18" i="3"/>
  <c r="D17" i="3"/>
  <c r="D16" i="3"/>
  <c r="D15" i="3"/>
  <c r="D14" i="3"/>
  <c r="D13" i="3"/>
  <c r="D12" i="3"/>
  <c r="D11" i="3"/>
  <c r="D10" i="3"/>
  <c r="D9" i="3"/>
  <c r="D8" i="3"/>
  <c r="D7" i="3"/>
  <c r="D6" i="3"/>
  <c r="D5" i="3"/>
  <c r="L5" i="3" l="1"/>
  <c r="L6" i="3" s="1"/>
  <c r="L7" i="3" s="1"/>
  <c r="L8" i="3" s="1"/>
  <c r="L9" i="3" s="1"/>
  <c r="L10" i="3" s="1"/>
  <c r="Z1000" i="7" l="1"/>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AH972" i="7" s="1"/>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AH968" i="7" s="1"/>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AH964" i="7" s="1"/>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AH960" i="7" s="1"/>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AH956" i="7" s="1"/>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AH952" i="7" s="1"/>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AH948" i="7" s="1"/>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AH944" i="7" s="1"/>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AH940" i="7" s="1"/>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AH936" i="7" s="1"/>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AH932" i="7" s="1"/>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AH928" i="7" s="1"/>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AH924" i="7" s="1"/>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AH920" i="7" s="1"/>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AH916" i="7" s="1"/>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AH912" i="7" s="1"/>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AH908" i="7" s="1"/>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AH904" i="7" s="1"/>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AH900" i="7" s="1"/>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AH896" i="7" s="1"/>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AH892" i="7" s="1"/>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AH888" i="7" s="1"/>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AH884" i="7" s="1"/>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AH880" i="7" s="1"/>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AH876" i="7" s="1"/>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AH872" i="7" s="1"/>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AH868" i="7" s="1"/>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AH864" i="7" s="1"/>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AH860" i="7" s="1"/>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AH856" i="7" s="1"/>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AH852" i="7" s="1"/>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AH848" i="7" s="1"/>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AH844" i="7" s="1"/>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AH840" i="7" s="1"/>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AH836" i="7" s="1"/>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AH832" i="7" s="1"/>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AH828" i="7" s="1"/>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AH824" i="7" s="1"/>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AH820" i="7" s="1"/>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AH816" i="7" s="1"/>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AH812" i="7" s="1"/>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AH808" i="7" s="1"/>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AH804" i="7" s="1"/>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AH800" i="7" s="1"/>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AH796" i="7" s="1"/>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AH792" i="7" s="1"/>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AH788" i="7" s="1"/>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AH784" i="7" s="1"/>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AH780" i="7" s="1"/>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AH776" i="7" s="1"/>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AH772" i="7" s="1"/>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AH768" i="7" s="1"/>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AH764" i="7" s="1"/>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AH760" i="7" s="1"/>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AH756" i="7" s="1"/>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AH752" i="7" s="1"/>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AH748" i="7" s="1"/>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AH744" i="7" s="1"/>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AH740" i="7" s="1"/>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AH736" i="7" s="1"/>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AH732" i="7" s="1"/>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AH728" i="7" s="1"/>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AH724" i="7" s="1"/>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AH720" i="7" s="1"/>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AH716" i="7" s="1"/>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AH712" i="7" s="1"/>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AH708" i="7" s="1"/>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AH704" i="7" s="1"/>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AH700" i="7" s="1"/>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AH696" i="7" s="1"/>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AH692" i="7" s="1"/>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AH688" i="7" s="1"/>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AH684" i="7" s="1"/>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AH680" i="7" s="1"/>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AH676" i="7" s="1"/>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AH672" i="7" s="1"/>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AH668" i="7" s="1"/>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AH664" i="7" s="1"/>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AH660" i="7" s="1"/>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AH656" i="7" s="1"/>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AH652" i="7" s="1"/>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AH648" i="7" s="1"/>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AH644" i="7" s="1"/>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AH640" i="7" s="1"/>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AH636" i="7" s="1"/>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AH632" i="7" s="1"/>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AH628" i="7" s="1"/>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AH624" i="7" s="1"/>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AH620" i="7" s="1"/>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AH616" i="7" s="1"/>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AH612" i="7" s="1"/>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AH608" i="7" s="1"/>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AH604" i="7" s="1"/>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AH600" i="7" s="1"/>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AH596" i="7" s="1"/>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AH592" i="7" s="1"/>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AH588" i="7" s="1"/>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AC585" i="7" s="1"/>
  <c r="Z584" i="7"/>
  <c r="Y584" i="7"/>
  <c r="X584" i="7"/>
  <c r="W584" i="7"/>
  <c r="V584" i="7"/>
  <c r="U584" i="7"/>
  <c r="T584" i="7"/>
  <c r="S584" i="7"/>
  <c r="R584" i="7"/>
  <c r="Q584" i="7"/>
  <c r="P584" i="7"/>
  <c r="O584" i="7"/>
  <c r="N584" i="7"/>
  <c r="M584" i="7"/>
  <c r="L584" i="7"/>
  <c r="K584" i="7"/>
  <c r="J584" i="7"/>
  <c r="I584" i="7"/>
  <c r="H584" i="7"/>
  <c r="G584" i="7"/>
  <c r="F584" i="7"/>
  <c r="E584" i="7"/>
  <c r="D584" i="7"/>
  <c r="C584" i="7"/>
  <c r="AH584" i="7" s="1"/>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AE581" i="7" s="1"/>
  <c r="H581" i="7"/>
  <c r="G581" i="7"/>
  <c r="F581" i="7"/>
  <c r="E581" i="7"/>
  <c r="D581" i="7"/>
  <c r="C581" i="7"/>
  <c r="B581" i="7"/>
  <c r="A581" i="7"/>
  <c r="AC581" i="7" s="1"/>
  <c r="Z580" i="7"/>
  <c r="Y580" i="7"/>
  <c r="X580" i="7"/>
  <c r="W580" i="7"/>
  <c r="V580" i="7"/>
  <c r="U580" i="7"/>
  <c r="T580" i="7"/>
  <c r="S580" i="7"/>
  <c r="R580" i="7"/>
  <c r="Q580" i="7"/>
  <c r="P580" i="7"/>
  <c r="O580" i="7"/>
  <c r="N580" i="7"/>
  <c r="M580" i="7"/>
  <c r="L580" i="7"/>
  <c r="K580" i="7"/>
  <c r="J580" i="7"/>
  <c r="I580" i="7"/>
  <c r="H580" i="7"/>
  <c r="G580" i="7"/>
  <c r="F580" i="7"/>
  <c r="E580" i="7"/>
  <c r="D580" i="7"/>
  <c r="C580" i="7"/>
  <c r="AH580" i="7" s="1"/>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AE577" i="7" s="1"/>
  <c r="H577" i="7"/>
  <c r="G577" i="7"/>
  <c r="F577" i="7"/>
  <c r="E577" i="7"/>
  <c r="D577" i="7"/>
  <c r="C577" i="7"/>
  <c r="B577" i="7"/>
  <c r="A577" i="7"/>
  <c r="AC577" i="7" s="1"/>
  <c r="Z576" i="7"/>
  <c r="Y576" i="7"/>
  <c r="X576" i="7"/>
  <c r="W576" i="7"/>
  <c r="V576" i="7"/>
  <c r="U576" i="7"/>
  <c r="T576" i="7"/>
  <c r="S576" i="7"/>
  <c r="R576" i="7"/>
  <c r="Q576" i="7"/>
  <c r="P576" i="7"/>
  <c r="O576" i="7"/>
  <c r="N576" i="7"/>
  <c r="M576" i="7"/>
  <c r="L576" i="7"/>
  <c r="K576" i="7"/>
  <c r="J576" i="7"/>
  <c r="I576" i="7"/>
  <c r="H576" i="7"/>
  <c r="G576" i="7"/>
  <c r="F576" i="7"/>
  <c r="E576" i="7"/>
  <c r="D576" i="7"/>
  <c r="C576" i="7"/>
  <c r="AH576" i="7" s="1"/>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AE573" i="7" s="1"/>
  <c r="H573" i="7"/>
  <c r="G573" i="7"/>
  <c r="F573" i="7"/>
  <c r="E573" i="7"/>
  <c r="D573" i="7"/>
  <c r="C573" i="7"/>
  <c r="B573" i="7"/>
  <c r="A573" i="7"/>
  <c r="AC573" i="7" s="1"/>
  <c r="Z572" i="7"/>
  <c r="Y572" i="7"/>
  <c r="X572" i="7"/>
  <c r="W572" i="7"/>
  <c r="V572" i="7"/>
  <c r="U572" i="7"/>
  <c r="T572" i="7"/>
  <c r="S572" i="7"/>
  <c r="R572" i="7"/>
  <c r="Q572" i="7"/>
  <c r="P572" i="7"/>
  <c r="O572" i="7"/>
  <c r="N572" i="7"/>
  <c r="M572" i="7"/>
  <c r="L572" i="7"/>
  <c r="K572" i="7"/>
  <c r="J572" i="7"/>
  <c r="I572" i="7"/>
  <c r="H572" i="7"/>
  <c r="G572" i="7"/>
  <c r="F572" i="7"/>
  <c r="E572" i="7"/>
  <c r="D572" i="7"/>
  <c r="C572" i="7"/>
  <c r="AH572" i="7" s="1"/>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AE569" i="7" s="1"/>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AH568" i="7" s="1"/>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AH564" i="7" s="1"/>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AH560" i="7" s="1"/>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AH556" i="7" s="1"/>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AH552" i="7" s="1"/>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AH548" i="7" s="1"/>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AE545" i="7" s="1"/>
  <c r="H545" i="7"/>
  <c r="G545" i="7"/>
  <c r="F545" i="7"/>
  <c r="E545" i="7"/>
  <c r="D545" i="7"/>
  <c r="C545" i="7"/>
  <c r="B545" i="7"/>
  <c r="A545" i="7"/>
  <c r="AC545" i="7" s="1"/>
  <c r="Z544" i="7"/>
  <c r="Y544" i="7"/>
  <c r="X544" i="7"/>
  <c r="W544" i="7"/>
  <c r="V544" i="7"/>
  <c r="U544" i="7"/>
  <c r="T544" i="7"/>
  <c r="S544" i="7"/>
  <c r="R544" i="7"/>
  <c r="Q544" i="7"/>
  <c r="P544" i="7"/>
  <c r="O544" i="7"/>
  <c r="N544" i="7"/>
  <c r="M544" i="7"/>
  <c r="L544" i="7"/>
  <c r="K544" i="7"/>
  <c r="J544" i="7"/>
  <c r="I544" i="7"/>
  <c r="H544" i="7"/>
  <c r="G544" i="7"/>
  <c r="F544" i="7"/>
  <c r="E544" i="7"/>
  <c r="D544" i="7"/>
  <c r="C544" i="7"/>
  <c r="AH544" i="7" s="1"/>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AE541" i="7" s="1"/>
  <c r="H541" i="7"/>
  <c r="G541" i="7"/>
  <c r="F541" i="7"/>
  <c r="E541" i="7"/>
  <c r="D541" i="7"/>
  <c r="C541" i="7"/>
  <c r="B541" i="7"/>
  <c r="A541" i="7"/>
  <c r="AC541" i="7" s="1"/>
  <c r="Z540" i="7"/>
  <c r="Y540" i="7"/>
  <c r="X540" i="7"/>
  <c r="W540" i="7"/>
  <c r="V540" i="7"/>
  <c r="U540" i="7"/>
  <c r="T540" i="7"/>
  <c r="S540" i="7"/>
  <c r="R540" i="7"/>
  <c r="Q540" i="7"/>
  <c r="P540" i="7"/>
  <c r="O540" i="7"/>
  <c r="N540" i="7"/>
  <c r="M540" i="7"/>
  <c r="L540" i="7"/>
  <c r="K540" i="7"/>
  <c r="J540" i="7"/>
  <c r="I540" i="7"/>
  <c r="H540" i="7"/>
  <c r="G540" i="7"/>
  <c r="F540" i="7"/>
  <c r="E540" i="7"/>
  <c r="D540" i="7"/>
  <c r="C540" i="7"/>
  <c r="AH540" i="7" s="1"/>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AE537" i="7" s="1"/>
  <c r="H537" i="7"/>
  <c r="G537" i="7"/>
  <c r="F537" i="7"/>
  <c r="E537" i="7"/>
  <c r="D537" i="7"/>
  <c r="C537" i="7"/>
  <c r="B537" i="7"/>
  <c r="A537" i="7"/>
  <c r="AC537" i="7" s="1"/>
  <c r="Z536" i="7"/>
  <c r="Y536" i="7"/>
  <c r="X536" i="7"/>
  <c r="W536" i="7"/>
  <c r="V536" i="7"/>
  <c r="U536" i="7"/>
  <c r="T536" i="7"/>
  <c r="S536" i="7"/>
  <c r="R536" i="7"/>
  <c r="Q536" i="7"/>
  <c r="P536" i="7"/>
  <c r="O536" i="7"/>
  <c r="N536" i="7"/>
  <c r="M536" i="7"/>
  <c r="L536" i="7"/>
  <c r="K536" i="7"/>
  <c r="J536" i="7"/>
  <c r="I536" i="7"/>
  <c r="H536" i="7"/>
  <c r="G536" i="7"/>
  <c r="F536" i="7"/>
  <c r="E536" i="7"/>
  <c r="D536" i="7"/>
  <c r="C536" i="7"/>
  <c r="AH536" i="7" s="1"/>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AE533" i="7" s="1"/>
  <c r="H533" i="7"/>
  <c r="G533" i="7"/>
  <c r="F533" i="7"/>
  <c r="E533" i="7"/>
  <c r="D533" i="7"/>
  <c r="C533" i="7"/>
  <c r="B533" i="7"/>
  <c r="A533" i="7"/>
  <c r="AC533" i="7" s="1"/>
  <c r="Z532" i="7"/>
  <c r="Y532" i="7"/>
  <c r="X532" i="7"/>
  <c r="W532" i="7"/>
  <c r="V532" i="7"/>
  <c r="U532" i="7"/>
  <c r="T532" i="7"/>
  <c r="S532" i="7"/>
  <c r="R532" i="7"/>
  <c r="Q532" i="7"/>
  <c r="P532" i="7"/>
  <c r="O532" i="7"/>
  <c r="N532" i="7"/>
  <c r="M532" i="7"/>
  <c r="L532" i="7"/>
  <c r="K532" i="7"/>
  <c r="J532" i="7"/>
  <c r="I532" i="7"/>
  <c r="H532" i="7"/>
  <c r="G532" i="7"/>
  <c r="F532" i="7"/>
  <c r="E532" i="7"/>
  <c r="D532" i="7"/>
  <c r="C532" i="7"/>
  <c r="AH532" i="7" s="1"/>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AE529" i="7" s="1"/>
  <c r="H529" i="7"/>
  <c r="G529" i="7"/>
  <c r="F529" i="7"/>
  <c r="E529" i="7"/>
  <c r="D529" i="7"/>
  <c r="C529" i="7"/>
  <c r="B529" i="7"/>
  <c r="A529" i="7"/>
  <c r="AC529" i="7" s="1"/>
  <c r="Z528" i="7"/>
  <c r="Y528" i="7"/>
  <c r="X528" i="7"/>
  <c r="W528" i="7"/>
  <c r="V528" i="7"/>
  <c r="U528" i="7"/>
  <c r="T528" i="7"/>
  <c r="S528" i="7"/>
  <c r="R528" i="7"/>
  <c r="Q528" i="7"/>
  <c r="P528" i="7"/>
  <c r="O528" i="7"/>
  <c r="N528" i="7"/>
  <c r="M528" i="7"/>
  <c r="L528" i="7"/>
  <c r="K528" i="7"/>
  <c r="J528" i="7"/>
  <c r="I528" i="7"/>
  <c r="H528" i="7"/>
  <c r="G528" i="7"/>
  <c r="F528" i="7"/>
  <c r="E528" i="7"/>
  <c r="D528" i="7"/>
  <c r="C528" i="7"/>
  <c r="AH528" i="7" s="1"/>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AE525" i="7" s="1"/>
  <c r="H525" i="7"/>
  <c r="G525" i="7"/>
  <c r="F525" i="7"/>
  <c r="E525" i="7"/>
  <c r="D525" i="7"/>
  <c r="C525" i="7"/>
  <c r="B525" i="7"/>
  <c r="A525" i="7"/>
  <c r="AC525" i="7" s="1"/>
  <c r="Z524" i="7"/>
  <c r="Y524" i="7"/>
  <c r="X524" i="7"/>
  <c r="W524" i="7"/>
  <c r="V524" i="7"/>
  <c r="U524" i="7"/>
  <c r="T524" i="7"/>
  <c r="S524" i="7"/>
  <c r="R524" i="7"/>
  <c r="Q524" i="7"/>
  <c r="P524" i="7"/>
  <c r="O524" i="7"/>
  <c r="N524" i="7"/>
  <c r="M524" i="7"/>
  <c r="L524" i="7"/>
  <c r="K524" i="7"/>
  <c r="J524" i="7"/>
  <c r="I524" i="7"/>
  <c r="H524" i="7"/>
  <c r="G524" i="7"/>
  <c r="F524" i="7"/>
  <c r="E524" i="7"/>
  <c r="D524" i="7"/>
  <c r="C524" i="7"/>
  <c r="AH524" i="7" s="1"/>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AE521" i="7" s="1"/>
  <c r="H521" i="7"/>
  <c r="G521" i="7"/>
  <c r="F521" i="7"/>
  <c r="E521" i="7"/>
  <c r="D521" i="7"/>
  <c r="C521" i="7"/>
  <c r="B521" i="7"/>
  <c r="A521" i="7"/>
  <c r="AC521" i="7" s="1"/>
  <c r="Z520" i="7"/>
  <c r="Y520" i="7"/>
  <c r="X520" i="7"/>
  <c r="W520" i="7"/>
  <c r="V520" i="7"/>
  <c r="U520" i="7"/>
  <c r="T520" i="7"/>
  <c r="S520" i="7"/>
  <c r="R520" i="7"/>
  <c r="Q520" i="7"/>
  <c r="P520" i="7"/>
  <c r="O520" i="7"/>
  <c r="N520" i="7"/>
  <c r="M520" i="7"/>
  <c r="L520" i="7"/>
  <c r="K520" i="7"/>
  <c r="J520" i="7"/>
  <c r="I520" i="7"/>
  <c r="H520" i="7"/>
  <c r="G520" i="7"/>
  <c r="F520" i="7"/>
  <c r="E520" i="7"/>
  <c r="D520" i="7"/>
  <c r="C520" i="7"/>
  <c r="AH520" i="7" s="1"/>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AE517" i="7" s="1"/>
  <c r="H517" i="7"/>
  <c r="G517" i="7"/>
  <c r="F517" i="7"/>
  <c r="E517" i="7"/>
  <c r="D517" i="7"/>
  <c r="C517" i="7"/>
  <c r="B517" i="7"/>
  <c r="A517" i="7"/>
  <c r="AC517" i="7" s="1"/>
  <c r="Z516" i="7"/>
  <c r="Y516" i="7"/>
  <c r="X516" i="7"/>
  <c r="W516" i="7"/>
  <c r="V516" i="7"/>
  <c r="U516" i="7"/>
  <c r="T516" i="7"/>
  <c r="S516" i="7"/>
  <c r="R516" i="7"/>
  <c r="Q516" i="7"/>
  <c r="P516" i="7"/>
  <c r="O516" i="7"/>
  <c r="N516" i="7"/>
  <c r="M516" i="7"/>
  <c r="L516" i="7"/>
  <c r="K516" i="7"/>
  <c r="J516" i="7"/>
  <c r="I516" i="7"/>
  <c r="H516" i="7"/>
  <c r="G516" i="7"/>
  <c r="F516" i="7"/>
  <c r="E516" i="7"/>
  <c r="D516" i="7"/>
  <c r="C516" i="7"/>
  <c r="AH516" i="7" s="1"/>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AE513" i="7" s="1"/>
  <c r="H513" i="7"/>
  <c r="G513" i="7"/>
  <c r="F513" i="7"/>
  <c r="E513" i="7"/>
  <c r="D513" i="7"/>
  <c r="C513" i="7"/>
  <c r="B513" i="7"/>
  <c r="A513" i="7"/>
  <c r="AC513" i="7" s="1"/>
  <c r="Z512" i="7"/>
  <c r="Y512" i="7"/>
  <c r="X512" i="7"/>
  <c r="W512" i="7"/>
  <c r="V512" i="7"/>
  <c r="U512" i="7"/>
  <c r="T512" i="7"/>
  <c r="S512" i="7"/>
  <c r="R512" i="7"/>
  <c r="Q512" i="7"/>
  <c r="P512" i="7"/>
  <c r="O512" i="7"/>
  <c r="N512" i="7"/>
  <c r="M512" i="7"/>
  <c r="L512" i="7"/>
  <c r="K512" i="7"/>
  <c r="J512" i="7"/>
  <c r="I512" i="7"/>
  <c r="H512" i="7"/>
  <c r="G512" i="7"/>
  <c r="F512" i="7"/>
  <c r="E512" i="7"/>
  <c r="D512" i="7"/>
  <c r="C512" i="7"/>
  <c r="AH512" i="7" s="1"/>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AE509" i="7" s="1"/>
  <c r="H509" i="7"/>
  <c r="G509" i="7"/>
  <c r="F509" i="7"/>
  <c r="E509" i="7"/>
  <c r="D509" i="7"/>
  <c r="C509" i="7"/>
  <c r="B509" i="7"/>
  <c r="A509" i="7"/>
  <c r="AC509" i="7" s="1"/>
  <c r="Z508" i="7"/>
  <c r="Y508" i="7"/>
  <c r="X508" i="7"/>
  <c r="W508" i="7"/>
  <c r="V508" i="7"/>
  <c r="U508" i="7"/>
  <c r="T508" i="7"/>
  <c r="S508" i="7"/>
  <c r="R508" i="7"/>
  <c r="Q508" i="7"/>
  <c r="P508" i="7"/>
  <c r="O508" i="7"/>
  <c r="N508" i="7"/>
  <c r="M508" i="7"/>
  <c r="L508" i="7"/>
  <c r="K508" i="7"/>
  <c r="J508" i="7"/>
  <c r="I508" i="7"/>
  <c r="H508" i="7"/>
  <c r="G508" i="7"/>
  <c r="F508" i="7"/>
  <c r="E508" i="7"/>
  <c r="D508" i="7"/>
  <c r="C508" i="7"/>
  <c r="AH508" i="7" s="1"/>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AE505" i="7" s="1"/>
  <c r="H505" i="7"/>
  <c r="G505" i="7"/>
  <c r="F505" i="7"/>
  <c r="E505" i="7"/>
  <c r="D505" i="7"/>
  <c r="C505" i="7"/>
  <c r="B505" i="7"/>
  <c r="A505" i="7"/>
  <c r="AC505" i="7" s="1"/>
  <c r="Z504" i="7"/>
  <c r="Y504" i="7"/>
  <c r="X504" i="7"/>
  <c r="W504" i="7"/>
  <c r="V504" i="7"/>
  <c r="U504" i="7"/>
  <c r="T504" i="7"/>
  <c r="S504" i="7"/>
  <c r="R504" i="7"/>
  <c r="Q504" i="7"/>
  <c r="P504" i="7"/>
  <c r="O504" i="7"/>
  <c r="N504" i="7"/>
  <c r="M504" i="7"/>
  <c r="L504" i="7"/>
  <c r="K504" i="7"/>
  <c r="J504" i="7"/>
  <c r="I504" i="7"/>
  <c r="H504" i="7"/>
  <c r="G504" i="7"/>
  <c r="F504" i="7"/>
  <c r="E504" i="7"/>
  <c r="D504" i="7"/>
  <c r="C504" i="7"/>
  <c r="AH504" i="7" s="1"/>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AE501" i="7" s="1"/>
  <c r="H501" i="7"/>
  <c r="G501" i="7"/>
  <c r="F501" i="7"/>
  <c r="E501" i="7"/>
  <c r="D501" i="7"/>
  <c r="C501" i="7"/>
  <c r="B501" i="7"/>
  <c r="A501" i="7"/>
  <c r="AC501" i="7" s="1"/>
  <c r="Z500" i="7"/>
  <c r="Y500" i="7"/>
  <c r="X500" i="7"/>
  <c r="W500" i="7"/>
  <c r="V500" i="7"/>
  <c r="U500" i="7"/>
  <c r="T500" i="7"/>
  <c r="S500" i="7"/>
  <c r="R500" i="7"/>
  <c r="Q500" i="7"/>
  <c r="P500" i="7"/>
  <c r="O500" i="7"/>
  <c r="N500" i="7"/>
  <c r="M500" i="7"/>
  <c r="L500" i="7"/>
  <c r="K500" i="7"/>
  <c r="J500" i="7"/>
  <c r="I500" i="7"/>
  <c r="H500" i="7"/>
  <c r="G500" i="7"/>
  <c r="F500" i="7"/>
  <c r="E500" i="7"/>
  <c r="D500" i="7"/>
  <c r="C500" i="7"/>
  <c r="AH500" i="7" s="1"/>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AE497" i="7" s="1"/>
  <c r="H497" i="7"/>
  <c r="G497" i="7"/>
  <c r="F497" i="7"/>
  <c r="E497" i="7"/>
  <c r="D497" i="7"/>
  <c r="C497" i="7"/>
  <c r="B497" i="7"/>
  <c r="A497" i="7"/>
  <c r="AC497" i="7" s="1"/>
  <c r="Z496" i="7"/>
  <c r="Y496" i="7"/>
  <c r="X496" i="7"/>
  <c r="W496" i="7"/>
  <c r="V496" i="7"/>
  <c r="U496" i="7"/>
  <c r="T496" i="7"/>
  <c r="S496" i="7"/>
  <c r="R496" i="7"/>
  <c r="Q496" i="7"/>
  <c r="P496" i="7"/>
  <c r="O496" i="7"/>
  <c r="N496" i="7"/>
  <c r="M496" i="7"/>
  <c r="L496" i="7"/>
  <c r="K496" i="7"/>
  <c r="J496" i="7"/>
  <c r="I496" i="7"/>
  <c r="H496" i="7"/>
  <c r="G496" i="7"/>
  <c r="F496" i="7"/>
  <c r="E496" i="7"/>
  <c r="D496" i="7"/>
  <c r="C496" i="7"/>
  <c r="AH496" i="7" s="1"/>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AE493" i="7" s="1"/>
  <c r="H493" i="7"/>
  <c r="G493" i="7"/>
  <c r="F493" i="7"/>
  <c r="E493" i="7"/>
  <c r="D493" i="7"/>
  <c r="C493" i="7"/>
  <c r="B493" i="7"/>
  <c r="A493" i="7"/>
  <c r="AC493" i="7" s="1"/>
  <c r="Z492" i="7"/>
  <c r="Y492" i="7"/>
  <c r="X492" i="7"/>
  <c r="W492" i="7"/>
  <c r="V492" i="7"/>
  <c r="U492" i="7"/>
  <c r="T492" i="7"/>
  <c r="S492" i="7"/>
  <c r="R492" i="7"/>
  <c r="Q492" i="7"/>
  <c r="P492" i="7"/>
  <c r="O492" i="7"/>
  <c r="N492" i="7"/>
  <c r="M492" i="7"/>
  <c r="L492" i="7"/>
  <c r="K492" i="7"/>
  <c r="J492" i="7"/>
  <c r="I492" i="7"/>
  <c r="H492" i="7"/>
  <c r="G492" i="7"/>
  <c r="F492" i="7"/>
  <c r="E492" i="7"/>
  <c r="D492" i="7"/>
  <c r="C492" i="7"/>
  <c r="AH492" i="7" s="1"/>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AE489" i="7" s="1"/>
  <c r="H489" i="7"/>
  <c r="G489" i="7"/>
  <c r="F489" i="7"/>
  <c r="E489" i="7"/>
  <c r="D489" i="7"/>
  <c r="C489" i="7"/>
  <c r="B489" i="7"/>
  <c r="A489" i="7"/>
  <c r="AC489" i="7" s="1"/>
  <c r="Z488" i="7"/>
  <c r="Y488" i="7"/>
  <c r="X488" i="7"/>
  <c r="W488" i="7"/>
  <c r="V488" i="7"/>
  <c r="U488" i="7"/>
  <c r="T488" i="7"/>
  <c r="S488" i="7"/>
  <c r="R488" i="7"/>
  <c r="Q488" i="7"/>
  <c r="P488" i="7"/>
  <c r="O488" i="7"/>
  <c r="N488" i="7"/>
  <c r="M488" i="7"/>
  <c r="L488" i="7"/>
  <c r="K488" i="7"/>
  <c r="J488" i="7"/>
  <c r="I488" i="7"/>
  <c r="H488" i="7"/>
  <c r="G488" i="7"/>
  <c r="F488" i="7"/>
  <c r="E488" i="7"/>
  <c r="D488" i="7"/>
  <c r="C488" i="7"/>
  <c r="AH488" i="7" s="1"/>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AE485" i="7" s="1"/>
  <c r="H485" i="7"/>
  <c r="G485" i="7"/>
  <c r="F485" i="7"/>
  <c r="E485" i="7"/>
  <c r="D485" i="7"/>
  <c r="C485" i="7"/>
  <c r="B485" i="7"/>
  <c r="A485" i="7"/>
  <c r="AC485" i="7" s="1"/>
  <c r="Z484" i="7"/>
  <c r="Y484" i="7"/>
  <c r="X484" i="7"/>
  <c r="W484" i="7"/>
  <c r="V484" i="7"/>
  <c r="U484" i="7"/>
  <c r="T484" i="7"/>
  <c r="S484" i="7"/>
  <c r="R484" i="7"/>
  <c r="Q484" i="7"/>
  <c r="P484" i="7"/>
  <c r="O484" i="7"/>
  <c r="N484" i="7"/>
  <c r="M484" i="7"/>
  <c r="L484" i="7"/>
  <c r="K484" i="7"/>
  <c r="J484" i="7"/>
  <c r="I484" i="7"/>
  <c r="H484" i="7"/>
  <c r="G484" i="7"/>
  <c r="F484" i="7"/>
  <c r="E484" i="7"/>
  <c r="D484" i="7"/>
  <c r="C484" i="7"/>
  <c r="AH484" i="7" s="1"/>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AE481" i="7" s="1"/>
  <c r="H481" i="7"/>
  <c r="G481" i="7"/>
  <c r="F481" i="7"/>
  <c r="E481" i="7"/>
  <c r="D481" i="7"/>
  <c r="C481" i="7"/>
  <c r="B481" i="7"/>
  <c r="A481" i="7"/>
  <c r="AC481" i="7" s="1"/>
  <c r="Z480" i="7"/>
  <c r="Y480" i="7"/>
  <c r="X480" i="7"/>
  <c r="W480" i="7"/>
  <c r="V480" i="7"/>
  <c r="U480" i="7"/>
  <c r="T480" i="7"/>
  <c r="S480" i="7"/>
  <c r="R480" i="7"/>
  <c r="Q480" i="7"/>
  <c r="P480" i="7"/>
  <c r="O480" i="7"/>
  <c r="N480" i="7"/>
  <c r="M480" i="7"/>
  <c r="L480" i="7"/>
  <c r="K480" i="7"/>
  <c r="J480" i="7"/>
  <c r="I480" i="7"/>
  <c r="H480" i="7"/>
  <c r="G480" i="7"/>
  <c r="F480" i="7"/>
  <c r="E480" i="7"/>
  <c r="D480" i="7"/>
  <c r="C480" i="7"/>
  <c r="AH480" i="7" s="1"/>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AE477" i="7" s="1"/>
  <c r="H477" i="7"/>
  <c r="G477" i="7"/>
  <c r="F477" i="7"/>
  <c r="E477" i="7"/>
  <c r="D477" i="7"/>
  <c r="C477" i="7"/>
  <c r="B477" i="7"/>
  <c r="A477" i="7"/>
  <c r="AC477" i="7" s="1"/>
  <c r="Z476" i="7"/>
  <c r="Y476" i="7"/>
  <c r="X476" i="7"/>
  <c r="W476" i="7"/>
  <c r="V476" i="7"/>
  <c r="U476" i="7"/>
  <c r="T476" i="7"/>
  <c r="S476" i="7"/>
  <c r="R476" i="7"/>
  <c r="Q476" i="7"/>
  <c r="P476" i="7"/>
  <c r="O476" i="7"/>
  <c r="N476" i="7"/>
  <c r="M476" i="7"/>
  <c r="L476" i="7"/>
  <c r="K476" i="7"/>
  <c r="J476" i="7"/>
  <c r="I476" i="7"/>
  <c r="H476" i="7"/>
  <c r="G476" i="7"/>
  <c r="F476" i="7"/>
  <c r="E476" i="7"/>
  <c r="D476" i="7"/>
  <c r="C476" i="7"/>
  <c r="AH476" i="7" s="1"/>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AE473" i="7" s="1"/>
  <c r="H473" i="7"/>
  <c r="G473" i="7"/>
  <c r="F473" i="7"/>
  <c r="E473" i="7"/>
  <c r="D473" i="7"/>
  <c r="C473" i="7"/>
  <c r="B473" i="7"/>
  <c r="A473" i="7"/>
  <c r="AC473" i="7" s="1"/>
  <c r="Z472" i="7"/>
  <c r="Y472" i="7"/>
  <c r="X472" i="7"/>
  <c r="W472" i="7"/>
  <c r="V472" i="7"/>
  <c r="U472" i="7"/>
  <c r="T472" i="7"/>
  <c r="S472" i="7"/>
  <c r="R472" i="7"/>
  <c r="Q472" i="7"/>
  <c r="P472" i="7"/>
  <c r="O472" i="7"/>
  <c r="N472" i="7"/>
  <c r="M472" i="7"/>
  <c r="L472" i="7"/>
  <c r="K472" i="7"/>
  <c r="J472" i="7"/>
  <c r="I472" i="7"/>
  <c r="H472" i="7"/>
  <c r="G472" i="7"/>
  <c r="F472" i="7"/>
  <c r="E472" i="7"/>
  <c r="D472" i="7"/>
  <c r="C472" i="7"/>
  <c r="AH472" i="7" s="1"/>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AE469" i="7" s="1"/>
  <c r="H469" i="7"/>
  <c r="G469" i="7"/>
  <c r="F469" i="7"/>
  <c r="E469" i="7"/>
  <c r="D469" i="7"/>
  <c r="C469" i="7"/>
  <c r="B469" i="7"/>
  <c r="A469" i="7"/>
  <c r="AC469" i="7" s="1"/>
  <c r="Z468" i="7"/>
  <c r="Y468" i="7"/>
  <c r="X468" i="7"/>
  <c r="W468" i="7"/>
  <c r="V468" i="7"/>
  <c r="U468" i="7"/>
  <c r="T468" i="7"/>
  <c r="S468" i="7"/>
  <c r="R468" i="7"/>
  <c r="Q468" i="7"/>
  <c r="P468" i="7"/>
  <c r="O468" i="7"/>
  <c r="N468" i="7"/>
  <c r="M468" i="7"/>
  <c r="L468" i="7"/>
  <c r="K468" i="7"/>
  <c r="J468" i="7"/>
  <c r="I468" i="7"/>
  <c r="H468" i="7"/>
  <c r="G468" i="7"/>
  <c r="F468" i="7"/>
  <c r="E468" i="7"/>
  <c r="D468" i="7"/>
  <c r="C468" i="7"/>
  <c r="AH468" i="7" s="1"/>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AE465" i="7" s="1"/>
  <c r="H465" i="7"/>
  <c r="G465" i="7"/>
  <c r="F465" i="7"/>
  <c r="E465" i="7"/>
  <c r="D465" i="7"/>
  <c r="C465" i="7"/>
  <c r="B465" i="7"/>
  <c r="A465" i="7"/>
  <c r="AC465" i="7" s="1"/>
  <c r="Z464" i="7"/>
  <c r="Y464" i="7"/>
  <c r="X464" i="7"/>
  <c r="W464" i="7"/>
  <c r="V464" i="7"/>
  <c r="U464" i="7"/>
  <c r="T464" i="7"/>
  <c r="S464" i="7"/>
  <c r="R464" i="7"/>
  <c r="Q464" i="7"/>
  <c r="P464" i="7"/>
  <c r="O464" i="7"/>
  <c r="N464" i="7"/>
  <c r="M464" i="7"/>
  <c r="L464" i="7"/>
  <c r="K464" i="7"/>
  <c r="J464" i="7"/>
  <c r="I464" i="7"/>
  <c r="H464" i="7"/>
  <c r="G464" i="7"/>
  <c r="F464" i="7"/>
  <c r="E464" i="7"/>
  <c r="D464" i="7"/>
  <c r="C464" i="7"/>
  <c r="AH464" i="7" s="1"/>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AE461" i="7" s="1"/>
  <c r="H461" i="7"/>
  <c r="G461" i="7"/>
  <c r="F461" i="7"/>
  <c r="E461" i="7"/>
  <c r="D461" i="7"/>
  <c r="C461" i="7"/>
  <c r="B461" i="7"/>
  <c r="A461" i="7"/>
  <c r="AC461" i="7" s="1"/>
  <c r="Z460" i="7"/>
  <c r="Y460" i="7"/>
  <c r="X460" i="7"/>
  <c r="W460" i="7"/>
  <c r="V460" i="7"/>
  <c r="U460" i="7"/>
  <c r="T460" i="7"/>
  <c r="S460" i="7"/>
  <c r="R460" i="7"/>
  <c r="Q460" i="7"/>
  <c r="P460" i="7"/>
  <c r="O460" i="7"/>
  <c r="N460" i="7"/>
  <c r="M460" i="7"/>
  <c r="L460" i="7"/>
  <c r="K460" i="7"/>
  <c r="J460" i="7"/>
  <c r="I460" i="7"/>
  <c r="H460" i="7"/>
  <c r="G460" i="7"/>
  <c r="F460" i="7"/>
  <c r="E460" i="7"/>
  <c r="D460" i="7"/>
  <c r="C460" i="7"/>
  <c r="AH460" i="7" s="1"/>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AE457" i="7" s="1"/>
  <c r="H457" i="7"/>
  <c r="G457" i="7"/>
  <c r="F457" i="7"/>
  <c r="E457" i="7"/>
  <c r="D457" i="7"/>
  <c r="C457" i="7"/>
  <c r="B457" i="7"/>
  <c r="A457" i="7"/>
  <c r="AC457" i="7" s="1"/>
  <c r="Z456" i="7"/>
  <c r="Y456" i="7"/>
  <c r="X456" i="7"/>
  <c r="W456" i="7"/>
  <c r="V456" i="7"/>
  <c r="U456" i="7"/>
  <c r="T456" i="7"/>
  <c r="S456" i="7"/>
  <c r="R456" i="7"/>
  <c r="Q456" i="7"/>
  <c r="P456" i="7"/>
  <c r="O456" i="7"/>
  <c r="N456" i="7"/>
  <c r="M456" i="7"/>
  <c r="L456" i="7"/>
  <c r="K456" i="7"/>
  <c r="J456" i="7"/>
  <c r="I456" i="7"/>
  <c r="H456" i="7"/>
  <c r="G456" i="7"/>
  <c r="F456" i="7"/>
  <c r="E456" i="7"/>
  <c r="D456" i="7"/>
  <c r="C456" i="7"/>
  <c r="AH456" i="7" s="1"/>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AE453" i="7" s="1"/>
  <c r="H453" i="7"/>
  <c r="G453" i="7"/>
  <c r="F453" i="7"/>
  <c r="E453" i="7"/>
  <c r="D453" i="7"/>
  <c r="C453" i="7"/>
  <c r="B453" i="7"/>
  <c r="A453" i="7"/>
  <c r="AC453" i="7" s="1"/>
  <c r="Z452" i="7"/>
  <c r="Y452" i="7"/>
  <c r="X452" i="7"/>
  <c r="W452" i="7"/>
  <c r="V452" i="7"/>
  <c r="U452" i="7"/>
  <c r="T452" i="7"/>
  <c r="S452" i="7"/>
  <c r="R452" i="7"/>
  <c r="Q452" i="7"/>
  <c r="P452" i="7"/>
  <c r="O452" i="7"/>
  <c r="N452" i="7"/>
  <c r="M452" i="7"/>
  <c r="L452" i="7"/>
  <c r="K452" i="7"/>
  <c r="J452" i="7"/>
  <c r="I452" i="7"/>
  <c r="H452" i="7"/>
  <c r="G452" i="7"/>
  <c r="F452" i="7"/>
  <c r="E452" i="7"/>
  <c r="D452" i="7"/>
  <c r="C452" i="7"/>
  <c r="AH452" i="7" s="1"/>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AE449" i="7" s="1"/>
  <c r="H449" i="7"/>
  <c r="G449" i="7"/>
  <c r="F449" i="7"/>
  <c r="E449" i="7"/>
  <c r="D449" i="7"/>
  <c r="C449" i="7"/>
  <c r="B449" i="7"/>
  <c r="A449" i="7"/>
  <c r="AC449" i="7" s="1"/>
  <c r="Z448" i="7"/>
  <c r="Y448" i="7"/>
  <c r="X448" i="7"/>
  <c r="W448" i="7"/>
  <c r="V448" i="7"/>
  <c r="U448" i="7"/>
  <c r="T448" i="7"/>
  <c r="S448" i="7"/>
  <c r="R448" i="7"/>
  <c r="Q448" i="7"/>
  <c r="P448" i="7"/>
  <c r="O448" i="7"/>
  <c r="N448" i="7"/>
  <c r="M448" i="7"/>
  <c r="L448" i="7"/>
  <c r="K448" i="7"/>
  <c r="J448" i="7"/>
  <c r="I448" i="7"/>
  <c r="H448" i="7"/>
  <c r="G448" i="7"/>
  <c r="F448" i="7"/>
  <c r="E448" i="7"/>
  <c r="D448" i="7"/>
  <c r="C448" i="7"/>
  <c r="AH448" i="7" s="1"/>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AE445" i="7" s="1"/>
  <c r="H445" i="7"/>
  <c r="G445" i="7"/>
  <c r="F445" i="7"/>
  <c r="E445" i="7"/>
  <c r="D445" i="7"/>
  <c r="C445" i="7"/>
  <c r="B445" i="7"/>
  <c r="A445" i="7"/>
  <c r="AC445" i="7" s="1"/>
  <c r="Z444" i="7"/>
  <c r="Y444" i="7"/>
  <c r="X444" i="7"/>
  <c r="W444" i="7"/>
  <c r="V444" i="7"/>
  <c r="U444" i="7"/>
  <c r="T444" i="7"/>
  <c r="S444" i="7"/>
  <c r="R444" i="7"/>
  <c r="Q444" i="7"/>
  <c r="P444" i="7"/>
  <c r="O444" i="7"/>
  <c r="N444" i="7"/>
  <c r="M444" i="7"/>
  <c r="L444" i="7"/>
  <c r="K444" i="7"/>
  <c r="J444" i="7"/>
  <c r="I444" i="7"/>
  <c r="H444" i="7"/>
  <c r="G444" i="7"/>
  <c r="F444" i="7"/>
  <c r="E444" i="7"/>
  <c r="D444" i="7"/>
  <c r="C444" i="7"/>
  <c r="AH444" i="7" s="1"/>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AE441" i="7" s="1"/>
  <c r="H441" i="7"/>
  <c r="G441" i="7"/>
  <c r="F441" i="7"/>
  <c r="E441" i="7"/>
  <c r="D441" i="7"/>
  <c r="C441" i="7"/>
  <c r="B441" i="7"/>
  <c r="A441" i="7"/>
  <c r="AC441" i="7" s="1"/>
  <c r="Z440" i="7"/>
  <c r="Y440" i="7"/>
  <c r="X440" i="7"/>
  <c r="W440" i="7"/>
  <c r="V440" i="7"/>
  <c r="U440" i="7"/>
  <c r="T440" i="7"/>
  <c r="S440" i="7"/>
  <c r="R440" i="7"/>
  <c r="Q440" i="7"/>
  <c r="P440" i="7"/>
  <c r="O440" i="7"/>
  <c r="N440" i="7"/>
  <c r="M440" i="7"/>
  <c r="L440" i="7"/>
  <c r="K440" i="7"/>
  <c r="J440" i="7"/>
  <c r="I440" i="7"/>
  <c r="H440" i="7"/>
  <c r="G440" i="7"/>
  <c r="F440" i="7"/>
  <c r="E440" i="7"/>
  <c r="D440" i="7"/>
  <c r="C440" i="7"/>
  <c r="AH440" i="7" s="1"/>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AE437" i="7" s="1"/>
  <c r="H437" i="7"/>
  <c r="G437" i="7"/>
  <c r="F437" i="7"/>
  <c r="E437" i="7"/>
  <c r="D437" i="7"/>
  <c r="C437" i="7"/>
  <c r="B437" i="7"/>
  <c r="A437" i="7"/>
  <c r="AC437" i="7" s="1"/>
  <c r="Z436" i="7"/>
  <c r="Y436" i="7"/>
  <c r="X436" i="7"/>
  <c r="W436" i="7"/>
  <c r="V436" i="7"/>
  <c r="U436" i="7"/>
  <c r="T436" i="7"/>
  <c r="S436" i="7"/>
  <c r="R436" i="7"/>
  <c r="Q436" i="7"/>
  <c r="P436" i="7"/>
  <c r="O436" i="7"/>
  <c r="N436" i="7"/>
  <c r="M436" i="7"/>
  <c r="L436" i="7"/>
  <c r="K436" i="7"/>
  <c r="J436" i="7"/>
  <c r="I436" i="7"/>
  <c r="H436" i="7"/>
  <c r="G436" i="7"/>
  <c r="F436" i="7"/>
  <c r="E436" i="7"/>
  <c r="D436" i="7"/>
  <c r="C436" i="7"/>
  <c r="AH436" i="7" s="1"/>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AE433" i="7" s="1"/>
  <c r="H433" i="7"/>
  <c r="G433" i="7"/>
  <c r="F433" i="7"/>
  <c r="E433" i="7"/>
  <c r="D433" i="7"/>
  <c r="C433" i="7"/>
  <c r="B433" i="7"/>
  <c r="A433" i="7"/>
  <c r="AC433" i="7" s="1"/>
  <c r="Z432" i="7"/>
  <c r="Y432" i="7"/>
  <c r="X432" i="7"/>
  <c r="W432" i="7"/>
  <c r="V432" i="7"/>
  <c r="U432" i="7"/>
  <c r="T432" i="7"/>
  <c r="S432" i="7"/>
  <c r="R432" i="7"/>
  <c r="Q432" i="7"/>
  <c r="P432" i="7"/>
  <c r="O432" i="7"/>
  <c r="N432" i="7"/>
  <c r="M432" i="7"/>
  <c r="L432" i="7"/>
  <c r="K432" i="7"/>
  <c r="J432" i="7"/>
  <c r="I432" i="7"/>
  <c r="H432" i="7"/>
  <c r="G432" i="7"/>
  <c r="F432" i="7"/>
  <c r="E432" i="7"/>
  <c r="D432" i="7"/>
  <c r="C432" i="7"/>
  <c r="AH432" i="7" s="1"/>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AE429" i="7" s="1"/>
  <c r="H429" i="7"/>
  <c r="G429" i="7"/>
  <c r="F429" i="7"/>
  <c r="E429" i="7"/>
  <c r="D429" i="7"/>
  <c r="C429" i="7"/>
  <c r="B429" i="7"/>
  <c r="A429" i="7"/>
  <c r="AC429" i="7" s="1"/>
  <c r="Z428" i="7"/>
  <c r="Y428" i="7"/>
  <c r="X428" i="7"/>
  <c r="W428" i="7"/>
  <c r="V428" i="7"/>
  <c r="U428" i="7"/>
  <c r="T428" i="7"/>
  <c r="S428" i="7"/>
  <c r="R428" i="7"/>
  <c r="Q428" i="7"/>
  <c r="P428" i="7"/>
  <c r="O428" i="7"/>
  <c r="N428" i="7"/>
  <c r="M428" i="7"/>
  <c r="L428" i="7"/>
  <c r="K428" i="7"/>
  <c r="J428" i="7"/>
  <c r="I428" i="7"/>
  <c r="H428" i="7"/>
  <c r="G428" i="7"/>
  <c r="F428" i="7"/>
  <c r="E428" i="7"/>
  <c r="D428" i="7"/>
  <c r="C428" i="7"/>
  <c r="AH428" i="7" s="1"/>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AE425" i="7" s="1"/>
  <c r="H425" i="7"/>
  <c r="G425" i="7"/>
  <c r="F425" i="7"/>
  <c r="E425" i="7"/>
  <c r="D425" i="7"/>
  <c r="C425" i="7"/>
  <c r="B425" i="7"/>
  <c r="A425" i="7"/>
  <c r="AC425" i="7" s="1"/>
  <c r="Z424" i="7"/>
  <c r="Y424" i="7"/>
  <c r="X424" i="7"/>
  <c r="W424" i="7"/>
  <c r="V424" i="7"/>
  <c r="U424" i="7"/>
  <c r="T424" i="7"/>
  <c r="S424" i="7"/>
  <c r="R424" i="7"/>
  <c r="Q424" i="7"/>
  <c r="P424" i="7"/>
  <c r="O424" i="7"/>
  <c r="N424" i="7"/>
  <c r="M424" i="7"/>
  <c r="L424" i="7"/>
  <c r="K424" i="7"/>
  <c r="J424" i="7"/>
  <c r="I424" i="7"/>
  <c r="H424" i="7"/>
  <c r="G424" i="7"/>
  <c r="F424" i="7"/>
  <c r="E424" i="7"/>
  <c r="D424" i="7"/>
  <c r="C424" i="7"/>
  <c r="AH424" i="7" s="1"/>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AE421" i="7" s="1"/>
  <c r="H421" i="7"/>
  <c r="G421" i="7"/>
  <c r="F421" i="7"/>
  <c r="E421" i="7"/>
  <c r="D421" i="7"/>
  <c r="C421" i="7"/>
  <c r="B421" i="7"/>
  <c r="A421" i="7"/>
  <c r="AC421" i="7" s="1"/>
  <c r="Z420" i="7"/>
  <c r="Y420" i="7"/>
  <c r="X420" i="7"/>
  <c r="W420" i="7"/>
  <c r="V420" i="7"/>
  <c r="U420" i="7"/>
  <c r="T420" i="7"/>
  <c r="S420" i="7"/>
  <c r="R420" i="7"/>
  <c r="Q420" i="7"/>
  <c r="P420" i="7"/>
  <c r="O420" i="7"/>
  <c r="N420" i="7"/>
  <c r="M420" i="7"/>
  <c r="L420" i="7"/>
  <c r="K420" i="7"/>
  <c r="J420" i="7"/>
  <c r="I420" i="7"/>
  <c r="H420" i="7"/>
  <c r="G420" i="7"/>
  <c r="F420" i="7"/>
  <c r="E420" i="7"/>
  <c r="D420" i="7"/>
  <c r="C420" i="7"/>
  <c r="AH420" i="7" s="1"/>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AE417" i="7" s="1"/>
  <c r="H417" i="7"/>
  <c r="G417" i="7"/>
  <c r="F417" i="7"/>
  <c r="E417" i="7"/>
  <c r="D417" i="7"/>
  <c r="C417" i="7"/>
  <c r="B417" i="7"/>
  <c r="A417" i="7"/>
  <c r="AC417" i="7" s="1"/>
  <c r="Z416" i="7"/>
  <c r="Y416" i="7"/>
  <c r="X416" i="7"/>
  <c r="W416" i="7"/>
  <c r="V416" i="7"/>
  <c r="U416" i="7"/>
  <c r="T416" i="7"/>
  <c r="S416" i="7"/>
  <c r="R416" i="7"/>
  <c r="Q416" i="7"/>
  <c r="P416" i="7"/>
  <c r="O416" i="7"/>
  <c r="N416" i="7"/>
  <c r="M416" i="7"/>
  <c r="L416" i="7"/>
  <c r="K416" i="7"/>
  <c r="J416" i="7"/>
  <c r="I416" i="7"/>
  <c r="H416" i="7"/>
  <c r="G416" i="7"/>
  <c r="F416" i="7"/>
  <c r="E416" i="7"/>
  <c r="D416" i="7"/>
  <c r="C416" i="7"/>
  <c r="AH416" i="7" s="1"/>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AE413" i="7" s="1"/>
  <c r="H413" i="7"/>
  <c r="G413" i="7"/>
  <c r="F413" i="7"/>
  <c r="E413" i="7"/>
  <c r="D413" i="7"/>
  <c r="C413" i="7"/>
  <c r="B413" i="7"/>
  <c r="A413" i="7"/>
  <c r="AC413" i="7" s="1"/>
  <c r="Z412" i="7"/>
  <c r="Y412" i="7"/>
  <c r="X412" i="7"/>
  <c r="W412" i="7"/>
  <c r="V412" i="7"/>
  <c r="U412" i="7"/>
  <c r="T412" i="7"/>
  <c r="S412" i="7"/>
  <c r="R412" i="7"/>
  <c r="Q412" i="7"/>
  <c r="P412" i="7"/>
  <c r="O412" i="7"/>
  <c r="N412" i="7"/>
  <c r="M412" i="7"/>
  <c r="L412" i="7"/>
  <c r="K412" i="7"/>
  <c r="J412" i="7"/>
  <c r="I412" i="7"/>
  <c r="H412" i="7"/>
  <c r="G412" i="7"/>
  <c r="F412" i="7"/>
  <c r="E412" i="7"/>
  <c r="D412" i="7"/>
  <c r="C412" i="7"/>
  <c r="AH412" i="7" s="1"/>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AE409" i="7" s="1"/>
  <c r="H409" i="7"/>
  <c r="G409" i="7"/>
  <c r="F409" i="7"/>
  <c r="E409" i="7"/>
  <c r="D409" i="7"/>
  <c r="C409" i="7"/>
  <c r="B409" i="7"/>
  <c r="A409" i="7"/>
  <c r="AC409" i="7" s="1"/>
  <c r="Z408" i="7"/>
  <c r="Y408" i="7"/>
  <c r="X408" i="7"/>
  <c r="W408" i="7"/>
  <c r="V408" i="7"/>
  <c r="U408" i="7"/>
  <c r="T408" i="7"/>
  <c r="S408" i="7"/>
  <c r="R408" i="7"/>
  <c r="Q408" i="7"/>
  <c r="P408" i="7"/>
  <c r="O408" i="7"/>
  <c r="N408" i="7"/>
  <c r="M408" i="7"/>
  <c r="L408" i="7"/>
  <c r="K408" i="7"/>
  <c r="J408" i="7"/>
  <c r="I408" i="7"/>
  <c r="H408" i="7"/>
  <c r="G408" i="7"/>
  <c r="F408" i="7"/>
  <c r="E408" i="7"/>
  <c r="D408" i="7"/>
  <c r="C408" i="7"/>
  <c r="AH408" i="7" s="1"/>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AE405" i="7" s="1"/>
  <c r="H405" i="7"/>
  <c r="G405" i="7"/>
  <c r="F405" i="7"/>
  <c r="E405" i="7"/>
  <c r="D405" i="7"/>
  <c r="C405" i="7"/>
  <c r="B405" i="7"/>
  <c r="A405" i="7"/>
  <c r="AC405" i="7" s="1"/>
  <c r="Z404" i="7"/>
  <c r="Y404" i="7"/>
  <c r="X404" i="7"/>
  <c r="W404" i="7"/>
  <c r="V404" i="7"/>
  <c r="U404" i="7"/>
  <c r="T404" i="7"/>
  <c r="S404" i="7"/>
  <c r="R404" i="7"/>
  <c r="Q404" i="7"/>
  <c r="P404" i="7"/>
  <c r="O404" i="7"/>
  <c r="N404" i="7"/>
  <c r="M404" i="7"/>
  <c r="L404" i="7"/>
  <c r="K404" i="7"/>
  <c r="J404" i="7"/>
  <c r="I404" i="7"/>
  <c r="H404" i="7"/>
  <c r="G404" i="7"/>
  <c r="F404" i="7"/>
  <c r="E404" i="7"/>
  <c r="D404" i="7"/>
  <c r="C404" i="7"/>
  <c r="AH404" i="7" s="1"/>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AE401" i="7" s="1"/>
  <c r="H401" i="7"/>
  <c r="G401" i="7"/>
  <c r="F401" i="7"/>
  <c r="E401" i="7"/>
  <c r="D401" i="7"/>
  <c r="C401" i="7"/>
  <c r="B401" i="7"/>
  <c r="A401" i="7"/>
  <c r="AC401" i="7" s="1"/>
  <c r="Z400" i="7"/>
  <c r="Y400" i="7"/>
  <c r="X400" i="7"/>
  <c r="W400" i="7"/>
  <c r="V400" i="7"/>
  <c r="U400" i="7"/>
  <c r="T400" i="7"/>
  <c r="S400" i="7"/>
  <c r="R400" i="7"/>
  <c r="Q400" i="7"/>
  <c r="P400" i="7"/>
  <c r="O400" i="7"/>
  <c r="N400" i="7"/>
  <c r="M400" i="7"/>
  <c r="L400" i="7"/>
  <c r="K400" i="7"/>
  <c r="J400" i="7"/>
  <c r="I400" i="7"/>
  <c r="H400" i="7"/>
  <c r="G400" i="7"/>
  <c r="F400" i="7"/>
  <c r="E400" i="7"/>
  <c r="D400" i="7"/>
  <c r="C400" i="7"/>
  <c r="AH400" i="7" s="1"/>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AE397" i="7" s="1"/>
  <c r="H397" i="7"/>
  <c r="G397" i="7"/>
  <c r="F397" i="7"/>
  <c r="E397" i="7"/>
  <c r="D397" i="7"/>
  <c r="C397" i="7"/>
  <c r="B397" i="7"/>
  <c r="A397" i="7"/>
  <c r="AC397" i="7" s="1"/>
  <c r="Z396" i="7"/>
  <c r="Y396" i="7"/>
  <c r="X396" i="7"/>
  <c r="W396" i="7"/>
  <c r="V396" i="7"/>
  <c r="U396" i="7"/>
  <c r="T396" i="7"/>
  <c r="S396" i="7"/>
  <c r="R396" i="7"/>
  <c r="Q396" i="7"/>
  <c r="P396" i="7"/>
  <c r="O396" i="7"/>
  <c r="N396" i="7"/>
  <c r="M396" i="7"/>
  <c r="L396" i="7"/>
  <c r="K396" i="7"/>
  <c r="J396" i="7"/>
  <c r="I396" i="7"/>
  <c r="H396" i="7"/>
  <c r="G396" i="7"/>
  <c r="F396" i="7"/>
  <c r="E396" i="7"/>
  <c r="D396" i="7"/>
  <c r="C396" i="7"/>
  <c r="AH396" i="7" s="1"/>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AE393" i="7" s="1"/>
  <c r="H393" i="7"/>
  <c r="G393" i="7"/>
  <c r="F393" i="7"/>
  <c r="E393" i="7"/>
  <c r="D393" i="7"/>
  <c r="C393" i="7"/>
  <c r="B393" i="7"/>
  <c r="A393" i="7"/>
  <c r="AC393" i="7" s="1"/>
  <c r="Z392" i="7"/>
  <c r="Y392" i="7"/>
  <c r="X392" i="7"/>
  <c r="W392" i="7"/>
  <c r="V392" i="7"/>
  <c r="U392" i="7"/>
  <c r="T392" i="7"/>
  <c r="S392" i="7"/>
  <c r="R392" i="7"/>
  <c r="Q392" i="7"/>
  <c r="P392" i="7"/>
  <c r="O392" i="7"/>
  <c r="N392" i="7"/>
  <c r="M392" i="7"/>
  <c r="L392" i="7"/>
  <c r="K392" i="7"/>
  <c r="J392" i="7"/>
  <c r="I392" i="7"/>
  <c r="H392" i="7"/>
  <c r="G392" i="7"/>
  <c r="F392" i="7"/>
  <c r="E392" i="7"/>
  <c r="D392" i="7"/>
  <c r="C392" i="7"/>
  <c r="AH392" i="7" s="1"/>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AE389" i="7" s="1"/>
  <c r="H389" i="7"/>
  <c r="G389" i="7"/>
  <c r="F389" i="7"/>
  <c r="E389" i="7"/>
  <c r="D389" i="7"/>
  <c r="C389" i="7"/>
  <c r="B389" i="7"/>
  <c r="A389" i="7"/>
  <c r="AC389" i="7" s="1"/>
  <c r="Z388" i="7"/>
  <c r="Y388" i="7"/>
  <c r="X388" i="7"/>
  <c r="W388" i="7"/>
  <c r="V388" i="7"/>
  <c r="U388" i="7"/>
  <c r="T388" i="7"/>
  <c r="S388" i="7"/>
  <c r="R388" i="7"/>
  <c r="Q388" i="7"/>
  <c r="P388" i="7"/>
  <c r="O388" i="7"/>
  <c r="N388" i="7"/>
  <c r="M388" i="7"/>
  <c r="L388" i="7"/>
  <c r="K388" i="7"/>
  <c r="J388" i="7"/>
  <c r="I388" i="7"/>
  <c r="H388" i="7"/>
  <c r="G388" i="7"/>
  <c r="F388" i="7"/>
  <c r="E388" i="7"/>
  <c r="D388" i="7"/>
  <c r="C388" i="7"/>
  <c r="AH388" i="7" s="1"/>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AE385" i="7" s="1"/>
  <c r="H385" i="7"/>
  <c r="G385" i="7"/>
  <c r="F385" i="7"/>
  <c r="E385" i="7"/>
  <c r="D385" i="7"/>
  <c r="C385" i="7"/>
  <c r="B385" i="7"/>
  <c r="A385" i="7"/>
  <c r="AC385" i="7" s="1"/>
  <c r="Z384" i="7"/>
  <c r="Y384" i="7"/>
  <c r="X384" i="7"/>
  <c r="W384" i="7"/>
  <c r="V384" i="7"/>
  <c r="U384" i="7"/>
  <c r="T384" i="7"/>
  <c r="S384" i="7"/>
  <c r="R384" i="7"/>
  <c r="Q384" i="7"/>
  <c r="P384" i="7"/>
  <c r="O384" i="7"/>
  <c r="N384" i="7"/>
  <c r="M384" i="7"/>
  <c r="L384" i="7"/>
  <c r="K384" i="7"/>
  <c r="J384" i="7"/>
  <c r="I384" i="7"/>
  <c r="H384" i="7"/>
  <c r="G384" i="7"/>
  <c r="F384" i="7"/>
  <c r="E384" i="7"/>
  <c r="D384" i="7"/>
  <c r="C384" i="7"/>
  <c r="AH384" i="7" s="1"/>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AE381" i="7" s="1"/>
  <c r="H381" i="7"/>
  <c r="G381" i="7"/>
  <c r="F381" i="7"/>
  <c r="E381" i="7"/>
  <c r="D381" i="7"/>
  <c r="C381" i="7"/>
  <c r="B381" i="7"/>
  <c r="A381" i="7"/>
  <c r="AC381" i="7" s="1"/>
  <c r="Z380" i="7"/>
  <c r="Y380" i="7"/>
  <c r="X380" i="7"/>
  <c r="W380" i="7"/>
  <c r="V380" i="7"/>
  <c r="U380" i="7"/>
  <c r="T380" i="7"/>
  <c r="S380" i="7"/>
  <c r="R380" i="7"/>
  <c r="Q380" i="7"/>
  <c r="P380" i="7"/>
  <c r="O380" i="7"/>
  <c r="N380" i="7"/>
  <c r="M380" i="7"/>
  <c r="L380" i="7"/>
  <c r="K380" i="7"/>
  <c r="J380" i="7"/>
  <c r="I380" i="7"/>
  <c r="H380" i="7"/>
  <c r="G380" i="7"/>
  <c r="F380" i="7"/>
  <c r="E380" i="7"/>
  <c r="D380" i="7"/>
  <c r="C380" i="7"/>
  <c r="AH380" i="7" s="1"/>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AE377" i="7" s="1"/>
  <c r="H377" i="7"/>
  <c r="G377" i="7"/>
  <c r="F377" i="7"/>
  <c r="E377" i="7"/>
  <c r="D377" i="7"/>
  <c r="C377" i="7"/>
  <c r="B377" i="7"/>
  <c r="A377" i="7"/>
  <c r="AC377" i="7" s="1"/>
  <c r="Z376" i="7"/>
  <c r="Y376" i="7"/>
  <c r="X376" i="7"/>
  <c r="W376" i="7"/>
  <c r="V376" i="7"/>
  <c r="U376" i="7"/>
  <c r="T376" i="7"/>
  <c r="S376" i="7"/>
  <c r="R376" i="7"/>
  <c r="Q376" i="7"/>
  <c r="P376" i="7"/>
  <c r="O376" i="7"/>
  <c r="N376" i="7"/>
  <c r="M376" i="7"/>
  <c r="L376" i="7"/>
  <c r="K376" i="7"/>
  <c r="J376" i="7"/>
  <c r="I376" i="7"/>
  <c r="H376" i="7"/>
  <c r="G376" i="7"/>
  <c r="F376" i="7"/>
  <c r="E376" i="7"/>
  <c r="D376" i="7"/>
  <c r="C376" i="7"/>
  <c r="AH376" i="7" s="1"/>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AE373" i="7" s="1"/>
  <c r="H373" i="7"/>
  <c r="G373" i="7"/>
  <c r="F373" i="7"/>
  <c r="E373" i="7"/>
  <c r="D373" i="7"/>
  <c r="C373" i="7"/>
  <c r="B373" i="7"/>
  <c r="A373" i="7"/>
  <c r="AC373" i="7" s="1"/>
  <c r="Z372" i="7"/>
  <c r="Y372" i="7"/>
  <c r="X372" i="7"/>
  <c r="W372" i="7"/>
  <c r="V372" i="7"/>
  <c r="U372" i="7"/>
  <c r="T372" i="7"/>
  <c r="S372" i="7"/>
  <c r="R372" i="7"/>
  <c r="Q372" i="7"/>
  <c r="P372" i="7"/>
  <c r="O372" i="7"/>
  <c r="N372" i="7"/>
  <c r="M372" i="7"/>
  <c r="L372" i="7"/>
  <c r="K372" i="7"/>
  <c r="J372" i="7"/>
  <c r="I372" i="7"/>
  <c r="H372" i="7"/>
  <c r="G372" i="7"/>
  <c r="F372" i="7"/>
  <c r="E372" i="7"/>
  <c r="D372" i="7"/>
  <c r="C372" i="7"/>
  <c r="AH372" i="7" s="1"/>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AE369" i="7" s="1"/>
  <c r="H369" i="7"/>
  <c r="G369" i="7"/>
  <c r="F369" i="7"/>
  <c r="E369" i="7"/>
  <c r="D369" i="7"/>
  <c r="C369" i="7"/>
  <c r="B369" i="7"/>
  <c r="A369" i="7"/>
  <c r="AC369" i="7" s="1"/>
  <c r="Z368" i="7"/>
  <c r="Y368" i="7"/>
  <c r="X368" i="7"/>
  <c r="W368" i="7"/>
  <c r="V368" i="7"/>
  <c r="U368" i="7"/>
  <c r="T368" i="7"/>
  <c r="S368" i="7"/>
  <c r="R368" i="7"/>
  <c r="Q368" i="7"/>
  <c r="P368" i="7"/>
  <c r="O368" i="7"/>
  <c r="N368" i="7"/>
  <c r="M368" i="7"/>
  <c r="L368" i="7"/>
  <c r="K368" i="7"/>
  <c r="J368" i="7"/>
  <c r="I368" i="7"/>
  <c r="H368" i="7"/>
  <c r="G368" i="7"/>
  <c r="F368" i="7"/>
  <c r="E368" i="7"/>
  <c r="D368" i="7"/>
  <c r="C368" i="7"/>
  <c r="AH368" i="7" s="1"/>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AE365" i="7" s="1"/>
  <c r="H365" i="7"/>
  <c r="G365" i="7"/>
  <c r="F365" i="7"/>
  <c r="E365" i="7"/>
  <c r="D365" i="7"/>
  <c r="C365" i="7"/>
  <c r="B365" i="7"/>
  <c r="A365" i="7"/>
  <c r="AC365" i="7" s="1"/>
  <c r="Z364" i="7"/>
  <c r="Y364" i="7"/>
  <c r="X364" i="7"/>
  <c r="W364" i="7"/>
  <c r="V364" i="7"/>
  <c r="U364" i="7"/>
  <c r="T364" i="7"/>
  <c r="S364" i="7"/>
  <c r="R364" i="7"/>
  <c r="Q364" i="7"/>
  <c r="P364" i="7"/>
  <c r="O364" i="7"/>
  <c r="N364" i="7"/>
  <c r="M364" i="7"/>
  <c r="L364" i="7"/>
  <c r="K364" i="7"/>
  <c r="J364" i="7"/>
  <c r="I364" i="7"/>
  <c r="H364" i="7"/>
  <c r="G364" i="7"/>
  <c r="F364" i="7"/>
  <c r="E364" i="7"/>
  <c r="D364" i="7"/>
  <c r="C364" i="7"/>
  <c r="AH364" i="7" s="1"/>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AE361" i="7" s="1"/>
  <c r="H361" i="7"/>
  <c r="G361" i="7"/>
  <c r="F361" i="7"/>
  <c r="E361" i="7"/>
  <c r="D361" i="7"/>
  <c r="C361" i="7"/>
  <c r="B361" i="7"/>
  <c r="A361" i="7"/>
  <c r="AC361" i="7" s="1"/>
  <c r="Z360" i="7"/>
  <c r="Y360" i="7"/>
  <c r="X360" i="7"/>
  <c r="W360" i="7"/>
  <c r="V360" i="7"/>
  <c r="U360" i="7"/>
  <c r="T360" i="7"/>
  <c r="S360" i="7"/>
  <c r="R360" i="7"/>
  <c r="Q360" i="7"/>
  <c r="P360" i="7"/>
  <c r="O360" i="7"/>
  <c r="N360" i="7"/>
  <c r="M360" i="7"/>
  <c r="L360" i="7"/>
  <c r="K360" i="7"/>
  <c r="J360" i="7"/>
  <c r="I360" i="7"/>
  <c r="H360" i="7"/>
  <c r="G360" i="7"/>
  <c r="F360" i="7"/>
  <c r="E360" i="7"/>
  <c r="D360" i="7"/>
  <c r="C360" i="7"/>
  <c r="AH360" i="7" s="1"/>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AE357" i="7" s="1"/>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AH356" i="7" s="1"/>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AE353" i="7" s="1"/>
  <c r="H353" i="7"/>
  <c r="G353" i="7"/>
  <c r="F353" i="7"/>
  <c r="E353" i="7"/>
  <c r="D353" i="7"/>
  <c r="C353" i="7"/>
  <c r="B353" i="7"/>
  <c r="A353" i="7"/>
  <c r="AC353" i="7" s="1"/>
  <c r="Z352" i="7"/>
  <c r="Y352" i="7"/>
  <c r="X352" i="7"/>
  <c r="W352" i="7"/>
  <c r="V352" i="7"/>
  <c r="U352" i="7"/>
  <c r="T352" i="7"/>
  <c r="S352" i="7"/>
  <c r="R352" i="7"/>
  <c r="Q352" i="7"/>
  <c r="P352" i="7"/>
  <c r="O352" i="7"/>
  <c r="N352" i="7"/>
  <c r="M352" i="7"/>
  <c r="L352" i="7"/>
  <c r="K352" i="7"/>
  <c r="J352" i="7"/>
  <c r="I352" i="7"/>
  <c r="H352" i="7"/>
  <c r="G352" i="7"/>
  <c r="F352" i="7"/>
  <c r="E352" i="7"/>
  <c r="D352" i="7"/>
  <c r="C352" i="7"/>
  <c r="AH352" i="7" s="1"/>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AE349" i="7" s="1"/>
  <c r="H349" i="7"/>
  <c r="G349" i="7"/>
  <c r="F349" i="7"/>
  <c r="E349" i="7"/>
  <c r="D349" i="7"/>
  <c r="C349" i="7"/>
  <c r="B349" i="7"/>
  <c r="A349" i="7"/>
  <c r="AC349" i="7" s="1"/>
  <c r="Z348" i="7"/>
  <c r="Y348" i="7"/>
  <c r="X348" i="7"/>
  <c r="W348" i="7"/>
  <c r="V348" i="7"/>
  <c r="U348" i="7"/>
  <c r="T348" i="7"/>
  <c r="S348" i="7"/>
  <c r="R348" i="7"/>
  <c r="Q348" i="7"/>
  <c r="P348" i="7"/>
  <c r="O348" i="7"/>
  <c r="N348" i="7"/>
  <c r="M348" i="7"/>
  <c r="L348" i="7"/>
  <c r="K348" i="7"/>
  <c r="J348" i="7"/>
  <c r="I348" i="7"/>
  <c r="H348" i="7"/>
  <c r="G348" i="7"/>
  <c r="F348" i="7"/>
  <c r="E348" i="7"/>
  <c r="D348" i="7"/>
  <c r="C348" i="7"/>
  <c r="AH348" i="7" s="1"/>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AE345" i="7" s="1"/>
  <c r="H345" i="7"/>
  <c r="G345" i="7"/>
  <c r="F345" i="7"/>
  <c r="E345" i="7"/>
  <c r="D345" i="7"/>
  <c r="C345" i="7"/>
  <c r="B345" i="7"/>
  <c r="A345" i="7"/>
  <c r="AC345" i="7" s="1"/>
  <c r="Z344" i="7"/>
  <c r="Y344" i="7"/>
  <c r="X344" i="7"/>
  <c r="W344" i="7"/>
  <c r="V344" i="7"/>
  <c r="U344" i="7"/>
  <c r="T344" i="7"/>
  <c r="S344" i="7"/>
  <c r="R344" i="7"/>
  <c r="Q344" i="7"/>
  <c r="P344" i="7"/>
  <c r="O344" i="7"/>
  <c r="N344" i="7"/>
  <c r="M344" i="7"/>
  <c r="L344" i="7"/>
  <c r="K344" i="7"/>
  <c r="J344" i="7"/>
  <c r="I344" i="7"/>
  <c r="H344" i="7"/>
  <c r="G344" i="7"/>
  <c r="F344" i="7"/>
  <c r="E344" i="7"/>
  <c r="D344" i="7"/>
  <c r="C344" i="7"/>
  <c r="AH344" i="7" s="1"/>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AE341" i="7" s="1"/>
  <c r="H341" i="7"/>
  <c r="G341" i="7"/>
  <c r="F341" i="7"/>
  <c r="E341" i="7"/>
  <c r="D341" i="7"/>
  <c r="C341" i="7"/>
  <c r="B341" i="7"/>
  <c r="A341" i="7"/>
  <c r="AC341" i="7" s="1"/>
  <c r="Z340" i="7"/>
  <c r="Y340" i="7"/>
  <c r="X340" i="7"/>
  <c r="W340" i="7"/>
  <c r="V340" i="7"/>
  <c r="U340" i="7"/>
  <c r="T340" i="7"/>
  <c r="S340" i="7"/>
  <c r="R340" i="7"/>
  <c r="Q340" i="7"/>
  <c r="P340" i="7"/>
  <c r="O340" i="7"/>
  <c r="N340" i="7"/>
  <c r="M340" i="7"/>
  <c r="L340" i="7"/>
  <c r="K340" i="7"/>
  <c r="J340" i="7"/>
  <c r="I340" i="7"/>
  <c r="H340" i="7"/>
  <c r="G340" i="7"/>
  <c r="F340" i="7"/>
  <c r="E340" i="7"/>
  <c r="D340" i="7"/>
  <c r="C340" i="7"/>
  <c r="AH340" i="7" s="1"/>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AE337" i="7" s="1"/>
  <c r="H337" i="7"/>
  <c r="G337" i="7"/>
  <c r="F337" i="7"/>
  <c r="E337" i="7"/>
  <c r="D337" i="7"/>
  <c r="C337" i="7"/>
  <c r="B337" i="7"/>
  <c r="A337" i="7"/>
  <c r="AC337" i="7" s="1"/>
  <c r="Z336" i="7"/>
  <c r="Y336" i="7"/>
  <c r="X336" i="7"/>
  <c r="W336" i="7"/>
  <c r="V336" i="7"/>
  <c r="U336" i="7"/>
  <c r="T336" i="7"/>
  <c r="S336" i="7"/>
  <c r="R336" i="7"/>
  <c r="Q336" i="7"/>
  <c r="P336" i="7"/>
  <c r="O336" i="7"/>
  <c r="N336" i="7"/>
  <c r="M336" i="7"/>
  <c r="L336" i="7"/>
  <c r="K336" i="7"/>
  <c r="J336" i="7"/>
  <c r="I336" i="7"/>
  <c r="H336" i="7"/>
  <c r="G336" i="7"/>
  <c r="F336" i="7"/>
  <c r="E336" i="7"/>
  <c r="D336" i="7"/>
  <c r="C336" i="7"/>
  <c r="AH336" i="7" s="1"/>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AE333" i="7" s="1"/>
  <c r="H333" i="7"/>
  <c r="G333" i="7"/>
  <c r="F333" i="7"/>
  <c r="E333" i="7"/>
  <c r="D333" i="7"/>
  <c r="C333" i="7"/>
  <c r="B333" i="7"/>
  <c r="A333" i="7"/>
  <c r="AC333" i="7" s="1"/>
  <c r="Z332" i="7"/>
  <c r="Y332" i="7"/>
  <c r="X332" i="7"/>
  <c r="W332" i="7"/>
  <c r="V332" i="7"/>
  <c r="U332" i="7"/>
  <c r="T332" i="7"/>
  <c r="S332" i="7"/>
  <c r="R332" i="7"/>
  <c r="Q332" i="7"/>
  <c r="P332" i="7"/>
  <c r="O332" i="7"/>
  <c r="N332" i="7"/>
  <c r="M332" i="7"/>
  <c r="L332" i="7"/>
  <c r="K332" i="7"/>
  <c r="J332" i="7"/>
  <c r="I332" i="7"/>
  <c r="H332" i="7"/>
  <c r="G332" i="7"/>
  <c r="F332" i="7"/>
  <c r="E332" i="7"/>
  <c r="D332" i="7"/>
  <c r="C332" i="7"/>
  <c r="AH332" i="7" s="1"/>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AE329" i="7" s="1"/>
  <c r="H329" i="7"/>
  <c r="G329" i="7"/>
  <c r="F329" i="7"/>
  <c r="E329" i="7"/>
  <c r="D329" i="7"/>
  <c r="C329" i="7"/>
  <c r="B329" i="7"/>
  <c r="A329" i="7"/>
  <c r="AC329" i="7" s="1"/>
  <c r="Z328" i="7"/>
  <c r="Y328" i="7"/>
  <c r="X328" i="7"/>
  <c r="W328" i="7"/>
  <c r="V328" i="7"/>
  <c r="U328" i="7"/>
  <c r="T328" i="7"/>
  <c r="S328" i="7"/>
  <c r="R328" i="7"/>
  <c r="Q328" i="7"/>
  <c r="P328" i="7"/>
  <c r="O328" i="7"/>
  <c r="N328" i="7"/>
  <c r="M328" i="7"/>
  <c r="L328" i="7"/>
  <c r="K328" i="7"/>
  <c r="J328" i="7"/>
  <c r="I328" i="7"/>
  <c r="H328" i="7"/>
  <c r="G328" i="7"/>
  <c r="F328" i="7"/>
  <c r="E328" i="7"/>
  <c r="D328" i="7"/>
  <c r="C328" i="7"/>
  <c r="AH328" i="7" s="1"/>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AE325" i="7" s="1"/>
  <c r="H325" i="7"/>
  <c r="G325" i="7"/>
  <c r="F325" i="7"/>
  <c r="E325" i="7"/>
  <c r="D325" i="7"/>
  <c r="C325" i="7"/>
  <c r="B325" i="7"/>
  <c r="A325" i="7"/>
  <c r="AC325" i="7" s="1"/>
  <c r="Z324" i="7"/>
  <c r="Y324" i="7"/>
  <c r="X324" i="7"/>
  <c r="W324" i="7"/>
  <c r="V324" i="7"/>
  <c r="U324" i="7"/>
  <c r="T324" i="7"/>
  <c r="S324" i="7"/>
  <c r="R324" i="7"/>
  <c r="Q324" i="7"/>
  <c r="P324" i="7"/>
  <c r="O324" i="7"/>
  <c r="N324" i="7"/>
  <c r="M324" i="7"/>
  <c r="L324" i="7"/>
  <c r="K324" i="7"/>
  <c r="J324" i="7"/>
  <c r="I324" i="7"/>
  <c r="H324" i="7"/>
  <c r="G324" i="7"/>
  <c r="F324" i="7"/>
  <c r="E324" i="7"/>
  <c r="D324" i="7"/>
  <c r="C324" i="7"/>
  <c r="AH324" i="7" s="1"/>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AE321" i="7" s="1"/>
  <c r="H321" i="7"/>
  <c r="G321" i="7"/>
  <c r="F321" i="7"/>
  <c r="E321" i="7"/>
  <c r="D321" i="7"/>
  <c r="C321" i="7"/>
  <c r="B321" i="7"/>
  <c r="A321" i="7"/>
  <c r="AC321" i="7" s="1"/>
  <c r="Z320" i="7"/>
  <c r="Y320" i="7"/>
  <c r="X320" i="7"/>
  <c r="W320" i="7"/>
  <c r="V320" i="7"/>
  <c r="U320" i="7"/>
  <c r="T320" i="7"/>
  <c r="S320" i="7"/>
  <c r="R320" i="7"/>
  <c r="Q320" i="7"/>
  <c r="P320" i="7"/>
  <c r="O320" i="7"/>
  <c r="N320" i="7"/>
  <c r="M320" i="7"/>
  <c r="L320" i="7"/>
  <c r="K320" i="7"/>
  <c r="J320" i="7"/>
  <c r="I320" i="7"/>
  <c r="H320" i="7"/>
  <c r="G320" i="7"/>
  <c r="F320" i="7"/>
  <c r="E320" i="7"/>
  <c r="D320" i="7"/>
  <c r="C320" i="7"/>
  <c r="AH320" i="7" s="1"/>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AE317" i="7" s="1"/>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AH316" i="7" s="1"/>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AE313" i="7" s="1"/>
  <c r="H313" i="7"/>
  <c r="G313" i="7"/>
  <c r="F313" i="7"/>
  <c r="E313" i="7"/>
  <c r="D313" i="7"/>
  <c r="C313" i="7"/>
  <c r="B313" i="7"/>
  <c r="A313" i="7"/>
  <c r="AC313" i="7" s="1"/>
  <c r="Z312" i="7"/>
  <c r="Y312" i="7"/>
  <c r="X312" i="7"/>
  <c r="W312" i="7"/>
  <c r="V312" i="7"/>
  <c r="U312" i="7"/>
  <c r="T312" i="7"/>
  <c r="S312" i="7"/>
  <c r="R312" i="7"/>
  <c r="Q312" i="7"/>
  <c r="P312" i="7"/>
  <c r="O312" i="7"/>
  <c r="N312" i="7"/>
  <c r="M312" i="7"/>
  <c r="L312" i="7"/>
  <c r="K312" i="7"/>
  <c r="J312" i="7"/>
  <c r="I312" i="7"/>
  <c r="H312" i="7"/>
  <c r="G312" i="7"/>
  <c r="F312" i="7"/>
  <c r="E312" i="7"/>
  <c r="D312" i="7"/>
  <c r="C312" i="7"/>
  <c r="AH312" i="7" s="1"/>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AE309" i="7" s="1"/>
  <c r="H309" i="7"/>
  <c r="G309" i="7"/>
  <c r="F309" i="7"/>
  <c r="E309" i="7"/>
  <c r="D309" i="7"/>
  <c r="C309" i="7"/>
  <c r="B309" i="7"/>
  <c r="A309" i="7"/>
  <c r="AC309" i="7" s="1"/>
  <c r="Z308" i="7"/>
  <c r="Y308" i="7"/>
  <c r="X308" i="7"/>
  <c r="W308" i="7"/>
  <c r="V308" i="7"/>
  <c r="U308" i="7"/>
  <c r="T308" i="7"/>
  <c r="S308" i="7"/>
  <c r="R308" i="7"/>
  <c r="Q308" i="7"/>
  <c r="P308" i="7"/>
  <c r="O308" i="7"/>
  <c r="N308" i="7"/>
  <c r="M308" i="7"/>
  <c r="L308" i="7"/>
  <c r="K308" i="7"/>
  <c r="J308" i="7"/>
  <c r="I308" i="7"/>
  <c r="H308" i="7"/>
  <c r="G308" i="7"/>
  <c r="F308" i="7"/>
  <c r="E308" i="7"/>
  <c r="D308" i="7"/>
  <c r="C308" i="7"/>
  <c r="AH308" i="7" s="1"/>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AE305" i="7" s="1"/>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AH304" i="7" s="1"/>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AE301" i="7" s="1"/>
  <c r="H301" i="7"/>
  <c r="G301" i="7"/>
  <c r="F301" i="7"/>
  <c r="E301" i="7"/>
  <c r="D301" i="7"/>
  <c r="C301" i="7"/>
  <c r="B301" i="7"/>
  <c r="A301" i="7"/>
  <c r="AC301" i="7" s="1"/>
  <c r="Z300" i="7"/>
  <c r="Y300" i="7"/>
  <c r="X300" i="7"/>
  <c r="W300" i="7"/>
  <c r="V300" i="7"/>
  <c r="U300" i="7"/>
  <c r="T300" i="7"/>
  <c r="S300" i="7"/>
  <c r="R300" i="7"/>
  <c r="Q300" i="7"/>
  <c r="P300" i="7"/>
  <c r="O300" i="7"/>
  <c r="N300" i="7"/>
  <c r="M300" i="7"/>
  <c r="L300" i="7"/>
  <c r="K300" i="7"/>
  <c r="J300" i="7"/>
  <c r="I300" i="7"/>
  <c r="H300" i="7"/>
  <c r="G300" i="7"/>
  <c r="F300" i="7"/>
  <c r="E300" i="7"/>
  <c r="D300" i="7"/>
  <c r="C300" i="7"/>
  <c r="AH300" i="7" s="1"/>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AE297" i="7" s="1"/>
  <c r="H297" i="7"/>
  <c r="G297" i="7"/>
  <c r="F297" i="7"/>
  <c r="E297" i="7"/>
  <c r="D297" i="7"/>
  <c r="C297" i="7"/>
  <c r="B297" i="7"/>
  <c r="A297" i="7"/>
  <c r="AC297" i="7" s="1"/>
  <c r="Z296" i="7"/>
  <c r="Y296" i="7"/>
  <c r="X296" i="7"/>
  <c r="W296" i="7"/>
  <c r="V296" i="7"/>
  <c r="U296" i="7"/>
  <c r="T296" i="7"/>
  <c r="S296" i="7"/>
  <c r="R296" i="7"/>
  <c r="Q296" i="7"/>
  <c r="P296" i="7"/>
  <c r="O296" i="7"/>
  <c r="N296" i="7"/>
  <c r="M296" i="7"/>
  <c r="L296" i="7"/>
  <c r="K296" i="7"/>
  <c r="J296" i="7"/>
  <c r="I296" i="7"/>
  <c r="H296" i="7"/>
  <c r="G296" i="7"/>
  <c r="F296" i="7"/>
  <c r="E296" i="7"/>
  <c r="D296" i="7"/>
  <c r="C296" i="7"/>
  <c r="AH296" i="7" s="1"/>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AE293" i="7" s="1"/>
  <c r="H293" i="7"/>
  <c r="G293" i="7"/>
  <c r="F293" i="7"/>
  <c r="E293" i="7"/>
  <c r="D293" i="7"/>
  <c r="C293" i="7"/>
  <c r="B293" i="7"/>
  <c r="A293" i="7"/>
  <c r="AC293" i="7" s="1"/>
  <c r="Z292" i="7"/>
  <c r="Y292" i="7"/>
  <c r="X292" i="7"/>
  <c r="W292" i="7"/>
  <c r="V292" i="7"/>
  <c r="U292" i="7"/>
  <c r="T292" i="7"/>
  <c r="S292" i="7"/>
  <c r="R292" i="7"/>
  <c r="Q292" i="7"/>
  <c r="P292" i="7"/>
  <c r="O292" i="7"/>
  <c r="N292" i="7"/>
  <c r="M292" i="7"/>
  <c r="L292" i="7"/>
  <c r="K292" i="7"/>
  <c r="J292" i="7"/>
  <c r="I292" i="7"/>
  <c r="H292" i="7"/>
  <c r="G292" i="7"/>
  <c r="F292" i="7"/>
  <c r="E292" i="7"/>
  <c r="D292" i="7"/>
  <c r="C292" i="7"/>
  <c r="AH292" i="7" s="1"/>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AE289" i="7" s="1"/>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AH288" i="7" s="1"/>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AE285" i="7" s="1"/>
  <c r="H285" i="7"/>
  <c r="G285" i="7"/>
  <c r="F285" i="7"/>
  <c r="E285" i="7"/>
  <c r="D285" i="7"/>
  <c r="C285" i="7"/>
  <c r="B285" i="7"/>
  <c r="A285" i="7"/>
  <c r="AC285" i="7" s="1"/>
  <c r="Z284" i="7"/>
  <c r="Y284" i="7"/>
  <c r="X284" i="7"/>
  <c r="W284" i="7"/>
  <c r="V284" i="7"/>
  <c r="U284" i="7"/>
  <c r="T284" i="7"/>
  <c r="S284" i="7"/>
  <c r="R284" i="7"/>
  <c r="Q284" i="7"/>
  <c r="P284" i="7"/>
  <c r="O284" i="7"/>
  <c r="N284" i="7"/>
  <c r="M284" i="7"/>
  <c r="L284" i="7"/>
  <c r="K284" i="7"/>
  <c r="J284" i="7"/>
  <c r="I284" i="7"/>
  <c r="H284" i="7"/>
  <c r="G284" i="7"/>
  <c r="F284" i="7"/>
  <c r="E284" i="7"/>
  <c r="D284" i="7"/>
  <c r="C284" i="7"/>
  <c r="AH284" i="7" s="1"/>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AE281" i="7" s="1"/>
  <c r="H281" i="7"/>
  <c r="G281" i="7"/>
  <c r="F281" i="7"/>
  <c r="E281" i="7"/>
  <c r="D281" i="7"/>
  <c r="C281" i="7"/>
  <c r="B281" i="7"/>
  <c r="A281" i="7"/>
  <c r="AC281" i="7" s="1"/>
  <c r="Z280" i="7"/>
  <c r="Y280" i="7"/>
  <c r="X280" i="7"/>
  <c r="W280" i="7"/>
  <c r="V280" i="7"/>
  <c r="U280" i="7"/>
  <c r="T280" i="7"/>
  <c r="S280" i="7"/>
  <c r="R280" i="7"/>
  <c r="Q280" i="7"/>
  <c r="P280" i="7"/>
  <c r="O280" i="7"/>
  <c r="N280" i="7"/>
  <c r="M280" i="7"/>
  <c r="L280" i="7"/>
  <c r="K280" i="7"/>
  <c r="J280" i="7"/>
  <c r="I280" i="7"/>
  <c r="H280" i="7"/>
  <c r="G280" i="7"/>
  <c r="F280" i="7"/>
  <c r="E280" i="7"/>
  <c r="D280" i="7"/>
  <c r="C280" i="7"/>
  <c r="AH280" i="7" s="1"/>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AE277" i="7" s="1"/>
  <c r="H277" i="7"/>
  <c r="G277" i="7"/>
  <c r="F277" i="7"/>
  <c r="E277" i="7"/>
  <c r="D277" i="7"/>
  <c r="C277" i="7"/>
  <c r="B277" i="7"/>
  <c r="A277" i="7"/>
  <c r="AC277" i="7" s="1"/>
  <c r="Z276" i="7"/>
  <c r="Y276" i="7"/>
  <c r="X276" i="7"/>
  <c r="W276" i="7"/>
  <c r="V276" i="7"/>
  <c r="U276" i="7"/>
  <c r="T276" i="7"/>
  <c r="S276" i="7"/>
  <c r="R276" i="7"/>
  <c r="Q276" i="7"/>
  <c r="P276" i="7"/>
  <c r="O276" i="7"/>
  <c r="N276" i="7"/>
  <c r="M276" i="7"/>
  <c r="L276" i="7"/>
  <c r="K276" i="7"/>
  <c r="J276" i="7"/>
  <c r="I276" i="7"/>
  <c r="H276" i="7"/>
  <c r="G276" i="7"/>
  <c r="F276" i="7"/>
  <c r="E276" i="7"/>
  <c r="D276" i="7"/>
  <c r="C276" i="7"/>
  <c r="AH276" i="7" s="1"/>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AE273" i="7" s="1"/>
  <c r="H273" i="7"/>
  <c r="G273" i="7"/>
  <c r="F273" i="7"/>
  <c r="E273" i="7"/>
  <c r="D273" i="7"/>
  <c r="C273" i="7"/>
  <c r="B273" i="7"/>
  <c r="A273" i="7"/>
  <c r="AC273" i="7" s="1"/>
  <c r="Z272" i="7"/>
  <c r="Y272" i="7"/>
  <c r="X272" i="7"/>
  <c r="W272" i="7"/>
  <c r="V272" i="7"/>
  <c r="U272" i="7"/>
  <c r="T272" i="7"/>
  <c r="S272" i="7"/>
  <c r="R272" i="7"/>
  <c r="Q272" i="7"/>
  <c r="P272" i="7"/>
  <c r="O272" i="7"/>
  <c r="N272" i="7"/>
  <c r="M272" i="7"/>
  <c r="L272" i="7"/>
  <c r="K272" i="7"/>
  <c r="J272" i="7"/>
  <c r="I272" i="7"/>
  <c r="H272" i="7"/>
  <c r="G272" i="7"/>
  <c r="F272" i="7"/>
  <c r="E272" i="7"/>
  <c r="D272" i="7"/>
  <c r="C272" i="7"/>
  <c r="AH272" i="7" s="1"/>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AE269" i="7" s="1"/>
  <c r="H269" i="7"/>
  <c r="G269" i="7"/>
  <c r="F269" i="7"/>
  <c r="E269" i="7"/>
  <c r="D269" i="7"/>
  <c r="C269" i="7"/>
  <c r="B269" i="7"/>
  <c r="A269" i="7"/>
  <c r="AC269" i="7" s="1"/>
  <c r="Z268" i="7"/>
  <c r="Y268" i="7"/>
  <c r="X268" i="7"/>
  <c r="W268" i="7"/>
  <c r="V268" i="7"/>
  <c r="U268" i="7"/>
  <c r="T268" i="7"/>
  <c r="S268" i="7"/>
  <c r="R268" i="7"/>
  <c r="Q268" i="7"/>
  <c r="P268" i="7"/>
  <c r="O268" i="7"/>
  <c r="N268" i="7"/>
  <c r="M268" i="7"/>
  <c r="L268" i="7"/>
  <c r="K268" i="7"/>
  <c r="J268" i="7"/>
  <c r="I268" i="7"/>
  <c r="H268" i="7"/>
  <c r="G268" i="7"/>
  <c r="F268" i="7"/>
  <c r="E268" i="7"/>
  <c r="D268" i="7"/>
  <c r="C268" i="7"/>
  <c r="AH268" i="7" s="1"/>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AE265" i="7" s="1"/>
  <c r="H265" i="7"/>
  <c r="G265" i="7"/>
  <c r="F265" i="7"/>
  <c r="E265" i="7"/>
  <c r="D265" i="7"/>
  <c r="C265" i="7"/>
  <c r="B265" i="7"/>
  <c r="A265" i="7"/>
  <c r="AC265" i="7" s="1"/>
  <c r="Z264" i="7"/>
  <c r="Y264" i="7"/>
  <c r="X264" i="7"/>
  <c r="W264" i="7"/>
  <c r="V264" i="7"/>
  <c r="U264" i="7"/>
  <c r="T264" i="7"/>
  <c r="S264" i="7"/>
  <c r="R264" i="7"/>
  <c r="Q264" i="7"/>
  <c r="P264" i="7"/>
  <c r="O264" i="7"/>
  <c r="N264" i="7"/>
  <c r="M264" i="7"/>
  <c r="L264" i="7"/>
  <c r="K264" i="7"/>
  <c r="J264" i="7"/>
  <c r="I264" i="7"/>
  <c r="H264" i="7"/>
  <c r="G264" i="7"/>
  <c r="F264" i="7"/>
  <c r="E264" i="7"/>
  <c r="D264" i="7"/>
  <c r="C264" i="7"/>
  <c r="AH264" i="7" s="1"/>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AE261" i="7" s="1"/>
  <c r="H261" i="7"/>
  <c r="G261" i="7"/>
  <c r="F261" i="7"/>
  <c r="E261" i="7"/>
  <c r="D261" i="7"/>
  <c r="C261" i="7"/>
  <c r="B261" i="7"/>
  <c r="A261" i="7"/>
  <c r="AC261" i="7" s="1"/>
  <c r="Z260" i="7"/>
  <c r="Y260" i="7"/>
  <c r="X260" i="7"/>
  <c r="W260" i="7"/>
  <c r="V260" i="7"/>
  <c r="U260" i="7"/>
  <c r="T260" i="7"/>
  <c r="S260" i="7"/>
  <c r="R260" i="7"/>
  <c r="Q260" i="7"/>
  <c r="P260" i="7"/>
  <c r="O260" i="7"/>
  <c r="N260" i="7"/>
  <c r="M260" i="7"/>
  <c r="L260" i="7"/>
  <c r="K260" i="7"/>
  <c r="J260" i="7"/>
  <c r="I260" i="7"/>
  <c r="H260" i="7"/>
  <c r="G260" i="7"/>
  <c r="F260" i="7"/>
  <c r="E260" i="7"/>
  <c r="D260" i="7"/>
  <c r="C260" i="7"/>
  <c r="AH260" i="7" s="1"/>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AE257" i="7" s="1"/>
  <c r="H257" i="7"/>
  <c r="G257" i="7"/>
  <c r="F257" i="7"/>
  <c r="E257" i="7"/>
  <c r="D257" i="7"/>
  <c r="C257" i="7"/>
  <c r="B257" i="7"/>
  <c r="A257" i="7"/>
  <c r="AC257" i="7" s="1"/>
  <c r="Z256" i="7"/>
  <c r="Y256" i="7"/>
  <c r="X256" i="7"/>
  <c r="W256" i="7"/>
  <c r="V256" i="7"/>
  <c r="U256" i="7"/>
  <c r="T256" i="7"/>
  <c r="S256" i="7"/>
  <c r="R256" i="7"/>
  <c r="Q256" i="7"/>
  <c r="P256" i="7"/>
  <c r="O256" i="7"/>
  <c r="N256" i="7"/>
  <c r="M256" i="7"/>
  <c r="L256" i="7"/>
  <c r="K256" i="7"/>
  <c r="J256" i="7"/>
  <c r="I256" i="7"/>
  <c r="H256" i="7"/>
  <c r="G256" i="7"/>
  <c r="F256" i="7"/>
  <c r="E256" i="7"/>
  <c r="D256" i="7"/>
  <c r="C256" i="7"/>
  <c r="AH256" i="7" s="1"/>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AE253" i="7" s="1"/>
  <c r="H253" i="7"/>
  <c r="G253" i="7"/>
  <c r="F253" i="7"/>
  <c r="E253" i="7"/>
  <c r="D253" i="7"/>
  <c r="C253" i="7"/>
  <c r="B253" i="7"/>
  <c r="A253" i="7"/>
  <c r="AC253" i="7" s="1"/>
  <c r="Z252" i="7"/>
  <c r="Y252" i="7"/>
  <c r="X252" i="7"/>
  <c r="W252" i="7"/>
  <c r="V252" i="7"/>
  <c r="U252" i="7"/>
  <c r="T252" i="7"/>
  <c r="S252" i="7"/>
  <c r="R252" i="7"/>
  <c r="Q252" i="7"/>
  <c r="P252" i="7"/>
  <c r="O252" i="7"/>
  <c r="N252" i="7"/>
  <c r="M252" i="7"/>
  <c r="L252" i="7"/>
  <c r="K252" i="7"/>
  <c r="J252" i="7"/>
  <c r="I252" i="7"/>
  <c r="H252" i="7"/>
  <c r="G252" i="7"/>
  <c r="F252" i="7"/>
  <c r="E252" i="7"/>
  <c r="D252" i="7"/>
  <c r="C252" i="7"/>
  <c r="AH252" i="7" s="1"/>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AE249" i="7" s="1"/>
  <c r="H249" i="7"/>
  <c r="G249" i="7"/>
  <c r="F249" i="7"/>
  <c r="E249" i="7"/>
  <c r="D249" i="7"/>
  <c r="C249" i="7"/>
  <c r="B249" i="7"/>
  <c r="A249" i="7"/>
  <c r="AC249" i="7" s="1"/>
  <c r="Z248" i="7"/>
  <c r="Y248" i="7"/>
  <c r="X248" i="7"/>
  <c r="W248" i="7"/>
  <c r="V248" i="7"/>
  <c r="U248" i="7"/>
  <c r="T248" i="7"/>
  <c r="S248" i="7"/>
  <c r="R248" i="7"/>
  <c r="Q248" i="7"/>
  <c r="P248" i="7"/>
  <c r="O248" i="7"/>
  <c r="N248" i="7"/>
  <c r="M248" i="7"/>
  <c r="L248" i="7"/>
  <c r="K248" i="7"/>
  <c r="J248" i="7"/>
  <c r="I248" i="7"/>
  <c r="H248" i="7"/>
  <c r="G248" i="7"/>
  <c r="F248" i="7"/>
  <c r="E248" i="7"/>
  <c r="D248" i="7"/>
  <c r="C248" i="7"/>
  <c r="AH248" i="7" s="1"/>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AE245" i="7" s="1"/>
  <c r="H245" i="7"/>
  <c r="G245" i="7"/>
  <c r="F245" i="7"/>
  <c r="E245" i="7"/>
  <c r="D245" i="7"/>
  <c r="C245" i="7"/>
  <c r="B245" i="7"/>
  <c r="A245" i="7"/>
  <c r="AC245" i="7" s="1"/>
  <c r="Z244" i="7"/>
  <c r="Y244" i="7"/>
  <c r="X244" i="7"/>
  <c r="W244" i="7"/>
  <c r="V244" i="7"/>
  <c r="U244" i="7"/>
  <c r="T244" i="7"/>
  <c r="S244" i="7"/>
  <c r="R244" i="7"/>
  <c r="Q244" i="7"/>
  <c r="P244" i="7"/>
  <c r="O244" i="7"/>
  <c r="N244" i="7"/>
  <c r="M244" i="7"/>
  <c r="L244" i="7"/>
  <c r="K244" i="7"/>
  <c r="J244" i="7"/>
  <c r="I244" i="7"/>
  <c r="H244" i="7"/>
  <c r="G244" i="7"/>
  <c r="F244" i="7"/>
  <c r="E244" i="7"/>
  <c r="D244" i="7"/>
  <c r="C244" i="7"/>
  <c r="AH244" i="7" s="1"/>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AE241" i="7" s="1"/>
  <c r="H241" i="7"/>
  <c r="G241" i="7"/>
  <c r="F241" i="7"/>
  <c r="E241" i="7"/>
  <c r="D241" i="7"/>
  <c r="C241" i="7"/>
  <c r="B241" i="7"/>
  <c r="A241" i="7"/>
  <c r="AC241" i="7" s="1"/>
  <c r="Z240" i="7"/>
  <c r="Y240" i="7"/>
  <c r="X240" i="7"/>
  <c r="W240" i="7"/>
  <c r="V240" i="7"/>
  <c r="U240" i="7"/>
  <c r="T240" i="7"/>
  <c r="S240" i="7"/>
  <c r="R240" i="7"/>
  <c r="Q240" i="7"/>
  <c r="P240" i="7"/>
  <c r="O240" i="7"/>
  <c r="N240" i="7"/>
  <c r="M240" i="7"/>
  <c r="L240" i="7"/>
  <c r="K240" i="7"/>
  <c r="J240" i="7"/>
  <c r="I240" i="7"/>
  <c r="H240" i="7"/>
  <c r="G240" i="7"/>
  <c r="F240" i="7"/>
  <c r="E240" i="7"/>
  <c r="D240" i="7"/>
  <c r="C240" i="7"/>
  <c r="AH240" i="7" s="1"/>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AE237" i="7" s="1"/>
  <c r="H237" i="7"/>
  <c r="G237" i="7"/>
  <c r="F237" i="7"/>
  <c r="E237" i="7"/>
  <c r="D237" i="7"/>
  <c r="C237" i="7"/>
  <c r="B237" i="7"/>
  <c r="A237" i="7"/>
  <c r="AC237" i="7" s="1"/>
  <c r="Z236" i="7"/>
  <c r="Y236" i="7"/>
  <c r="X236" i="7"/>
  <c r="W236" i="7"/>
  <c r="V236" i="7"/>
  <c r="U236" i="7"/>
  <c r="T236" i="7"/>
  <c r="S236" i="7"/>
  <c r="R236" i="7"/>
  <c r="Q236" i="7"/>
  <c r="P236" i="7"/>
  <c r="O236" i="7"/>
  <c r="N236" i="7"/>
  <c r="M236" i="7"/>
  <c r="L236" i="7"/>
  <c r="K236" i="7"/>
  <c r="J236" i="7"/>
  <c r="I236" i="7"/>
  <c r="H236" i="7"/>
  <c r="G236" i="7"/>
  <c r="F236" i="7"/>
  <c r="E236" i="7"/>
  <c r="D236" i="7"/>
  <c r="C236" i="7"/>
  <c r="AH236" i="7" s="1"/>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AE233" i="7" s="1"/>
  <c r="H233" i="7"/>
  <c r="G233" i="7"/>
  <c r="F233" i="7"/>
  <c r="E233" i="7"/>
  <c r="D233" i="7"/>
  <c r="C233" i="7"/>
  <c r="B233" i="7"/>
  <c r="A233" i="7"/>
  <c r="AC233" i="7" s="1"/>
  <c r="Z232" i="7"/>
  <c r="Y232" i="7"/>
  <c r="X232" i="7"/>
  <c r="W232" i="7"/>
  <c r="V232" i="7"/>
  <c r="U232" i="7"/>
  <c r="T232" i="7"/>
  <c r="S232" i="7"/>
  <c r="R232" i="7"/>
  <c r="Q232" i="7"/>
  <c r="P232" i="7"/>
  <c r="O232" i="7"/>
  <c r="N232" i="7"/>
  <c r="M232" i="7"/>
  <c r="L232" i="7"/>
  <c r="K232" i="7"/>
  <c r="J232" i="7"/>
  <c r="I232" i="7"/>
  <c r="H232" i="7"/>
  <c r="G232" i="7"/>
  <c r="F232" i="7"/>
  <c r="E232" i="7"/>
  <c r="D232" i="7"/>
  <c r="C232" i="7"/>
  <c r="AH232" i="7" s="1"/>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AE229" i="7" s="1"/>
  <c r="H229" i="7"/>
  <c r="G229" i="7"/>
  <c r="F229" i="7"/>
  <c r="E229" i="7"/>
  <c r="D229" i="7"/>
  <c r="C229" i="7"/>
  <c r="B229" i="7"/>
  <c r="A229" i="7"/>
  <c r="AC229" i="7" s="1"/>
  <c r="Z228" i="7"/>
  <c r="Y228" i="7"/>
  <c r="X228" i="7"/>
  <c r="W228" i="7"/>
  <c r="V228" i="7"/>
  <c r="U228" i="7"/>
  <c r="T228" i="7"/>
  <c r="S228" i="7"/>
  <c r="R228" i="7"/>
  <c r="Q228" i="7"/>
  <c r="P228" i="7"/>
  <c r="O228" i="7"/>
  <c r="N228" i="7"/>
  <c r="M228" i="7"/>
  <c r="L228" i="7"/>
  <c r="K228" i="7"/>
  <c r="J228" i="7"/>
  <c r="I228" i="7"/>
  <c r="H228" i="7"/>
  <c r="G228" i="7"/>
  <c r="F228" i="7"/>
  <c r="E228" i="7"/>
  <c r="D228" i="7"/>
  <c r="C228" i="7"/>
  <c r="AH228" i="7" s="1"/>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AE225" i="7" s="1"/>
  <c r="H225" i="7"/>
  <c r="G225" i="7"/>
  <c r="F225" i="7"/>
  <c r="E225" i="7"/>
  <c r="D225" i="7"/>
  <c r="C225" i="7"/>
  <c r="B225" i="7"/>
  <c r="A225" i="7"/>
  <c r="AC225" i="7" s="1"/>
  <c r="Z224" i="7"/>
  <c r="Y224" i="7"/>
  <c r="X224" i="7"/>
  <c r="W224" i="7"/>
  <c r="V224" i="7"/>
  <c r="U224" i="7"/>
  <c r="T224" i="7"/>
  <c r="S224" i="7"/>
  <c r="R224" i="7"/>
  <c r="Q224" i="7"/>
  <c r="P224" i="7"/>
  <c r="O224" i="7"/>
  <c r="N224" i="7"/>
  <c r="M224" i="7"/>
  <c r="L224" i="7"/>
  <c r="K224" i="7"/>
  <c r="J224" i="7"/>
  <c r="I224" i="7"/>
  <c r="H224" i="7"/>
  <c r="G224" i="7"/>
  <c r="F224" i="7"/>
  <c r="E224" i="7"/>
  <c r="D224" i="7"/>
  <c r="C224" i="7"/>
  <c r="AH224" i="7" s="1"/>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AE221" i="7" s="1"/>
  <c r="H221" i="7"/>
  <c r="G221" i="7"/>
  <c r="F221" i="7"/>
  <c r="E221" i="7"/>
  <c r="D221" i="7"/>
  <c r="C221" i="7"/>
  <c r="B221" i="7"/>
  <c r="A221" i="7"/>
  <c r="AC221" i="7" s="1"/>
  <c r="Z220" i="7"/>
  <c r="Y220" i="7"/>
  <c r="X220" i="7"/>
  <c r="W220" i="7"/>
  <c r="V220" i="7"/>
  <c r="U220" i="7"/>
  <c r="T220" i="7"/>
  <c r="S220" i="7"/>
  <c r="R220" i="7"/>
  <c r="Q220" i="7"/>
  <c r="P220" i="7"/>
  <c r="O220" i="7"/>
  <c r="N220" i="7"/>
  <c r="M220" i="7"/>
  <c r="L220" i="7"/>
  <c r="K220" i="7"/>
  <c r="J220" i="7"/>
  <c r="I220" i="7"/>
  <c r="H220" i="7"/>
  <c r="G220" i="7"/>
  <c r="F220" i="7"/>
  <c r="E220" i="7"/>
  <c r="D220" i="7"/>
  <c r="C220" i="7"/>
  <c r="AH220" i="7" s="1"/>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AE217" i="7" s="1"/>
  <c r="H217" i="7"/>
  <c r="G217" i="7"/>
  <c r="F217" i="7"/>
  <c r="E217" i="7"/>
  <c r="D217" i="7"/>
  <c r="C217" i="7"/>
  <c r="B217" i="7"/>
  <c r="A217" i="7"/>
  <c r="AC217" i="7" s="1"/>
  <c r="Z216" i="7"/>
  <c r="Y216" i="7"/>
  <c r="X216" i="7"/>
  <c r="W216" i="7"/>
  <c r="V216" i="7"/>
  <c r="U216" i="7"/>
  <c r="T216" i="7"/>
  <c r="S216" i="7"/>
  <c r="R216" i="7"/>
  <c r="Q216" i="7"/>
  <c r="P216" i="7"/>
  <c r="O216" i="7"/>
  <c r="N216" i="7"/>
  <c r="M216" i="7"/>
  <c r="L216" i="7"/>
  <c r="K216" i="7"/>
  <c r="J216" i="7"/>
  <c r="I216" i="7"/>
  <c r="H216" i="7"/>
  <c r="G216" i="7"/>
  <c r="F216" i="7"/>
  <c r="E216" i="7"/>
  <c r="D216" i="7"/>
  <c r="C216" i="7"/>
  <c r="AH216" i="7" s="1"/>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AE213" i="7" s="1"/>
  <c r="H213" i="7"/>
  <c r="G213" i="7"/>
  <c r="F213" i="7"/>
  <c r="E213" i="7"/>
  <c r="D213" i="7"/>
  <c r="C213" i="7"/>
  <c r="B213" i="7"/>
  <c r="A213" i="7"/>
  <c r="AC213" i="7" s="1"/>
  <c r="Z212" i="7"/>
  <c r="Y212" i="7"/>
  <c r="X212" i="7"/>
  <c r="W212" i="7"/>
  <c r="V212" i="7"/>
  <c r="U212" i="7"/>
  <c r="T212" i="7"/>
  <c r="S212" i="7"/>
  <c r="R212" i="7"/>
  <c r="Q212" i="7"/>
  <c r="P212" i="7"/>
  <c r="O212" i="7"/>
  <c r="N212" i="7"/>
  <c r="M212" i="7"/>
  <c r="L212" i="7"/>
  <c r="K212" i="7"/>
  <c r="J212" i="7"/>
  <c r="I212" i="7"/>
  <c r="H212" i="7"/>
  <c r="G212" i="7"/>
  <c r="F212" i="7"/>
  <c r="E212" i="7"/>
  <c r="D212" i="7"/>
  <c r="C212" i="7"/>
  <c r="AH212" i="7" s="1"/>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AE209" i="7" s="1"/>
  <c r="H209" i="7"/>
  <c r="G209" i="7"/>
  <c r="F209" i="7"/>
  <c r="E209" i="7"/>
  <c r="D209" i="7"/>
  <c r="C209" i="7"/>
  <c r="B209" i="7"/>
  <c r="A209" i="7"/>
  <c r="AC209" i="7" s="1"/>
  <c r="Z208" i="7"/>
  <c r="Y208" i="7"/>
  <c r="X208" i="7"/>
  <c r="W208" i="7"/>
  <c r="V208" i="7"/>
  <c r="U208" i="7"/>
  <c r="T208" i="7"/>
  <c r="S208" i="7"/>
  <c r="R208" i="7"/>
  <c r="Q208" i="7"/>
  <c r="P208" i="7"/>
  <c r="O208" i="7"/>
  <c r="N208" i="7"/>
  <c r="M208" i="7"/>
  <c r="L208" i="7"/>
  <c r="K208" i="7"/>
  <c r="J208" i="7"/>
  <c r="I208" i="7"/>
  <c r="H208" i="7"/>
  <c r="G208" i="7"/>
  <c r="F208" i="7"/>
  <c r="E208" i="7"/>
  <c r="D208" i="7"/>
  <c r="C208" i="7"/>
  <c r="AH208" i="7" s="1"/>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AE205" i="7" s="1"/>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AH204" i="7" s="1"/>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AE201" i="7" s="1"/>
  <c r="H201" i="7"/>
  <c r="G201" i="7"/>
  <c r="F201" i="7"/>
  <c r="E201" i="7"/>
  <c r="D201" i="7"/>
  <c r="C201" i="7"/>
  <c r="B201" i="7"/>
  <c r="A201" i="7"/>
  <c r="AC201" i="7" s="1"/>
  <c r="Z200" i="7"/>
  <c r="Y200" i="7"/>
  <c r="X200" i="7"/>
  <c r="W200" i="7"/>
  <c r="V200" i="7"/>
  <c r="U200" i="7"/>
  <c r="T200" i="7"/>
  <c r="S200" i="7"/>
  <c r="R200" i="7"/>
  <c r="Q200" i="7"/>
  <c r="P200" i="7"/>
  <c r="O200" i="7"/>
  <c r="N200" i="7"/>
  <c r="M200" i="7"/>
  <c r="L200" i="7"/>
  <c r="K200" i="7"/>
  <c r="J200" i="7"/>
  <c r="I200" i="7"/>
  <c r="H200" i="7"/>
  <c r="G200" i="7"/>
  <c r="F200" i="7"/>
  <c r="E200" i="7"/>
  <c r="D200" i="7"/>
  <c r="C200" i="7"/>
  <c r="AH200" i="7" s="1"/>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AE197" i="7" s="1"/>
  <c r="H197" i="7"/>
  <c r="G197" i="7"/>
  <c r="F197" i="7"/>
  <c r="E197" i="7"/>
  <c r="D197" i="7"/>
  <c r="C197" i="7"/>
  <c r="B197" i="7"/>
  <c r="A197" i="7"/>
  <c r="AC197" i="7" s="1"/>
  <c r="Z196" i="7"/>
  <c r="Y196" i="7"/>
  <c r="X196" i="7"/>
  <c r="W196" i="7"/>
  <c r="V196" i="7"/>
  <c r="U196" i="7"/>
  <c r="T196" i="7"/>
  <c r="S196" i="7"/>
  <c r="R196" i="7"/>
  <c r="Q196" i="7"/>
  <c r="P196" i="7"/>
  <c r="O196" i="7"/>
  <c r="N196" i="7"/>
  <c r="M196" i="7"/>
  <c r="L196" i="7"/>
  <c r="K196" i="7"/>
  <c r="J196" i="7"/>
  <c r="I196" i="7"/>
  <c r="H196" i="7"/>
  <c r="G196" i="7"/>
  <c r="F196" i="7"/>
  <c r="E196" i="7"/>
  <c r="D196" i="7"/>
  <c r="C196" i="7"/>
  <c r="AH196" i="7" s="1"/>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AE193" i="7" s="1"/>
  <c r="H193" i="7"/>
  <c r="G193" i="7"/>
  <c r="F193" i="7"/>
  <c r="E193" i="7"/>
  <c r="D193" i="7"/>
  <c r="C193" i="7"/>
  <c r="B193" i="7"/>
  <c r="A193" i="7"/>
  <c r="AC193" i="7" s="1"/>
  <c r="Z192" i="7"/>
  <c r="Y192" i="7"/>
  <c r="X192" i="7"/>
  <c r="W192" i="7"/>
  <c r="V192" i="7"/>
  <c r="U192" i="7"/>
  <c r="T192" i="7"/>
  <c r="S192" i="7"/>
  <c r="R192" i="7"/>
  <c r="Q192" i="7"/>
  <c r="P192" i="7"/>
  <c r="O192" i="7"/>
  <c r="N192" i="7"/>
  <c r="M192" i="7"/>
  <c r="L192" i="7"/>
  <c r="K192" i="7"/>
  <c r="J192" i="7"/>
  <c r="I192" i="7"/>
  <c r="H192" i="7"/>
  <c r="G192" i="7"/>
  <c r="F192" i="7"/>
  <c r="E192" i="7"/>
  <c r="D192" i="7"/>
  <c r="C192" i="7"/>
  <c r="AH192" i="7" s="1"/>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AE189" i="7" s="1"/>
  <c r="H189" i="7"/>
  <c r="G189" i="7"/>
  <c r="F189" i="7"/>
  <c r="E189" i="7"/>
  <c r="D189" i="7"/>
  <c r="C189" i="7"/>
  <c r="B189" i="7"/>
  <c r="A189" i="7"/>
  <c r="AC189" i="7" s="1"/>
  <c r="Z188" i="7"/>
  <c r="Y188" i="7"/>
  <c r="X188" i="7"/>
  <c r="W188" i="7"/>
  <c r="V188" i="7"/>
  <c r="U188" i="7"/>
  <c r="T188" i="7"/>
  <c r="S188" i="7"/>
  <c r="R188" i="7"/>
  <c r="Q188" i="7"/>
  <c r="P188" i="7"/>
  <c r="O188" i="7"/>
  <c r="N188" i="7"/>
  <c r="M188" i="7"/>
  <c r="L188" i="7"/>
  <c r="K188" i="7"/>
  <c r="J188" i="7"/>
  <c r="I188" i="7"/>
  <c r="H188" i="7"/>
  <c r="G188" i="7"/>
  <c r="F188" i="7"/>
  <c r="E188" i="7"/>
  <c r="D188" i="7"/>
  <c r="C188" i="7"/>
  <c r="AH188" i="7" s="1"/>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AE185" i="7" s="1"/>
  <c r="H185" i="7"/>
  <c r="G185" i="7"/>
  <c r="F185" i="7"/>
  <c r="E185" i="7"/>
  <c r="D185" i="7"/>
  <c r="C185" i="7"/>
  <c r="B185" i="7"/>
  <c r="A185" i="7"/>
  <c r="AC185" i="7" s="1"/>
  <c r="Z184" i="7"/>
  <c r="Y184" i="7"/>
  <c r="X184" i="7"/>
  <c r="W184" i="7"/>
  <c r="V184" i="7"/>
  <c r="U184" i="7"/>
  <c r="T184" i="7"/>
  <c r="S184" i="7"/>
  <c r="R184" i="7"/>
  <c r="Q184" i="7"/>
  <c r="P184" i="7"/>
  <c r="O184" i="7"/>
  <c r="N184" i="7"/>
  <c r="M184" i="7"/>
  <c r="L184" i="7"/>
  <c r="K184" i="7"/>
  <c r="J184" i="7"/>
  <c r="I184" i="7"/>
  <c r="H184" i="7"/>
  <c r="G184" i="7"/>
  <c r="F184" i="7"/>
  <c r="E184" i="7"/>
  <c r="D184" i="7"/>
  <c r="C184" i="7"/>
  <c r="AH184" i="7" s="1"/>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AE181" i="7" s="1"/>
  <c r="H181" i="7"/>
  <c r="G181" i="7"/>
  <c r="F181" i="7"/>
  <c r="E181" i="7"/>
  <c r="D181" i="7"/>
  <c r="C181" i="7"/>
  <c r="B181" i="7"/>
  <c r="A181" i="7"/>
  <c r="AC181" i="7" s="1"/>
  <c r="Z180" i="7"/>
  <c r="Y180" i="7"/>
  <c r="X180" i="7"/>
  <c r="W180" i="7"/>
  <c r="V180" i="7"/>
  <c r="U180" i="7"/>
  <c r="T180" i="7"/>
  <c r="S180" i="7"/>
  <c r="R180" i="7"/>
  <c r="Q180" i="7"/>
  <c r="P180" i="7"/>
  <c r="O180" i="7"/>
  <c r="N180" i="7"/>
  <c r="M180" i="7"/>
  <c r="L180" i="7"/>
  <c r="K180" i="7"/>
  <c r="J180" i="7"/>
  <c r="I180" i="7"/>
  <c r="H180" i="7"/>
  <c r="G180" i="7"/>
  <c r="F180" i="7"/>
  <c r="E180" i="7"/>
  <c r="D180" i="7"/>
  <c r="C180" i="7"/>
  <c r="AH180" i="7" s="1"/>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AE177" i="7" s="1"/>
  <c r="H177" i="7"/>
  <c r="G177" i="7"/>
  <c r="F177" i="7"/>
  <c r="E177" i="7"/>
  <c r="D177" i="7"/>
  <c r="C177" i="7"/>
  <c r="B177" i="7"/>
  <c r="A177" i="7"/>
  <c r="AC177" i="7" s="1"/>
  <c r="Z176" i="7"/>
  <c r="Y176" i="7"/>
  <c r="X176" i="7"/>
  <c r="W176" i="7"/>
  <c r="V176" i="7"/>
  <c r="U176" i="7"/>
  <c r="T176" i="7"/>
  <c r="S176" i="7"/>
  <c r="R176" i="7"/>
  <c r="Q176" i="7"/>
  <c r="P176" i="7"/>
  <c r="O176" i="7"/>
  <c r="N176" i="7"/>
  <c r="M176" i="7"/>
  <c r="L176" i="7"/>
  <c r="K176" i="7"/>
  <c r="J176" i="7"/>
  <c r="I176" i="7"/>
  <c r="H176" i="7"/>
  <c r="G176" i="7"/>
  <c r="F176" i="7"/>
  <c r="E176" i="7"/>
  <c r="D176" i="7"/>
  <c r="C176" i="7"/>
  <c r="AH176" i="7" s="1"/>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AE173" i="7" s="1"/>
  <c r="H173" i="7"/>
  <c r="G173" i="7"/>
  <c r="F173" i="7"/>
  <c r="E173" i="7"/>
  <c r="D173" i="7"/>
  <c r="C173" i="7"/>
  <c r="B173" i="7"/>
  <c r="A173" i="7"/>
  <c r="AC173" i="7" s="1"/>
  <c r="Z172" i="7"/>
  <c r="Y172" i="7"/>
  <c r="X172" i="7"/>
  <c r="W172" i="7"/>
  <c r="V172" i="7"/>
  <c r="U172" i="7"/>
  <c r="T172" i="7"/>
  <c r="S172" i="7"/>
  <c r="R172" i="7"/>
  <c r="Q172" i="7"/>
  <c r="P172" i="7"/>
  <c r="O172" i="7"/>
  <c r="N172" i="7"/>
  <c r="M172" i="7"/>
  <c r="L172" i="7"/>
  <c r="K172" i="7"/>
  <c r="J172" i="7"/>
  <c r="I172" i="7"/>
  <c r="H172" i="7"/>
  <c r="G172" i="7"/>
  <c r="F172" i="7"/>
  <c r="E172" i="7"/>
  <c r="D172" i="7"/>
  <c r="C172" i="7"/>
  <c r="AH172" i="7" s="1"/>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AE169" i="7" s="1"/>
  <c r="H169" i="7"/>
  <c r="G169" i="7"/>
  <c r="F169" i="7"/>
  <c r="E169" i="7"/>
  <c r="D169" i="7"/>
  <c r="C169" i="7"/>
  <c r="B169" i="7"/>
  <c r="A169" i="7"/>
  <c r="AC169" i="7" s="1"/>
  <c r="Z168" i="7"/>
  <c r="Y168" i="7"/>
  <c r="X168" i="7"/>
  <c r="W168" i="7"/>
  <c r="V168" i="7"/>
  <c r="U168" i="7"/>
  <c r="T168" i="7"/>
  <c r="S168" i="7"/>
  <c r="R168" i="7"/>
  <c r="Q168" i="7"/>
  <c r="P168" i="7"/>
  <c r="O168" i="7"/>
  <c r="N168" i="7"/>
  <c r="M168" i="7"/>
  <c r="L168" i="7"/>
  <c r="K168" i="7"/>
  <c r="J168" i="7"/>
  <c r="I168" i="7"/>
  <c r="H168" i="7"/>
  <c r="G168" i="7"/>
  <c r="F168" i="7"/>
  <c r="E168" i="7"/>
  <c r="D168" i="7"/>
  <c r="C168" i="7"/>
  <c r="AH168" i="7" s="1"/>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AE165" i="7" s="1"/>
  <c r="H165" i="7"/>
  <c r="G165" i="7"/>
  <c r="F165" i="7"/>
  <c r="E165" i="7"/>
  <c r="D165" i="7"/>
  <c r="C165" i="7"/>
  <c r="B165" i="7"/>
  <c r="A165" i="7"/>
  <c r="AC165" i="7" s="1"/>
  <c r="Z164" i="7"/>
  <c r="Y164" i="7"/>
  <c r="X164" i="7"/>
  <c r="W164" i="7"/>
  <c r="V164" i="7"/>
  <c r="U164" i="7"/>
  <c r="T164" i="7"/>
  <c r="S164" i="7"/>
  <c r="R164" i="7"/>
  <c r="Q164" i="7"/>
  <c r="P164" i="7"/>
  <c r="O164" i="7"/>
  <c r="N164" i="7"/>
  <c r="M164" i="7"/>
  <c r="L164" i="7"/>
  <c r="K164" i="7"/>
  <c r="J164" i="7"/>
  <c r="I164" i="7"/>
  <c r="H164" i="7"/>
  <c r="G164" i="7"/>
  <c r="F164" i="7"/>
  <c r="E164" i="7"/>
  <c r="D164" i="7"/>
  <c r="C164" i="7"/>
  <c r="AH164" i="7" s="1"/>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AE161" i="7" s="1"/>
  <c r="H161" i="7"/>
  <c r="G161" i="7"/>
  <c r="F161" i="7"/>
  <c r="E161" i="7"/>
  <c r="D161" i="7"/>
  <c r="C161" i="7"/>
  <c r="B161" i="7"/>
  <c r="A161" i="7"/>
  <c r="AC161" i="7" s="1"/>
  <c r="Z160" i="7"/>
  <c r="Y160" i="7"/>
  <c r="X160" i="7"/>
  <c r="W160" i="7"/>
  <c r="V160" i="7"/>
  <c r="U160" i="7"/>
  <c r="T160" i="7"/>
  <c r="S160" i="7"/>
  <c r="R160" i="7"/>
  <c r="Q160" i="7"/>
  <c r="P160" i="7"/>
  <c r="O160" i="7"/>
  <c r="N160" i="7"/>
  <c r="M160" i="7"/>
  <c r="L160" i="7"/>
  <c r="K160" i="7"/>
  <c r="J160" i="7"/>
  <c r="I160" i="7"/>
  <c r="H160" i="7"/>
  <c r="G160" i="7"/>
  <c r="F160" i="7"/>
  <c r="E160" i="7"/>
  <c r="D160" i="7"/>
  <c r="C160" i="7"/>
  <c r="AH160" i="7" s="1"/>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AE157" i="7" s="1"/>
  <c r="H157" i="7"/>
  <c r="G157" i="7"/>
  <c r="F157" i="7"/>
  <c r="E157" i="7"/>
  <c r="D157" i="7"/>
  <c r="C157" i="7"/>
  <c r="B157" i="7"/>
  <c r="A157" i="7"/>
  <c r="AC157" i="7" s="1"/>
  <c r="Z156" i="7"/>
  <c r="Y156" i="7"/>
  <c r="X156" i="7"/>
  <c r="W156" i="7"/>
  <c r="V156" i="7"/>
  <c r="U156" i="7"/>
  <c r="T156" i="7"/>
  <c r="S156" i="7"/>
  <c r="R156" i="7"/>
  <c r="Q156" i="7"/>
  <c r="P156" i="7"/>
  <c r="O156" i="7"/>
  <c r="N156" i="7"/>
  <c r="M156" i="7"/>
  <c r="L156" i="7"/>
  <c r="K156" i="7"/>
  <c r="J156" i="7"/>
  <c r="I156" i="7"/>
  <c r="H156" i="7"/>
  <c r="G156" i="7"/>
  <c r="F156" i="7"/>
  <c r="E156" i="7"/>
  <c r="D156" i="7"/>
  <c r="C156" i="7"/>
  <c r="AH156" i="7" s="1"/>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AE153" i="7" s="1"/>
  <c r="H153" i="7"/>
  <c r="G153" i="7"/>
  <c r="F153" i="7"/>
  <c r="E153" i="7"/>
  <c r="D153" i="7"/>
  <c r="C153" i="7"/>
  <c r="B153" i="7"/>
  <c r="A153" i="7"/>
  <c r="AC153" i="7" s="1"/>
  <c r="Z152" i="7"/>
  <c r="Y152" i="7"/>
  <c r="X152" i="7"/>
  <c r="W152" i="7"/>
  <c r="V152" i="7"/>
  <c r="U152" i="7"/>
  <c r="T152" i="7"/>
  <c r="S152" i="7"/>
  <c r="R152" i="7"/>
  <c r="Q152" i="7"/>
  <c r="P152" i="7"/>
  <c r="O152" i="7"/>
  <c r="N152" i="7"/>
  <c r="M152" i="7"/>
  <c r="L152" i="7"/>
  <c r="K152" i="7"/>
  <c r="J152" i="7"/>
  <c r="I152" i="7"/>
  <c r="H152" i="7"/>
  <c r="G152" i="7"/>
  <c r="F152" i="7"/>
  <c r="E152" i="7"/>
  <c r="D152" i="7"/>
  <c r="C152" i="7"/>
  <c r="AH152" i="7" s="1"/>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AE149" i="7" s="1"/>
  <c r="H149" i="7"/>
  <c r="G149" i="7"/>
  <c r="F149" i="7"/>
  <c r="E149" i="7"/>
  <c r="D149" i="7"/>
  <c r="C149" i="7"/>
  <c r="B149" i="7"/>
  <c r="A149" i="7"/>
  <c r="AC149" i="7" s="1"/>
  <c r="Z148" i="7"/>
  <c r="Y148" i="7"/>
  <c r="X148" i="7"/>
  <c r="W148" i="7"/>
  <c r="V148" i="7"/>
  <c r="U148" i="7"/>
  <c r="T148" i="7"/>
  <c r="S148" i="7"/>
  <c r="R148" i="7"/>
  <c r="Q148" i="7"/>
  <c r="P148" i="7"/>
  <c r="O148" i="7"/>
  <c r="N148" i="7"/>
  <c r="M148" i="7"/>
  <c r="L148" i="7"/>
  <c r="K148" i="7"/>
  <c r="J148" i="7"/>
  <c r="I148" i="7"/>
  <c r="H148" i="7"/>
  <c r="G148" i="7"/>
  <c r="F148" i="7"/>
  <c r="E148" i="7"/>
  <c r="D148" i="7"/>
  <c r="C148" i="7"/>
  <c r="AH148" i="7" s="1"/>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AE145" i="7" s="1"/>
  <c r="H145" i="7"/>
  <c r="G145" i="7"/>
  <c r="F145" i="7"/>
  <c r="E145" i="7"/>
  <c r="D145" i="7"/>
  <c r="C145" i="7"/>
  <c r="B145" i="7"/>
  <c r="A145" i="7"/>
  <c r="AC145" i="7" s="1"/>
  <c r="Z144" i="7"/>
  <c r="Y144" i="7"/>
  <c r="X144" i="7"/>
  <c r="W144" i="7"/>
  <c r="V144" i="7"/>
  <c r="U144" i="7"/>
  <c r="T144" i="7"/>
  <c r="S144" i="7"/>
  <c r="R144" i="7"/>
  <c r="Q144" i="7"/>
  <c r="P144" i="7"/>
  <c r="O144" i="7"/>
  <c r="N144" i="7"/>
  <c r="M144" i="7"/>
  <c r="L144" i="7"/>
  <c r="K144" i="7"/>
  <c r="J144" i="7"/>
  <c r="I144" i="7"/>
  <c r="H144" i="7"/>
  <c r="G144" i="7"/>
  <c r="F144" i="7"/>
  <c r="E144" i="7"/>
  <c r="D144" i="7"/>
  <c r="C144" i="7"/>
  <c r="AH144" i="7" s="1"/>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AE141" i="7" s="1"/>
  <c r="H141" i="7"/>
  <c r="G141" i="7"/>
  <c r="F141" i="7"/>
  <c r="E141" i="7"/>
  <c r="D141" i="7"/>
  <c r="C141" i="7"/>
  <c r="B141" i="7"/>
  <c r="A141" i="7"/>
  <c r="AC141" i="7" s="1"/>
  <c r="Z140" i="7"/>
  <c r="Y140" i="7"/>
  <c r="X140" i="7"/>
  <c r="W140" i="7"/>
  <c r="V140" i="7"/>
  <c r="U140" i="7"/>
  <c r="T140" i="7"/>
  <c r="S140" i="7"/>
  <c r="R140" i="7"/>
  <c r="Q140" i="7"/>
  <c r="P140" i="7"/>
  <c r="O140" i="7"/>
  <c r="N140" i="7"/>
  <c r="M140" i="7"/>
  <c r="L140" i="7"/>
  <c r="K140" i="7"/>
  <c r="J140" i="7"/>
  <c r="I140" i="7"/>
  <c r="H140" i="7"/>
  <c r="G140" i="7"/>
  <c r="F140" i="7"/>
  <c r="E140" i="7"/>
  <c r="D140" i="7"/>
  <c r="C140" i="7"/>
  <c r="AH140" i="7" s="1"/>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AE137" i="7" s="1"/>
  <c r="H137" i="7"/>
  <c r="G137" i="7"/>
  <c r="F137" i="7"/>
  <c r="E137" i="7"/>
  <c r="D137" i="7"/>
  <c r="C137" i="7"/>
  <c r="B137" i="7"/>
  <c r="A137" i="7"/>
  <c r="AC137" i="7" s="1"/>
  <c r="Z136" i="7"/>
  <c r="Y136" i="7"/>
  <c r="X136" i="7"/>
  <c r="W136" i="7"/>
  <c r="V136" i="7"/>
  <c r="U136" i="7"/>
  <c r="T136" i="7"/>
  <c r="S136" i="7"/>
  <c r="R136" i="7"/>
  <c r="Q136" i="7"/>
  <c r="P136" i="7"/>
  <c r="O136" i="7"/>
  <c r="N136" i="7"/>
  <c r="M136" i="7"/>
  <c r="L136" i="7"/>
  <c r="K136" i="7"/>
  <c r="J136" i="7"/>
  <c r="I136" i="7"/>
  <c r="H136" i="7"/>
  <c r="G136" i="7"/>
  <c r="F136" i="7"/>
  <c r="E136" i="7"/>
  <c r="D136" i="7"/>
  <c r="C136" i="7"/>
  <c r="AH136" i="7" s="1"/>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AE133" i="7" s="1"/>
  <c r="H133" i="7"/>
  <c r="G133" i="7"/>
  <c r="F133" i="7"/>
  <c r="E133" i="7"/>
  <c r="D133" i="7"/>
  <c r="C133" i="7"/>
  <c r="B133" i="7"/>
  <c r="A133" i="7"/>
  <c r="AC133" i="7" s="1"/>
  <c r="Z132" i="7"/>
  <c r="Y132" i="7"/>
  <c r="X132" i="7"/>
  <c r="W132" i="7"/>
  <c r="V132" i="7"/>
  <c r="U132" i="7"/>
  <c r="T132" i="7"/>
  <c r="S132" i="7"/>
  <c r="R132" i="7"/>
  <c r="Q132" i="7"/>
  <c r="P132" i="7"/>
  <c r="O132" i="7"/>
  <c r="N132" i="7"/>
  <c r="M132" i="7"/>
  <c r="L132" i="7"/>
  <c r="K132" i="7"/>
  <c r="J132" i="7"/>
  <c r="I132" i="7"/>
  <c r="H132" i="7"/>
  <c r="G132" i="7"/>
  <c r="F132" i="7"/>
  <c r="E132" i="7"/>
  <c r="D132" i="7"/>
  <c r="C132" i="7"/>
  <c r="AH132" i="7" s="1"/>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AE129" i="7" s="1"/>
  <c r="H129" i="7"/>
  <c r="G129" i="7"/>
  <c r="F129" i="7"/>
  <c r="E129" i="7"/>
  <c r="D129" i="7"/>
  <c r="C129" i="7"/>
  <c r="B129" i="7"/>
  <c r="A129" i="7"/>
  <c r="AC129" i="7" s="1"/>
  <c r="Z128" i="7"/>
  <c r="Y128" i="7"/>
  <c r="X128" i="7"/>
  <c r="W128" i="7"/>
  <c r="V128" i="7"/>
  <c r="U128" i="7"/>
  <c r="T128" i="7"/>
  <c r="S128" i="7"/>
  <c r="R128" i="7"/>
  <c r="Q128" i="7"/>
  <c r="P128" i="7"/>
  <c r="O128" i="7"/>
  <c r="N128" i="7"/>
  <c r="M128" i="7"/>
  <c r="L128" i="7"/>
  <c r="K128" i="7"/>
  <c r="J128" i="7"/>
  <c r="I128" i="7"/>
  <c r="H128" i="7"/>
  <c r="G128" i="7"/>
  <c r="F128" i="7"/>
  <c r="E128" i="7"/>
  <c r="D128" i="7"/>
  <c r="C128" i="7"/>
  <c r="AH128" i="7" s="1"/>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AE125" i="7" s="1"/>
  <c r="H125" i="7"/>
  <c r="G125" i="7"/>
  <c r="F125" i="7"/>
  <c r="E125" i="7"/>
  <c r="D125" i="7"/>
  <c r="C125" i="7"/>
  <c r="B125" i="7"/>
  <c r="A125" i="7"/>
  <c r="AC125" i="7" s="1"/>
  <c r="Z124" i="7"/>
  <c r="Y124" i="7"/>
  <c r="X124" i="7"/>
  <c r="W124" i="7"/>
  <c r="V124" i="7"/>
  <c r="U124" i="7"/>
  <c r="T124" i="7"/>
  <c r="S124" i="7"/>
  <c r="R124" i="7"/>
  <c r="Q124" i="7"/>
  <c r="P124" i="7"/>
  <c r="O124" i="7"/>
  <c r="N124" i="7"/>
  <c r="M124" i="7"/>
  <c r="L124" i="7"/>
  <c r="K124" i="7"/>
  <c r="J124" i="7"/>
  <c r="I124" i="7"/>
  <c r="H124" i="7"/>
  <c r="G124" i="7"/>
  <c r="F124" i="7"/>
  <c r="E124" i="7"/>
  <c r="D124" i="7"/>
  <c r="C124" i="7"/>
  <c r="AH124" i="7" s="1"/>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AE121" i="7" s="1"/>
  <c r="H121" i="7"/>
  <c r="G121" i="7"/>
  <c r="F121" i="7"/>
  <c r="E121" i="7"/>
  <c r="D121" i="7"/>
  <c r="C121" i="7"/>
  <c r="B121" i="7"/>
  <c r="A121" i="7"/>
  <c r="AC121" i="7" s="1"/>
  <c r="Z120" i="7"/>
  <c r="Y120" i="7"/>
  <c r="X120" i="7"/>
  <c r="W120" i="7"/>
  <c r="V120" i="7"/>
  <c r="U120" i="7"/>
  <c r="T120" i="7"/>
  <c r="S120" i="7"/>
  <c r="R120" i="7"/>
  <c r="Q120" i="7"/>
  <c r="P120" i="7"/>
  <c r="O120" i="7"/>
  <c r="N120" i="7"/>
  <c r="M120" i="7"/>
  <c r="L120" i="7"/>
  <c r="K120" i="7"/>
  <c r="J120" i="7"/>
  <c r="I120" i="7"/>
  <c r="H120" i="7"/>
  <c r="G120" i="7"/>
  <c r="F120" i="7"/>
  <c r="E120" i="7"/>
  <c r="D120" i="7"/>
  <c r="C120" i="7"/>
  <c r="AH120" i="7" s="1"/>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AE117" i="7" s="1"/>
  <c r="H117" i="7"/>
  <c r="G117" i="7"/>
  <c r="F117" i="7"/>
  <c r="E117" i="7"/>
  <c r="D117" i="7"/>
  <c r="C117" i="7"/>
  <c r="B117" i="7"/>
  <c r="A117" i="7"/>
  <c r="AC117" i="7" s="1"/>
  <c r="Z116" i="7"/>
  <c r="Y116" i="7"/>
  <c r="X116" i="7"/>
  <c r="W116" i="7"/>
  <c r="V116" i="7"/>
  <c r="U116" i="7"/>
  <c r="T116" i="7"/>
  <c r="S116" i="7"/>
  <c r="R116" i="7"/>
  <c r="Q116" i="7"/>
  <c r="P116" i="7"/>
  <c r="O116" i="7"/>
  <c r="N116" i="7"/>
  <c r="M116" i="7"/>
  <c r="L116" i="7"/>
  <c r="K116" i="7"/>
  <c r="J116" i="7"/>
  <c r="I116" i="7"/>
  <c r="H116" i="7"/>
  <c r="G116" i="7"/>
  <c r="F116" i="7"/>
  <c r="E116" i="7"/>
  <c r="D116" i="7"/>
  <c r="C116" i="7"/>
  <c r="AH116" i="7" s="1"/>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AE113" i="7" s="1"/>
  <c r="H113" i="7"/>
  <c r="G113" i="7"/>
  <c r="F113" i="7"/>
  <c r="E113" i="7"/>
  <c r="D113" i="7"/>
  <c r="C113" i="7"/>
  <c r="B113" i="7"/>
  <c r="A113" i="7"/>
  <c r="AC113" i="7" s="1"/>
  <c r="Z112" i="7"/>
  <c r="Y112" i="7"/>
  <c r="X112" i="7"/>
  <c r="W112" i="7"/>
  <c r="V112" i="7"/>
  <c r="U112" i="7"/>
  <c r="T112" i="7"/>
  <c r="S112" i="7"/>
  <c r="R112" i="7"/>
  <c r="Q112" i="7"/>
  <c r="P112" i="7"/>
  <c r="O112" i="7"/>
  <c r="N112" i="7"/>
  <c r="M112" i="7"/>
  <c r="L112" i="7"/>
  <c r="K112" i="7"/>
  <c r="J112" i="7"/>
  <c r="I112" i="7"/>
  <c r="H112" i="7"/>
  <c r="G112" i="7"/>
  <c r="F112" i="7"/>
  <c r="E112" i="7"/>
  <c r="D112" i="7"/>
  <c r="C112" i="7"/>
  <c r="AH112" i="7" s="1"/>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AE109" i="7" s="1"/>
  <c r="H109" i="7"/>
  <c r="G109" i="7"/>
  <c r="F109" i="7"/>
  <c r="E109" i="7"/>
  <c r="D109" i="7"/>
  <c r="C109" i="7"/>
  <c r="B109" i="7"/>
  <c r="A109" i="7"/>
  <c r="AC109" i="7" s="1"/>
  <c r="Z108" i="7"/>
  <c r="Y108" i="7"/>
  <c r="X108" i="7"/>
  <c r="W108" i="7"/>
  <c r="V108" i="7"/>
  <c r="U108" i="7"/>
  <c r="T108" i="7"/>
  <c r="S108" i="7"/>
  <c r="R108" i="7"/>
  <c r="Q108" i="7"/>
  <c r="P108" i="7"/>
  <c r="O108" i="7"/>
  <c r="N108" i="7"/>
  <c r="M108" i="7"/>
  <c r="L108" i="7"/>
  <c r="K108" i="7"/>
  <c r="J108" i="7"/>
  <c r="I108" i="7"/>
  <c r="H108" i="7"/>
  <c r="G108" i="7"/>
  <c r="F108" i="7"/>
  <c r="E108" i="7"/>
  <c r="D108" i="7"/>
  <c r="C108" i="7"/>
  <c r="AH108" i="7" s="1"/>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AE105" i="7" s="1"/>
  <c r="H105" i="7"/>
  <c r="G105" i="7"/>
  <c r="F105" i="7"/>
  <c r="E105" i="7"/>
  <c r="D105" i="7"/>
  <c r="C105" i="7"/>
  <c r="B105" i="7"/>
  <c r="A105" i="7"/>
  <c r="AC105" i="7" s="1"/>
  <c r="Z104" i="7"/>
  <c r="Y104" i="7"/>
  <c r="X104" i="7"/>
  <c r="W104" i="7"/>
  <c r="V104" i="7"/>
  <c r="U104" i="7"/>
  <c r="T104" i="7"/>
  <c r="S104" i="7"/>
  <c r="R104" i="7"/>
  <c r="Q104" i="7"/>
  <c r="P104" i="7"/>
  <c r="O104" i="7"/>
  <c r="N104" i="7"/>
  <c r="M104" i="7"/>
  <c r="L104" i="7"/>
  <c r="K104" i="7"/>
  <c r="J104" i="7"/>
  <c r="I104" i="7"/>
  <c r="H104" i="7"/>
  <c r="G104" i="7"/>
  <c r="F104" i="7"/>
  <c r="E104" i="7"/>
  <c r="D104" i="7"/>
  <c r="C104" i="7"/>
  <c r="AH104" i="7" s="1"/>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AE101" i="7" s="1"/>
  <c r="H101" i="7"/>
  <c r="G101" i="7"/>
  <c r="F101" i="7"/>
  <c r="E101" i="7"/>
  <c r="D101" i="7"/>
  <c r="C101" i="7"/>
  <c r="B101" i="7"/>
  <c r="A101" i="7"/>
  <c r="AC101" i="7" s="1"/>
  <c r="Z100" i="7"/>
  <c r="Y100" i="7"/>
  <c r="X100" i="7"/>
  <c r="W100" i="7"/>
  <c r="V100" i="7"/>
  <c r="U100" i="7"/>
  <c r="T100" i="7"/>
  <c r="S100" i="7"/>
  <c r="R100" i="7"/>
  <c r="Q100" i="7"/>
  <c r="P100" i="7"/>
  <c r="O100" i="7"/>
  <c r="N100" i="7"/>
  <c r="M100" i="7"/>
  <c r="L100" i="7"/>
  <c r="K100" i="7"/>
  <c r="J100" i="7"/>
  <c r="I100" i="7"/>
  <c r="H100" i="7"/>
  <c r="G100" i="7"/>
  <c r="F100" i="7"/>
  <c r="E100" i="7"/>
  <c r="D100" i="7"/>
  <c r="C100" i="7"/>
  <c r="AH100" i="7" s="1"/>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AE97" i="7" s="1"/>
  <c r="H97" i="7"/>
  <c r="G97" i="7"/>
  <c r="F97" i="7"/>
  <c r="E97" i="7"/>
  <c r="D97" i="7"/>
  <c r="C97" i="7"/>
  <c r="B97" i="7"/>
  <c r="A97" i="7"/>
  <c r="AC97" i="7" s="1"/>
  <c r="Z96" i="7"/>
  <c r="Y96" i="7"/>
  <c r="X96" i="7"/>
  <c r="W96" i="7"/>
  <c r="V96" i="7"/>
  <c r="U96" i="7"/>
  <c r="T96" i="7"/>
  <c r="S96" i="7"/>
  <c r="R96" i="7"/>
  <c r="Q96" i="7"/>
  <c r="P96" i="7"/>
  <c r="O96" i="7"/>
  <c r="N96" i="7"/>
  <c r="M96" i="7"/>
  <c r="L96" i="7"/>
  <c r="K96" i="7"/>
  <c r="J96" i="7"/>
  <c r="I96" i="7"/>
  <c r="H96" i="7"/>
  <c r="G96" i="7"/>
  <c r="F96" i="7"/>
  <c r="E96" i="7"/>
  <c r="D96" i="7"/>
  <c r="C96" i="7"/>
  <c r="AH96" i="7" s="1"/>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AE93" i="7" s="1"/>
  <c r="H93" i="7"/>
  <c r="G93" i="7"/>
  <c r="F93" i="7"/>
  <c r="E93" i="7"/>
  <c r="D93" i="7"/>
  <c r="C93" i="7"/>
  <c r="B93" i="7"/>
  <c r="A93" i="7"/>
  <c r="AC93" i="7" s="1"/>
  <c r="Z92" i="7"/>
  <c r="Y92" i="7"/>
  <c r="X92" i="7"/>
  <c r="W92" i="7"/>
  <c r="V92" i="7"/>
  <c r="U92" i="7"/>
  <c r="T92" i="7"/>
  <c r="S92" i="7"/>
  <c r="R92" i="7"/>
  <c r="Q92" i="7"/>
  <c r="P92" i="7"/>
  <c r="O92" i="7"/>
  <c r="N92" i="7"/>
  <c r="M92" i="7"/>
  <c r="L92" i="7"/>
  <c r="K92" i="7"/>
  <c r="J92" i="7"/>
  <c r="I92" i="7"/>
  <c r="H92" i="7"/>
  <c r="G92" i="7"/>
  <c r="F92" i="7"/>
  <c r="E92" i="7"/>
  <c r="D92" i="7"/>
  <c r="C92" i="7"/>
  <c r="AH92" i="7" s="1"/>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AE89" i="7" s="1"/>
  <c r="H89" i="7"/>
  <c r="G89" i="7"/>
  <c r="F89" i="7"/>
  <c r="E89" i="7"/>
  <c r="D89" i="7"/>
  <c r="C89" i="7"/>
  <c r="B89" i="7"/>
  <c r="A89" i="7"/>
  <c r="AC89" i="7" s="1"/>
  <c r="Z88" i="7"/>
  <c r="Y88" i="7"/>
  <c r="X88" i="7"/>
  <c r="W88" i="7"/>
  <c r="V88" i="7"/>
  <c r="U88" i="7"/>
  <c r="T88" i="7"/>
  <c r="S88" i="7"/>
  <c r="R88" i="7"/>
  <c r="Q88" i="7"/>
  <c r="P88" i="7"/>
  <c r="O88" i="7"/>
  <c r="N88" i="7"/>
  <c r="M88" i="7"/>
  <c r="L88" i="7"/>
  <c r="K88" i="7"/>
  <c r="J88" i="7"/>
  <c r="I88" i="7"/>
  <c r="H88" i="7"/>
  <c r="G88" i="7"/>
  <c r="F88" i="7"/>
  <c r="E88" i="7"/>
  <c r="D88" i="7"/>
  <c r="C88" i="7"/>
  <c r="AH88" i="7" s="1"/>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AE85" i="7" s="1"/>
  <c r="H85" i="7"/>
  <c r="G85" i="7"/>
  <c r="F85" i="7"/>
  <c r="E85" i="7"/>
  <c r="D85" i="7"/>
  <c r="C85" i="7"/>
  <c r="B85" i="7"/>
  <c r="A85" i="7"/>
  <c r="AC85" i="7" s="1"/>
  <c r="Z84" i="7"/>
  <c r="Y84" i="7"/>
  <c r="X84" i="7"/>
  <c r="W84" i="7"/>
  <c r="V84" i="7"/>
  <c r="U84" i="7"/>
  <c r="T84" i="7"/>
  <c r="S84" i="7"/>
  <c r="R84" i="7"/>
  <c r="Q84" i="7"/>
  <c r="P84" i="7"/>
  <c r="O84" i="7"/>
  <c r="N84" i="7"/>
  <c r="M84" i="7"/>
  <c r="L84" i="7"/>
  <c r="K84" i="7"/>
  <c r="J84" i="7"/>
  <c r="I84" i="7"/>
  <c r="H84" i="7"/>
  <c r="G84" i="7"/>
  <c r="F84" i="7"/>
  <c r="E84" i="7"/>
  <c r="D84" i="7"/>
  <c r="C84" i="7"/>
  <c r="AH84" i="7" s="1"/>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AE81" i="7" s="1"/>
  <c r="H81" i="7"/>
  <c r="G81" i="7"/>
  <c r="F81" i="7"/>
  <c r="E81" i="7"/>
  <c r="D81" i="7"/>
  <c r="C81" i="7"/>
  <c r="B81" i="7"/>
  <c r="A81" i="7"/>
  <c r="AC81" i="7" s="1"/>
  <c r="Z80" i="7"/>
  <c r="Y80" i="7"/>
  <c r="X80" i="7"/>
  <c r="W80" i="7"/>
  <c r="V80" i="7"/>
  <c r="U80" i="7"/>
  <c r="T80" i="7"/>
  <c r="S80" i="7"/>
  <c r="R80" i="7"/>
  <c r="Q80" i="7"/>
  <c r="P80" i="7"/>
  <c r="O80" i="7"/>
  <c r="N80" i="7"/>
  <c r="M80" i="7"/>
  <c r="L80" i="7"/>
  <c r="K80" i="7"/>
  <c r="J80" i="7"/>
  <c r="I80" i="7"/>
  <c r="H80" i="7"/>
  <c r="G80" i="7"/>
  <c r="F80" i="7"/>
  <c r="E80" i="7"/>
  <c r="D80" i="7"/>
  <c r="C80" i="7"/>
  <c r="AH80" i="7" s="1"/>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AE77" i="7" s="1"/>
  <c r="H77" i="7"/>
  <c r="G77" i="7"/>
  <c r="F77" i="7"/>
  <c r="E77" i="7"/>
  <c r="D77" i="7"/>
  <c r="C77" i="7"/>
  <c r="B77" i="7"/>
  <c r="A77" i="7"/>
  <c r="AC77" i="7" s="1"/>
  <c r="Z76" i="7"/>
  <c r="Y76" i="7"/>
  <c r="X76" i="7"/>
  <c r="W76" i="7"/>
  <c r="V76" i="7"/>
  <c r="U76" i="7"/>
  <c r="T76" i="7"/>
  <c r="S76" i="7"/>
  <c r="R76" i="7"/>
  <c r="Q76" i="7"/>
  <c r="P76" i="7"/>
  <c r="O76" i="7"/>
  <c r="N76" i="7"/>
  <c r="M76" i="7"/>
  <c r="L76" i="7"/>
  <c r="K76" i="7"/>
  <c r="J76" i="7"/>
  <c r="I76" i="7"/>
  <c r="H76" i="7"/>
  <c r="G76" i="7"/>
  <c r="F76" i="7"/>
  <c r="E76" i="7"/>
  <c r="D76" i="7"/>
  <c r="C76" i="7"/>
  <c r="AH76" i="7" s="1"/>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AE73" i="7" s="1"/>
  <c r="H73" i="7"/>
  <c r="G73" i="7"/>
  <c r="F73" i="7"/>
  <c r="E73" i="7"/>
  <c r="D73" i="7"/>
  <c r="C73" i="7"/>
  <c r="B73" i="7"/>
  <c r="A73" i="7"/>
  <c r="AC73" i="7" s="1"/>
  <c r="Z72" i="7"/>
  <c r="Y72" i="7"/>
  <c r="X72" i="7"/>
  <c r="W72" i="7"/>
  <c r="V72" i="7"/>
  <c r="U72" i="7"/>
  <c r="T72" i="7"/>
  <c r="S72" i="7"/>
  <c r="R72" i="7"/>
  <c r="Q72" i="7"/>
  <c r="P72" i="7"/>
  <c r="O72" i="7"/>
  <c r="N72" i="7"/>
  <c r="M72" i="7"/>
  <c r="L72" i="7"/>
  <c r="K72" i="7"/>
  <c r="J72" i="7"/>
  <c r="I72" i="7"/>
  <c r="H72" i="7"/>
  <c r="G72" i="7"/>
  <c r="F72" i="7"/>
  <c r="E72" i="7"/>
  <c r="D72" i="7"/>
  <c r="C72" i="7"/>
  <c r="AH72" i="7" s="1"/>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AE69" i="7" s="1"/>
  <c r="H69" i="7"/>
  <c r="G69" i="7"/>
  <c r="F69" i="7"/>
  <c r="E69" i="7"/>
  <c r="D69" i="7"/>
  <c r="C69" i="7"/>
  <c r="B69" i="7"/>
  <c r="A69" i="7"/>
  <c r="AC69" i="7" s="1"/>
  <c r="Z68" i="7"/>
  <c r="Y68" i="7"/>
  <c r="X68" i="7"/>
  <c r="W68" i="7"/>
  <c r="V68" i="7"/>
  <c r="U68" i="7"/>
  <c r="T68" i="7"/>
  <c r="S68" i="7"/>
  <c r="R68" i="7"/>
  <c r="Q68" i="7"/>
  <c r="P68" i="7"/>
  <c r="O68" i="7"/>
  <c r="N68" i="7"/>
  <c r="M68" i="7"/>
  <c r="L68" i="7"/>
  <c r="K68" i="7"/>
  <c r="J68" i="7"/>
  <c r="I68" i="7"/>
  <c r="H68" i="7"/>
  <c r="G68" i="7"/>
  <c r="F68" i="7"/>
  <c r="E68" i="7"/>
  <c r="D68" i="7"/>
  <c r="C68" i="7"/>
  <c r="AH68" i="7" s="1"/>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AE65" i="7" s="1"/>
  <c r="H65" i="7"/>
  <c r="G65" i="7"/>
  <c r="F65" i="7"/>
  <c r="E65" i="7"/>
  <c r="D65" i="7"/>
  <c r="C65" i="7"/>
  <c r="B65" i="7"/>
  <c r="A65" i="7"/>
  <c r="AC65" i="7" s="1"/>
  <c r="Z64" i="7"/>
  <c r="Y64" i="7"/>
  <c r="X64" i="7"/>
  <c r="W64" i="7"/>
  <c r="V64" i="7"/>
  <c r="U64" i="7"/>
  <c r="T64" i="7"/>
  <c r="S64" i="7"/>
  <c r="R64" i="7"/>
  <c r="Q64" i="7"/>
  <c r="P64" i="7"/>
  <c r="O64" i="7"/>
  <c r="N64" i="7"/>
  <c r="M64" i="7"/>
  <c r="L64" i="7"/>
  <c r="K64" i="7"/>
  <c r="J64" i="7"/>
  <c r="I64" i="7"/>
  <c r="H64" i="7"/>
  <c r="G64" i="7"/>
  <c r="F64" i="7"/>
  <c r="E64" i="7"/>
  <c r="D64" i="7"/>
  <c r="C64" i="7"/>
  <c r="AH64" i="7" s="1"/>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AE61" i="7" s="1"/>
  <c r="H61" i="7"/>
  <c r="G61" i="7"/>
  <c r="F61" i="7"/>
  <c r="E61" i="7"/>
  <c r="D61" i="7"/>
  <c r="C61" i="7"/>
  <c r="B61" i="7"/>
  <c r="A61" i="7"/>
  <c r="AC61" i="7" s="1"/>
  <c r="Z60" i="7"/>
  <c r="Y60" i="7"/>
  <c r="X60" i="7"/>
  <c r="W60" i="7"/>
  <c r="V60" i="7"/>
  <c r="U60" i="7"/>
  <c r="T60" i="7"/>
  <c r="S60" i="7"/>
  <c r="R60" i="7"/>
  <c r="Q60" i="7"/>
  <c r="P60" i="7"/>
  <c r="O60" i="7"/>
  <c r="N60" i="7"/>
  <c r="M60" i="7"/>
  <c r="L60" i="7"/>
  <c r="K60" i="7"/>
  <c r="J60" i="7"/>
  <c r="I60" i="7"/>
  <c r="H60" i="7"/>
  <c r="G60" i="7"/>
  <c r="F60" i="7"/>
  <c r="E60" i="7"/>
  <c r="D60" i="7"/>
  <c r="C60" i="7"/>
  <c r="AH60" i="7" s="1"/>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AE57" i="7" s="1"/>
  <c r="H57" i="7"/>
  <c r="G57" i="7"/>
  <c r="F57" i="7"/>
  <c r="E57" i="7"/>
  <c r="D57" i="7"/>
  <c r="C57" i="7"/>
  <c r="B57" i="7"/>
  <c r="A57" i="7"/>
  <c r="AC57" i="7" s="1"/>
  <c r="Z56" i="7"/>
  <c r="Y56" i="7"/>
  <c r="X56" i="7"/>
  <c r="W56" i="7"/>
  <c r="V56" i="7"/>
  <c r="U56" i="7"/>
  <c r="T56" i="7"/>
  <c r="S56" i="7"/>
  <c r="R56" i="7"/>
  <c r="Q56" i="7"/>
  <c r="P56" i="7"/>
  <c r="O56" i="7"/>
  <c r="N56" i="7"/>
  <c r="M56" i="7"/>
  <c r="L56" i="7"/>
  <c r="K56" i="7"/>
  <c r="J56" i="7"/>
  <c r="I56" i="7"/>
  <c r="H56" i="7"/>
  <c r="G56" i="7"/>
  <c r="F56" i="7"/>
  <c r="E56" i="7"/>
  <c r="D56" i="7"/>
  <c r="C56" i="7"/>
  <c r="AH56" i="7" s="1"/>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AE53" i="7" s="1"/>
  <c r="H53" i="7"/>
  <c r="G53" i="7"/>
  <c r="F53" i="7"/>
  <c r="E53" i="7"/>
  <c r="D53" i="7"/>
  <c r="C53" i="7"/>
  <c r="B53" i="7"/>
  <c r="A53" i="7"/>
  <c r="AC53" i="7" s="1"/>
  <c r="Z52" i="7"/>
  <c r="Y52" i="7"/>
  <c r="X52" i="7"/>
  <c r="W52" i="7"/>
  <c r="V52" i="7"/>
  <c r="U52" i="7"/>
  <c r="T52" i="7"/>
  <c r="S52" i="7"/>
  <c r="R52" i="7"/>
  <c r="Q52" i="7"/>
  <c r="P52" i="7"/>
  <c r="O52" i="7"/>
  <c r="N52" i="7"/>
  <c r="M52" i="7"/>
  <c r="L52" i="7"/>
  <c r="K52" i="7"/>
  <c r="J52" i="7"/>
  <c r="I52" i="7"/>
  <c r="H52" i="7"/>
  <c r="G52" i="7"/>
  <c r="F52" i="7"/>
  <c r="E52" i="7"/>
  <c r="D52" i="7"/>
  <c r="C52" i="7"/>
  <c r="AH52" i="7" s="1"/>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AE49" i="7" s="1"/>
  <c r="H49" i="7"/>
  <c r="G49" i="7"/>
  <c r="F49" i="7"/>
  <c r="E49" i="7"/>
  <c r="D49" i="7"/>
  <c r="C49" i="7"/>
  <c r="B49" i="7"/>
  <c r="A49" i="7"/>
  <c r="AC49" i="7" s="1"/>
  <c r="Z48" i="7"/>
  <c r="Y48" i="7"/>
  <c r="X48" i="7"/>
  <c r="W48" i="7"/>
  <c r="V48" i="7"/>
  <c r="U48" i="7"/>
  <c r="T48" i="7"/>
  <c r="S48" i="7"/>
  <c r="R48" i="7"/>
  <c r="Q48" i="7"/>
  <c r="P48" i="7"/>
  <c r="O48" i="7"/>
  <c r="N48" i="7"/>
  <c r="M48" i="7"/>
  <c r="L48" i="7"/>
  <c r="K48" i="7"/>
  <c r="J48" i="7"/>
  <c r="I48" i="7"/>
  <c r="H48" i="7"/>
  <c r="G48" i="7"/>
  <c r="F48" i="7"/>
  <c r="E48" i="7"/>
  <c r="D48" i="7"/>
  <c r="C48" i="7"/>
  <c r="AH48" i="7" s="1"/>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AE45" i="7" s="1"/>
  <c r="H45" i="7"/>
  <c r="G45" i="7"/>
  <c r="F45" i="7"/>
  <c r="E45" i="7"/>
  <c r="D45" i="7"/>
  <c r="C45" i="7"/>
  <c r="B45" i="7"/>
  <c r="A45" i="7"/>
  <c r="AC45" i="7" s="1"/>
  <c r="Z44" i="7"/>
  <c r="Y44" i="7"/>
  <c r="X44" i="7"/>
  <c r="W44" i="7"/>
  <c r="V44" i="7"/>
  <c r="U44" i="7"/>
  <c r="T44" i="7"/>
  <c r="S44" i="7"/>
  <c r="R44" i="7"/>
  <c r="Q44" i="7"/>
  <c r="P44" i="7"/>
  <c r="O44" i="7"/>
  <c r="N44" i="7"/>
  <c r="M44" i="7"/>
  <c r="L44" i="7"/>
  <c r="K44" i="7"/>
  <c r="J44" i="7"/>
  <c r="I44" i="7"/>
  <c r="H44" i="7"/>
  <c r="G44" i="7"/>
  <c r="F44" i="7"/>
  <c r="E44" i="7"/>
  <c r="D44" i="7"/>
  <c r="C44" i="7"/>
  <c r="AH44" i="7" s="1"/>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AE41" i="7" s="1"/>
  <c r="H41" i="7"/>
  <c r="G41" i="7"/>
  <c r="F41" i="7"/>
  <c r="E41" i="7"/>
  <c r="D41" i="7"/>
  <c r="C41" i="7"/>
  <c r="B41" i="7"/>
  <c r="A41" i="7"/>
  <c r="AC41" i="7" s="1"/>
  <c r="Z40" i="7"/>
  <c r="Y40" i="7"/>
  <c r="X40" i="7"/>
  <c r="W40" i="7"/>
  <c r="V40" i="7"/>
  <c r="U40" i="7"/>
  <c r="T40" i="7"/>
  <c r="S40" i="7"/>
  <c r="R40" i="7"/>
  <c r="Q40" i="7"/>
  <c r="P40" i="7"/>
  <c r="O40" i="7"/>
  <c r="N40" i="7"/>
  <c r="M40" i="7"/>
  <c r="L40" i="7"/>
  <c r="K40" i="7"/>
  <c r="J40" i="7"/>
  <c r="I40" i="7"/>
  <c r="H40" i="7"/>
  <c r="G40" i="7"/>
  <c r="F40" i="7"/>
  <c r="E40" i="7"/>
  <c r="D40" i="7"/>
  <c r="C40" i="7"/>
  <c r="AH40" i="7" s="1"/>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AE37" i="7" s="1"/>
  <c r="H37" i="7"/>
  <c r="G37" i="7"/>
  <c r="F37" i="7"/>
  <c r="E37" i="7"/>
  <c r="D37" i="7"/>
  <c r="C37" i="7"/>
  <c r="B37" i="7"/>
  <c r="A37" i="7"/>
  <c r="AC37" i="7" s="1"/>
  <c r="Z36" i="7"/>
  <c r="Y36" i="7"/>
  <c r="X36" i="7"/>
  <c r="W36" i="7"/>
  <c r="V36" i="7"/>
  <c r="U36" i="7"/>
  <c r="T36" i="7"/>
  <c r="S36" i="7"/>
  <c r="R36" i="7"/>
  <c r="Q36" i="7"/>
  <c r="P36" i="7"/>
  <c r="O36" i="7"/>
  <c r="N36" i="7"/>
  <c r="M36" i="7"/>
  <c r="L36" i="7"/>
  <c r="K36" i="7"/>
  <c r="J36" i="7"/>
  <c r="I36" i="7"/>
  <c r="H36" i="7"/>
  <c r="G36" i="7"/>
  <c r="F36" i="7"/>
  <c r="E36" i="7"/>
  <c r="D36" i="7"/>
  <c r="C36" i="7"/>
  <c r="AH36" i="7" s="1"/>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AE33" i="7" s="1"/>
  <c r="H33" i="7"/>
  <c r="G33" i="7"/>
  <c r="F33" i="7"/>
  <c r="E33" i="7"/>
  <c r="D33" i="7"/>
  <c r="C33" i="7"/>
  <c r="B33" i="7"/>
  <c r="A33" i="7"/>
  <c r="AC33" i="7" s="1"/>
  <c r="Z32" i="7"/>
  <c r="Y32" i="7"/>
  <c r="X32" i="7"/>
  <c r="W32" i="7"/>
  <c r="V32" i="7"/>
  <c r="U32" i="7"/>
  <c r="T32" i="7"/>
  <c r="S32" i="7"/>
  <c r="R32" i="7"/>
  <c r="Q32" i="7"/>
  <c r="P32" i="7"/>
  <c r="O32" i="7"/>
  <c r="N32" i="7"/>
  <c r="M32" i="7"/>
  <c r="L32" i="7"/>
  <c r="K32" i="7"/>
  <c r="J32" i="7"/>
  <c r="I32" i="7"/>
  <c r="H32" i="7"/>
  <c r="G32" i="7"/>
  <c r="F32" i="7"/>
  <c r="E32" i="7"/>
  <c r="D32" i="7"/>
  <c r="C32" i="7"/>
  <c r="AH32" i="7" s="1"/>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AE29" i="7" s="1"/>
  <c r="H29" i="7"/>
  <c r="G29" i="7"/>
  <c r="F29" i="7"/>
  <c r="E29" i="7"/>
  <c r="D29" i="7"/>
  <c r="C29" i="7"/>
  <c r="B29" i="7"/>
  <c r="A29" i="7"/>
  <c r="AC29" i="7" s="1"/>
  <c r="Z28" i="7"/>
  <c r="Y28" i="7"/>
  <c r="X28" i="7"/>
  <c r="W28" i="7"/>
  <c r="V28" i="7"/>
  <c r="U28" i="7"/>
  <c r="T28" i="7"/>
  <c r="S28" i="7"/>
  <c r="R28" i="7"/>
  <c r="Q28" i="7"/>
  <c r="P28" i="7"/>
  <c r="O28" i="7"/>
  <c r="N28" i="7"/>
  <c r="M28" i="7"/>
  <c r="L28" i="7"/>
  <c r="K28" i="7"/>
  <c r="J28" i="7"/>
  <c r="I28" i="7"/>
  <c r="H28" i="7"/>
  <c r="G28" i="7"/>
  <c r="F28" i="7"/>
  <c r="E28" i="7"/>
  <c r="D28" i="7"/>
  <c r="C28" i="7"/>
  <c r="AH28" i="7" s="1"/>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AE25" i="7" s="1"/>
  <c r="H25" i="7"/>
  <c r="G25" i="7"/>
  <c r="F25" i="7"/>
  <c r="E25" i="7"/>
  <c r="D25" i="7"/>
  <c r="C25" i="7"/>
  <c r="B25" i="7"/>
  <c r="A25" i="7"/>
  <c r="AC25" i="7" s="1"/>
  <c r="Z24" i="7"/>
  <c r="Y24" i="7"/>
  <c r="X24" i="7"/>
  <c r="W24" i="7"/>
  <c r="V24" i="7"/>
  <c r="U24" i="7"/>
  <c r="T24" i="7"/>
  <c r="S24" i="7"/>
  <c r="R24" i="7"/>
  <c r="Q24" i="7"/>
  <c r="P24" i="7"/>
  <c r="O24" i="7"/>
  <c r="N24" i="7"/>
  <c r="M24" i="7"/>
  <c r="L24" i="7"/>
  <c r="K24" i="7"/>
  <c r="J24" i="7"/>
  <c r="I24" i="7"/>
  <c r="H24" i="7"/>
  <c r="G24" i="7"/>
  <c r="F24" i="7"/>
  <c r="E24" i="7"/>
  <c r="D24" i="7"/>
  <c r="C24" i="7"/>
  <c r="AH24" i="7" s="1"/>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AE21" i="7" s="1"/>
  <c r="H21" i="7"/>
  <c r="G21" i="7"/>
  <c r="F21" i="7"/>
  <c r="E21" i="7"/>
  <c r="D21" i="7"/>
  <c r="C21" i="7"/>
  <c r="B21" i="7"/>
  <c r="A21" i="7"/>
  <c r="AC21" i="7" s="1"/>
  <c r="Z20" i="7"/>
  <c r="Y20" i="7"/>
  <c r="X20" i="7"/>
  <c r="W20" i="7"/>
  <c r="V20" i="7"/>
  <c r="U20" i="7"/>
  <c r="T20" i="7"/>
  <c r="S20" i="7"/>
  <c r="R20" i="7"/>
  <c r="Q20" i="7"/>
  <c r="P20" i="7"/>
  <c r="O20" i="7"/>
  <c r="N20" i="7"/>
  <c r="M20" i="7"/>
  <c r="L20" i="7"/>
  <c r="K20" i="7"/>
  <c r="J20" i="7"/>
  <c r="I20" i="7"/>
  <c r="H20" i="7"/>
  <c r="G20" i="7"/>
  <c r="F20" i="7"/>
  <c r="E20" i="7"/>
  <c r="D20" i="7"/>
  <c r="C20" i="7"/>
  <c r="AH20" i="7" s="1"/>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AE17" i="7" s="1"/>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AH16" i="7" s="1"/>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C205" i="7" l="1"/>
  <c r="AC357" i="7"/>
  <c r="AC305" i="7"/>
  <c r="AC289" i="7"/>
  <c r="AG15" i="7"/>
  <c r="AG19" i="7"/>
  <c r="AG23" i="7"/>
  <c r="AG27" i="7"/>
  <c r="AG31" i="7"/>
  <c r="AG35" i="7"/>
  <c r="AG39" i="7"/>
  <c r="AG43"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H7" i="7"/>
  <c r="AH11" i="7"/>
  <c r="AH15" i="7"/>
  <c r="AH19" i="7"/>
  <c r="AH23" i="7"/>
  <c r="AH27" i="7"/>
  <c r="AH31" i="7"/>
  <c r="AH35"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C549" i="7"/>
  <c r="AE549" i="7"/>
  <c r="AG551" i="7"/>
  <c r="AC553" i="7"/>
  <c r="AE553" i="7"/>
  <c r="AG555" i="7"/>
  <c r="AC557" i="7"/>
  <c r="AE557" i="7"/>
  <c r="AG559" i="7"/>
  <c r="AC561" i="7"/>
  <c r="AE561" i="7"/>
  <c r="AG563" i="7"/>
  <c r="AC565" i="7"/>
  <c r="AE565" i="7"/>
  <c r="AG567" i="7"/>
  <c r="AC569" i="7"/>
  <c r="AG571" i="7"/>
  <c r="AG575" i="7"/>
  <c r="AG579" i="7"/>
  <c r="AG583" i="7"/>
  <c r="AE585" i="7"/>
  <c r="AG587" i="7"/>
  <c r="AC589" i="7"/>
  <c r="AE589" i="7"/>
  <c r="AG591" i="7"/>
  <c r="AC593" i="7"/>
  <c r="AE593" i="7"/>
  <c r="AG595" i="7"/>
  <c r="AC597" i="7"/>
  <c r="AE597" i="7"/>
  <c r="AG599" i="7"/>
  <c r="AC601" i="7"/>
  <c r="AE601" i="7"/>
  <c r="AG603" i="7"/>
  <c r="AH39" i="7"/>
  <c r="AH43"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C605" i="7"/>
  <c r="AE605" i="7"/>
  <c r="AG607" i="7"/>
  <c r="AC609" i="7"/>
  <c r="AE609" i="7"/>
  <c r="AG611" i="7"/>
  <c r="AC613" i="7"/>
  <c r="AE613" i="7"/>
  <c r="AG615" i="7"/>
  <c r="AC617" i="7"/>
  <c r="AE617" i="7"/>
  <c r="AG619" i="7"/>
  <c r="AC621" i="7"/>
  <c r="AE621" i="7"/>
  <c r="AG623" i="7"/>
  <c r="AC625" i="7"/>
  <c r="AE625" i="7"/>
  <c r="AG627" i="7"/>
  <c r="AC629" i="7"/>
  <c r="AE629" i="7"/>
  <c r="AG631" i="7"/>
  <c r="AC633" i="7"/>
  <c r="AE633" i="7"/>
  <c r="AG635" i="7"/>
  <c r="AC637" i="7"/>
  <c r="AE637" i="7"/>
  <c r="AG639" i="7"/>
  <c r="AC641" i="7"/>
  <c r="AE641" i="7"/>
  <c r="AG643" i="7"/>
  <c r="AC645" i="7"/>
  <c r="AE645" i="7"/>
  <c r="AG647" i="7"/>
  <c r="AC649" i="7"/>
  <c r="AE649" i="7"/>
  <c r="AG651" i="7"/>
  <c r="AC653" i="7"/>
  <c r="AE653" i="7"/>
  <c r="AG655" i="7"/>
  <c r="AC657" i="7"/>
  <c r="AE657" i="7"/>
  <c r="AG659" i="7"/>
  <c r="AC661" i="7"/>
  <c r="AE661" i="7"/>
  <c r="AG663" i="7"/>
  <c r="AE665" i="7"/>
  <c r="AG667" i="7"/>
  <c r="AC669" i="7"/>
  <c r="AE669" i="7"/>
  <c r="AG671" i="7"/>
  <c r="AC673" i="7"/>
  <c r="AE673" i="7"/>
  <c r="AG675" i="7"/>
  <c r="AC677" i="7"/>
  <c r="AE677" i="7"/>
  <c r="AG679" i="7"/>
  <c r="AC681" i="7"/>
  <c r="AE681" i="7"/>
  <c r="AG683" i="7"/>
  <c r="AC685" i="7"/>
  <c r="AE685" i="7"/>
  <c r="AG687" i="7"/>
  <c r="AC689" i="7"/>
  <c r="AE689" i="7"/>
  <c r="AG691" i="7"/>
  <c r="AE693" i="7"/>
  <c r="AG695" i="7"/>
  <c r="AC697" i="7"/>
  <c r="AE697" i="7"/>
  <c r="AG699" i="7"/>
  <c r="AC701" i="7"/>
  <c r="AE701" i="7"/>
  <c r="AG703" i="7"/>
  <c r="AC705" i="7"/>
  <c r="AE705" i="7"/>
  <c r="AG707" i="7"/>
  <c r="AC709" i="7"/>
  <c r="AE709" i="7"/>
  <c r="AG711" i="7"/>
  <c r="AE713" i="7"/>
  <c r="AG715" i="7"/>
  <c r="AC717" i="7"/>
  <c r="AE717" i="7"/>
  <c r="AG719" i="7"/>
  <c r="AC721" i="7"/>
  <c r="AE721" i="7"/>
  <c r="AG723" i="7"/>
  <c r="AC725" i="7"/>
  <c r="AE725" i="7"/>
  <c r="AG727" i="7"/>
  <c r="AC729" i="7"/>
  <c r="AE729" i="7"/>
  <c r="AG731" i="7"/>
  <c r="AC733" i="7"/>
  <c r="AE733" i="7"/>
  <c r="AG735" i="7"/>
  <c r="AC737" i="7"/>
  <c r="AE737" i="7"/>
  <c r="AG739" i="7"/>
  <c r="AC741" i="7"/>
  <c r="AE741" i="7"/>
  <c r="AG743" i="7"/>
  <c r="AC745" i="7"/>
  <c r="AE745" i="7"/>
  <c r="AG747" i="7"/>
  <c r="AC749" i="7"/>
  <c r="AE749" i="7"/>
  <c r="AG751" i="7"/>
  <c r="AC753" i="7"/>
  <c r="AE753" i="7"/>
  <c r="AG755" i="7"/>
  <c r="AC757" i="7"/>
  <c r="AE757" i="7"/>
  <c r="AG759" i="7"/>
  <c r="AC761" i="7"/>
  <c r="AE761" i="7"/>
  <c r="AG763" i="7"/>
  <c r="AC765" i="7"/>
  <c r="AE765" i="7"/>
  <c r="AG767" i="7"/>
  <c r="AC769" i="7"/>
  <c r="AE769" i="7"/>
  <c r="AG771" i="7"/>
  <c r="AC773" i="7"/>
  <c r="AE773" i="7"/>
  <c r="AG775" i="7"/>
  <c r="AC777" i="7"/>
  <c r="AE777" i="7"/>
  <c r="AG779" i="7"/>
  <c r="AC781" i="7"/>
  <c r="AE781" i="7"/>
  <c r="AG783" i="7"/>
  <c r="AC785" i="7"/>
  <c r="AE785" i="7"/>
  <c r="AG787" i="7"/>
  <c r="AC789" i="7"/>
  <c r="AE789" i="7"/>
  <c r="AG791" i="7"/>
  <c r="AC793" i="7"/>
  <c r="AE793" i="7"/>
  <c r="AG795" i="7"/>
  <c r="AC797" i="7"/>
  <c r="AE797" i="7"/>
  <c r="AG799" i="7"/>
  <c r="AC801" i="7"/>
  <c r="AE801" i="7"/>
  <c r="AG803" i="7"/>
  <c r="AC805" i="7"/>
  <c r="AE805" i="7"/>
  <c r="AG807" i="7"/>
  <c r="AC809" i="7"/>
  <c r="AE809" i="7"/>
  <c r="AG811" i="7"/>
  <c r="AC813" i="7"/>
  <c r="AE813" i="7"/>
  <c r="AG815" i="7"/>
  <c r="AC817" i="7"/>
  <c r="AE817" i="7"/>
  <c r="AG819" i="7"/>
  <c r="AC821" i="7"/>
  <c r="AE821" i="7"/>
  <c r="AG823" i="7"/>
  <c r="AC825" i="7"/>
  <c r="AE825" i="7"/>
  <c r="AG827" i="7"/>
  <c r="AC829" i="7"/>
  <c r="AE829" i="7"/>
  <c r="AG831" i="7"/>
  <c r="AC833" i="7"/>
  <c r="AE833"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G835" i="7"/>
  <c r="AC837" i="7"/>
  <c r="AE837" i="7"/>
  <c r="AG839" i="7"/>
  <c r="AC841" i="7"/>
  <c r="AE841" i="7"/>
  <c r="AG843" i="7"/>
  <c r="AC845" i="7"/>
  <c r="AE845" i="7"/>
  <c r="AG847" i="7"/>
  <c r="AC849" i="7"/>
  <c r="AE849" i="7"/>
  <c r="AG851" i="7"/>
  <c r="AC853" i="7"/>
  <c r="AE853" i="7"/>
  <c r="AG855" i="7"/>
  <c r="AC857" i="7"/>
  <c r="AE857" i="7"/>
  <c r="AG859" i="7"/>
  <c r="AC861" i="7"/>
  <c r="AE861" i="7"/>
  <c r="AG863" i="7"/>
  <c r="AC865" i="7"/>
  <c r="AE865" i="7"/>
  <c r="AG867" i="7"/>
  <c r="AC869" i="7"/>
  <c r="AE869" i="7"/>
  <c r="AG871" i="7"/>
  <c r="AC873" i="7"/>
  <c r="AE873" i="7"/>
  <c r="AG875" i="7"/>
  <c r="AC877" i="7"/>
  <c r="AE877" i="7"/>
  <c r="AG879" i="7"/>
  <c r="AC881" i="7"/>
  <c r="AE881" i="7"/>
  <c r="AG883" i="7"/>
  <c r="AC885" i="7"/>
  <c r="AE885" i="7"/>
  <c r="AG887" i="7"/>
  <c r="AC889" i="7"/>
  <c r="AE889" i="7"/>
  <c r="AG891" i="7"/>
  <c r="AC893" i="7"/>
  <c r="AE893" i="7"/>
  <c r="AG895" i="7"/>
  <c r="AC897" i="7"/>
  <c r="AE897" i="7"/>
  <c r="AG899" i="7"/>
  <c r="AC901" i="7"/>
  <c r="AE901" i="7"/>
  <c r="AG903" i="7"/>
  <c r="AC905" i="7"/>
  <c r="AE905" i="7"/>
  <c r="AG907" i="7"/>
  <c r="AC909" i="7"/>
  <c r="AE909" i="7"/>
  <c r="AG911" i="7"/>
  <c r="AC913" i="7"/>
  <c r="AE913" i="7"/>
  <c r="AG915"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H627" i="7"/>
  <c r="AH743" i="7"/>
  <c r="AH747" i="7"/>
  <c r="AH751" i="7"/>
  <c r="AH755" i="7"/>
  <c r="AH759" i="7"/>
  <c r="AC693" i="7"/>
  <c r="AC713" i="7"/>
  <c r="AC317" i="7"/>
  <c r="C6" i="18"/>
  <c r="I6" i="18"/>
  <c r="E6" i="18"/>
  <c r="H6" i="18"/>
  <c r="G6" i="18"/>
  <c r="F6" i="18"/>
  <c r="D6" i="18"/>
  <c r="G18" i="18"/>
  <c r="F18" i="18"/>
  <c r="E18" i="18"/>
  <c r="D18" i="18"/>
  <c r="C18" i="18"/>
  <c r="I18" i="18"/>
  <c r="H18" i="18"/>
  <c r="F25" i="18"/>
  <c r="E25" i="18"/>
  <c r="D25" i="18"/>
  <c r="C25" i="18"/>
  <c r="H25" i="18"/>
  <c r="I25" i="18"/>
  <c r="G25" i="18"/>
  <c r="D21" i="18"/>
  <c r="I21" i="18"/>
  <c r="H21" i="18"/>
  <c r="G21" i="18"/>
  <c r="F21" i="18"/>
  <c r="E21" i="18"/>
  <c r="C21" i="18"/>
  <c r="G26" i="18"/>
  <c r="F26" i="18"/>
  <c r="E26" i="18"/>
  <c r="D26" i="18"/>
  <c r="C26" i="18"/>
  <c r="I26" i="18"/>
  <c r="H26" i="18"/>
  <c r="Q38" i="4"/>
  <c r="F17" i="18"/>
  <c r="E17" i="18"/>
  <c r="D17" i="18"/>
  <c r="C17" i="18"/>
  <c r="I17" i="18"/>
  <c r="G17" i="18"/>
  <c r="H17" i="18"/>
  <c r="D7" i="18"/>
  <c r="F7" i="18"/>
  <c r="C7" i="18"/>
  <c r="I7" i="18"/>
  <c r="H7" i="18"/>
  <c r="G7" i="18"/>
  <c r="E7" i="18"/>
  <c r="E8" i="18"/>
  <c r="D8" i="18"/>
  <c r="C8" i="18"/>
  <c r="I8" i="18"/>
  <c r="G8" i="18"/>
  <c r="H8" i="18"/>
  <c r="F8" i="18"/>
  <c r="H11" i="18"/>
  <c r="G11" i="18"/>
  <c r="F11" i="18"/>
  <c r="E11" i="18"/>
  <c r="D11" i="18"/>
  <c r="C11" i="18"/>
  <c r="I11" i="18"/>
  <c r="H27" i="18"/>
  <c r="G27" i="18"/>
  <c r="F27" i="18"/>
  <c r="E27" i="18"/>
  <c r="D27" i="18"/>
  <c r="C27" i="18"/>
  <c r="I27" i="18"/>
  <c r="I28" i="18"/>
  <c r="H28" i="18"/>
  <c r="G28" i="18"/>
  <c r="F28" i="18"/>
  <c r="E28" i="18"/>
  <c r="D28" i="18"/>
  <c r="C28" i="18"/>
  <c r="F9" i="18"/>
  <c r="E9" i="18"/>
  <c r="D9" i="18"/>
  <c r="H9" i="18"/>
  <c r="C9" i="18"/>
  <c r="I9" i="18"/>
  <c r="G9" i="18"/>
  <c r="I12" i="18"/>
  <c r="H12" i="18"/>
  <c r="G12" i="18"/>
  <c r="F12" i="18"/>
  <c r="C12" i="18"/>
  <c r="E12" i="18"/>
  <c r="D12" i="18"/>
  <c r="E24" i="18"/>
  <c r="D24" i="18"/>
  <c r="C24" i="18"/>
  <c r="G24" i="18"/>
  <c r="I24" i="18"/>
  <c r="H24" i="18"/>
  <c r="F24" i="18"/>
  <c r="AC665" i="7"/>
  <c r="G10" i="18"/>
  <c r="F10" i="18"/>
  <c r="I10" i="18"/>
  <c r="E10" i="18"/>
  <c r="D10" i="18"/>
  <c r="C10" i="18"/>
  <c r="H10" i="18"/>
  <c r="C14" i="18"/>
  <c r="I14" i="18"/>
  <c r="H14" i="18"/>
  <c r="G14" i="18"/>
  <c r="F14" i="18"/>
  <c r="E14" i="18"/>
  <c r="D14" i="18"/>
  <c r="D23" i="18"/>
  <c r="C23" i="18"/>
  <c r="F23" i="18"/>
  <c r="I23" i="18"/>
  <c r="H23" i="18"/>
  <c r="G23" i="18"/>
  <c r="E23" i="18"/>
  <c r="I5" i="18"/>
  <c r="H5" i="18"/>
  <c r="G5" i="18"/>
  <c r="F5" i="18"/>
  <c r="E5" i="18"/>
  <c r="D5" i="18"/>
  <c r="C5" i="18"/>
  <c r="H3" i="18"/>
  <c r="G3" i="18"/>
  <c r="F3" i="18"/>
  <c r="D3" i="18"/>
  <c r="E3" i="18"/>
  <c r="C3" i="18"/>
  <c r="I3" i="18"/>
  <c r="I13" i="18"/>
  <c r="H13" i="18"/>
  <c r="G13" i="18"/>
  <c r="F13" i="18"/>
  <c r="E13" i="18"/>
  <c r="C13" i="18"/>
  <c r="D13" i="18"/>
  <c r="C22" i="18"/>
  <c r="I22" i="18"/>
  <c r="H22" i="18"/>
  <c r="G22" i="18"/>
  <c r="E22" i="18"/>
  <c r="F22" i="18"/>
  <c r="D22" i="18"/>
  <c r="AH791" i="7"/>
  <c r="AH795" i="7"/>
  <c r="AH799" i="7"/>
  <c r="AH999" i="7"/>
  <c r="B19" i="2"/>
  <c r="B21" i="3" s="1"/>
  <c r="H19" i="18"/>
  <c r="G19" i="18"/>
  <c r="F19" i="18"/>
  <c r="E19" i="18"/>
  <c r="D19" i="18"/>
  <c r="C19" i="18"/>
  <c r="I19" i="18"/>
  <c r="I4" i="18"/>
  <c r="H4" i="18"/>
  <c r="E4" i="18"/>
  <c r="C4" i="18"/>
  <c r="G4" i="18"/>
  <c r="F4" i="18"/>
  <c r="D4" i="18"/>
  <c r="D15" i="18"/>
  <c r="C15" i="18"/>
  <c r="F15" i="18"/>
  <c r="I15" i="18"/>
  <c r="H15" i="18"/>
  <c r="G15" i="18"/>
  <c r="E15" i="18"/>
  <c r="I20" i="18"/>
  <c r="H20" i="18"/>
  <c r="G20" i="18"/>
  <c r="F20" i="18"/>
  <c r="C20" i="18"/>
  <c r="E20" i="18"/>
  <c r="D20" i="18"/>
  <c r="E16" i="18"/>
  <c r="D16" i="18"/>
  <c r="G16" i="18"/>
  <c r="C16" i="18"/>
  <c r="I16" i="18"/>
  <c r="H16" i="18"/>
  <c r="F16" i="18"/>
  <c r="B36" i="4"/>
  <c r="B35" i="4"/>
  <c r="B34" i="4"/>
  <c r="B33" i="4"/>
  <c r="B37" i="4"/>
  <c r="K37" i="4"/>
  <c r="K36" i="4"/>
  <c r="Q35" i="4"/>
  <c r="Q34" i="4"/>
  <c r="Q33" i="4"/>
  <c r="E37" i="4"/>
  <c r="E36" i="4"/>
  <c r="B47" i="4"/>
  <c r="E34" i="4"/>
  <c r="E33" i="4"/>
  <c r="E35" i="4"/>
  <c r="B46" i="4"/>
  <c r="B45" i="4"/>
  <c r="N35" i="4"/>
  <c r="N34" i="4"/>
  <c r="N33" i="4"/>
  <c r="N36" i="4"/>
  <c r="N37" i="4"/>
  <c r="H35" i="4"/>
  <c r="H34" i="4"/>
  <c r="H33" i="4"/>
  <c r="H38" i="4"/>
  <c r="N38" i="4"/>
  <c r="Q37" i="4"/>
  <c r="Q36" i="4"/>
  <c r="K33" i="4"/>
  <c r="K34" i="4"/>
  <c r="K35" i="4"/>
  <c r="B41" i="4"/>
  <c r="B40" i="4"/>
  <c r="B39" i="4"/>
  <c r="B38" i="4"/>
  <c r="K38" i="4"/>
  <c r="H37" i="4"/>
  <c r="H36" i="4"/>
  <c r="E38" i="4"/>
  <c r="B44" i="4"/>
  <c r="B43" i="4"/>
  <c r="B42" i="4"/>
  <c r="AG47" i="7"/>
  <c r="AH47" i="7"/>
  <c r="AC965" i="7"/>
  <c r="AE965" i="7"/>
  <c r="AC969" i="7"/>
  <c r="AE969" i="7"/>
  <c r="AC973" i="7"/>
  <c r="AE973" i="7"/>
  <c r="AH976" i="7"/>
  <c r="AC977" i="7"/>
  <c r="AE977" i="7"/>
  <c r="AH980" i="7"/>
  <c r="AC981" i="7"/>
  <c r="AE981" i="7"/>
  <c r="AH984" i="7"/>
  <c r="AC985" i="7"/>
  <c r="AE985" i="7"/>
  <c r="AH988" i="7"/>
  <c r="AC989" i="7"/>
  <c r="AE989" i="7"/>
  <c r="AH992" i="7"/>
  <c r="AC993" i="7"/>
  <c r="AH996" i="7"/>
  <c r="AC997" i="7"/>
  <c r="AE997" i="7"/>
  <c r="AH1000" i="7"/>
  <c r="E11" i="4"/>
  <c r="E10" i="4"/>
  <c r="C6" i="2"/>
  <c r="B6" i="2"/>
  <c r="B8" i="3" s="1"/>
  <c r="Q12" i="4"/>
  <c r="C17" i="2"/>
  <c r="B17" i="2"/>
  <c r="B19" i="3" s="1"/>
  <c r="C25" i="2"/>
  <c r="D25" i="2" s="1"/>
  <c r="C27" i="3" s="1"/>
  <c r="E27" i="3" s="1"/>
  <c r="B25" i="2"/>
  <c r="B27" i="3" s="1"/>
  <c r="N9" i="4"/>
  <c r="C7" i="2"/>
  <c r="N8" i="4"/>
  <c r="B7" i="2"/>
  <c r="N7" i="4"/>
  <c r="C26" i="2"/>
  <c r="D26" i="2" s="1"/>
  <c r="C28" i="3" s="1"/>
  <c r="E28" i="3" s="1"/>
  <c r="B26" i="2"/>
  <c r="B28" i="3" s="1"/>
  <c r="B21" i="4"/>
  <c r="C11" i="2"/>
  <c r="B11" i="2"/>
  <c r="H9" i="4"/>
  <c r="H8" i="4"/>
  <c r="H7" i="4"/>
  <c r="C21" i="2"/>
  <c r="D21" i="2" s="1"/>
  <c r="C23" i="3" s="1"/>
  <c r="E23" i="3" s="1"/>
  <c r="B21" i="2"/>
  <c r="B23" i="3" s="1"/>
  <c r="B19" i="4"/>
  <c r="C18" i="2"/>
  <c r="B18" i="2"/>
  <c r="B20" i="4"/>
  <c r="B28" i="2"/>
  <c r="C28" i="2"/>
  <c r="N10" i="4"/>
  <c r="B8" i="2"/>
  <c r="B10" i="3" s="1"/>
  <c r="N11" i="4"/>
  <c r="C8" i="2"/>
  <c r="C27" i="2"/>
  <c r="B27" i="2"/>
  <c r="B29" i="3" s="1"/>
  <c r="C9" i="2"/>
  <c r="N12" i="4"/>
  <c r="B9" i="2"/>
  <c r="B11" i="3" s="1"/>
  <c r="B12" i="2"/>
  <c r="B14" i="3" s="1"/>
  <c r="Q11" i="4"/>
  <c r="Q10" i="4"/>
  <c r="C12" i="2"/>
  <c r="B24" i="2"/>
  <c r="B26" i="3" s="1"/>
  <c r="H12" i="4"/>
  <c r="C24" i="2"/>
  <c r="AH990" i="7"/>
  <c r="AH994" i="7"/>
  <c r="AH998" i="7"/>
  <c r="K8" i="4"/>
  <c r="K7" i="4"/>
  <c r="C10" i="2"/>
  <c r="B10" i="2"/>
  <c r="K9" i="4"/>
  <c r="C14" i="2"/>
  <c r="D14" i="2" s="1"/>
  <c r="C16" i="3" s="1"/>
  <c r="E16" i="3" s="1"/>
  <c r="B15" i="4"/>
  <c r="B14" i="2"/>
  <c r="B14" i="4"/>
  <c r="B13" i="4"/>
  <c r="B12" i="4"/>
  <c r="C23" i="2"/>
  <c r="B23" i="2"/>
  <c r="Q9" i="4"/>
  <c r="Q8" i="4"/>
  <c r="Q7" i="4"/>
  <c r="C5" i="2"/>
  <c r="B5" i="2"/>
  <c r="AC17" i="7"/>
  <c r="C19" i="2"/>
  <c r="D19" i="2" s="1"/>
  <c r="C21" i="3" s="1"/>
  <c r="E21" i="3" s="1"/>
  <c r="K12" i="4"/>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63" i="7"/>
  <c r="AH767" i="7"/>
  <c r="AH771" i="7"/>
  <c r="AH775" i="7"/>
  <c r="AH779" i="7"/>
  <c r="AH783" i="7"/>
  <c r="AH787" i="7"/>
  <c r="AH803" i="7"/>
  <c r="AH807" i="7"/>
  <c r="AH811" i="7"/>
  <c r="AH815" i="7"/>
  <c r="AH819" i="7"/>
  <c r="AH823" i="7"/>
  <c r="AH827" i="7"/>
  <c r="AH831" i="7"/>
  <c r="AH835" i="7"/>
  <c r="AH839" i="7"/>
  <c r="AH843" i="7"/>
  <c r="AH847" i="7"/>
  <c r="AH851" i="7"/>
  <c r="AH855" i="7"/>
  <c r="AH859" i="7"/>
  <c r="AH863" i="7"/>
  <c r="AH867" i="7"/>
  <c r="AH975" i="7"/>
  <c r="AH979" i="7"/>
  <c r="AH983" i="7"/>
  <c r="AH987" i="7"/>
  <c r="AH991" i="7"/>
  <c r="AH995" i="7"/>
  <c r="B11" i="4"/>
  <c r="B10" i="4"/>
  <c r="C3" i="2"/>
  <c r="B9" i="4"/>
  <c r="B5" i="3"/>
  <c r="B8" i="4"/>
  <c r="B7" i="4"/>
  <c r="AC4" i="7"/>
  <c r="K11" i="4"/>
  <c r="C13" i="2"/>
  <c r="K10" i="4"/>
  <c r="B13" i="2"/>
  <c r="H11" i="4"/>
  <c r="C22" i="2"/>
  <c r="D22" i="2" s="1"/>
  <c r="C24" i="3" s="1"/>
  <c r="E24" i="3" s="1"/>
  <c r="H10" i="4"/>
  <c r="B22" i="2"/>
  <c r="B4" i="2"/>
  <c r="B6" i="3" s="1"/>
  <c r="E9" i="4"/>
  <c r="E8" i="4"/>
  <c r="E7" i="4"/>
  <c r="C4" i="2"/>
  <c r="E12" i="4"/>
  <c r="C15" i="2"/>
  <c r="D15" i="2" s="1"/>
  <c r="C17" i="3" s="1"/>
  <c r="E17" i="3" s="1"/>
  <c r="B15" i="2"/>
  <c r="B17" i="3" s="1"/>
  <c r="B20" i="2"/>
  <c r="B22" i="3" s="1"/>
  <c r="C20" i="2"/>
  <c r="D20" i="2" s="1"/>
  <c r="C22" i="3" s="1"/>
  <c r="E22" i="3" s="1"/>
  <c r="B16" i="2"/>
  <c r="B18" i="3" s="1"/>
  <c r="B18" i="4"/>
  <c r="B17" i="4"/>
  <c r="B16" i="4"/>
  <c r="C16" i="2"/>
  <c r="D16" i="2" s="1"/>
  <c r="C18" i="3" s="1"/>
  <c r="E18" i="3" s="1"/>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C107"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B7" i="3"/>
  <c r="D24" i="2"/>
  <c r="C26" i="3" s="1"/>
  <c r="E26" i="3" s="1"/>
  <c r="B9" i="3"/>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D17" i="2"/>
  <c r="C19" i="3" s="1"/>
  <c r="E19" i="3" s="1"/>
  <c r="B15" i="3"/>
  <c r="D13" i="2"/>
  <c r="C15" i="3" s="1"/>
  <c r="E15" i="3" s="1"/>
  <c r="D28" i="2"/>
  <c r="C30" i="3" s="1"/>
  <c r="E30" i="3" s="1"/>
  <c r="B30" i="3"/>
  <c r="B24" i="3"/>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D6" i="2"/>
  <c r="C8" i="3" s="1"/>
  <c r="E8" i="3" s="1"/>
  <c r="B12" i="3"/>
  <c r="B20" i="3"/>
  <c r="D18" i="2"/>
  <c r="C20" i="3" s="1"/>
  <c r="E20" i="3" s="1"/>
  <c r="B16" i="3"/>
  <c r="D23" i="2"/>
  <c r="C25" i="3" s="1"/>
  <c r="E25" i="3" s="1"/>
  <c r="B25" i="3"/>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D11" i="2"/>
  <c r="C13" i="3" s="1"/>
  <c r="E13" i="3" s="1"/>
  <c r="B13" i="3"/>
  <c r="D27" i="2"/>
  <c r="C29" i="3" s="1"/>
  <c r="E29" i="3" s="1"/>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D5" i="2"/>
  <c r="C7" i="3" s="1"/>
  <c r="E7" i="3" s="1"/>
  <c r="AC6" i="7"/>
  <c r="D7" i="2"/>
  <c r="C9" i="3" s="1"/>
  <c r="E9" i="3" s="1"/>
  <c r="AC8" i="7"/>
  <c r="D9" i="2"/>
  <c r="C11" i="3" s="1"/>
  <c r="E11" i="3" s="1"/>
  <c r="AC10" i="7"/>
  <c r="AC12" i="7"/>
  <c r="AG4" i="7"/>
  <c r="AG6" i="7"/>
  <c r="AE6" i="7"/>
  <c r="AG8" i="7"/>
  <c r="AE8" i="7"/>
  <c r="AG10" i="7"/>
  <c r="AE10" i="7"/>
  <c r="AG12" i="7"/>
  <c r="AE12" i="7"/>
  <c r="AF4" i="7"/>
  <c r="AD5" i="7"/>
  <c r="AF6" i="7"/>
  <c r="AD7" i="7"/>
  <c r="AF8" i="7"/>
  <c r="AD9" i="7"/>
  <c r="AF10" i="7"/>
  <c r="AD11" i="7"/>
  <c r="AF12" i="7"/>
  <c r="AD13" i="7"/>
  <c r="D4" i="2"/>
  <c r="C6" i="3" s="1"/>
  <c r="E6" i="3" s="1"/>
  <c r="AC5" i="7"/>
  <c r="AC7" i="7"/>
  <c r="D8" i="2"/>
  <c r="C10" i="3" s="1"/>
  <c r="E10" i="3" s="1"/>
  <c r="AC9" i="7"/>
  <c r="D10" i="2"/>
  <c r="C12" i="3" s="1"/>
  <c r="E12" i="3" s="1"/>
  <c r="AC11" i="7"/>
  <c r="D12" i="2"/>
  <c r="C14" i="3" s="1"/>
  <c r="E14" i="3" s="1"/>
  <c r="AC13" i="7"/>
  <c r="AH4" i="7"/>
  <c r="AG5" i="7"/>
  <c r="AE5" i="7"/>
  <c r="AH6" i="7"/>
  <c r="AG7" i="7"/>
  <c r="AE7" i="7"/>
  <c r="AH8" i="7"/>
  <c r="AG9" i="7"/>
  <c r="AE9" i="7"/>
  <c r="AH10" i="7"/>
  <c r="AG11" i="7"/>
  <c r="AE11" i="7"/>
  <c r="AH12" i="7"/>
  <c r="AG13" i="7"/>
  <c r="AE13" i="7"/>
  <c r="O257" i="16" l="1"/>
  <c r="O249" i="16"/>
  <c r="O241" i="16"/>
  <c r="O233" i="16"/>
  <c r="O225" i="16"/>
  <c r="O217" i="16"/>
  <c r="O209" i="16"/>
  <c r="O201" i="16"/>
  <c r="O193" i="16"/>
  <c r="O185" i="16"/>
  <c r="O177" i="16"/>
  <c r="O169" i="16"/>
  <c r="O161" i="16"/>
  <c r="O153" i="16"/>
  <c r="O145" i="16"/>
  <c r="O137" i="16"/>
  <c r="O129" i="16"/>
  <c r="O121" i="16"/>
  <c r="O113" i="16"/>
  <c r="O105" i="16"/>
  <c r="O97" i="16"/>
  <c r="O89" i="16"/>
  <c r="O81" i="16"/>
  <c r="O73" i="16"/>
  <c r="O65" i="16"/>
  <c r="O57" i="16"/>
  <c r="O49" i="16"/>
  <c r="O41" i="16"/>
  <c r="O25" i="16"/>
  <c r="O245" i="16"/>
  <c r="O229" i="16"/>
  <c r="O213" i="16"/>
  <c r="O197" i="16"/>
  <c r="O181" i="16"/>
  <c r="O165" i="16"/>
  <c r="O149" i="16"/>
  <c r="O133" i="16"/>
  <c r="O117" i="16"/>
  <c r="O101" i="16"/>
  <c r="O85" i="16"/>
  <c r="O69" i="16"/>
  <c r="O53" i="16"/>
  <c r="O37" i="16"/>
  <c r="O21" i="16"/>
  <c r="O255" i="16"/>
  <c r="O247" i="16"/>
  <c r="O239" i="16"/>
  <c r="O231" i="16"/>
  <c r="O223" i="16"/>
  <c r="O215" i="16"/>
  <c r="O207" i="16"/>
  <c r="O199" i="16"/>
  <c r="O191" i="16"/>
  <c r="O183" i="16"/>
  <c r="O175" i="16"/>
  <c r="O167" i="16"/>
  <c r="O159" i="16"/>
  <c r="O151" i="16"/>
  <c r="O143" i="16"/>
  <c r="O135" i="16"/>
  <c r="O127" i="16"/>
  <c r="O119" i="16"/>
  <c r="O253" i="16"/>
  <c r="O237" i="16"/>
  <c r="O221" i="16"/>
  <c r="O205" i="16"/>
  <c r="O189" i="16"/>
  <c r="O173" i="16"/>
  <c r="O157" i="16"/>
  <c r="O141" i="16"/>
  <c r="O125" i="16"/>
  <c r="O109" i="16"/>
  <c r="O93" i="16"/>
  <c r="O77" i="16"/>
  <c r="O61" i="16"/>
  <c r="O45" i="16"/>
  <c r="O29" i="16"/>
  <c r="O76" i="16"/>
  <c r="O228" i="16"/>
  <c r="O13" i="16"/>
  <c r="O52" i="16"/>
  <c r="O244" i="16"/>
  <c r="O212" i="16"/>
  <c r="O180" i="16"/>
  <c r="O148" i="16"/>
  <c r="O60" i="16"/>
  <c r="O111" i="16"/>
  <c r="O55" i="16"/>
  <c r="B48" i="4"/>
  <c r="O116" i="16"/>
  <c r="O59" i="16"/>
  <c r="O9" i="16"/>
  <c r="O12" i="16"/>
  <c r="O250" i="16"/>
  <c r="O92" i="16"/>
  <c r="O240" i="16"/>
  <c r="O208" i="16"/>
  <c r="O176" i="16"/>
  <c r="O144" i="16"/>
  <c r="O112" i="16"/>
  <c r="O44" i="16"/>
  <c r="O83" i="16"/>
  <c r="O226" i="16"/>
  <c r="O210" i="16"/>
  <c r="O194" i="16"/>
  <c r="O178" i="16"/>
  <c r="O162" i="16"/>
  <c r="O146" i="16"/>
  <c r="O130" i="16"/>
  <c r="O114" i="16"/>
  <c r="O98" i="16"/>
  <c r="O82" i="16"/>
  <c r="O66" i="16"/>
  <c r="O50" i="16"/>
  <c r="O236" i="16"/>
  <c r="O172" i="16"/>
  <c r="O40" i="16"/>
  <c r="O88" i="16"/>
  <c r="O204" i="16"/>
  <c r="O140" i="16"/>
  <c r="O108" i="16"/>
  <c r="O67" i="16"/>
  <c r="O7" i="16"/>
  <c r="O246" i="16"/>
  <c r="O80" i="16"/>
  <c r="O232" i="16"/>
  <c r="O200" i="16"/>
  <c r="O168" i="16"/>
  <c r="O136" i="16"/>
  <c r="O104" i="16"/>
  <c r="O87" i="16"/>
  <c r="O95" i="16"/>
  <c r="O51" i="16"/>
  <c r="O222" i="16"/>
  <c r="O206" i="16"/>
  <c r="O190" i="16"/>
  <c r="O174" i="16"/>
  <c r="O158" i="16"/>
  <c r="O142" i="16"/>
  <c r="O126" i="16"/>
  <c r="O110" i="16"/>
  <c r="O94" i="16"/>
  <c r="O78" i="16"/>
  <c r="O62" i="16"/>
  <c r="O33" i="16"/>
  <c r="O196" i="16"/>
  <c r="O164" i="16"/>
  <c r="O132" i="16"/>
  <c r="O100" i="16"/>
  <c r="O258" i="16"/>
  <c r="O72" i="16"/>
  <c r="O224" i="16"/>
  <c r="O160" i="16"/>
  <c r="O96" i="16"/>
  <c r="O107" i="16"/>
  <c r="O91" i="16"/>
  <c r="O75" i="16"/>
  <c r="O234" i="16"/>
  <c r="O218" i="16"/>
  <c r="O202" i="16"/>
  <c r="O186" i="16"/>
  <c r="O170" i="16"/>
  <c r="O154" i="16"/>
  <c r="O138" i="16"/>
  <c r="O122" i="16"/>
  <c r="O106" i="16"/>
  <c r="O90" i="16"/>
  <c r="O74" i="16"/>
  <c r="O58" i="16"/>
  <c r="O68" i="16"/>
  <c r="O252" i="16"/>
  <c r="O220" i="16"/>
  <c r="O188" i="16"/>
  <c r="O156" i="16"/>
  <c r="O124" i="16"/>
  <c r="O84" i="16"/>
  <c r="O63" i="16"/>
  <c r="O251" i="16"/>
  <c r="O243" i="16"/>
  <c r="O235" i="16"/>
  <c r="O227" i="16"/>
  <c r="O219" i="16"/>
  <c r="O211" i="16"/>
  <c r="O203" i="16"/>
  <c r="O195" i="16"/>
  <c r="O187" i="16"/>
  <c r="O179" i="16"/>
  <c r="O171" i="16"/>
  <c r="O163" i="16"/>
  <c r="O155" i="16"/>
  <c r="O147" i="16"/>
  <c r="O139" i="16"/>
  <c r="O131" i="16"/>
  <c r="O123" i="16"/>
  <c r="O115" i="16"/>
  <c r="O242" i="16"/>
  <c r="O256" i="16"/>
  <c r="O192" i="16"/>
  <c r="O128" i="16"/>
  <c r="O99" i="16"/>
  <c r="O254" i="16"/>
  <c r="O238" i="16"/>
  <c r="O56" i="16"/>
  <c r="O19" i="16"/>
  <c r="O248" i="16"/>
  <c r="O216" i="16"/>
  <c r="O184" i="16"/>
  <c r="O152" i="16"/>
  <c r="O120" i="16"/>
  <c r="O64" i="16"/>
  <c r="O15" i="16"/>
  <c r="O79" i="16"/>
  <c r="O103" i="16"/>
  <c r="O71" i="16"/>
  <c r="O31" i="16"/>
  <c r="O230" i="16"/>
  <c r="O214" i="16"/>
  <c r="O198" i="16"/>
  <c r="O182" i="16"/>
  <c r="O166" i="16"/>
  <c r="O150" i="16"/>
  <c r="O134" i="16"/>
  <c r="O118" i="16"/>
  <c r="O102" i="16"/>
  <c r="O86" i="16"/>
  <c r="O70" i="16"/>
  <c r="O54" i="16"/>
  <c r="O18" i="16"/>
  <c r="O5" i="16"/>
  <c r="O28" i="16"/>
  <c r="O32" i="16"/>
  <c r="O47" i="16"/>
  <c r="O39" i="16"/>
  <c r="O42" i="16"/>
  <c r="D3" i="2"/>
  <c r="C5" i="3" s="1"/>
  <c r="E5" i="3" s="1"/>
  <c r="O17" i="16"/>
  <c r="H39" i="4"/>
  <c r="M8" i="2"/>
  <c r="O24" i="16"/>
  <c r="O16" i="16"/>
  <c r="O11" i="16"/>
  <c r="O20" i="16"/>
  <c r="O46" i="16"/>
  <c r="O38" i="16"/>
  <c r="O14" i="16"/>
  <c r="M4" i="2"/>
  <c r="E30" i="4" s="1"/>
  <c r="O48" i="16"/>
  <c r="O43" i="16"/>
  <c r="O30" i="16"/>
  <c r="O8" i="16"/>
  <c r="O6" i="16"/>
  <c r="M6" i="2"/>
  <c r="M7" i="2"/>
  <c r="O27" i="16"/>
  <c r="M3" i="2"/>
  <c r="L3" i="2"/>
  <c r="O4" i="16"/>
  <c r="K39" i="4"/>
  <c r="O10" i="16"/>
  <c r="M5" i="2"/>
  <c r="O35" i="16"/>
  <c r="O22" i="16"/>
  <c r="N39" i="4"/>
  <c r="O34" i="16"/>
  <c r="O23" i="16"/>
  <c r="E39" i="4"/>
  <c r="Q39" i="4"/>
  <c r="O36" i="16"/>
  <c r="O26" i="16"/>
  <c r="G9" i="3"/>
  <c r="G11" i="3"/>
  <c r="F22" i="3"/>
  <c r="B7" i="15"/>
  <c r="J8" i="3"/>
  <c r="L6" i="2"/>
  <c r="B6" i="11" s="1"/>
  <c r="K8" i="3"/>
  <c r="M8" i="3" s="1"/>
  <c r="B8" i="15"/>
  <c r="J9" i="3"/>
  <c r="L7" i="2"/>
  <c r="B7" i="11" s="1"/>
  <c r="K9" i="3"/>
  <c r="B9" i="15"/>
  <c r="J10" i="3"/>
  <c r="L8" i="2"/>
  <c r="B8" i="11" s="1"/>
  <c r="K10" i="3"/>
  <c r="M10" i="3" s="1"/>
  <c r="N10" i="3" s="1"/>
  <c r="B5" i="15"/>
  <c r="K6" i="3"/>
  <c r="M6" i="3" s="1"/>
  <c r="J6" i="3"/>
  <c r="L4" i="2"/>
  <c r="B4" i="11" s="1"/>
  <c r="G13" i="3"/>
  <c r="B6" i="15"/>
  <c r="K7" i="3"/>
  <c r="M7" i="3" s="1"/>
  <c r="J7" i="3"/>
  <c r="L5" i="2"/>
  <c r="B5" i="11" s="1"/>
  <c r="B3" i="11"/>
  <c r="B4" i="15"/>
  <c r="B14" i="15" s="1"/>
  <c r="K5" i="3"/>
  <c r="M5" i="3" s="1"/>
  <c r="J5" i="3"/>
  <c r="L40" i="2"/>
  <c r="G17" i="3"/>
  <c r="G26" i="3"/>
  <c r="F28" i="3"/>
  <c r="F10" i="3"/>
  <c r="F16" i="3"/>
  <c r="F21" i="3"/>
  <c r="G12" i="3"/>
  <c r="F8" i="3"/>
  <c r="F30" i="3"/>
  <c r="G18" i="3"/>
  <c r="F18" i="3"/>
  <c r="F27" i="3"/>
  <c r="G27" i="3"/>
  <c r="F20" i="3"/>
  <c r="G20" i="3"/>
  <c r="B22" i="4"/>
  <c r="B23" i="4" s="1"/>
  <c r="F29" i="3"/>
  <c r="G29" i="3"/>
  <c r="F13" i="3"/>
  <c r="E13" i="4"/>
  <c r="E14" i="4" s="1"/>
  <c r="E15" i="4" s="1"/>
  <c r="F25" i="3"/>
  <c r="G25" i="3"/>
  <c r="G8" i="3"/>
  <c r="G30" i="3"/>
  <c r="F14" i="3"/>
  <c r="G14" i="3"/>
  <c r="G19" i="3"/>
  <c r="F19" i="3"/>
  <c r="F23" i="3"/>
  <c r="G23" i="3"/>
  <c r="F12" i="3"/>
  <c r="G10" i="3"/>
  <c r="F6" i="3"/>
  <c r="G6" i="3"/>
  <c r="G16" i="3"/>
  <c r="K13" i="4"/>
  <c r="K14" i="4" s="1"/>
  <c r="G28" i="3"/>
  <c r="G21" i="3"/>
  <c r="F9" i="3"/>
  <c r="Q13" i="4"/>
  <c r="Q14" i="4" s="1"/>
  <c r="N13" i="4"/>
  <c r="N14" i="4" s="1"/>
  <c r="G7" i="3"/>
  <c r="F7" i="3"/>
  <c r="M9" i="3"/>
  <c r="G22" i="3"/>
  <c r="H13" i="4"/>
  <c r="H14" i="4" s="1"/>
  <c r="F17" i="3"/>
  <c r="F24" i="3"/>
  <c r="G24" i="3"/>
  <c r="G15" i="3"/>
  <c r="F15" i="3"/>
  <c r="F26" i="3"/>
  <c r="F11" i="3"/>
  <c r="H16" i="4" l="1"/>
  <c r="H15" i="4"/>
  <c r="K16" i="4"/>
  <c r="K15" i="4"/>
  <c r="N16" i="4"/>
  <c r="N15" i="4"/>
  <c r="Q15" i="4"/>
  <c r="Q16" i="4"/>
  <c r="B25" i="4"/>
  <c r="B24" i="4"/>
  <c r="E16" i="4"/>
  <c r="J1" i="16"/>
  <c r="L1" i="16"/>
  <c r="N1" i="16" s="1"/>
  <c r="E40" i="4"/>
  <c r="G5" i="3"/>
  <c r="F5" i="3"/>
  <c r="K30" i="4"/>
  <c r="K40" i="4" s="1"/>
  <c r="H30" i="4"/>
  <c r="H40" i="4" s="1"/>
  <c r="N30" i="4"/>
  <c r="N40" i="4" s="1"/>
  <c r="Q30" i="4"/>
  <c r="Q40" i="4" s="1"/>
  <c r="B30" i="4"/>
  <c r="B49" i="4" s="1"/>
  <c r="L42" i="2"/>
  <c r="O7" i="3"/>
  <c r="L41" i="2"/>
  <c r="B17" i="15"/>
  <c r="B18" i="15"/>
  <c r="B15" i="15"/>
  <c r="B19" i="15"/>
  <c r="B12" i="15"/>
  <c r="B13" i="15"/>
  <c r="B20" i="15"/>
  <c r="B16" i="15"/>
  <c r="C16" i="15"/>
  <c r="C19" i="15"/>
  <c r="C20" i="15"/>
  <c r="C17" i="15"/>
  <c r="C12" i="15"/>
  <c r="C14" i="15"/>
  <c r="C13" i="15"/>
  <c r="C15" i="15"/>
  <c r="C18" i="15"/>
  <c r="F13" i="15"/>
  <c r="F18" i="15"/>
  <c r="F17" i="15"/>
  <c r="F15" i="15"/>
  <c r="F20" i="15"/>
  <c r="F16" i="15"/>
  <c r="F12" i="15"/>
  <c r="F14" i="15"/>
  <c r="F19" i="15"/>
  <c r="D15" i="15"/>
  <c r="D17" i="15"/>
  <c r="D14" i="15"/>
  <c r="D12" i="15"/>
  <c r="D18" i="15"/>
  <c r="D16" i="15"/>
  <c r="D20" i="15"/>
  <c r="D13" i="15"/>
  <c r="D19" i="15"/>
  <c r="G20" i="15"/>
  <c r="G17" i="15"/>
  <c r="G18" i="15"/>
  <c r="G16" i="15"/>
  <c r="G14" i="15"/>
  <c r="G19" i="15"/>
  <c r="G15" i="15"/>
  <c r="G13" i="15"/>
  <c r="G12" i="15"/>
  <c r="E14" i="15"/>
  <c r="E18" i="15"/>
  <c r="E16" i="15"/>
  <c r="E13" i="15"/>
  <c r="E17" i="15"/>
  <c r="E15" i="15"/>
  <c r="E12" i="15"/>
  <c r="E20" i="15"/>
  <c r="E19" i="15"/>
  <c r="H29" i="11"/>
  <c r="H30" i="11"/>
  <c r="H31" i="11"/>
  <c r="H28" i="11"/>
  <c r="H33" i="11"/>
  <c r="H32" i="11"/>
  <c r="O5" i="3"/>
  <c r="N5" i="3"/>
  <c r="N9" i="3"/>
  <c r="O9" i="3"/>
  <c r="O8" i="3"/>
  <c r="N8" i="3"/>
  <c r="O10" i="3"/>
  <c r="O6" i="3"/>
  <c r="N6" i="3"/>
  <c r="N7" i="3"/>
</calcChain>
</file>

<file path=xl/sharedStrings.xml><?xml version="1.0" encoding="utf-8"?>
<sst xmlns="http://schemas.openxmlformats.org/spreadsheetml/2006/main" count="2565" uniqueCount="2268">
  <si>
    <t>Items</t>
  </si>
  <si>
    <t>Stimulation</t>
  </si>
  <si>
    <t>Item</t>
  </si>
  <si>
    <t>N</t>
  </si>
  <si>
    <t>Alpha</t>
  </si>
  <si>
    <t>2, 4</t>
  </si>
  <si>
    <t>2, 13</t>
  </si>
  <si>
    <t>2, 21</t>
  </si>
  <si>
    <t>4, 13</t>
  </si>
  <si>
    <t>4 , 21</t>
  </si>
  <si>
    <t>13, 21</t>
  </si>
  <si>
    <t>9, 20</t>
  </si>
  <si>
    <t>9, 22</t>
  </si>
  <si>
    <t>9, 23</t>
  </si>
  <si>
    <t>20, 22</t>
  </si>
  <si>
    <t>20, 23</t>
  </si>
  <si>
    <t>22, 23</t>
  </si>
  <si>
    <t>8, 11</t>
  </si>
  <si>
    <t>8, 17</t>
  </si>
  <si>
    <t>8, 19</t>
  </si>
  <si>
    <t>11, 17</t>
  </si>
  <si>
    <t>11, 19</t>
  </si>
  <si>
    <t>17, 19</t>
  </si>
  <si>
    <t>7, 18</t>
  </si>
  <si>
    <t>5, 6</t>
  </si>
  <si>
    <t>5, 7</t>
  </si>
  <si>
    <t>5, 18</t>
  </si>
  <si>
    <t>6, 7</t>
  </si>
  <si>
    <t>6, 18</t>
  </si>
  <si>
    <t>15, 26</t>
  </si>
  <si>
    <t>10, 26</t>
  </si>
  <si>
    <t>10, 15</t>
  </si>
  <si>
    <t>3, 26</t>
  </si>
  <si>
    <t>3, 15</t>
  </si>
  <si>
    <t>3, 10</t>
  </si>
  <si>
    <t>24, 25</t>
  </si>
  <si>
    <t>1, 12</t>
  </si>
  <si>
    <t>1, 14</t>
  </si>
  <si>
    <t>1, 16</t>
  </si>
  <si>
    <t>1, 24</t>
  </si>
  <si>
    <t>1, 25</t>
  </si>
  <si>
    <t>12, 14</t>
  </si>
  <si>
    <t>12, 16</t>
  </si>
  <si>
    <t>12, 24</t>
  </si>
  <si>
    <t>12, 25</t>
  </si>
  <si>
    <t>14, 16</t>
  </si>
  <si>
    <t>14, 24</t>
  </si>
  <si>
    <t>14, 25</t>
  </si>
  <si>
    <t>16, 24</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</si>
  <si>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</si>
  <si>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</si>
  <si>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</si>
  <si>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</si>
  <si>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</si>
  <si>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</si>
  <si>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</si>
  <si>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</si>
  <si>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</si>
  <si>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</si>
  <si>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</si>
  <si>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</si>
  <si>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</si>
  <si>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</si>
  <si>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</si>
  <si>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</si>
  <si>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</si>
  <si>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</si>
  <si>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</si>
  <si>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</si>
  <si>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</si>
  <si>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</si>
  <si>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</si>
  <si>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</si>
  <si>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</si>
  <si>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</si>
  <si>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</si>
  <si>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</si>
  <si>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</si>
  <si>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</si>
  <si>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</si>
  <si>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</si>
  <si>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</si>
  <si>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</si>
  <si>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</si>
  <si>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</si>
  <si>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</si>
  <si>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</si>
  <si>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</si>
  <si>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</si>
  <si>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</si>
  <si>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</si>
  <si>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</si>
  <si>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</si>
  <si>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</si>
  <si>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</si>
  <si>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</si>
  <si>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</si>
  <si>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</si>
  <si>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</si>
  <si>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</si>
  <si>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</si>
  <si>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</si>
  <si>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</si>
  <si>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</si>
  <si>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</si>
  <si>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</si>
  <si>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Mean</t>
  </si>
  <si>
    <t>Variance</t>
  </si>
  <si>
    <t>Std. Dev.</t>
  </si>
  <si>
    <t>No.</t>
  </si>
  <si>
    <t>Scale</t>
  </si>
  <si>
    <t>Confidence intervals (p=0.05) per scale</t>
  </si>
  <si>
    <t>Confidence</t>
  </si>
  <si>
    <t>Confidence interval</t>
  </si>
  <si>
    <t>Confidence interval (p=0.05) per item</t>
  </si>
  <si>
    <t>Correlation</t>
  </si>
  <si>
    <t>16, 25</t>
  </si>
  <si>
    <t>Left</t>
  </si>
  <si>
    <t>Right</t>
  </si>
  <si>
    <t>Excellent</t>
  </si>
  <si>
    <t>Comparisson to benchmark</t>
  </si>
  <si>
    <t>Interpretation</t>
  </si>
  <si>
    <t>Good</t>
  </si>
  <si>
    <t>Above Average</t>
  </si>
  <si>
    <t>Below Average</t>
  </si>
  <si>
    <t>Bad</t>
  </si>
  <si>
    <t>Lower Border</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</si>
  <si>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</si>
  <si>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</si>
  <si>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</si>
  <si>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</si>
  <si>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</si>
  <si>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</si>
  <si>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</si>
  <si>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</si>
  <si>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</si>
  <si>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</si>
  <si>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</si>
  <si>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</si>
  <si>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</si>
  <si>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</si>
  <si>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</si>
  <si>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</si>
  <si>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</si>
  <si>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</si>
  <si>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</si>
  <si>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</si>
  <si>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</si>
  <si>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</si>
  <si>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</si>
  <si>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</si>
  <si>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</si>
  <si>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</si>
  <si>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</si>
  <si>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</si>
  <si>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</si>
  <si>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</si>
  <si>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</si>
  <si>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</si>
  <si>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</si>
  <si>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</si>
  <si>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</si>
  <si>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</si>
  <si>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</si>
  <si>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</si>
  <si>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</si>
  <si>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</si>
  <si>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</si>
  <si>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</si>
  <si>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</si>
  <si>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</si>
  <si>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</si>
  <si>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</si>
  <si>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</si>
  <si>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</si>
  <si>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</si>
  <si>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</si>
  <si>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</si>
  <si>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</si>
  <si>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</si>
  <si>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</si>
  <si>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</si>
  <si>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</si>
  <si>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</si>
  <si>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</si>
  <si>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</si>
  <si>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</si>
  <si>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</si>
  <si>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</si>
  <si>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</si>
  <si>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</si>
  <si>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</si>
  <si>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</si>
  <si>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</si>
  <si>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</si>
  <si>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</si>
  <si>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</si>
  <si>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</si>
  <si>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</si>
  <si>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</si>
  <si>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</si>
  <si>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</si>
  <si>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</si>
  <si>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</si>
  <si>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</si>
  <si>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</si>
  <si>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</si>
  <si>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</si>
  <si>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</si>
  <si>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</si>
  <si>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</si>
  <si>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</si>
  <si>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</si>
  <si>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</si>
  <si>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</si>
  <si>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</si>
  <si>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</si>
  <si>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</si>
  <si>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</si>
  <si>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</si>
  <si>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</si>
  <si>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</si>
  <si>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</si>
  <si>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</si>
  <si>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</si>
  <si>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</si>
  <si>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</si>
  <si>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</si>
  <si>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</si>
  <si>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</si>
  <si>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</si>
  <si>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</si>
  <si>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</si>
  <si>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</si>
  <si>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</si>
  <si>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</si>
  <si>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</si>
  <si>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</si>
  <si>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</si>
  <si>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</si>
  <si>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</si>
  <si>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</si>
  <si>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</si>
  <si>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</si>
  <si>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</si>
  <si>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</si>
  <si>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</si>
  <si>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</si>
  <si>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</si>
  <si>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</si>
  <si>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</si>
  <si>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</si>
  <si>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</si>
  <si>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</si>
  <si>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</si>
  <si>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</si>
  <si>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</si>
  <si>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</si>
  <si>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</si>
  <si>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</si>
  <si>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</si>
  <si>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</si>
  <si>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</si>
  <si>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</si>
  <si>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</si>
  <si>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</si>
  <si>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</si>
  <si>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</si>
  <si>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</si>
  <si>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</si>
  <si>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</si>
  <si>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</si>
  <si>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</si>
  <si>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</si>
  <si>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</si>
  <si>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</si>
  <si>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</si>
  <si>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</si>
  <si>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</si>
  <si>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</si>
  <si>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</si>
  <si>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</si>
  <si>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</si>
  <si>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</si>
  <si>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</si>
  <si>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</si>
  <si>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</si>
  <si>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</si>
  <si>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</si>
  <si>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</si>
  <si>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</si>
  <si>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</si>
  <si>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</si>
  <si>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</si>
  <si>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</si>
  <si>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</si>
  <si>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</si>
  <si>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</si>
  <si>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</si>
  <si>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</si>
  <si>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</si>
  <si>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</si>
  <si>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</si>
  <si>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</si>
  <si>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</si>
  <si>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</si>
  <si>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</si>
  <si>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</si>
  <si>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</si>
  <si>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</si>
  <si>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</si>
  <si>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</si>
  <si>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</si>
  <si>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</si>
  <si>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</si>
  <si>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</si>
  <si>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</si>
  <si>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</si>
  <si>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</si>
  <si>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</si>
  <si>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</si>
  <si>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</si>
  <si>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</si>
  <si>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</si>
  <si>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</si>
  <si>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</si>
  <si>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</si>
  <si>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</si>
  <si>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</si>
  <si>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</si>
  <si>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</si>
  <si>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</si>
  <si>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</si>
  <si>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</si>
  <si>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</si>
  <si>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</si>
  <si>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</si>
  <si>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</si>
  <si>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</si>
  <si>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</si>
  <si>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</si>
  <si>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</si>
  <si>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</si>
  <si>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</si>
  <si>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</si>
  <si>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</si>
  <si>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</si>
  <si>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</si>
  <si>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</si>
  <si>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</si>
  <si>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</si>
  <si>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</si>
  <si>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</si>
  <si>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</si>
  <si>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</si>
  <si>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</si>
  <si>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</si>
  <si>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</si>
  <si>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</si>
  <si>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</si>
  <si>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</si>
  <si>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</si>
  <si>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</si>
  <si>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</si>
  <si>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</si>
  <si>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</si>
  <si>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</si>
  <si>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</si>
  <si>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</si>
  <si>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</si>
  <si>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</si>
  <si>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</si>
  <si>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</si>
  <si>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</si>
  <si>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</si>
  <si>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</si>
  <si>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</si>
  <si>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</si>
  <si>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</si>
  <si>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</si>
  <si>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</si>
  <si>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</si>
  <si>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</si>
  <si>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</si>
  <si>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</si>
  <si>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</si>
  <si>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</si>
  <si>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</si>
  <si>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</si>
  <si>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</si>
  <si>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</si>
  <si>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</si>
  <si>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</si>
  <si>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</si>
  <si>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</si>
  <si>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</si>
  <si>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</si>
  <si>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</si>
  <si>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</si>
  <si>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</si>
  <si>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</si>
  <si>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</si>
  <si>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</si>
  <si>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</si>
  <si>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</si>
  <si>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</si>
  <si>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</si>
  <si>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</si>
  <si>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</si>
  <si>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</si>
  <si>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</si>
  <si>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</si>
  <si>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</si>
  <si>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</si>
  <si>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</si>
  <si>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</si>
  <si>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</si>
  <si>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</si>
  <si>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</si>
  <si>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</si>
  <si>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</si>
  <si>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</si>
  <si>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</si>
  <si>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</si>
  <si>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</si>
  <si>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</si>
  <si>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</si>
  <si>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</si>
  <si>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</si>
  <si>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</si>
  <si>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</si>
  <si>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</si>
  <si>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</si>
  <si>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</si>
  <si>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</si>
  <si>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</si>
  <si>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</si>
  <si>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</si>
  <si>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</si>
  <si>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</si>
  <si>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</si>
  <si>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</si>
  <si>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</si>
  <si>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</si>
  <si>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</si>
  <si>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</si>
  <si>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</si>
  <si>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</si>
  <si>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</si>
  <si>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</si>
  <si>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</si>
  <si>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</si>
  <si>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</si>
  <si>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</si>
  <si>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</si>
  <si>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</si>
  <si>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</si>
  <si>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</si>
  <si>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</si>
  <si>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</si>
  <si>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</si>
  <si>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</si>
  <si>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</si>
  <si>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</si>
  <si>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</si>
  <si>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</si>
  <si>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</si>
  <si>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</si>
  <si>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</si>
  <si>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</si>
  <si>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</si>
  <si>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</si>
  <si>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</si>
  <si>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</si>
  <si>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</si>
  <si>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</si>
  <si>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</si>
  <si>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</si>
  <si>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</si>
  <si>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</si>
  <si>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</si>
  <si>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</si>
  <si>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</si>
  <si>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</si>
  <si>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</si>
  <si>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</si>
  <si>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</si>
  <si>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</si>
  <si>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</si>
  <si>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</si>
  <si>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</si>
  <si>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</si>
  <si>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</si>
  <si>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</si>
  <si>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</si>
  <si>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</si>
  <si>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</si>
  <si>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</si>
  <si>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</si>
  <si>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</si>
  <si>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</si>
  <si>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</si>
  <si>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</si>
  <si>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</si>
  <si>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</si>
  <si>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</si>
  <si>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</si>
  <si>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</si>
  <si>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</si>
  <si>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</si>
  <si>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</si>
  <si>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</si>
  <si>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</si>
  <si>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</si>
  <si>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</si>
  <si>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</si>
  <si>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</si>
  <si>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</si>
  <si>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</si>
  <si>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</si>
  <si>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</si>
  <si>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</si>
  <si>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</si>
  <si>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</si>
  <si>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</si>
  <si>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</si>
  <si>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</si>
  <si>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</si>
  <si>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</si>
  <si>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</si>
  <si>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</si>
  <si>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</si>
  <si>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</si>
  <si>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</si>
  <si>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</si>
  <si>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</si>
  <si>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</si>
  <si>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</si>
  <si>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</si>
  <si>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</si>
  <si>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</si>
  <si>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</si>
  <si>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</si>
  <si>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</si>
  <si>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</si>
  <si>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</si>
  <si>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</si>
  <si>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</si>
  <si>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</si>
  <si>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</si>
  <si>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</si>
  <si>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</si>
  <si>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</si>
  <si>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</si>
  <si>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</si>
  <si>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</si>
  <si>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</si>
  <si>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</si>
  <si>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</si>
  <si>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</si>
  <si>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</si>
  <si>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</si>
  <si>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</si>
  <si>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</si>
  <si>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</si>
  <si>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</si>
  <si>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</si>
  <si>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</si>
  <si>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</si>
  <si>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</si>
  <si>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</si>
  <si>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</si>
  <si>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</si>
  <si>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</si>
  <si>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</si>
  <si>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</si>
  <si>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</si>
  <si>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</si>
  <si>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</si>
  <si>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</si>
  <si>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</si>
  <si>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</si>
  <si>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</si>
  <si>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</si>
  <si>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</si>
  <si>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</si>
  <si>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</si>
  <si>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</si>
  <si>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</si>
  <si>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</si>
  <si>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</si>
  <si>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</si>
  <si>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</si>
  <si>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</si>
  <si>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</si>
  <si>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</si>
  <si>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</si>
  <si>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</si>
  <si>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</si>
  <si>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</si>
  <si>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</si>
  <si>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</si>
  <si>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</si>
  <si>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</si>
  <si>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</si>
  <si>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</si>
  <si>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</si>
  <si>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</si>
  <si>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</si>
  <si>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</si>
  <si>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</si>
  <si>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</si>
  <si>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</si>
  <si>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</si>
  <si>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</si>
  <si>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</si>
  <si>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</si>
  <si>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</si>
  <si>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</si>
  <si>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</si>
  <si>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</si>
  <si>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</si>
  <si>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</si>
  <si>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</si>
  <si>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</si>
  <si>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</si>
  <si>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</si>
  <si>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</si>
  <si>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</si>
  <si>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</si>
  <si>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</si>
  <si>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</si>
  <si>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</si>
  <si>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</si>
  <si>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</si>
  <si>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</si>
  <si>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</si>
  <si>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</si>
  <si>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</si>
  <si>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</si>
  <si>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</si>
  <si>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</si>
  <si>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</si>
  <si>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</si>
  <si>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</si>
  <si>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</si>
  <si>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</si>
  <si>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</si>
  <si>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</si>
  <si>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</si>
  <si>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</si>
  <si>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</si>
  <si>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</si>
  <si>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</si>
  <si>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</si>
  <si>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</si>
  <si>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</si>
  <si>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</si>
  <si>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</si>
  <si>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</si>
  <si>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</si>
  <si>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</si>
  <si>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</si>
  <si>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</si>
  <si>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</si>
  <si>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</si>
  <si>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</si>
  <si>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</si>
  <si>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</si>
  <si>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</si>
  <si>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</si>
  <si>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</si>
  <si>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</si>
  <si>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</si>
  <si>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</si>
  <si>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</si>
  <si>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</si>
  <si>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</si>
  <si>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</si>
  <si>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</si>
  <si>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</si>
  <si>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</si>
  <si>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</si>
  <si>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</si>
  <si>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</si>
  <si>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</si>
  <si>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</si>
  <si>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</si>
  <si>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</si>
  <si>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</si>
  <si>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</si>
  <si>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</si>
  <si>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</si>
  <si>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</si>
  <si>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</si>
  <si>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</si>
  <si>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</si>
  <si>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</si>
  <si>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</si>
  <si>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</si>
  <si>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</si>
  <si>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</si>
  <si>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</si>
  <si>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</si>
  <si>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</si>
  <si>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</si>
  <si>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</si>
  <si>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</si>
  <si>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</si>
  <si>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</si>
  <si>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</si>
  <si>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</si>
  <si>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</si>
  <si>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</si>
  <si>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</si>
  <si>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</si>
  <si>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</si>
  <si>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</si>
  <si>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</si>
  <si>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</si>
  <si>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</si>
  <si>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</si>
  <si>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</si>
  <si>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</si>
  <si>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</si>
  <si>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</si>
  <si>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</si>
  <si>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</si>
  <si>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</si>
  <si>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</si>
  <si>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</si>
  <si>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</si>
  <si>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</si>
  <si>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</si>
  <si>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</si>
  <si>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</si>
  <si>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</si>
  <si>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</si>
  <si>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</si>
  <si>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</si>
  <si>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</si>
  <si>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</si>
  <si>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</si>
  <si>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</si>
  <si>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</si>
  <si>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</si>
  <si>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</si>
  <si>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</si>
  <si>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</si>
  <si>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</si>
  <si>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</si>
  <si>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</si>
  <si>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</si>
  <si>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</si>
  <si>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</si>
  <si>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</si>
  <si>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</si>
  <si>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</si>
  <si>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</si>
  <si>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</si>
  <si>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</si>
  <si>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</si>
  <si>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</si>
  <si>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</si>
  <si>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</si>
  <si>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</si>
  <si>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</si>
  <si>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</si>
  <si>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</si>
  <si>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</si>
  <si>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</si>
  <si>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</si>
  <si>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</si>
  <si>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</si>
  <si>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</si>
  <si>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</si>
  <si>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</si>
  <si>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</si>
  <si>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</si>
  <si>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</si>
  <si>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</si>
  <si>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</si>
  <si>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</si>
  <si>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</si>
  <si>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</si>
  <si>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</si>
  <si>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</si>
  <si>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</si>
  <si>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</si>
  <si>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</si>
  <si>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</si>
  <si>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</si>
  <si>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</si>
  <si>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</si>
  <si>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</si>
  <si>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</si>
  <si>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</si>
  <si>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</si>
  <si>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</si>
  <si>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</si>
  <si>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</si>
  <si>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</si>
  <si>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</si>
  <si>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</si>
  <si>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</si>
  <si>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</si>
  <si>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</si>
  <si>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</si>
  <si>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</si>
  <si>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</si>
  <si>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</si>
  <si>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</si>
  <si>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</si>
  <si>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</si>
  <si>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</si>
  <si>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</si>
  <si>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</si>
  <si>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</si>
  <si>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</si>
  <si>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6"/>
        <color theme="1"/>
        <rFont val="Calibri"/>
        <family val="2"/>
        <scheme val="minor"/>
      </rPr>
      <t>Transformed Data</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</si>
  <si>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</si>
  <si>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</si>
  <si>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t>Table to create the benchmark graph (purely technical, please ignore)</t>
  </si>
  <si>
    <t>Scales with inconsistent answers</t>
  </si>
  <si>
    <t>Critical?</t>
  </si>
  <si>
    <t xml:space="preserve"> </t>
  </si>
  <si>
    <t>Average</t>
  </si>
  <si>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</si>
  <si>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</si>
  <si>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</si>
  <si>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</si>
  <si>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</si>
  <si>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</si>
  <si>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</si>
  <si>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</si>
  <si>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</si>
  <si>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</si>
  <si>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</si>
  <si>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</si>
  <si>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</si>
  <si>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</si>
  <si>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</si>
  <si>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</si>
  <si>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</si>
  <si>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</si>
  <si>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</si>
  <si>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</si>
  <si>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</si>
  <si>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</si>
  <si>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</si>
  <si>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</si>
  <si>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</si>
  <si>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</si>
  <si>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</si>
  <si>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</si>
  <si>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</si>
  <si>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</si>
  <si>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</si>
  <si>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</si>
  <si>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</si>
  <si>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</si>
  <si>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</si>
  <si>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</si>
  <si>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</si>
  <si>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</si>
  <si>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</si>
  <si>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</si>
  <si>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</si>
  <si>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</si>
  <si>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</si>
  <si>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</si>
  <si>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</si>
  <si>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</si>
  <si>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</si>
  <si>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</si>
  <si>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</si>
  <si>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</si>
  <si>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</si>
  <si>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</si>
  <si>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</si>
  <si>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</si>
  <si>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</si>
  <si>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</si>
  <si>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</si>
  <si>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</si>
  <si>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</si>
  <si>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</si>
  <si>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</si>
  <si>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</si>
  <si>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</si>
  <si>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</si>
  <si>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</si>
  <si>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</si>
  <si>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</si>
  <si>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</si>
  <si>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</si>
  <si>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</si>
  <si>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</si>
  <si>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</si>
  <si>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</si>
  <si>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</si>
  <si>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</si>
  <si>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</si>
  <si>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</si>
  <si>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</si>
  <si>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</si>
  <si>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</si>
  <si>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</si>
  <si>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</si>
  <si>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</si>
  <si>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</si>
  <si>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</si>
  <si>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</si>
  <si>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</si>
  <si>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</si>
  <si>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</si>
  <si>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</si>
  <si>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</si>
  <si>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</si>
  <si>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</si>
  <si>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</si>
  <si>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</si>
  <si>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</si>
  <si>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</si>
  <si>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</si>
  <si>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</si>
  <si>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</si>
  <si>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</si>
  <si>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</si>
  <si>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</si>
  <si>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</si>
  <si>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</si>
  <si>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</si>
  <si>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</si>
  <si>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</si>
  <si>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</si>
  <si>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</si>
  <si>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</si>
  <si>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</si>
  <si>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</si>
  <si>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</si>
  <si>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</si>
  <si>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</si>
  <si>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</si>
  <si>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</si>
  <si>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</si>
  <si>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</si>
  <si>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</si>
  <si>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</si>
  <si>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</si>
  <si>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Slovene</t>
  </si>
  <si>
    <t>Atraktivnost</t>
  </si>
  <si>
    <t>Učinkovitost</t>
  </si>
  <si>
    <t>Preglednost</t>
  </si>
  <si>
    <t>Vodljivost</t>
  </si>
  <si>
    <t>Stimulativnost</t>
  </si>
  <si>
    <t>Originalnost</t>
  </si>
  <si>
    <t>pragmatično kakovosti</t>
  </si>
  <si>
    <t>hedonsko kakovosti</t>
  </si>
  <si>
    <t>Swedish</t>
  </si>
  <si>
    <t>Hedoniska kvaliteter</t>
  </si>
  <si>
    <t>Pragmatiska kvaliteter</t>
  </si>
  <si>
    <t>Attraktivitet</t>
  </si>
  <si>
    <t>Aktualitet</t>
  </si>
  <si>
    <t>Stimulering</t>
  </si>
  <si>
    <t>Effektivitet</t>
  </si>
  <si>
    <t>Tydlighet</t>
  </si>
  <si>
    <t>Pålitlighet</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</si>
  <si>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</si>
  <si>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</si>
  <si>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</si>
  <si>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</si>
  <si>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</si>
  <si>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</si>
  <si>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</si>
  <si>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</si>
  <si>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</si>
  <si>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</si>
  <si>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</si>
  <si>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</si>
  <si>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</si>
  <si>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</si>
  <si>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</si>
  <si>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</si>
  <si>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</si>
  <si>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</si>
  <si>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</si>
  <si>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</si>
  <si>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</si>
  <si>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</si>
  <si>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</si>
  <si>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</si>
  <si>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</si>
  <si>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</si>
  <si>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</si>
  <si>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</si>
  <si>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</si>
  <si>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</si>
  <si>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</si>
  <si>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</si>
  <si>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</si>
  <si>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</si>
  <si>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</si>
  <si>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</si>
  <si>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</si>
  <si>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</si>
  <si>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</si>
  <si>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</si>
  <si>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</si>
  <si>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</si>
  <si>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</si>
  <si>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</si>
  <si>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</si>
  <si>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</si>
  <si>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</si>
  <si>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</si>
  <si>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</si>
  <si>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</si>
  <si>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</si>
  <si>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ενοχλητικό</t>
  </si>
  <si>
    <t>απολαυστικό</t>
  </si>
  <si>
    <t>κατανοητό</t>
  </si>
  <si>
    <t>δημιουργικό</t>
  </si>
  <si>
    <t>πολύτιμο</t>
  </si>
  <si>
    <t>βαρετό</t>
  </si>
  <si>
    <t>συναρπαστικό</t>
  </si>
  <si>
    <t>αδιάφορο</t>
  </si>
  <si>
    <t>ενδιαφέρον</t>
  </si>
  <si>
    <t>απρόβλεπτο</t>
  </si>
  <si>
    <t>προβλέψιμο</t>
  </si>
  <si>
    <t>γρήγορο</t>
  </si>
  <si>
    <t>αργό</t>
  </si>
  <si>
    <t>συμβατικό</t>
  </si>
  <si>
    <t>υποστηρικτικό</t>
  </si>
  <si>
    <t>καλό</t>
  </si>
  <si>
    <t>κακό</t>
  </si>
  <si>
    <t>αντιπαθητικό</t>
  </si>
  <si>
    <t>συμπαθητικό</t>
  </si>
  <si>
    <t>συνηθισμένο</t>
  </si>
  <si>
    <t>δυσάρεστο</t>
  </si>
  <si>
    <t>ευχάριστο</t>
  </si>
  <si>
    <t>ασφαλές</t>
  </si>
  <si>
    <t>αποθαρρυντικό</t>
  </si>
  <si>
    <t>ανταποκρίνεται στις προσδοκίες</t>
  </si>
  <si>
    <t>δεν ανταποκρίνεται στις προσδοκίες</t>
  </si>
  <si>
    <t>σαφές</t>
  </si>
  <si>
    <t>μη πρακτικό</t>
  </si>
  <si>
    <t>πρακτικό</t>
  </si>
  <si>
    <t>οργανωμένο</t>
  </si>
  <si>
    <t>ελκυστικό</t>
  </si>
  <si>
    <t>φιλικό</t>
  </si>
  <si>
    <t>συντηρητικό</t>
  </si>
  <si>
    <t>καινοτόμο</t>
  </si>
  <si>
    <t>Greek</t>
  </si>
  <si>
    <t>Αποδοτικότητα</t>
  </si>
  <si>
    <t>Αξιοπιστία</t>
  </si>
  <si>
    <t>Διέγερση</t>
  </si>
  <si>
    <t>Καινοτομία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</si>
  <si>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</si>
  <si>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</si>
  <si>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</si>
  <si>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</si>
  <si>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</si>
  <si>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</si>
  <si>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</si>
  <si>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</si>
  <si>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</si>
  <si>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</si>
  <si>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</si>
  <si>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</si>
  <si>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</si>
  <si>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</si>
  <si>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</si>
  <si>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</si>
  <si>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</si>
  <si>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</si>
  <si>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</si>
  <si>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</si>
  <si>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</si>
  <si>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</si>
  <si>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</si>
  <si>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</si>
  <si>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</si>
  <si>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</si>
  <si>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</si>
  <si>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</si>
  <si>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</si>
  <si>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</si>
  <si>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</si>
  <si>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</si>
  <si>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</si>
  <si>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</si>
  <si>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</si>
  <si>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</si>
  <si>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</si>
  <si>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</si>
  <si>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</si>
  <si>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</si>
  <si>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</si>
  <si>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</si>
  <si>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</si>
  <si>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</si>
  <si>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</si>
  <si>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</si>
  <si>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</si>
  <si>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</si>
  <si>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</si>
  <si>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</si>
  <si>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</si>
  <si>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</si>
  <si>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</si>
  <si>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</si>
  <si>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</si>
  <si>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Oryginalność</t>
  </si>
  <si>
    <t>Poziom stymulacji</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</si>
  <si>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</si>
  <si>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</si>
  <si>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</si>
  <si>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</si>
  <si>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</si>
  <si>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</si>
  <si>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</si>
  <si>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</si>
  <si>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</si>
  <si>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</si>
  <si>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</si>
  <si>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</si>
  <si>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</si>
  <si>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</si>
  <si>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</si>
  <si>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</si>
  <si>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</si>
  <si>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</si>
  <si>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</si>
  <si>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</si>
  <si>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</si>
  <si>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</si>
  <si>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</si>
  <si>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</si>
  <si>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</si>
  <si>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</si>
  <si>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</si>
  <si>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</si>
  <si>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</si>
  <si>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</si>
  <si>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</si>
  <si>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</si>
  <si>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</si>
  <si>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</si>
  <si>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</si>
  <si>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</si>
  <si>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</si>
  <si>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</si>
  <si>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</si>
  <si>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</si>
  <si>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</si>
  <si>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</si>
  <si>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</si>
  <si>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</si>
  <si>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</si>
  <si>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</si>
  <si>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</si>
  <si>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</si>
  <si>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</si>
  <si>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</si>
  <si>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</si>
  <si>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</si>
  <si>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</si>
  <si>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</si>
  <si>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</si>
  <si>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</si>
  <si>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</si>
  <si>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</si>
  <si>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</si>
  <si>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</si>
  <si>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</si>
  <si>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</si>
  <si>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</si>
  <si>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</si>
  <si>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Apporte de la valeur</t>
  </si>
  <si>
    <t>Peu de valeur ajoutée</t>
  </si>
  <si>
    <t>Rigide</t>
  </si>
  <si>
    <t>Facilitant</t>
  </si>
  <si>
    <t>Attractif</t>
  </si>
  <si>
    <t>Habituel</t>
  </si>
  <si>
    <t>Avant-gardiste</t>
  </si>
  <si>
    <t>Sécurisant</t>
  </si>
  <si>
    <t>Insécurisant</t>
  </si>
  <si>
    <t>Déroutant</t>
  </si>
  <si>
    <t>Inamical</t>
  </si>
  <si>
    <t>Appropriation simple</t>
  </si>
  <si>
    <t>Appropriation compliquée</t>
  </si>
  <si>
    <t>引起好感的</t>
  </si>
  <si>
    <t>Bulgarian</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</si>
  <si>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</si>
  <si>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</si>
  <si>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</si>
  <si>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</si>
  <si>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</si>
  <si>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</si>
  <si>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</si>
  <si>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</si>
  <si>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</si>
  <si>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</si>
  <si>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</si>
  <si>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</si>
  <si>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</si>
  <si>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</si>
  <si>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</si>
  <si>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</si>
  <si>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</si>
  <si>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</si>
  <si>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</si>
  <si>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</si>
  <si>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</si>
  <si>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</si>
  <si>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</si>
  <si>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</si>
  <si>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</si>
  <si>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</si>
  <si>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</si>
  <si>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</si>
  <si>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</si>
  <si>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</si>
  <si>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</si>
  <si>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</si>
  <si>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</si>
  <si>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</si>
  <si>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</si>
  <si>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</si>
  <si>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</si>
  <si>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</si>
  <si>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</si>
  <si>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</si>
  <si>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</si>
  <si>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</si>
  <si>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</si>
  <si>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</si>
  <si>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</si>
  <si>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дразнещ</t>
  </si>
  <si>
    <t>помагащ</t>
  </si>
  <si>
    <t>Атрактивност</t>
  </si>
  <si>
    <t>Ефикастност</t>
  </si>
  <si>
    <t>Лесен за учене</t>
  </si>
  <si>
    <t>Контролируемост</t>
  </si>
  <si>
    <t>Стимулация</t>
  </si>
  <si>
    <t>Новаторство</t>
  </si>
  <si>
    <t>Enter the data concerning the importance of the scales below!</t>
  </si>
  <si>
    <t>Calculated relative importance</t>
  </si>
  <si>
    <t>SUM</t>
  </si>
  <si>
    <t>KPI</t>
  </si>
  <si>
    <t>UEQ Scales (Mean and Variance)</t>
  </si>
  <si>
    <t>Covar^2</t>
  </si>
  <si>
    <t>Sum</t>
  </si>
  <si>
    <t>Lambda2</t>
  </si>
  <si>
    <t>Lambda1</t>
  </si>
  <si>
    <r>
      <rPr>
        <b/>
        <sz val="16"/>
        <color theme="1"/>
        <rFont val="Calibri"/>
        <family val="2"/>
        <scheme val="minor"/>
      </rPr>
      <t xml:space="preserve">Correlations of the items per scale and reliability coefficients </t>
    </r>
    <r>
      <rPr>
        <sz val="11"/>
        <color theme="1"/>
        <rFont val="Calibri"/>
        <family val="2"/>
        <scheme val="minor"/>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sz val="11"/>
        <color theme="1"/>
        <rFont val="Arial"/>
        <family val="2"/>
      </rPr>
      <t xml:space="preserve">
</t>
    </r>
  </si>
  <si>
    <r>
      <rPr>
        <b/>
        <sz val="16"/>
        <color theme="1"/>
        <rFont val="Calibri"/>
        <family val="2"/>
        <scheme val="minor"/>
      </rPr>
      <t>Guttmans Lambda2 coefficient</t>
    </r>
    <r>
      <rPr>
        <sz val="11"/>
        <color theme="1"/>
        <rFont val="Calibri"/>
        <family val="2"/>
        <scheme val="minor"/>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</si>
  <si>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</si>
  <si>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The data analysis tool is delivered with some example data in this work sheet. Simply delete them before you enter your data here.</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</si>
  <si>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sz val="11"/>
        <rFont val="Calibri"/>
        <family val="2"/>
        <scheme val="minor"/>
      </rPr>
      <t>Sample_Size</t>
    </r>
    <r>
      <rPr>
        <sz val="11"/>
        <rFont val="Calibri"/>
        <family val="2"/>
        <scheme val="minor"/>
      </rPr>
      <t xml:space="preserve"> helps you to decide how many data you would need to achieve a certain width of the confidence intervall.
</t>
    </r>
    <r>
      <rPr>
        <b/>
        <sz val="16"/>
        <rFont val="Calibri"/>
        <family val="2"/>
        <scheme val="minor"/>
      </rPr>
      <t xml:space="preserve">
</t>
    </r>
  </si>
  <si>
    <r>
      <rPr>
        <b/>
        <sz val="16"/>
        <color theme="1"/>
        <rFont val="Calibri"/>
        <family val="2"/>
        <scheme val="minor"/>
      </rPr>
      <t xml:space="preserve">Distribution of Answers per Item </t>
    </r>
    <r>
      <rPr>
        <sz val="11"/>
        <color theme="1"/>
        <rFont val="Calibri"/>
        <family val="2"/>
        <scheme val="minor"/>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</si>
  <si>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STD</t>
  </si>
  <si>
    <r>
      <rPr>
        <sz val="16"/>
        <color theme="1"/>
        <rFont val="Calibri"/>
        <family val="2"/>
        <scheme val="minor"/>
      </rPr>
      <t>KPI Calculation</t>
    </r>
    <r>
      <rPr>
        <sz val="11"/>
        <color theme="1"/>
        <rFont val="Calibri"/>
        <family val="2"/>
        <scheme val="minor"/>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</si>
  <si>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Confidence:</t>
  </si>
  <si>
    <t xml:space="preserve">Scale means per person </t>
  </si>
  <si>
    <t>Nr</t>
  </si>
  <si>
    <r>
      <rPr>
        <b/>
        <i/>
        <u/>
        <sz val="12"/>
        <color theme="1"/>
        <rFont val="Calibri"/>
        <family val="2"/>
        <scheme val="minor"/>
      </rPr>
      <t>The tool contains the following work sheets:</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Here you can enter the raw data of your evaluation. </t>
    </r>
    <r>
      <rPr>
        <b/>
        <sz val="11"/>
        <color rgb="FFFF0000"/>
        <rFont val="Calibri"/>
        <family val="2"/>
        <scheme val="minor"/>
      </rPr>
      <t>This is the only work sheet that you need to modify. Do not change the content of the other work sheets, you may destroy unintentionally some of the formulas in the cells!</t>
    </r>
    <r>
      <rPr>
        <sz val="11"/>
        <color theme="1"/>
        <rFont val="Calibri"/>
        <family val="2"/>
        <scheme val="minor"/>
      </rPr>
      <t xml:space="preserve">
</t>
    </r>
    <r>
      <rPr>
        <b/>
        <sz val="11"/>
        <color theme="1"/>
        <rFont val="Calibri"/>
        <family val="2"/>
        <scheme val="minor"/>
      </rPr>
      <t>DT:</t>
    </r>
    <r>
      <rPr>
        <sz val="11"/>
        <color theme="1"/>
        <rFont val="Calibri"/>
        <family val="2"/>
        <scheme val="minor"/>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Answer_Distributions:</t>
    </r>
    <r>
      <rPr>
        <sz val="11"/>
        <color theme="1"/>
        <rFont val="Calibri"/>
        <family val="2"/>
        <scheme val="minor"/>
      </rPr>
      <t xml:space="preserve"> Here you can see the distributions of the answers (values 1 to 7) for the single items. This can help to find items that show a ploarization of opinions, i.e. where many negative and many positive answers can be found.
</t>
    </r>
    <r>
      <rPr>
        <b/>
        <sz val="11"/>
        <color theme="1"/>
        <rFont val="Calibri"/>
        <family val="2"/>
        <scheme val="minor"/>
      </rPr>
      <t>Scale_Consistency:</t>
    </r>
    <r>
      <rPr>
        <sz val="11"/>
        <color theme="1"/>
        <rFont val="Calibri"/>
        <family val="2"/>
        <scheme val="minor"/>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You may want to remove these data before you calculate the results.
</t>
    </r>
    <r>
      <rPr>
        <b/>
        <sz val="11"/>
        <color theme="1"/>
        <rFont val="Calibri"/>
        <family val="2"/>
        <scheme val="minor"/>
      </rPr>
      <t>Sample_Size:</t>
    </r>
    <r>
      <rPr>
        <sz val="11"/>
        <color theme="1"/>
        <rFont val="Calibri"/>
        <family val="2"/>
        <scheme val="minor"/>
      </rPr>
      <t xml:space="preserve"> If you observe big error bars concerning the scale means you may ask yourself if you need to collect additional data. This sheet helps you to estimate how many data you need in order to reach a certain precision.
</t>
    </r>
    <r>
      <rPr>
        <b/>
        <sz val="11"/>
        <color theme="1"/>
        <rFont val="Calibri"/>
        <family val="2"/>
        <scheme val="minor"/>
      </rPr>
      <t xml:space="preserve">KPI_Calculation: </t>
    </r>
    <r>
      <rPr>
        <sz val="11"/>
        <color theme="1"/>
        <rFont val="Calibri"/>
        <family val="2"/>
        <scheme val="minor"/>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Please do not modify date in this sheet.</t>
    </r>
  </si>
  <si>
    <r>
      <rPr>
        <b/>
        <sz val="11"/>
        <color rgb="FFFF0000"/>
        <rFont val="Calibri"/>
        <family val="2"/>
        <scheme val="minor"/>
      </rPr>
      <t xml:space="preserve">Please Note: </t>
    </r>
    <r>
      <rPr>
        <sz val="11"/>
        <color rgb="FFFF0000"/>
        <rFont val="Calibri"/>
        <family val="2"/>
        <scheme val="minor"/>
      </rPr>
      <t>Changing the language will show the UEQ items and the UEQ dimensions in the selected language. All other texts will remain in English.</t>
    </r>
  </si>
  <si>
    <r>
      <rPr>
        <b/>
        <sz val="18"/>
        <color theme="1"/>
        <rFont val="Calibri"/>
        <family val="2"/>
        <scheme val="minor"/>
      </rPr>
      <t>Data Analysis Tool</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</si>
  <si>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</si>
  <si>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</si>
  <si>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</si>
  <si>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</si>
  <si>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</si>
  <si>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</si>
  <si>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</si>
  <si>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</si>
  <si>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</si>
  <si>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</si>
  <si>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</si>
  <si>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</si>
  <si>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</si>
  <si>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</si>
  <si>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</si>
  <si>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</si>
  <si>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</si>
  <si>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</si>
  <si>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</si>
  <si>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</si>
  <si>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</si>
  <si>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</si>
  <si>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</si>
  <si>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</si>
  <si>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</si>
  <si>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</si>
  <si>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</si>
  <si>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</si>
  <si>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</si>
  <si>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</si>
  <si>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</si>
  <si>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</si>
  <si>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</si>
  <si>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</si>
  <si>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</si>
  <si>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</si>
  <si>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</si>
  <si>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</si>
  <si>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</si>
  <si>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</si>
  <si>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</si>
  <si>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</si>
  <si>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</si>
  <si>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</si>
  <si>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</si>
  <si>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</si>
  <si>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</si>
  <si>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</si>
  <si>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</si>
  <si>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</si>
  <si>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</si>
  <si>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</si>
  <si>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</si>
  <si>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</si>
  <si>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</si>
  <si>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</si>
  <si>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</si>
  <si>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</si>
  <si>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</si>
  <si>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</si>
  <si>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</si>
  <si>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</si>
  <si>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</si>
  <si>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</si>
  <si>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</si>
  <si>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</si>
  <si>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</si>
  <si>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</si>
  <si>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</si>
  <si>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</si>
  <si>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</si>
  <si>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</si>
  <si>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</si>
  <si>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</si>
  <si>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</si>
  <si>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</si>
  <si>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</si>
  <si>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</si>
  <si>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</si>
  <si>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</si>
  <si>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</si>
  <si>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</si>
  <si>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</si>
  <si>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</si>
  <si>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</si>
  <si>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</si>
  <si>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</si>
  <si>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</si>
  <si>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</si>
  <si>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</si>
  <si>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</si>
  <si>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</si>
  <si>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</si>
  <si>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</si>
  <si>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</si>
  <si>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</si>
  <si>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</si>
  <si>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</si>
  <si>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</si>
  <si>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</si>
  <si>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</si>
  <si>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</si>
  <si>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</si>
  <si>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</si>
  <si>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</si>
  <si>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</si>
  <si>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Kualiti yang berguna</t>
  </si>
  <si>
    <t>Kualiti Kesenangan</t>
  </si>
  <si>
    <t>Pendorongan</t>
  </si>
  <si>
    <t>Terdapat kebaharuan</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</si>
  <si>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</si>
  <si>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</si>
  <si>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</si>
  <si>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</si>
  <si>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</si>
  <si>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</si>
  <si>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</si>
  <si>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</si>
  <si>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</si>
  <si>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</si>
  <si>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</si>
  <si>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</si>
  <si>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</si>
  <si>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</si>
  <si>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</si>
  <si>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</si>
  <si>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</si>
  <si>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</si>
  <si>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</si>
  <si>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</si>
  <si>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</si>
  <si>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</si>
  <si>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</si>
  <si>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</si>
  <si>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</si>
  <si>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</si>
  <si>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</si>
  <si>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</si>
  <si>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</si>
  <si>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</si>
  <si>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</si>
  <si>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</si>
  <si>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</si>
  <si>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</si>
  <si>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</si>
  <si>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</si>
  <si>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</si>
  <si>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</si>
  <si>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</si>
  <si>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</si>
  <si>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</si>
  <si>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</si>
  <si>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</si>
  <si>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</si>
  <si>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</si>
  <si>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</si>
  <si>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</si>
  <si>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</si>
  <si>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</si>
  <si>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</si>
  <si>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</si>
  <si>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t>آزاردهنده</t>
  </si>
  <si>
    <t>شورانگیز</t>
  </si>
  <si>
    <t>مکفی</t>
  </si>
  <si>
    <t>غیرکاربردی</t>
  </si>
  <si>
    <t>جلب توجه کننده</t>
  </si>
  <si>
    <t>جلب توجه نمی کند</t>
  </si>
  <si>
    <t>محافظه کارانه</t>
  </si>
  <si>
    <t>انگیزش</t>
  </si>
  <si>
    <t>نوآوری</t>
  </si>
  <si>
    <t xml:space="preserve">Conf. Int. Alpha (5%) </t>
  </si>
  <si>
    <r>
      <t xml:space="preserve">Cronbachs Alpha-Coefficient
</t>
    </r>
    <r>
      <rPr>
        <sz val="11"/>
        <color theme="1"/>
        <rFont val="Calibri"/>
        <family val="2"/>
        <scheme val="minor"/>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</si>
  <si>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</si>
  <si>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</si>
  <si>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</si>
  <si>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</si>
  <si>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</si>
  <si>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</si>
  <si>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</si>
  <si>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</si>
  <si>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</si>
  <si>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</si>
  <si>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</si>
  <si>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</si>
  <si>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</si>
  <si>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</si>
  <si>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</si>
  <si>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</si>
  <si>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</si>
  <si>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</si>
  <si>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</si>
  <si>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</si>
  <si>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</si>
  <si>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</si>
  <si>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</si>
  <si>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</si>
  <si>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</si>
  <si>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</si>
  <si>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</si>
  <si>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</si>
  <si>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</si>
  <si>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</si>
  <si>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</si>
  <si>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</si>
  <si>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</si>
  <si>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</si>
  <si>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</si>
  <si>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</si>
  <si>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</si>
  <si>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</si>
  <si>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</si>
  <si>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</si>
  <si>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</si>
  <si>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</si>
  <si>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</si>
  <si>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</si>
  <si>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</si>
  <si>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</si>
  <si>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</si>
  <si>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</si>
  <si>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</si>
  <si>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</si>
  <si>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</si>
  <si>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</si>
  <si>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</si>
  <si>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</si>
  <si>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</si>
  <si>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</si>
  <si>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</si>
  <si>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</si>
  <si>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</si>
  <si>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</si>
  <si>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</si>
  <si>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Skala</t>
  </si>
  <si>
    <t>Std.Dev.</t>
  </si>
  <si>
    <t>Confidence Interval</t>
  </si>
  <si>
    <t>Importance Ratings: Mean and Standard Deviation</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</si>
  <si>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b/>
        <sz val="11"/>
        <rFont val="Calibri"/>
        <family val="2"/>
        <scheme val="minor"/>
      </rPr>
      <t xml:space="preserve">
</t>
    </r>
    <r>
      <rPr>
        <sz val="11"/>
        <rFont val="Calibri"/>
        <family val="2"/>
        <scheme val="minor"/>
      </rPr>
      <t xml:space="preserve">Values between -0.8and 0.8 represent a more or less </t>
    </r>
    <r>
      <rPr>
        <i/>
        <sz val="11"/>
        <rFont val="Calibri"/>
        <family val="2"/>
        <scheme val="minor"/>
      </rPr>
      <t>neutral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</si>
  <si>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Danish</t>
  </si>
  <si>
    <t>Norwegian</t>
  </si>
  <si>
    <t>kedelig</t>
  </si>
  <si>
    <t>spændende</t>
  </si>
  <si>
    <t>opfindsom</t>
  </si>
  <si>
    <t>hindrende</t>
  </si>
  <si>
    <t>tiltalende</t>
  </si>
  <si>
    <t>sædvanlig</t>
  </si>
  <si>
    <t>sikre</t>
  </si>
  <si>
    <t>motiverende</t>
  </si>
  <si>
    <t>demotiverende</t>
  </si>
  <si>
    <t>ineffektivt</t>
  </si>
  <si>
    <t>forvirrende</t>
  </si>
  <si>
    <t>upraktisk</t>
  </si>
  <si>
    <t>praktisk</t>
  </si>
  <si>
    <t>organiseret</t>
  </si>
  <si>
    <t>rodet</t>
  </si>
  <si>
    <t>attraktive</t>
  </si>
  <si>
    <t>Tiltrækningskraft</t>
  </si>
  <si>
    <t>Ydeevne</t>
  </si>
  <si>
    <t>Klarhed</t>
  </si>
  <si>
    <t>Pålidelighed</t>
  </si>
  <si>
    <t>Nyhedsværdi</t>
  </si>
  <si>
    <t>Klarhet</t>
  </si>
  <si>
    <t>Pålitelighet</t>
  </si>
  <si>
    <t>Motivasjon</t>
  </si>
  <si>
    <t>Nyhet</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</si>
  <si>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</si>
  <si>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</si>
  <si>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</si>
  <si>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</si>
  <si>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</si>
  <si>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</si>
  <si>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</si>
  <si>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</si>
  <si>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</si>
  <si>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</si>
  <si>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</si>
  <si>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</si>
  <si>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</si>
  <si>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</si>
  <si>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</si>
  <si>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</si>
  <si>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</si>
  <si>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</si>
  <si>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</si>
  <si>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</si>
  <si>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</si>
  <si>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</si>
  <si>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</si>
  <si>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</si>
  <si>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</si>
  <si>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</si>
  <si>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</si>
  <si>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</si>
  <si>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</si>
  <si>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</si>
  <si>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</si>
  <si>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</si>
  <si>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</si>
  <si>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</si>
  <si>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</si>
  <si>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Finnish</t>
  </si>
  <si>
    <t>Hungarian</t>
  </si>
  <si>
    <t>Croatian</t>
  </si>
  <si>
    <t>Bosnian</t>
  </si>
  <si>
    <t>Hebrew</t>
  </si>
  <si>
    <t>Arabic</t>
  </si>
  <si>
    <t>Bengali</t>
  </si>
  <si>
    <t>Kannada</t>
  </si>
  <si>
    <t>Marathi</t>
  </si>
  <si>
    <t>Tamil</t>
  </si>
  <si>
    <t>ärsyttävä</t>
  </si>
  <si>
    <t>nautittava</t>
  </si>
  <si>
    <t>luova</t>
  </si>
  <si>
    <t>tylsä</t>
  </si>
  <si>
    <t>nopea</t>
  </si>
  <si>
    <t>hidas</t>
  </si>
  <si>
    <t>perinteinen</t>
  </si>
  <si>
    <t>hyvä</t>
  </si>
  <si>
    <t>huono</t>
  </si>
  <si>
    <t>vastenmielinen</t>
  </si>
  <si>
    <t>houkutteleva</t>
  </si>
  <si>
    <t>tavanomainen</t>
  </si>
  <si>
    <t>epämiellyttävä</t>
  </si>
  <si>
    <t>miellyttävä</t>
  </si>
  <si>
    <t>tehoton</t>
  </si>
  <si>
    <t>tehokas</t>
  </si>
  <si>
    <t>epäkäytännöllinen</t>
  </si>
  <si>
    <t>käytännöllinen</t>
  </si>
  <si>
    <t>järjestelmällinen</t>
  </si>
  <si>
    <t>innovatiivinen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</si>
  <si>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</si>
  <si>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</si>
  <si>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</si>
  <si>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</si>
  <si>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</si>
  <si>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</si>
  <si>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</si>
  <si>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</si>
  <si>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</si>
  <si>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</si>
  <si>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</si>
  <si>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</si>
  <si>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</si>
  <si>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</si>
  <si>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</si>
  <si>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</si>
  <si>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</si>
  <si>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</si>
  <si>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</si>
  <si>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</si>
  <si>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</si>
  <si>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</si>
  <si>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</si>
  <si>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</si>
  <si>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</si>
  <si>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</si>
  <si>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</si>
  <si>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</si>
  <si>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</si>
  <si>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</si>
  <si>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</si>
  <si>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</si>
  <si>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</si>
  <si>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</si>
  <si>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</si>
  <si>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</si>
  <si>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</si>
  <si>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</si>
  <si>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</si>
  <si>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</si>
  <si>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</si>
  <si>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</si>
  <si>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</si>
  <si>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</si>
  <si>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</si>
  <si>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</si>
  <si>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</si>
  <si>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</si>
  <si>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</si>
  <si>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</si>
  <si>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</si>
  <si>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dosadan</t>
  </si>
  <si>
    <t>zanimljiv</t>
  </si>
  <si>
    <t>nerazumljivi</t>
  </si>
  <si>
    <t>razumljivi</t>
  </si>
  <si>
    <t>dosadni</t>
  </si>
  <si>
    <t>uzbudljivi</t>
  </si>
  <si>
    <t>nezanimljivi</t>
  </si>
  <si>
    <t>zanimljivi</t>
  </si>
  <si>
    <t>brz</t>
  </si>
  <si>
    <t>spor</t>
  </si>
  <si>
    <t>dobar</t>
  </si>
  <si>
    <t>loš</t>
  </si>
  <si>
    <t>jednostavni</t>
  </si>
  <si>
    <t>privlačan</t>
  </si>
  <si>
    <t>neprijatan</t>
  </si>
  <si>
    <t>prijatan</t>
  </si>
  <si>
    <t>motivirajući</t>
  </si>
  <si>
    <t>demotivirajući</t>
  </si>
  <si>
    <t>ne ispunjavaju očekivanja</t>
  </si>
  <si>
    <t>neučinkovit</t>
  </si>
  <si>
    <t>jasni</t>
  </si>
  <si>
    <t>zbunjujući</t>
  </si>
  <si>
    <t>nepraktičan</t>
  </si>
  <si>
    <t>praktičan</t>
  </si>
  <si>
    <t>organiziran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</si>
  <si>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</si>
  <si>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</si>
  <si>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</si>
  <si>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</si>
  <si>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</si>
  <si>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</si>
  <si>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</si>
  <si>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</si>
  <si>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</si>
  <si>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</si>
  <si>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</si>
  <si>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</si>
  <si>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</si>
  <si>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</si>
  <si>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</si>
  <si>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</si>
  <si>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</si>
  <si>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</si>
  <si>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</si>
  <si>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</si>
  <si>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</si>
  <si>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</si>
  <si>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</si>
  <si>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</si>
  <si>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</si>
  <si>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</si>
  <si>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</si>
  <si>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</si>
  <si>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</si>
  <si>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</si>
  <si>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</si>
  <si>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</si>
  <si>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</si>
  <si>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</si>
  <si>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</si>
  <si>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</si>
  <si>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</si>
  <si>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</si>
  <si>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</si>
  <si>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</si>
  <si>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</si>
  <si>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</si>
  <si>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</si>
  <si>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</si>
  <si>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</si>
  <si>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</si>
  <si>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</si>
  <si>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</si>
  <si>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</si>
  <si>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</si>
  <si>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</si>
  <si>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</si>
  <si>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</si>
  <si>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</si>
  <si>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</si>
  <si>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</si>
  <si>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</si>
  <si>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</si>
  <si>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</si>
  <si>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</si>
  <si>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</si>
  <si>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</si>
  <si>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</si>
  <si>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</si>
  <si>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</si>
  <si>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</si>
  <si>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</si>
  <si>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</si>
  <si>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</si>
  <si>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</si>
  <si>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</si>
  <si>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</si>
  <si>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</si>
  <si>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</si>
  <si>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</si>
  <si>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</si>
  <si>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</si>
  <si>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</si>
  <si>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</si>
  <si>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</si>
  <si>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مزعج</t>
  </si>
  <si>
    <t>ممتع</t>
  </si>
  <si>
    <t>غير مفهوم</t>
  </si>
  <si>
    <t>مفهوم</t>
  </si>
  <si>
    <t>سهل التعلُّم</t>
  </si>
  <si>
    <t>صعب التعلُّم</t>
  </si>
  <si>
    <t>قيِّم</t>
  </si>
  <si>
    <t>متدني</t>
  </si>
  <si>
    <t>ممل</t>
  </si>
  <si>
    <t>مثير</t>
  </si>
  <si>
    <t>غير مثير للاهتمام</t>
  </si>
  <si>
    <t>مثير للاهتمام</t>
  </si>
  <si>
    <t>سريع</t>
  </si>
  <si>
    <t>بطيء</t>
  </si>
  <si>
    <t>جيد</t>
  </si>
  <si>
    <t>سيء</t>
  </si>
  <si>
    <t>معقَّد</t>
  </si>
  <si>
    <t>غير مريح</t>
  </si>
  <si>
    <t>مريح</t>
  </si>
  <si>
    <t>مشجِّع</t>
  </si>
  <si>
    <t>غير فعَّال</t>
  </si>
  <si>
    <t>فعَّال</t>
  </si>
  <si>
    <t>مُربك</t>
  </si>
  <si>
    <t>غير عملي</t>
  </si>
  <si>
    <t>عملي</t>
  </si>
  <si>
    <t>منظَّم</t>
  </si>
  <si>
    <t>مبعثر</t>
  </si>
  <si>
    <t> جذَّاب</t>
  </si>
  <si>
    <t>غير جذَّاب </t>
  </si>
  <si>
    <t>ودود</t>
  </si>
  <si>
    <t>غير ودود</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</si>
  <si>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</si>
  <si>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</si>
  <si>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</si>
  <si>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</si>
  <si>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</si>
  <si>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</si>
  <si>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</si>
  <si>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</si>
  <si>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</si>
  <si>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</si>
  <si>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</si>
  <si>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</si>
  <si>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</si>
  <si>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</si>
  <si>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</si>
  <si>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</si>
  <si>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</si>
  <si>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</si>
  <si>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</si>
  <si>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</si>
  <si>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</si>
  <si>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</si>
  <si>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</si>
  <si>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</si>
  <si>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</si>
  <si>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</si>
  <si>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</si>
  <si>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</si>
  <si>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</si>
  <si>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</si>
  <si>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</si>
  <si>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</si>
  <si>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</si>
  <si>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</si>
  <si>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</si>
  <si>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</si>
  <si>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</si>
  <si>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</si>
  <si>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</si>
  <si>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</si>
  <si>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</si>
  <si>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</si>
  <si>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</si>
  <si>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</si>
  <si>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</si>
  <si>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</si>
  <si>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</si>
  <si>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</si>
  <si>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</si>
  <si>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</si>
  <si>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</si>
  <si>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</si>
  <si>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</si>
  <si>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</si>
  <si>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</si>
  <si>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</si>
  <si>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</si>
  <si>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</si>
  <si>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</si>
  <si>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</si>
  <si>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</si>
  <si>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</si>
  <si>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</si>
  <si>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</si>
  <si>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</si>
  <si>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</si>
  <si>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</si>
  <si>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</si>
  <si>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</si>
  <si>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</si>
  <si>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</si>
  <si>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</si>
  <si>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</si>
  <si>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</si>
  <si>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</si>
  <si>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</si>
  <si>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</si>
  <si>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</si>
  <si>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</si>
  <si>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</si>
  <si>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</si>
  <si>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</si>
  <si>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</si>
  <si>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</si>
  <si>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</si>
  <si>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</si>
  <si>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</si>
  <si>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</si>
  <si>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</si>
  <si>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</si>
  <si>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</si>
  <si>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</si>
  <si>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</si>
  <si>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</si>
  <si>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</si>
  <si>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</si>
  <si>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</si>
  <si>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</si>
  <si>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</si>
  <si>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</si>
  <si>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</si>
  <si>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</si>
  <si>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</si>
  <si>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</si>
  <si>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</si>
  <si>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</si>
  <si>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</si>
  <si>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</si>
  <si>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</si>
  <si>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</si>
  <si>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</si>
  <si>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</si>
  <si>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</si>
  <si>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</si>
  <si>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</si>
  <si>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</si>
  <si>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</si>
  <si>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</si>
  <si>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</si>
  <si>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</si>
  <si>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</si>
  <si>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</si>
  <si>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</si>
  <si>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</si>
  <si>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</si>
  <si>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</si>
  <si>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</si>
  <si>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</si>
  <si>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</si>
  <si>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</si>
  <si>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</si>
  <si>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</si>
  <si>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</si>
  <si>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</si>
  <si>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</si>
  <si>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</si>
  <si>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</si>
  <si>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</si>
  <si>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</si>
  <si>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</si>
  <si>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</si>
  <si>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</si>
  <si>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</si>
  <si>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</si>
  <si>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</si>
  <si>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</si>
  <si>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</si>
  <si>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</si>
  <si>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</si>
  <si>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</si>
  <si>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</si>
  <si>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</si>
  <si>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</si>
  <si>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</si>
  <si>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</si>
  <si>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</si>
  <si>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</si>
  <si>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</si>
  <si>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</si>
  <si>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</si>
  <si>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</si>
  <si>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</si>
  <si>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</si>
  <si>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</si>
  <si>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</si>
  <si>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</si>
  <si>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</si>
  <si>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</si>
  <si>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</si>
  <si>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</si>
  <si>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</si>
  <si>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</si>
  <si>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</si>
  <si>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</si>
  <si>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</si>
  <si>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Miellyttävyys</t>
  </si>
  <si>
    <t>Tehokkuus</t>
  </si>
  <si>
    <t>Selkeys</t>
  </si>
  <si>
    <t>Toimintavarmuus</t>
  </si>
  <si>
    <t>Kannustavuus</t>
  </si>
  <si>
    <t>Uutuus</t>
  </si>
  <si>
    <t>Kellem</t>
  </si>
  <si>
    <t>Hatékonyság</t>
  </si>
  <si>
    <t>Áttekinthetőség</t>
  </si>
  <si>
    <t>Megbízhatóság</t>
  </si>
  <si>
    <t>Ösztönzés</t>
  </si>
  <si>
    <t>Újszerűség</t>
  </si>
  <si>
    <t>Privlačnost</t>
  </si>
  <si>
    <t>Razumljivost</t>
  </si>
  <si>
    <t>Pouzdanost</t>
  </si>
  <si>
    <t>Stimulacija</t>
  </si>
  <si>
    <t>Novina</t>
  </si>
  <si>
    <t>Efikasnost</t>
  </si>
  <si>
    <t>אטרקטיביות</t>
  </si>
  <si>
    <t>יעילות</t>
  </si>
  <si>
    <t xml:space="preserve"> בהירות</t>
  </si>
  <si>
    <t>מהימנות</t>
  </si>
  <si>
    <t>תמרוץ</t>
  </si>
  <si>
    <t>חידוש</t>
  </si>
  <si>
    <t>الجاذبية</t>
  </si>
  <si>
    <t>الكفاءة</t>
  </si>
  <si>
    <t>الوضوح</t>
  </si>
  <si>
    <t>القابلية للتحكُّم</t>
  </si>
  <si>
    <t>التحريك</t>
  </si>
  <si>
    <t>الحداثة</t>
  </si>
  <si>
    <t>আকর্ষণীয়তা</t>
  </si>
  <si>
    <t>দক্ষতা</t>
  </si>
  <si>
    <t>সুস্পষ্টতা</t>
  </si>
  <si>
    <t>নির্ভরতা</t>
  </si>
  <si>
    <t>উদ্দীপনা</t>
  </si>
  <si>
    <t>নূতনত্ব</t>
  </si>
  <si>
    <t>ಆಕರ್ಷಕವಾದ</t>
  </si>
  <si>
    <t>ದಕ್ಷತೆ</t>
  </si>
  <si>
    <t>ಪಾರದರ್ಶಕತೆ</t>
  </si>
  <si>
    <t>ಉತ್ತೇಜನ</t>
  </si>
  <si>
    <t xml:space="preserve">ಆಸರೆಯಾಗಿರುವುದು </t>
  </si>
  <si>
    <t>ಹೊಸತನ</t>
  </si>
  <si>
    <t>कार्यक्षमता</t>
  </si>
  <si>
    <t xml:space="preserve">सुस्पष्टता </t>
  </si>
  <si>
    <t>अवलंबित्व</t>
  </si>
  <si>
    <t>उत्तेजन</t>
  </si>
  <si>
    <t>नवलाईचीगोष्ट</t>
  </si>
  <si>
    <t xml:space="preserve">கவர்ச்சி </t>
  </si>
  <si>
    <t>திறன் (திறமை )</t>
  </si>
  <si>
    <t xml:space="preserve">சார்ந்திருக்கும் </t>
  </si>
  <si>
    <t xml:space="preserve">தூண்டுதல் </t>
  </si>
  <si>
    <t xml:space="preserve">புதுமை </t>
  </si>
  <si>
    <t>தெளிவு குறித்த</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</si>
  <si>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</si>
  <si>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</si>
  <si>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</si>
  <si>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</si>
  <si>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</si>
  <si>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</si>
  <si>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</si>
  <si>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</si>
  <si>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</si>
  <si>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</si>
  <si>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</si>
  <si>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</si>
  <si>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</si>
  <si>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</si>
  <si>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</si>
  <si>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</si>
  <si>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</si>
  <si>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</si>
  <si>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</si>
  <si>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</si>
  <si>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</si>
  <si>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</si>
  <si>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</si>
  <si>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</si>
  <si>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</si>
  <si>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</si>
  <si>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</si>
  <si>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</si>
  <si>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</si>
  <si>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</si>
  <si>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</si>
  <si>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</si>
  <si>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</si>
  <si>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</si>
  <si>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</si>
  <si>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</si>
  <si>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</si>
  <si>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</si>
  <si>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</si>
  <si>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</si>
  <si>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</si>
  <si>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</si>
  <si>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</si>
  <si>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Hedonická kvalita</t>
  </si>
  <si>
    <t>Atraktívnosť</t>
  </si>
  <si>
    <t>Učebnosť</t>
  </si>
  <si>
    <t>Účinnosť</t>
  </si>
  <si>
    <t>Ovládateľnosť</t>
  </si>
  <si>
    <t>Stimulácia</t>
  </si>
  <si>
    <t>Novinkou</t>
  </si>
  <si>
    <t>Benchmark borders (purely technical, please ignore and do not change)</t>
  </si>
  <si>
    <t>إبداعي</t>
  </si>
  <si>
    <t>مبتذل</t>
  </si>
  <si>
    <t>غير متوقع</t>
  </si>
  <si>
    <t>متوقع</t>
  </si>
  <si>
    <t>مستحدَث</t>
  </si>
  <si>
    <t>تقليدي</t>
  </si>
  <si>
    <t>عائق</t>
  </si>
  <si>
    <t>داعم</t>
  </si>
  <si>
    <t>بسيط</t>
  </si>
  <si>
    <t>منفِّر</t>
  </si>
  <si>
    <t>جاذِب</t>
  </si>
  <si>
    <t>اعتيادي</t>
  </si>
  <si>
    <t>جديد من نوعه</t>
  </si>
  <si>
    <t>مضمون</t>
  </si>
  <si>
    <t>غير مضمون</t>
  </si>
  <si>
    <t>مثبِّط</t>
  </si>
  <si>
    <t>يفي بالتوقعات</t>
  </si>
  <si>
    <t>لا يفي بالتوقعات</t>
  </si>
  <si>
    <t>محافِظ</t>
  </si>
  <si>
    <t>مبتكَر</t>
  </si>
  <si>
    <t>Прагматично качество</t>
  </si>
  <si>
    <t>Хедонично качество</t>
  </si>
  <si>
    <t>Прагматические качество</t>
  </si>
  <si>
    <t>гедонистическоe качествo</t>
  </si>
  <si>
    <t>Мотлив</t>
  </si>
  <si>
    <t>Експедитивен</t>
  </si>
  <si>
    <t>iritantan</t>
  </si>
  <si>
    <t>kreativan</t>
  </si>
  <si>
    <t>bezidejan</t>
  </si>
  <si>
    <t>lako se uči</t>
  </si>
  <si>
    <t>teško se uči</t>
  </si>
  <si>
    <t>vrijedan</t>
  </si>
  <si>
    <t>inferioran</t>
  </si>
  <si>
    <t>uzbudljiv</t>
  </si>
  <si>
    <t>nezanimljiv</t>
  </si>
  <si>
    <t>nepredvidiv</t>
  </si>
  <si>
    <t>predvidiv</t>
  </si>
  <si>
    <t>originalan</t>
  </si>
  <si>
    <t>neoriginalan</t>
  </si>
  <si>
    <t>podupirući</t>
  </si>
  <si>
    <t>jednostavan</t>
  </si>
  <si>
    <t>nedopadljiv</t>
  </si>
  <si>
    <t>dopadljiv</t>
  </si>
  <si>
    <t>uobičajen</t>
  </si>
  <si>
    <t>siguran</t>
  </si>
  <si>
    <t>nesiguran</t>
  </si>
  <si>
    <t>u skladu s očekivanjima</t>
  </si>
  <si>
    <t>nije u skladu s očekivanjima</t>
  </si>
  <si>
    <t>jasan</t>
  </si>
  <si>
    <t>zbunjujuć</t>
  </si>
  <si>
    <t>pretrpan</t>
  </si>
  <si>
    <t>neprivlačan</t>
  </si>
  <si>
    <t>simpatičan</t>
  </si>
  <si>
    <t>nesimpatičan</t>
  </si>
  <si>
    <t>konzervativan</t>
  </si>
  <si>
    <t>inovativan</t>
  </si>
  <si>
    <t>Jasnoća</t>
  </si>
  <si>
    <t>Upravljivost</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</si>
  <si>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</si>
  <si>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</si>
  <si>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sz val="11"/>
        <color theme="1"/>
        <rFont val="Calibri"/>
        <family val="2"/>
        <scheme val="minor"/>
      </rPr>
      <t>Please help to increase the data basis for the benchmark!</t>
    </r>
    <r>
      <rPr>
        <sz val="11"/>
        <color theme="1"/>
        <rFont val="Calibri"/>
        <family val="2"/>
        <scheme val="minor"/>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</si>
  <si>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</si>
  <si>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</si>
  <si>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sz val="9"/>
        <color theme="1"/>
        <rFont val="Arial"/>
        <family val="2"/>
      </rPr>
      <t xml:space="preserve">
</t>
    </r>
    <r>
      <rPr>
        <sz val="11"/>
        <color theme="1"/>
        <rFont val="Calibri"/>
        <family val="2"/>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sz val="11"/>
        <color theme="1"/>
        <rFont val="Calibri"/>
        <family val="2"/>
        <scheme val="minor"/>
      </rPr>
      <t xml:space="preserve"> See the UEQ handbook for details.</t>
    </r>
  </si>
  <si>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</si>
  <si>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</si>
  <si>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</si>
  <si>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</si>
  <si>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</si>
  <si>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</si>
  <si>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</si>
  <si>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</si>
  <si>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</si>
  <si>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</si>
  <si>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</si>
  <si>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</si>
  <si>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</si>
  <si>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</si>
  <si>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</si>
  <si>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</si>
  <si>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</si>
  <si>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</si>
  <si>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</si>
  <si>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</si>
  <si>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</si>
  <si>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</si>
  <si>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</si>
  <si>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</si>
  <si>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</si>
  <si>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</si>
  <si>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</si>
  <si>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</si>
  <si>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</si>
  <si>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</si>
  <si>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</si>
  <si>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</si>
  <si>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</si>
  <si>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</si>
  <si>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</si>
  <si>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</si>
  <si>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</si>
  <si>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</si>
  <si>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</si>
  <si>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</si>
  <si>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</si>
  <si>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</si>
  <si>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</si>
  <si>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</si>
  <si>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</si>
  <si>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</si>
  <si>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</si>
  <si>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</si>
  <si>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</si>
  <si>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</si>
  <si>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</si>
  <si>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</si>
  <si>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</si>
  <si>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</si>
  <si>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</si>
  <si>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</si>
  <si>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</si>
  <si>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irriterende</t>
  </si>
  <si>
    <t>behagelig</t>
  </si>
  <si>
    <t>nem at lære</t>
  </si>
  <si>
    <t>svær at lære</t>
  </si>
  <si>
    <t>af ringe værdi</t>
  </si>
  <si>
    <t>værdifuld</t>
  </si>
  <si>
    <t>uforudsigelig</t>
  </si>
  <si>
    <t>forudsigelig</t>
  </si>
  <si>
    <t>hurtig</t>
  </si>
  <si>
    <t>langsom</t>
  </si>
  <si>
    <t>traditionel</t>
  </si>
  <si>
    <t>uhjælpsom</t>
  </si>
  <si>
    <t>supporterende</t>
  </si>
  <si>
    <t>god</t>
  </si>
  <si>
    <t>indvikled</t>
  </si>
  <si>
    <t>nem</t>
  </si>
  <si>
    <t>utiltalende</t>
  </si>
  <si>
    <t>på forkant</t>
  </si>
  <si>
    <t>ubehagelig</t>
  </si>
  <si>
    <t>sikker</t>
  </si>
  <si>
    <t>usikker</t>
  </si>
  <si>
    <t>indfrier forventningerne</t>
  </si>
  <si>
    <t>indfrier ikke forventningerne</t>
  </si>
  <si>
    <t>effektiv</t>
  </si>
  <si>
    <t>utiltrækkende</t>
  </si>
  <si>
    <t>venlig</t>
  </si>
  <si>
    <t>uvenlig</t>
  </si>
  <si>
    <t>ακατανόητο</t>
  </si>
  <si>
    <t>ανιαρό</t>
  </si>
  <si>
    <t>εύκολο στην εκμάθηση</t>
  </si>
  <si>
    <t>δύσκολο στην εκμάθηση</t>
  </si>
  <si>
    <t>χαμηλής αξίας</t>
  </si>
  <si>
    <t>ευρηματικό</t>
  </si>
  <si>
    <t>παρεμποδιστικό</t>
  </si>
  <si>
    <t>πολύπλοκο</t>
  </si>
  <si>
    <t>απλό</t>
  </si>
  <si>
    <t>πρωτοποριακό</t>
  </si>
  <si>
    <t>μη ασφαλές</t>
  </si>
  <si>
    <t>παρακινητικό</t>
  </si>
  <si>
    <t>μη αποδοτικό</t>
  </si>
  <si>
    <t>αποδοτικό</t>
  </si>
  <si>
    <t>ασαφές</t>
  </si>
  <si>
    <t>ακατάστατο</t>
  </si>
  <si>
    <t>μη ελκυστικό</t>
  </si>
  <si>
    <t>μη φιλικό</t>
  </si>
  <si>
    <t>Ελκυστικότητα</t>
  </si>
  <si>
    <t>Σαφήνεια</t>
  </si>
  <si>
    <t>Πρακτική Ποιότητα</t>
  </si>
  <si>
    <t>Ηδονική Ποιότητα</t>
  </si>
  <si>
    <t>vaikeasti ymmärrettävä</t>
  </si>
  <si>
    <t>helposti ymmärrettävä</t>
  </si>
  <si>
    <t>helposti opittava</t>
  </si>
  <si>
    <t>vaikeasti opittava</t>
  </si>
  <si>
    <t>arvokas</t>
  </si>
  <si>
    <t>vähäarvoinen</t>
  </si>
  <si>
    <t>pitkästyttävä</t>
  </si>
  <si>
    <t>jännittävä</t>
  </si>
  <si>
    <t>epäkiinnostava</t>
  </si>
  <si>
    <t>kiinnostava</t>
  </si>
  <si>
    <t>arvaamaton</t>
  </si>
  <si>
    <t>ennakoitava</t>
  </si>
  <si>
    <t>omaperäinen</t>
  </si>
  <si>
    <t>haittaava</t>
  </si>
  <si>
    <t>auttava</t>
  </si>
  <si>
    <t>monimutkainen</t>
  </si>
  <si>
    <t>yksinkertainen</t>
  </si>
  <si>
    <t>tavallinen</t>
  </si>
  <si>
    <t>uudenlainen</t>
  </si>
  <si>
    <t>varma</t>
  </si>
  <si>
    <t>epävarma</t>
  </si>
  <si>
    <t>motivoiva</t>
  </si>
  <si>
    <t>lannistava</t>
  </si>
  <si>
    <t>odotusten mukainen</t>
  </si>
  <si>
    <t>odotusten vastainen</t>
  </si>
  <si>
    <t>selkeä</t>
  </si>
  <si>
    <t>sekava</t>
  </si>
  <si>
    <t>sotkuinen</t>
  </si>
  <si>
    <t>puoleensavetävä</t>
  </si>
  <si>
    <t>luotaantyöntävä</t>
  </si>
  <si>
    <t>ystävällinen</t>
  </si>
  <si>
    <t>epäystävällinen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</si>
</sst>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3">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b/>
      <sz val="11"/>
      <color rgb="FFFF0000"/>
      <name val="Calibri"/>
      <family val="2"/>
      <scheme val="minor"/>
    </font>
    <font>
      <b/>
      <i/>
      <u/>
      <sz val="12"/>
      <color theme="1"/>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sz val="11"/>
      <color theme="1"/>
      <name val="Malgun Gothic"/>
      <family val="2"/>
    </font>
    <font>
      <sz val="11"/>
      <color theme="1"/>
      <name val="Calibri"/>
      <family val="2"/>
      <charset val="1"/>
    </font>
    <font>
      <sz val="10"/>
      <name val="Arial"/>
      <family val="2"/>
      <charset val="1"/>
    </font>
  </fonts>
  <fills count="11">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s>
  <cellStyleXfs count="1">
    <xf numFmtId="0" fontId="0" fillId="0" borderId="0"/>
  </cellStyleXfs>
  <cellXfs count="198">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0" fontId="0" fillId="0" borderId="1" xfId="0" applyFill="1" applyBorder="1" applyAlignment="1">
      <alignment horizontal="center"/>
    </xf>
    <xf numFmtId="2" fontId="0" fillId="0" borderId="1" xfId="0" applyNumberFormat="1" applyBorder="1"/>
    <xf numFmtId="0" fontId="5" fillId="0" borderId="0" xfId="0" applyFont="1"/>
    <xf numFmtId="0" fontId="0" fillId="2" borderId="1" xfId="0" applyFill="1" applyBorder="1"/>
    <xf numFmtId="0" fontId="5" fillId="0" borderId="1" xfId="0" applyFont="1" applyFill="1" applyBorder="1" applyAlignment="1">
      <alignment horizontal="left" vertical="center"/>
    </xf>
    <xf numFmtId="165" fontId="0" fillId="0" borderId="1" xfId="0" applyNumberFormat="1" applyBorder="1" applyAlignment="1">
      <alignment horizontal="center"/>
    </xf>
    <xf numFmtId="0" fontId="5" fillId="0" borderId="1" xfId="0" applyFont="1" applyFill="1" applyBorder="1" applyAlignment="1">
      <alignment horizontal="left"/>
    </xf>
    <xf numFmtId="0" fontId="5" fillId="0" borderId="1" xfId="0" applyFont="1" applyBorder="1" applyAlignment="1">
      <alignment horizontal="center"/>
    </xf>
    <xf numFmtId="0" fontId="5" fillId="0" borderId="1" xfId="0" applyFont="1" applyFill="1" applyBorder="1" applyAlignment="1">
      <alignment horizontal="center"/>
    </xf>
    <xf numFmtId="0" fontId="0" fillId="0" borderId="0" xfId="0" applyBorder="1"/>
    <xf numFmtId="0" fontId="1" fillId="0" borderId="0" xfId="0" applyFont="1" applyBorder="1"/>
    <xf numFmtId="0" fontId="9" fillId="0" borderId="0" xfId="0" applyFont="1" applyFill="1" applyBorder="1" applyAlignment="1">
      <alignment horizontal="left" vertical="center"/>
    </xf>
    <xf numFmtId="0" fontId="9" fillId="0" borderId="0" xfId="0" applyFont="1" applyFill="1" applyBorder="1" applyAlignment="1">
      <alignment horizontal="left"/>
    </xf>
    <xf numFmtId="49" fontId="1" fillId="0" borderId="0" xfId="0" applyNumberFormat="1" applyFont="1" applyBorder="1" applyAlignment="1">
      <alignment wrapText="1"/>
    </xf>
    <xf numFmtId="49" fontId="1" fillId="0" borderId="0" xfId="0" applyNumberFormat="1" applyFont="1" applyAlignment="1">
      <alignment wrapText="1"/>
    </xf>
    <xf numFmtId="49" fontId="0" fillId="0" borderId="0" xfId="0" applyNumberFormat="1" applyAlignment="1">
      <alignment wrapText="1"/>
    </xf>
    <xf numFmtId="0" fontId="6" fillId="0" borderId="1" xfId="0" applyNumberFormat="1" applyFont="1" applyBorder="1" applyAlignment="1">
      <alignment horizontal="center" vertical="center"/>
    </xf>
    <xf numFmtId="0" fontId="6" fillId="0" borderId="1" xfId="0" applyNumberFormat="1" applyFont="1" applyFill="1" applyBorder="1" applyAlignment="1">
      <alignment horizontal="center" vertical="center"/>
    </xf>
    <xf numFmtId="0" fontId="6" fillId="0" borderId="0" xfId="0" applyFont="1" applyFill="1" applyBorder="1" applyAlignment="1">
      <alignment horizontal="left" vertical="center"/>
    </xf>
    <xf numFmtId="0" fontId="6" fillId="0" borderId="0" xfId="0" applyFont="1" applyFill="1" applyBorder="1" applyAlignment="1">
      <alignment horizontal="left"/>
    </xf>
    <xf numFmtId="0" fontId="10" fillId="0" borderId="0" xfId="0" applyFont="1" applyFill="1" applyBorder="1" applyAlignment="1">
      <alignment horizontal="left" vertical="center"/>
    </xf>
    <xf numFmtId="0" fontId="10" fillId="0" borderId="0" xfId="0" applyFont="1" applyFill="1" applyBorder="1" applyAlignment="1">
      <alignment horizontal="left"/>
    </xf>
    <xf numFmtId="0" fontId="6" fillId="0" borderId="1" xfId="0" applyNumberFormat="1" applyFont="1" applyFill="1" applyBorder="1" applyAlignment="1">
      <alignment horizontal="left" vertical="center"/>
    </xf>
    <xf numFmtId="0" fontId="6" fillId="0" borderId="1" xfId="0" applyNumberFormat="1" applyFont="1" applyFill="1" applyBorder="1" applyAlignment="1">
      <alignment horizontal="left"/>
    </xf>
    <xf numFmtId="0" fontId="5" fillId="0" borderId="1" xfId="0" applyNumberFormat="1" applyFont="1" applyFill="1" applyBorder="1" applyAlignment="1">
      <alignment horizontal="left" vertical="center"/>
    </xf>
    <xf numFmtId="0" fontId="5" fillId="0" borderId="1" xfId="0" applyNumberFormat="1" applyFont="1" applyFill="1" applyBorder="1" applyAlignment="1">
      <alignment horizontal="left"/>
    </xf>
    <xf numFmtId="0" fontId="0" fillId="0" borderId="0" xfId="0" applyFont="1" applyBorder="1"/>
    <xf numFmtId="0" fontId="6" fillId="0" borderId="0" xfId="0" applyFont="1" applyFill="1" applyBorder="1" applyAlignment="1">
      <alignment horizontal="left" vertical="center" wrapText="1"/>
    </xf>
    <xf numFmtId="0" fontId="12" fillId="0" borderId="0" xfId="0" applyFont="1" applyAlignment="1">
      <alignment horizontal="right"/>
    </xf>
    <xf numFmtId="2" fontId="10" fillId="0" borderId="0" xfId="0" applyNumberFormat="1" applyFont="1" applyFill="1" applyBorder="1" applyAlignment="1">
      <alignment horizontal="left" vertical="center"/>
    </xf>
    <xf numFmtId="0" fontId="0" fillId="0" borderId="0" xfId="0" applyAlignment="1">
      <alignment horizontal="left"/>
    </xf>
    <xf numFmtId="0" fontId="0" fillId="0" borderId="5" xfId="0" applyBorder="1" applyAlignment="1"/>
    <xf numFmtId="0" fontId="0" fillId="0" borderId="6" xfId="0" applyBorder="1" applyAlignment="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10" fillId="0" borderId="1" xfId="0" applyNumberFormat="1" applyFont="1" applyFill="1" applyBorder="1" applyAlignment="1">
      <alignment horizontal="left" vertical="center"/>
    </xf>
    <xf numFmtId="2" fontId="6" fillId="3" borderId="1" xfId="0" applyNumberFormat="1" applyFont="1" applyFill="1" applyBorder="1" applyAlignment="1">
      <alignment horizontal="center"/>
    </xf>
    <xf numFmtId="2" fontId="0" fillId="0" borderId="1" xfId="0" applyNumberFormat="1" applyFont="1" applyBorder="1" applyAlignment="1">
      <alignment horizontal="center"/>
    </xf>
    <xf numFmtId="0" fontId="0" fillId="0" borderId="0" xfId="0"/>
    <xf numFmtId="0" fontId="10" fillId="0" borderId="0" xfId="0" applyFont="1" applyFill="1" applyBorder="1" applyAlignment="1">
      <alignment horizontal="left" vertical="center"/>
    </xf>
    <xf numFmtId="0" fontId="10" fillId="0" borderId="0" xfId="0" applyFont="1" applyFill="1" applyBorder="1" applyAlignment="1">
      <alignment horizontal="left"/>
    </xf>
    <xf numFmtId="0" fontId="18" fillId="0" borderId="0" xfId="0" applyFont="1" applyFill="1" applyBorder="1"/>
    <xf numFmtId="0" fontId="10" fillId="0" borderId="0" xfId="0" applyFont="1"/>
    <xf numFmtId="0" fontId="1" fillId="0" borderId="1" xfId="0" applyFont="1" applyBorder="1" applyAlignment="1">
      <alignment horizontal="center"/>
    </xf>
    <xf numFmtId="2" fontId="1" fillId="0" borderId="1" xfId="0" applyNumberFormat="1" applyFont="1" applyBorder="1"/>
    <xf numFmtId="0" fontId="6" fillId="0" borderId="1" xfId="0" applyFont="1" applyFill="1" applyBorder="1"/>
    <xf numFmtId="2" fontId="0" fillId="0" borderId="1" xfId="0" applyNumberFormat="1" applyFont="1" applyBorder="1"/>
    <xf numFmtId="0" fontId="0" fillId="0" borderId="0" xfId="0" applyAlignment="1">
      <alignment vertical="top" wrapText="1"/>
    </xf>
    <xf numFmtId="0" fontId="0" fillId="0" borderId="0" xfId="0" applyAlignment="1">
      <alignment vertical="top"/>
    </xf>
    <xf numFmtId="0" fontId="9" fillId="3" borderId="1" xfId="0" applyFont="1" applyFill="1" applyBorder="1" applyAlignment="1">
      <alignment horizontal="center"/>
    </xf>
    <xf numFmtId="2" fontId="9" fillId="3" borderId="1" xfId="0" applyNumberFormat="1" applyFont="1" applyFill="1" applyBorder="1" applyAlignment="1">
      <alignment horizontal="center"/>
    </xf>
    <xf numFmtId="0" fontId="0" fillId="0" borderId="0" xfId="0" applyFont="1"/>
    <xf numFmtId="0" fontId="9" fillId="0" borderId="0" xfId="0" applyFont="1"/>
    <xf numFmtId="0" fontId="0" fillId="0" borderId="1" xfId="0" applyBorder="1" applyProtection="1">
      <protection locked="0"/>
    </xf>
    <xf numFmtId="0" fontId="13" fillId="0" borderId="0" xfId="0" applyFont="1" applyAlignment="1">
      <alignment horizontal="right" vertical="center"/>
    </xf>
    <xf numFmtId="2" fontId="0" fillId="0" borderId="0" xfId="0" applyNumberFormat="1" applyBorder="1" applyAlignment="1">
      <alignment horizontal="center"/>
    </xf>
    <xf numFmtId="2" fontId="0" fillId="0" borderId="0" xfId="0" applyNumberFormat="1" applyBorder="1" applyAlignment="1">
      <alignment horizontal="left"/>
    </xf>
    <xf numFmtId="0" fontId="12"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24"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6" fillId="0" borderId="9" xfId="0" applyNumberFormat="1" applyFont="1" applyBorder="1" applyAlignment="1">
      <alignment horizontal="center" vertical="center"/>
    </xf>
    <xf numFmtId="0" fontId="6" fillId="0" borderId="9" xfId="0" applyNumberFormat="1" applyFont="1" applyFill="1" applyBorder="1" applyAlignment="1">
      <alignment horizontal="center" vertical="center"/>
    </xf>
    <xf numFmtId="0" fontId="6" fillId="0" borderId="9" xfId="0" applyNumberFormat="1" applyFont="1" applyFill="1" applyBorder="1" applyAlignment="1">
      <alignment horizontal="left" vertical="center"/>
    </xf>
    <xf numFmtId="0" fontId="24" fillId="4" borderId="14" xfId="0" applyFont="1" applyFill="1" applyBorder="1" applyAlignment="1">
      <alignment horizontal="center"/>
    </xf>
    <xf numFmtId="0" fontId="24" fillId="4" borderId="15" xfId="0" applyFont="1" applyFill="1" applyBorder="1"/>
    <xf numFmtId="0" fontId="24" fillId="4" borderId="16" xfId="0" applyFont="1" applyFill="1" applyBorder="1"/>
    <xf numFmtId="0" fontId="24" fillId="4" borderId="3" xfId="0" applyFont="1" applyFill="1" applyBorder="1"/>
    <xf numFmtId="0" fontId="24" fillId="4" borderId="16" xfId="0" applyFont="1" applyFill="1" applyBorder="1" applyAlignment="1">
      <alignment horizontal="center"/>
    </xf>
    <xf numFmtId="0" fontId="24" fillId="4" borderId="3" xfId="0" applyFont="1" applyFill="1" applyBorder="1" applyAlignment="1">
      <alignment horizontal="center"/>
    </xf>
    <xf numFmtId="0" fontId="23" fillId="4" borderId="13" xfId="0" applyFont="1" applyFill="1" applyBorder="1"/>
    <xf numFmtId="0" fontId="0" fillId="0" borderId="17" xfId="0" applyBorder="1"/>
    <xf numFmtId="165" fontId="0" fillId="0" borderId="9" xfId="0" applyNumberFormat="1" applyBorder="1" applyAlignment="1">
      <alignment horizontal="center"/>
    </xf>
    <xf numFmtId="0" fontId="5" fillId="0" borderId="9" xfId="0" applyFont="1" applyBorder="1" applyAlignment="1">
      <alignment horizontal="center"/>
    </xf>
    <xf numFmtId="0" fontId="5" fillId="0" borderId="9" xfId="0" applyFont="1" applyFill="1" applyBorder="1" applyAlignment="1">
      <alignment horizontal="left" vertical="center"/>
    </xf>
    <xf numFmtId="0" fontId="22" fillId="4" borderId="14" xfId="0" applyFont="1" applyFill="1" applyBorder="1" applyAlignment="1">
      <alignment horizontal="center"/>
    </xf>
    <xf numFmtId="0" fontId="22" fillId="4" borderId="16" xfId="0" applyFont="1" applyFill="1" applyBorder="1"/>
    <xf numFmtId="0" fontId="22" fillId="4" borderId="3" xfId="0" applyFont="1" applyFill="1" applyBorder="1"/>
    <xf numFmtId="0" fontId="22" fillId="4" borderId="13" xfId="0" applyFont="1" applyFill="1" applyBorder="1"/>
    <xf numFmtId="0" fontId="22" fillId="4" borderId="15" xfId="0" applyFont="1" applyFill="1" applyBorder="1"/>
    <xf numFmtId="0" fontId="24"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24" fillId="4" borderId="4" xfId="0" applyFont="1" applyFill="1" applyBorder="1"/>
    <xf numFmtId="0" fontId="24" fillId="4" borderId="2" xfId="0" applyFont="1" applyFill="1" applyBorder="1"/>
    <xf numFmtId="0" fontId="22" fillId="4" borderId="2" xfId="0" applyFont="1" applyFill="1" applyBorder="1"/>
    <xf numFmtId="0" fontId="22" fillId="4" borderId="3" xfId="0" applyFont="1" applyFill="1" applyBorder="1" applyAlignment="1">
      <alignment horizontal="center"/>
    </xf>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6" xfId="0" applyFont="1" applyFill="1" applyBorder="1" applyAlignment="1">
      <alignment horizontal="center"/>
    </xf>
    <xf numFmtId="0" fontId="22" fillId="4" borderId="18" xfId="0" applyFont="1" applyFill="1" applyBorder="1"/>
    <xf numFmtId="2" fontId="1" fillId="0" borderId="9" xfId="0" applyNumberFormat="1" applyFont="1" applyBorder="1"/>
    <xf numFmtId="0" fontId="23" fillId="4" borderId="19" xfId="0" applyFont="1" applyFill="1" applyBorder="1"/>
    <xf numFmtId="0" fontId="23" fillId="4" borderId="12" xfId="0" applyFont="1" applyFill="1" applyBorder="1"/>
    <xf numFmtId="1" fontId="24" fillId="4" borderId="22" xfId="0" applyNumberFormat="1" applyFont="1" applyFill="1" applyBorder="1" applyAlignment="1">
      <alignment horizontal="center" vertical="center"/>
    </xf>
    <xf numFmtId="1" fontId="24" fillId="4" borderId="23" xfId="0" applyNumberFormat="1" applyFont="1" applyFill="1" applyBorder="1" applyAlignment="1">
      <alignment horizontal="center" vertical="center"/>
    </xf>
    <xf numFmtId="1" fontId="24" fillId="4" borderId="24" xfId="0" applyNumberFormat="1" applyFont="1" applyFill="1" applyBorder="1" applyAlignment="1">
      <alignment horizontal="center" vertical="center"/>
    </xf>
    <xf numFmtId="1" fontId="24" fillId="4" borderId="21" xfId="0" applyNumberFormat="1" applyFont="1" applyFill="1" applyBorder="1" applyAlignment="1">
      <alignment horizontal="center" vertical="center"/>
    </xf>
    <xf numFmtId="1" fontId="24" fillId="4" borderId="25" xfId="0" applyNumberFormat="1" applyFont="1" applyFill="1" applyBorder="1" applyAlignment="1">
      <alignment horizontal="center" vertical="center"/>
    </xf>
    <xf numFmtId="0" fontId="22" fillId="4" borderId="26" xfId="0" applyFont="1" applyFill="1" applyBorder="1"/>
    <xf numFmtId="0" fontId="22" fillId="4" borderId="22" xfId="0" applyFont="1" applyFill="1" applyBorder="1"/>
    <xf numFmtId="0" fontId="22" fillId="4" borderId="23" xfId="0" applyFont="1" applyFill="1" applyBorder="1"/>
    <xf numFmtId="0" fontId="22" fillId="4" borderId="21" xfId="0" applyFont="1" applyFill="1" applyBorder="1"/>
    <xf numFmtId="0" fontId="24" fillId="4" borderId="26" xfId="0" applyFont="1" applyFill="1" applyBorder="1" applyAlignment="1">
      <alignment horizontal="center"/>
    </xf>
    <xf numFmtId="0" fontId="24" fillId="4" borderId="23" xfId="0" applyFont="1" applyFill="1" applyBorder="1"/>
    <xf numFmtId="0" fontId="24" fillId="4" borderId="23" xfId="0" applyFont="1" applyFill="1" applyBorder="1" applyAlignment="1">
      <alignment horizontal="center"/>
    </xf>
    <xf numFmtId="0" fontId="24" fillId="4" borderId="26" xfId="0" applyFont="1" applyFill="1" applyBorder="1"/>
    <xf numFmtId="0" fontId="24" fillId="4" borderId="24" xfId="0" applyFont="1" applyFill="1" applyBorder="1"/>
    <xf numFmtId="0" fontId="24" fillId="4" borderId="27" xfId="0" applyFont="1" applyFill="1" applyBorder="1"/>
    <xf numFmtId="0" fontId="24" fillId="4" borderId="25" xfId="0" applyFont="1" applyFill="1" applyBorder="1"/>
    <xf numFmtId="0" fontId="24" fillId="4" borderId="21" xfId="0" applyFont="1" applyFill="1" applyBorder="1"/>
    <xf numFmtId="0" fontId="22" fillId="4" borderId="17" xfId="0" applyFont="1" applyFill="1" applyBorder="1"/>
    <xf numFmtId="0" fontId="22" fillId="4" borderId="28" xfId="0" applyFont="1" applyFill="1" applyBorder="1"/>
    <xf numFmtId="0" fontId="22" fillId="4" borderId="25" xfId="0" applyFont="1" applyFill="1" applyBorder="1"/>
    <xf numFmtId="0" fontId="22" fillId="4" borderId="14" xfId="0" applyFont="1" applyFill="1" applyBorder="1"/>
    <xf numFmtId="0" fontId="22" fillId="4" borderId="4" xfId="0" applyFont="1" applyFill="1" applyBorder="1"/>
    <xf numFmtId="2" fontId="13" fillId="3" borderId="7" xfId="0" applyNumberFormat="1" applyFont="1" applyFill="1" applyBorder="1" applyAlignment="1">
      <alignment horizontal="left" vertical="center"/>
    </xf>
    <xf numFmtId="0" fontId="21" fillId="3" borderId="0" xfId="0" applyFont="1" applyFill="1" applyAlignment="1">
      <alignment horizontal="right" vertical="center"/>
    </xf>
    <xf numFmtId="2" fontId="21" fillId="3" borderId="7" xfId="0" applyNumberFormat="1" applyFont="1" applyFill="1" applyBorder="1" applyAlignment="1">
      <alignment horizontal="left" vertical="center"/>
    </xf>
    <xf numFmtId="0" fontId="21" fillId="3" borderId="0" xfId="0" applyFont="1" applyFill="1" applyAlignment="1">
      <alignment horizontal="right" vertical="center" wrapText="1"/>
    </xf>
    <xf numFmtId="2" fontId="21" fillId="3" borderId="0" xfId="0" applyNumberFormat="1" applyFont="1" applyFill="1" applyAlignment="1">
      <alignment horizontal="left" vertical="center"/>
    </xf>
    <xf numFmtId="0" fontId="13"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0" fillId="0" borderId="0" xfId="0"/>
    <xf numFmtId="0" fontId="10" fillId="0" borderId="0" xfId="0" applyFont="1" applyFill="1" applyBorder="1" applyAlignment="1">
      <alignment horizontal="right" vertical="center"/>
    </xf>
    <xf numFmtId="0" fontId="10" fillId="0" borderId="0" xfId="0" applyFont="1" applyFill="1" applyBorder="1" applyAlignment="1">
      <alignment horizontal="right"/>
    </xf>
    <xf numFmtId="0" fontId="18" fillId="0" borderId="0" xfId="0" applyFont="1" applyFill="1" applyBorder="1"/>
    <xf numFmtId="2" fontId="0" fillId="0" borderId="1" xfId="0" applyNumberFormat="1" applyBorder="1" applyAlignment="1">
      <alignment horizontal="center"/>
    </xf>
    <xf numFmtId="0" fontId="27" fillId="0" borderId="0" xfId="0" applyFont="1" applyAlignment="1">
      <alignment horizontal="left" vertical="center"/>
    </xf>
    <xf numFmtId="0" fontId="22" fillId="4" borderId="1" xfId="0" applyFont="1" applyFill="1" applyBorder="1"/>
    <xf numFmtId="0" fontId="1" fillId="0" borderId="1" xfId="0" applyFont="1" applyBorder="1"/>
    <xf numFmtId="0" fontId="28" fillId="0" borderId="0" xfId="0" applyFont="1"/>
    <xf numFmtId="0" fontId="0" fillId="0" borderId="0" xfId="0" applyAlignment="1">
      <alignment horizontal="left"/>
    </xf>
    <xf numFmtId="0" fontId="1" fillId="0" borderId="0" xfId="0" applyFont="1"/>
    <xf numFmtId="9" fontId="1" fillId="0" borderId="0" xfId="0" applyNumberFormat="1" applyFont="1"/>
    <xf numFmtId="0" fontId="29" fillId="0" borderId="0" xfId="0" applyFont="1"/>
    <xf numFmtId="0" fontId="0" fillId="0" borderId="0" xfId="0"/>
    <xf numFmtId="0" fontId="22" fillId="4" borderId="1" xfId="0" applyFont="1" applyFill="1" applyBorder="1" applyAlignment="1">
      <alignment horizontal="center"/>
    </xf>
    <xf numFmtId="0" fontId="0" fillId="0" borderId="0" xfId="0" applyAlignment="1">
      <alignment horizontal="center"/>
    </xf>
    <xf numFmtId="0" fontId="30" fillId="0" borderId="0" xfId="0" applyFont="1"/>
    <xf numFmtId="0" fontId="31" fillId="0" borderId="0" xfId="0" applyFont="1" applyFill="1"/>
    <xf numFmtId="0" fontId="0" fillId="0" borderId="0" xfId="0" applyFill="1"/>
    <xf numFmtId="0" fontId="32" fillId="0" borderId="0" xfId="0" applyFont="1" applyFill="1" applyAlignment="1">
      <alignment horizontal="left"/>
    </xf>
    <xf numFmtId="0" fontId="11" fillId="0" borderId="0" xfId="0" applyFont="1" applyAlignment="1">
      <alignment horizontal="center" vertical="center" wrapText="1"/>
    </xf>
    <xf numFmtId="49" fontId="0" fillId="0" borderId="0" xfId="0" applyNumberFormat="1" applyAlignment="1">
      <alignment horizontal="left" vertical="top" wrapText="1"/>
    </xf>
    <xf numFmtId="0" fontId="25" fillId="0" borderId="0" xfId="0" applyFont="1" applyAlignment="1">
      <alignment horizontal="left" vertical="top" wrapText="1"/>
    </xf>
    <xf numFmtId="0" fontId="0" fillId="0" borderId="0" xfId="0" applyAlignment="1">
      <alignment vertical="top" wrapText="1"/>
    </xf>
    <xf numFmtId="0" fontId="0" fillId="0" borderId="0" xfId="0" applyAlignment="1"/>
    <xf numFmtId="0" fontId="3" fillId="0" borderId="8" xfId="0" applyFont="1" applyBorder="1" applyAlignment="1">
      <alignment horizontal="left" vertical="top" wrapText="1"/>
    </xf>
    <xf numFmtId="0" fontId="2" fillId="0" borderId="8" xfId="0" applyFont="1" applyBorder="1" applyAlignment="1">
      <alignment horizontal="left" vertical="top"/>
    </xf>
    <xf numFmtId="0" fontId="22" fillId="4" borderId="11" xfId="0" applyFont="1" applyFill="1" applyBorder="1"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2" fillId="4" borderId="8" xfId="0" applyFont="1" applyFill="1" applyBorder="1" applyAlignment="1">
      <alignment horizontal="center"/>
    </xf>
    <xf numFmtId="0" fontId="22" fillId="4" borderId="20" xfId="0" applyFont="1" applyFill="1" applyBorder="1" applyAlignment="1">
      <alignment horizontal="center"/>
    </xf>
    <xf numFmtId="0" fontId="0" fillId="0" borderId="0" xfId="0" applyBorder="1" applyAlignment="1">
      <alignment horizontal="center"/>
    </xf>
    <xf numFmtId="0" fontId="24" fillId="4" borderId="1" xfId="0" applyFont="1" applyFill="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24" fillId="4" borderId="11" xfId="0" applyFont="1" applyFill="1" applyBorder="1" applyAlignment="1">
      <alignment horizontal="center"/>
    </xf>
    <xf numFmtId="0" fontId="24" fillId="4" borderId="21" xfId="0" applyFont="1" applyFill="1" applyBorder="1" applyAlignment="1">
      <alignment horizontal="center"/>
    </xf>
    <xf numFmtId="0" fontId="24" fillId="4" borderId="12"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horizontal="left" vertical="top" wrapText="1"/>
    </xf>
    <xf numFmtId="0" fontId="26" fillId="0" borderId="8" xfId="0" applyFont="1" applyBorder="1" applyAlignment="1">
      <alignment horizontal="center" wrapText="1"/>
    </xf>
    <xf numFmtId="0" fontId="26" fillId="0" borderId="9" xfId="0" applyFont="1" applyBorder="1" applyAlignment="1">
      <alignment horizontal="center" wrapText="1"/>
    </xf>
    <xf numFmtId="0" fontId="0" fillId="0" borderId="0" xfId="0" applyAlignment="1">
      <alignment horizontal="left" wrapText="1"/>
    </xf>
    <xf numFmtId="0" fontId="0" fillId="0" borderId="0" xfId="0" applyAlignment="1">
      <alignment horizontal="left"/>
    </xf>
    <xf numFmtId="0" fontId="22" fillId="4" borderId="1" xfId="0" applyFont="1" applyFill="1" applyBorder="1" applyAlignment="1">
      <alignment horizontal="center"/>
    </xf>
    <xf numFmtId="0" fontId="0" fillId="0" borderId="0" xfId="0" applyAlignment="1">
      <alignment vertical="top"/>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3" fillId="0" borderId="10" xfId="0" applyFont="1" applyBorder="1" applyAlignment="1">
      <alignment horizontal="left" vertical="top" wrapText="1"/>
    </xf>
    <xf numFmtId="0" fontId="3" fillId="0" borderId="0" xfId="0" applyFont="1" applyBorder="1" applyAlignment="1">
      <alignment horizontal="left" vertical="top" wrapText="1"/>
    </xf>
    <xf numFmtId="0" fontId="13" fillId="0" borderId="0" xfId="0" applyFont="1" applyAlignment="1">
      <alignment horizontal="left"/>
    </xf>
    <xf numFmtId="0" fontId="19" fillId="0" borderId="1" xfId="0" applyFont="1" applyBorder="1" applyAlignment="1">
      <alignment horizontal="left"/>
    </xf>
    <xf numFmtId="0" fontId="1" fillId="0" borderId="17" xfId="0" applyFont="1" applyBorder="1" applyAlignment="1">
      <alignment horizontal="left"/>
    </xf>
  </cellXfs>
  <cellStyles count="1">
    <cellStyle name="Normal" xfId="0" builtinId="0"/>
  </cellStyles>
  <dxfs count="3">
    <dxf>
      <font>
        <b/>
        <i val="0"/>
        <color theme="0"/>
      </font>
      <fill>
        <patternFill>
          <bgColor rgb="FFFF0000"/>
        </patternFill>
      </fill>
    </dxf>
    <dxf>
      <font>
        <b/>
        <i val="0"/>
        <color theme="0"/>
      </font>
      <fill>
        <patternFill>
          <bgColor rgb="FFFF0000"/>
        </patternFill>
      </fill>
    </dxf>
    <dxf>
      <fill>
        <patternFill>
          <bgColor rgb="FFFEA234"/>
        </patternFill>
      </fill>
    </dxf>
  </dxfs>
  <tableStyles count="0" defaultTableStyle="TableStyleMedium9" defaultPivotStyle="PivotStyleLight16"/>
  <colors>
    <mruColors>
      <color rgb="FF24D6D2"/>
      <color rgb="FF1A9898"/>
      <color rgb="FF0092D1"/>
      <color rgb="FF427CAC"/>
      <color rgb="FFC14646"/>
      <color rgb="FFE6600D"/>
      <color rgb="FFE09D00"/>
      <color rgb="FFAB218E"/>
      <color rgb="FFFF6F38"/>
      <color rgb="FFD93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invertIfNegative val="0"/>
          <c:dPt>
            <c:idx val="0"/>
            <c:invertIfNegative val="0"/>
            <c:bubble3D val="0"/>
            <c:spPr>
              <a:solidFill>
                <a:srgbClr val="AB218E"/>
              </a:solidFill>
            </c:spPr>
            <c:extLst>
              <c:ext xmlns:c16="http://schemas.microsoft.com/office/drawing/2014/chart" uri="{C3380CC4-5D6E-409C-BE32-E72D297353CC}">
                <c16:uniqueId val="{00000001-F096-4730-A698-5B86DE4DE336}"/>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F096-4730-A698-5B86DE4DE336}"/>
              </c:ext>
            </c:extLst>
          </c:dPt>
          <c:dPt>
            <c:idx val="2"/>
            <c:invertIfNegative val="0"/>
            <c:bubble3D val="0"/>
            <c:spPr>
              <a:solidFill>
                <a:srgbClr val="E09D00"/>
              </a:solidFill>
            </c:spPr>
            <c:extLst>
              <c:ext xmlns:c16="http://schemas.microsoft.com/office/drawing/2014/chart" uri="{C3380CC4-5D6E-409C-BE32-E72D297353CC}">
                <c16:uniqueId val="{00000005-F096-4730-A698-5B86DE4DE336}"/>
              </c:ext>
            </c:extLst>
          </c:dPt>
          <c:dPt>
            <c:idx val="3"/>
            <c:invertIfNegative val="0"/>
            <c:bubble3D val="0"/>
            <c:spPr>
              <a:solidFill>
                <a:schemeClr val="accent3">
                  <a:lumMod val="75000"/>
                </a:schemeClr>
              </a:solidFill>
            </c:spPr>
            <c:extLst>
              <c:ext xmlns:c16="http://schemas.microsoft.com/office/drawing/2014/chart" uri="{C3380CC4-5D6E-409C-BE32-E72D297353CC}">
                <c16:uniqueId val="{00000007-F096-4730-A698-5B86DE4DE336}"/>
              </c:ext>
            </c:extLst>
          </c:dPt>
          <c:dPt>
            <c:idx val="4"/>
            <c:invertIfNegative val="0"/>
            <c:bubble3D val="0"/>
            <c:spPr>
              <a:solidFill>
                <a:srgbClr val="C14646"/>
              </a:solidFill>
            </c:spPr>
            <c:extLst>
              <c:ext xmlns:c16="http://schemas.microsoft.com/office/drawing/2014/chart" uri="{C3380CC4-5D6E-409C-BE32-E72D297353CC}">
                <c16:uniqueId val="{00000009-F096-4730-A698-5B86DE4DE336}"/>
              </c:ext>
            </c:extLst>
          </c:dPt>
          <c:dPt>
            <c:idx val="5"/>
            <c:invertIfNegative val="0"/>
            <c:bubble3D val="0"/>
            <c:spPr>
              <a:solidFill>
                <a:srgbClr val="C14646"/>
              </a:solidFill>
            </c:spPr>
            <c:extLst>
              <c:ext xmlns:c16="http://schemas.microsoft.com/office/drawing/2014/chart" uri="{C3380CC4-5D6E-409C-BE32-E72D297353CC}">
                <c16:uniqueId val="{0000000B-F096-4730-A698-5B86DE4DE336}"/>
              </c:ext>
            </c:extLst>
          </c:dPt>
          <c:dPt>
            <c:idx val="6"/>
            <c:invertIfNegative val="0"/>
            <c:bubble3D val="0"/>
            <c:spPr>
              <a:solidFill>
                <a:srgbClr val="C14646"/>
              </a:solidFill>
            </c:spPr>
            <c:extLst>
              <c:ext xmlns:c16="http://schemas.microsoft.com/office/drawing/2014/chart" uri="{C3380CC4-5D6E-409C-BE32-E72D297353CC}">
                <c16:uniqueId val="{0000000D-F096-4730-A698-5B86DE4DE336}"/>
              </c:ext>
            </c:extLst>
          </c:dPt>
          <c:dPt>
            <c:idx val="7"/>
            <c:invertIfNegative val="0"/>
            <c:bubble3D val="0"/>
            <c:spPr>
              <a:solidFill>
                <a:srgbClr val="24D6D2"/>
              </a:solidFill>
            </c:spPr>
            <c:extLst>
              <c:ext xmlns:c16="http://schemas.microsoft.com/office/drawing/2014/chart" uri="{C3380CC4-5D6E-409C-BE32-E72D297353CC}">
                <c16:uniqueId val="{0000000F-F096-4730-A698-5B86DE4DE336}"/>
              </c:ext>
            </c:extLst>
          </c:dPt>
          <c:dPt>
            <c:idx val="8"/>
            <c:invertIfNegative val="0"/>
            <c:bubble3D val="0"/>
            <c:spPr>
              <a:solidFill>
                <a:srgbClr val="427CAC"/>
              </a:solidFill>
            </c:spPr>
            <c:extLst>
              <c:ext xmlns:c16="http://schemas.microsoft.com/office/drawing/2014/chart" uri="{C3380CC4-5D6E-409C-BE32-E72D297353CC}">
                <c16:uniqueId val="{00000011-F096-4730-A698-5B86DE4DE336}"/>
              </c:ext>
            </c:extLst>
          </c:dPt>
          <c:dPt>
            <c:idx val="9"/>
            <c:invertIfNegative val="0"/>
            <c:bubble3D val="0"/>
            <c:spPr>
              <a:solidFill>
                <a:srgbClr val="E09D00"/>
              </a:solidFill>
            </c:spPr>
            <c:extLst>
              <c:ext xmlns:c16="http://schemas.microsoft.com/office/drawing/2014/chart" uri="{C3380CC4-5D6E-409C-BE32-E72D297353CC}">
                <c16:uniqueId val="{00000013-F096-4730-A698-5B86DE4DE336}"/>
              </c:ext>
            </c:extLst>
          </c:dPt>
          <c:dPt>
            <c:idx val="10"/>
            <c:invertIfNegative val="0"/>
            <c:bubble3D val="0"/>
            <c:spPr>
              <a:solidFill>
                <a:srgbClr val="24D6D2"/>
              </a:solidFill>
            </c:spPr>
            <c:extLst>
              <c:ext xmlns:c16="http://schemas.microsoft.com/office/drawing/2014/chart" uri="{C3380CC4-5D6E-409C-BE32-E72D297353CC}">
                <c16:uniqueId val="{00000015-F096-4730-A698-5B86DE4DE336}"/>
              </c:ext>
            </c:extLst>
          </c:dPt>
          <c:dPt>
            <c:idx val="11"/>
            <c:invertIfNegative val="0"/>
            <c:bubble3D val="0"/>
            <c:spPr>
              <a:solidFill>
                <a:srgbClr val="AB218E"/>
              </a:solidFill>
            </c:spPr>
            <c:extLst>
              <c:ext xmlns:c16="http://schemas.microsoft.com/office/drawing/2014/chart" uri="{C3380CC4-5D6E-409C-BE32-E72D297353CC}">
                <c16:uniqueId val="{00000017-F096-4730-A698-5B86DE4DE336}"/>
              </c:ext>
            </c:extLst>
          </c:dPt>
          <c:dPt>
            <c:idx val="12"/>
            <c:invertIfNegative val="0"/>
            <c:bubble3D val="0"/>
            <c:spPr>
              <a:solidFill>
                <a:schemeClr val="accent3">
                  <a:lumMod val="75000"/>
                </a:schemeClr>
              </a:solidFill>
            </c:spPr>
            <c:extLst>
              <c:ext xmlns:c16="http://schemas.microsoft.com/office/drawing/2014/chart" uri="{C3380CC4-5D6E-409C-BE32-E72D297353CC}">
                <c16:uniqueId val="{00000019-F096-4730-A698-5B86DE4DE336}"/>
              </c:ext>
            </c:extLst>
          </c:dPt>
          <c:dPt>
            <c:idx val="13"/>
            <c:invertIfNegative val="0"/>
            <c:bubble3D val="0"/>
            <c:spPr>
              <a:solidFill>
                <a:srgbClr val="AB218E"/>
              </a:solidFill>
            </c:spPr>
            <c:extLst>
              <c:ext xmlns:c16="http://schemas.microsoft.com/office/drawing/2014/chart" uri="{C3380CC4-5D6E-409C-BE32-E72D297353CC}">
                <c16:uniqueId val="{0000001B-F096-4730-A698-5B86DE4DE336}"/>
              </c:ext>
            </c:extLst>
          </c:dPt>
          <c:dPt>
            <c:idx val="14"/>
            <c:invertIfNegative val="0"/>
            <c:bubble3D val="0"/>
            <c:spPr>
              <a:solidFill>
                <a:srgbClr val="E09D00"/>
              </a:solidFill>
            </c:spPr>
            <c:extLst>
              <c:ext xmlns:c16="http://schemas.microsoft.com/office/drawing/2014/chart" uri="{C3380CC4-5D6E-409C-BE32-E72D297353CC}">
                <c16:uniqueId val="{0000001D-F096-4730-A698-5B86DE4DE336}"/>
              </c:ext>
            </c:extLst>
          </c:dPt>
          <c:dPt>
            <c:idx val="15"/>
            <c:invertIfNegative val="0"/>
            <c:bubble3D val="0"/>
            <c:spPr>
              <a:solidFill>
                <a:srgbClr val="AB218E"/>
              </a:solidFill>
            </c:spPr>
            <c:extLst>
              <c:ext xmlns:c16="http://schemas.microsoft.com/office/drawing/2014/chart" uri="{C3380CC4-5D6E-409C-BE32-E72D297353CC}">
                <c16:uniqueId val="{0000001F-F096-4730-A698-5B86DE4DE336}"/>
              </c:ext>
            </c:extLst>
          </c:dPt>
          <c:dPt>
            <c:idx val="16"/>
            <c:invertIfNegative val="0"/>
            <c:bubble3D val="0"/>
            <c:spPr>
              <a:solidFill>
                <a:srgbClr val="24D6D2"/>
              </a:solidFill>
            </c:spPr>
            <c:extLst>
              <c:ext xmlns:c16="http://schemas.microsoft.com/office/drawing/2014/chart" uri="{C3380CC4-5D6E-409C-BE32-E72D297353CC}">
                <c16:uniqueId val="{00000021-F096-4730-A698-5B86DE4DE336}"/>
              </c:ext>
            </c:extLst>
          </c:dPt>
          <c:dPt>
            <c:idx val="17"/>
            <c:invertIfNegative val="0"/>
            <c:bubble3D val="0"/>
            <c:spPr>
              <a:solidFill>
                <a:srgbClr val="C14646"/>
              </a:solidFill>
            </c:spPr>
            <c:extLst>
              <c:ext xmlns:c16="http://schemas.microsoft.com/office/drawing/2014/chart" uri="{C3380CC4-5D6E-409C-BE32-E72D297353CC}">
                <c16:uniqueId val="{00000023-F096-4730-A698-5B86DE4DE336}"/>
              </c:ext>
            </c:extLst>
          </c:dPt>
          <c:dPt>
            <c:idx val="18"/>
            <c:invertIfNegative val="0"/>
            <c:bubble3D val="0"/>
            <c:spPr>
              <a:solidFill>
                <a:srgbClr val="24D6D2"/>
              </a:solidFill>
            </c:spPr>
            <c:extLst>
              <c:ext xmlns:c16="http://schemas.microsoft.com/office/drawing/2014/chart" uri="{C3380CC4-5D6E-409C-BE32-E72D297353CC}">
                <c16:uniqueId val="{00000025-F096-4730-A698-5B86DE4DE336}"/>
              </c:ext>
            </c:extLst>
          </c:dPt>
          <c:dPt>
            <c:idx val="19"/>
            <c:invertIfNegative val="0"/>
            <c:bubble3D val="0"/>
            <c:spPr>
              <a:solidFill>
                <a:srgbClr val="427CAC"/>
              </a:solidFill>
            </c:spPr>
            <c:extLst>
              <c:ext xmlns:c16="http://schemas.microsoft.com/office/drawing/2014/chart" uri="{C3380CC4-5D6E-409C-BE32-E72D297353CC}">
                <c16:uniqueId val="{00000027-F096-4730-A698-5B86DE4DE336}"/>
              </c:ext>
            </c:extLst>
          </c:dPt>
          <c:dPt>
            <c:idx val="20"/>
            <c:invertIfNegative val="0"/>
            <c:bubble3D val="0"/>
            <c:spPr>
              <a:solidFill>
                <a:schemeClr val="accent3">
                  <a:lumMod val="75000"/>
                </a:schemeClr>
              </a:solidFill>
            </c:spPr>
            <c:extLst>
              <c:ext xmlns:c16="http://schemas.microsoft.com/office/drawing/2014/chart" uri="{C3380CC4-5D6E-409C-BE32-E72D297353CC}">
                <c16:uniqueId val="{00000029-F096-4730-A698-5B86DE4DE336}"/>
              </c:ext>
            </c:extLst>
          </c:dPt>
          <c:dPt>
            <c:idx val="21"/>
            <c:invertIfNegative val="0"/>
            <c:bubble3D val="0"/>
            <c:spPr>
              <a:solidFill>
                <a:srgbClr val="427CAC"/>
              </a:solidFill>
            </c:spPr>
            <c:extLst>
              <c:ext xmlns:c16="http://schemas.microsoft.com/office/drawing/2014/chart" uri="{C3380CC4-5D6E-409C-BE32-E72D297353CC}">
                <c16:uniqueId val="{0000002B-F096-4730-A698-5B86DE4DE336}"/>
              </c:ext>
            </c:extLst>
          </c:dPt>
          <c:dPt>
            <c:idx val="22"/>
            <c:invertIfNegative val="0"/>
            <c:bubble3D val="0"/>
            <c:spPr>
              <a:solidFill>
                <a:srgbClr val="427CAC"/>
              </a:solidFill>
            </c:spPr>
            <c:extLst>
              <c:ext xmlns:c16="http://schemas.microsoft.com/office/drawing/2014/chart" uri="{C3380CC4-5D6E-409C-BE32-E72D297353CC}">
                <c16:uniqueId val="{0000002D-F096-4730-A698-5B86DE4DE336}"/>
              </c:ext>
            </c:extLst>
          </c:dPt>
          <c:dPt>
            <c:idx val="23"/>
            <c:invertIfNegative val="0"/>
            <c:bubble3D val="0"/>
            <c:spPr>
              <a:solidFill>
                <a:srgbClr val="AB218E"/>
              </a:solidFill>
            </c:spPr>
            <c:extLst>
              <c:ext xmlns:c16="http://schemas.microsoft.com/office/drawing/2014/chart" uri="{C3380CC4-5D6E-409C-BE32-E72D297353CC}">
                <c16:uniqueId val="{0000002F-F096-4730-A698-5B86DE4DE336}"/>
              </c:ext>
            </c:extLst>
          </c:dPt>
          <c:dPt>
            <c:idx val="24"/>
            <c:invertIfNegative val="0"/>
            <c:bubble3D val="0"/>
            <c:spPr>
              <a:solidFill>
                <a:srgbClr val="AB218E"/>
              </a:solidFill>
            </c:spPr>
            <c:extLst>
              <c:ext xmlns:c16="http://schemas.microsoft.com/office/drawing/2014/chart" uri="{C3380CC4-5D6E-409C-BE32-E72D297353CC}">
                <c16:uniqueId val="{00000031-F096-4730-A698-5B86DE4DE336}"/>
              </c:ext>
            </c:extLst>
          </c:dPt>
          <c:dPt>
            <c:idx val="25"/>
            <c:invertIfNegative val="0"/>
            <c:bubble3D val="0"/>
            <c:spPr>
              <a:solidFill>
                <a:srgbClr val="E09D00"/>
              </a:solidFill>
            </c:spPr>
            <c:extLst>
              <c:ext xmlns:c16="http://schemas.microsoft.com/office/drawing/2014/chart" uri="{C3380CC4-5D6E-409C-BE32-E72D297353CC}">
                <c16:uniqueId val="{00000033-F096-4730-A698-5B86DE4DE336}"/>
              </c:ext>
            </c:extLst>
          </c:dPt>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Results!$B$3:$B$28</c:f>
              <c:numCache>
                <c:formatCode>0.0</c:formatCode>
                <c:ptCount val="26"/>
                <c:pt idx="0">
                  <c:v>1.5725490196078431</c:v>
                </c:pt>
                <c:pt idx="1">
                  <c:v>1.8862745098039215</c:v>
                </c:pt>
                <c:pt idx="2">
                  <c:v>0.78823529411764703</c:v>
                </c:pt>
                <c:pt idx="3">
                  <c:v>1.4862745098039216</c:v>
                </c:pt>
                <c:pt idx="4">
                  <c:v>1.4980392156862745</c:v>
                </c:pt>
                <c:pt idx="5">
                  <c:v>0.9882352941176471</c:v>
                </c:pt>
                <c:pt idx="6">
                  <c:v>1.2274509803921569</c:v>
                </c:pt>
                <c:pt idx="7">
                  <c:v>0.62352941176470589</c:v>
                </c:pt>
                <c:pt idx="8">
                  <c:v>1.4313725490196079</c:v>
                </c:pt>
                <c:pt idx="9">
                  <c:v>0.78823529411764703</c:v>
                </c:pt>
                <c:pt idx="10">
                  <c:v>1.0392156862745099</c:v>
                </c:pt>
                <c:pt idx="11">
                  <c:v>1.6862745098039216</c:v>
                </c:pt>
                <c:pt idx="12">
                  <c:v>1.5254901960784313</c:v>
                </c:pt>
                <c:pt idx="13">
                  <c:v>1.4274509803921569</c:v>
                </c:pt>
                <c:pt idx="14">
                  <c:v>0.82745098039215681</c:v>
                </c:pt>
                <c:pt idx="15">
                  <c:v>1.4784313725490197</c:v>
                </c:pt>
                <c:pt idx="16">
                  <c:v>1.5607843137254902</c:v>
                </c:pt>
                <c:pt idx="17">
                  <c:v>0.82745098039215681</c:v>
                </c:pt>
                <c:pt idx="18">
                  <c:v>1.7490196078431373</c:v>
                </c:pt>
                <c:pt idx="19">
                  <c:v>1.7411764705882353</c:v>
                </c:pt>
                <c:pt idx="20">
                  <c:v>1.6705882352941177</c:v>
                </c:pt>
                <c:pt idx="21">
                  <c:v>1.9294117647058824</c:v>
                </c:pt>
                <c:pt idx="22">
                  <c:v>1.3254901960784313</c:v>
                </c:pt>
                <c:pt idx="23">
                  <c:v>1.2039215686274509</c:v>
                </c:pt>
                <c:pt idx="24">
                  <c:v>1.4705882352941178</c:v>
                </c:pt>
                <c:pt idx="25">
                  <c:v>0.69019607843137254</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errBars>
            <c:errBarType val="both"/>
            <c:errValType val="cust"/>
            <c:noEndCap val="0"/>
            <c:plus>
              <c:numRef>
                <c:f>Confidence_Intervals!$M$5:$M$10</c:f>
                <c:numCache>
                  <c:formatCode>General</c:formatCode>
                  <c:ptCount val="6"/>
                  <c:pt idx="0">
                    <c:v>0.1402318672138218</c:v>
                  </c:pt>
                  <c:pt idx="1">
                    <c:v>0.13966874419267003</c:v>
                  </c:pt>
                  <c:pt idx="2">
                    <c:v>0.12861327028175656</c:v>
                  </c:pt>
                  <c:pt idx="3">
                    <c:v>0.11148218781010273</c:v>
                  </c:pt>
                  <c:pt idx="4">
                    <c:v>0.13023022071507703</c:v>
                  </c:pt>
                  <c:pt idx="5">
                    <c:v>0.13249367017601985</c:v>
                  </c:pt>
                </c:numCache>
              </c:numRef>
            </c:plus>
            <c:minus>
              <c:numRef>
                <c:f>Confidence_Intervals!$M$5:$M$10</c:f>
                <c:numCache>
                  <c:formatCode>General</c:formatCode>
                  <c:ptCount val="6"/>
                  <c:pt idx="0">
                    <c:v>0.1402318672138218</c:v>
                  </c:pt>
                  <c:pt idx="1">
                    <c:v>0.13966874419267003</c:v>
                  </c:pt>
                  <c:pt idx="2">
                    <c:v>0.12861327028175656</c:v>
                  </c:pt>
                  <c:pt idx="3">
                    <c:v>0.11148218781010273</c:v>
                  </c:pt>
                  <c:pt idx="4">
                    <c:v>0.13023022071507703</c:v>
                  </c:pt>
                  <c:pt idx="5">
                    <c:v>0.13249367017601985</c:v>
                  </c:pt>
                </c:numCache>
              </c:numRef>
            </c:minus>
            <c:spPr>
              <a:ln w="19050">
                <a:solidFill>
                  <a:schemeClr val="tx1">
                    <a:lumMod val="85000"/>
                    <a:lumOff val="15000"/>
                  </a:schemeClr>
                </a:solidFill>
              </a:ln>
            </c:spPr>
          </c:errBars>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1.4732026143790853</c:v>
                </c:pt>
                <c:pt idx="1">
                  <c:v>1.642156862745098</c:v>
                </c:pt>
                <c:pt idx="2">
                  <c:v>1.6068627450980393</c:v>
                </c:pt>
                <c:pt idx="3">
                  <c:v>1.2431372549019608</c:v>
                </c:pt>
                <c:pt idx="4">
                  <c:v>1.1352941176470588</c:v>
                </c:pt>
                <c:pt idx="5">
                  <c:v>0.77352941176470591</c:v>
                </c:pt>
              </c:numCache>
            </c:numRef>
          </c:val>
          <c:extLst>
            <c:ext xmlns:c16="http://schemas.microsoft.com/office/drawing/2014/chart" uri="{C3380CC4-5D6E-409C-BE32-E72D297353CC}">
              <c16:uniqueId val="{00000000-1D15-4041-AF2B-9FED35DD2E05}"/>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65000"/>
                  <a:lumOff val="35000"/>
                </a:schemeClr>
              </a:solidFill>
            </a:ln>
          </c:spPr>
          <c:invertIfNegative val="0"/>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1.4732026143790853</c:v>
                </c:pt>
                <c:pt idx="1">
                  <c:v>1.642156862745098</c:v>
                </c:pt>
                <c:pt idx="2">
                  <c:v>1.6068627450980393</c:v>
                </c:pt>
                <c:pt idx="3">
                  <c:v>1.2431372549019608</c:v>
                </c:pt>
                <c:pt idx="4">
                  <c:v>1.1352941176470588</c:v>
                </c:pt>
                <c:pt idx="5">
                  <c:v>0.77352941176470591</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ln>
          </c:spPr>
        </c:majorGridlines>
        <c:numFmt formatCode="0" sourceLinked="0"/>
        <c:majorTickMark val="out"/>
        <c:minorTickMark val="none"/>
        <c:tickLblPos val="nextTo"/>
        <c:crossAx val="405720568"/>
        <c:crosses val="autoZero"/>
        <c:crossBetween val="between"/>
        <c:majorUnit val="1"/>
        <c:minorUnit val="0.1"/>
      </c:valAx>
      <c:spPr>
        <a:gradFill>
          <a:gsLst>
            <a:gs pos="100000">
              <a:srgbClr val="D9301D"/>
            </a:gs>
            <a:gs pos="0">
              <a:srgbClr val="4B881D"/>
            </a:gs>
            <a:gs pos="25000">
              <a:srgbClr val="72B32F"/>
            </a:gs>
            <a:gs pos="30000">
              <a:srgbClr val="FFFFCC"/>
            </a:gs>
            <a:gs pos="70000">
              <a:srgbClr val="FFFFCC"/>
            </a:gs>
            <a:gs pos="75000">
              <a:srgbClr val="FF6F38"/>
            </a:gs>
            <a:gs pos="100000">
              <a:srgbClr val="FF5050"/>
            </a:gs>
            <a:gs pos="100000">
              <a:srgbClr val="FF0000"/>
            </a:gs>
            <a:gs pos="100000">
              <a:srgbClr val="D9301D"/>
            </a:gs>
          </a:gsLst>
          <a:lin ang="5400000" scaled="1"/>
        </a:gradFill>
      </c:spPr>
    </c:plotArea>
    <c:plotVisOnly val="1"/>
    <c:dispBlanksAs val="gap"/>
    <c:showDLblsOverMax val="0"/>
  </c:chart>
  <c:txPr>
    <a:bodyPr/>
    <a:lstStyle/>
    <a:p>
      <a:pPr>
        <a:defRPr>
          <a:solidFill>
            <a:schemeClr val="tx1">
              <a:lumMod val="85000"/>
              <a:lumOff val="15000"/>
            </a:schemeClr>
          </a:solidFill>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50000"/>
                  <a:lumOff val="50000"/>
                </a:schemeClr>
              </a:solidFill>
            </a:ln>
          </c:spPr>
          <c:invertIfNegative val="0"/>
          <c:cat>
            <c:strRef>
              <c:f>Results!$K$40:$K$42</c:f>
              <c:strCache>
                <c:ptCount val="3"/>
                <c:pt idx="0">
                  <c:v>Attractiveness</c:v>
                </c:pt>
                <c:pt idx="1">
                  <c:v>Pragmatic Quality</c:v>
                </c:pt>
                <c:pt idx="2">
                  <c:v>Hedonic Quality</c:v>
                </c:pt>
              </c:strCache>
            </c:strRef>
          </c:cat>
          <c:val>
            <c:numRef>
              <c:f>Results!$L$40:$L$42</c:f>
              <c:numCache>
                <c:formatCode>0.00</c:formatCode>
                <c:ptCount val="3"/>
                <c:pt idx="0">
                  <c:v>1.4732026143790853</c:v>
                </c:pt>
                <c:pt idx="1">
                  <c:v>1.4973856209150327</c:v>
                </c:pt>
                <c:pt idx="2">
                  <c:v>0.95441176470588229</c:v>
                </c:pt>
              </c:numCache>
            </c:numRef>
          </c:val>
          <c:extLst>
            <c:ext xmlns:c16="http://schemas.microsoft.com/office/drawing/2014/chart" uri="{C3380CC4-5D6E-409C-BE32-E72D297353CC}">
              <c16:uniqueId val="{00000000-CCF5-4134-8F39-85149CB54C4F}"/>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US"/>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34819836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v>1</c:v>
          </c:tx>
          <c:spPr>
            <a:solidFill>
              <a:srgbClr val="D9301D"/>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Answer_Distributions!$C$3:$C$28</c:f>
              <c:numCache>
                <c:formatCode>General</c:formatCode>
                <c:ptCount val="26"/>
                <c:pt idx="0">
                  <c:v>2</c:v>
                </c:pt>
                <c:pt idx="1">
                  <c:v>3</c:v>
                </c:pt>
                <c:pt idx="2">
                  <c:v>7</c:v>
                </c:pt>
                <c:pt idx="3">
                  <c:v>5</c:v>
                </c:pt>
                <c:pt idx="4">
                  <c:v>4</c:v>
                </c:pt>
                <c:pt idx="5">
                  <c:v>2</c:v>
                </c:pt>
                <c:pt idx="6">
                  <c:v>2</c:v>
                </c:pt>
                <c:pt idx="7">
                  <c:v>5</c:v>
                </c:pt>
                <c:pt idx="8">
                  <c:v>2</c:v>
                </c:pt>
                <c:pt idx="9">
                  <c:v>6</c:v>
                </c:pt>
                <c:pt idx="10">
                  <c:v>2</c:v>
                </c:pt>
                <c:pt idx="11">
                  <c:v>3</c:v>
                </c:pt>
                <c:pt idx="12">
                  <c:v>3</c:v>
                </c:pt>
                <c:pt idx="13">
                  <c:v>6</c:v>
                </c:pt>
                <c:pt idx="14">
                  <c:v>6</c:v>
                </c:pt>
                <c:pt idx="15">
                  <c:v>4</c:v>
                </c:pt>
                <c:pt idx="16">
                  <c:v>3</c:v>
                </c:pt>
                <c:pt idx="17">
                  <c:v>4</c:v>
                </c:pt>
                <c:pt idx="18">
                  <c:v>3</c:v>
                </c:pt>
                <c:pt idx="19">
                  <c:v>3</c:v>
                </c:pt>
                <c:pt idx="20">
                  <c:v>4</c:v>
                </c:pt>
                <c:pt idx="21">
                  <c:v>0</c:v>
                </c:pt>
                <c:pt idx="22">
                  <c:v>4</c:v>
                </c:pt>
                <c:pt idx="23">
                  <c:v>1</c:v>
                </c:pt>
                <c:pt idx="24">
                  <c:v>2</c:v>
                </c:pt>
                <c:pt idx="25">
                  <c:v>11</c:v>
                </c:pt>
              </c:numCache>
            </c:numRef>
          </c:val>
          <c:extLst>
            <c:ext xmlns:c16="http://schemas.microsoft.com/office/drawing/2014/chart" uri="{C3380CC4-5D6E-409C-BE32-E72D297353CC}">
              <c16:uniqueId val="{00000000-65AA-479C-BEC1-6B3694D9776F}"/>
            </c:ext>
          </c:extLst>
        </c:ser>
        <c:ser>
          <c:idx val="1"/>
          <c:order val="1"/>
          <c:tx>
            <c:v>2</c:v>
          </c:tx>
          <c:spPr>
            <a:solidFill>
              <a:srgbClr val="FF6F38"/>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Answer_Distributions!$D$3:$D$28</c:f>
              <c:numCache>
                <c:formatCode>General</c:formatCode>
                <c:ptCount val="26"/>
                <c:pt idx="0">
                  <c:v>12</c:v>
                </c:pt>
                <c:pt idx="1">
                  <c:v>7</c:v>
                </c:pt>
                <c:pt idx="2">
                  <c:v>12</c:v>
                </c:pt>
                <c:pt idx="3">
                  <c:v>12</c:v>
                </c:pt>
                <c:pt idx="4">
                  <c:v>11</c:v>
                </c:pt>
                <c:pt idx="5">
                  <c:v>8</c:v>
                </c:pt>
                <c:pt idx="6">
                  <c:v>13</c:v>
                </c:pt>
                <c:pt idx="7">
                  <c:v>7</c:v>
                </c:pt>
                <c:pt idx="8">
                  <c:v>7</c:v>
                </c:pt>
                <c:pt idx="9">
                  <c:v>14</c:v>
                </c:pt>
                <c:pt idx="10">
                  <c:v>9</c:v>
                </c:pt>
                <c:pt idx="11">
                  <c:v>10</c:v>
                </c:pt>
                <c:pt idx="12">
                  <c:v>9</c:v>
                </c:pt>
                <c:pt idx="13">
                  <c:v>11</c:v>
                </c:pt>
                <c:pt idx="14">
                  <c:v>17</c:v>
                </c:pt>
                <c:pt idx="15">
                  <c:v>10</c:v>
                </c:pt>
                <c:pt idx="16">
                  <c:v>13</c:v>
                </c:pt>
                <c:pt idx="17">
                  <c:v>8</c:v>
                </c:pt>
                <c:pt idx="18">
                  <c:v>10</c:v>
                </c:pt>
                <c:pt idx="19">
                  <c:v>8</c:v>
                </c:pt>
                <c:pt idx="20">
                  <c:v>8</c:v>
                </c:pt>
                <c:pt idx="21">
                  <c:v>6</c:v>
                </c:pt>
                <c:pt idx="22">
                  <c:v>14</c:v>
                </c:pt>
                <c:pt idx="23">
                  <c:v>8</c:v>
                </c:pt>
                <c:pt idx="24">
                  <c:v>7</c:v>
                </c:pt>
                <c:pt idx="25">
                  <c:v>10</c:v>
                </c:pt>
              </c:numCache>
            </c:numRef>
          </c:val>
          <c:extLst>
            <c:ext xmlns:c16="http://schemas.microsoft.com/office/drawing/2014/chart" uri="{C3380CC4-5D6E-409C-BE32-E72D297353CC}">
              <c16:uniqueId val="{00000001-65AA-479C-BEC1-6B3694D9776F}"/>
            </c:ext>
          </c:extLst>
        </c:ser>
        <c:ser>
          <c:idx val="2"/>
          <c:order val="2"/>
          <c:tx>
            <c:v>3</c:v>
          </c:tx>
          <c:spPr>
            <a:solidFill>
              <a:srgbClr val="FEA234"/>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Answer_Distributions!$E$3:$E$28</c:f>
              <c:numCache>
                <c:formatCode>General</c:formatCode>
                <c:ptCount val="26"/>
                <c:pt idx="0">
                  <c:v>10</c:v>
                </c:pt>
                <c:pt idx="1">
                  <c:v>7</c:v>
                </c:pt>
                <c:pt idx="2">
                  <c:v>27</c:v>
                </c:pt>
                <c:pt idx="3">
                  <c:v>30</c:v>
                </c:pt>
                <c:pt idx="4">
                  <c:v>13</c:v>
                </c:pt>
                <c:pt idx="5">
                  <c:v>14</c:v>
                </c:pt>
                <c:pt idx="6">
                  <c:v>11</c:v>
                </c:pt>
                <c:pt idx="7">
                  <c:v>33</c:v>
                </c:pt>
                <c:pt idx="8">
                  <c:v>19</c:v>
                </c:pt>
                <c:pt idx="9">
                  <c:v>28</c:v>
                </c:pt>
                <c:pt idx="10">
                  <c:v>15</c:v>
                </c:pt>
                <c:pt idx="11">
                  <c:v>12</c:v>
                </c:pt>
                <c:pt idx="12">
                  <c:v>15</c:v>
                </c:pt>
                <c:pt idx="13">
                  <c:v>10</c:v>
                </c:pt>
                <c:pt idx="14">
                  <c:v>21</c:v>
                </c:pt>
                <c:pt idx="15">
                  <c:v>10</c:v>
                </c:pt>
                <c:pt idx="16">
                  <c:v>13</c:v>
                </c:pt>
                <c:pt idx="17">
                  <c:v>15</c:v>
                </c:pt>
                <c:pt idx="18">
                  <c:v>9</c:v>
                </c:pt>
                <c:pt idx="19">
                  <c:v>9</c:v>
                </c:pt>
                <c:pt idx="20">
                  <c:v>12</c:v>
                </c:pt>
                <c:pt idx="21">
                  <c:v>4</c:v>
                </c:pt>
                <c:pt idx="22">
                  <c:v>25</c:v>
                </c:pt>
                <c:pt idx="23">
                  <c:v>19</c:v>
                </c:pt>
                <c:pt idx="24">
                  <c:v>8</c:v>
                </c:pt>
                <c:pt idx="25">
                  <c:v>23</c:v>
                </c:pt>
              </c:numCache>
            </c:numRef>
          </c:val>
          <c:extLst>
            <c:ext xmlns:c16="http://schemas.microsoft.com/office/drawing/2014/chart" uri="{C3380CC4-5D6E-409C-BE32-E72D297353CC}">
              <c16:uniqueId val="{00000002-65AA-479C-BEC1-6B3694D9776F}"/>
            </c:ext>
          </c:extLst>
        </c:ser>
        <c:ser>
          <c:idx val="3"/>
          <c:order val="3"/>
          <c:tx>
            <c:v>4</c:v>
          </c:tx>
          <c:spPr>
            <a:solidFill>
              <a:srgbClr val="B4B4B4"/>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Answer_Distributions!$F$3:$F$28</c:f>
              <c:numCache>
                <c:formatCode>General</c:formatCode>
                <c:ptCount val="26"/>
                <c:pt idx="0">
                  <c:v>17</c:v>
                </c:pt>
                <c:pt idx="1">
                  <c:v>12</c:v>
                </c:pt>
                <c:pt idx="2">
                  <c:v>65</c:v>
                </c:pt>
                <c:pt idx="3">
                  <c:v>10</c:v>
                </c:pt>
                <c:pt idx="4">
                  <c:v>27</c:v>
                </c:pt>
                <c:pt idx="5">
                  <c:v>70</c:v>
                </c:pt>
                <c:pt idx="6">
                  <c:v>41</c:v>
                </c:pt>
                <c:pt idx="7">
                  <c:v>84</c:v>
                </c:pt>
                <c:pt idx="8">
                  <c:v>27</c:v>
                </c:pt>
                <c:pt idx="9">
                  <c:v>55</c:v>
                </c:pt>
                <c:pt idx="10">
                  <c:v>64</c:v>
                </c:pt>
                <c:pt idx="11">
                  <c:v>20</c:v>
                </c:pt>
                <c:pt idx="12">
                  <c:v>22</c:v>
                </c:pt>
                <c:pt idx="13">
                  <c:v>18</c:v>
                </c:pt>
                <c:pt idx="14">
                  <c:v>47</c:v>
                </c:pt>
                <c:pt idx="15">
                  <c:v>22</c:v>
                </c:pt>
                <c:pt idx="16">
                  <c:v>19</c:v>
                </c:pt>
                <c:pt idx="17">
                  <c:v>82</c:v>
                </c:pt>
                <c:pt idx="18">
                  <c:v>16</c:v>
                </c:pt>
                <c:pt idx="19">
                  <c:v>14</c:v>
                </c:pt>
                <c:pt idx="20">
                  <c:v>15</c:v>
                </c:pt>
                <c:pt idx="21">
                  <c:v>17</c:v>
                </c:pt>
                <c:pt idx="22">
                  <c:v>24</c:v>
                </c:pt>
                <c:pt idx="23">
                  <c:v>44</c:v>
                </c:pt>
                <c:pt idx="24">
                  <c:v>41</c:v>
                </c:pt>
                <c:pt idx="25">
                  <c:v>69</c:v>
                </c:pt>
              </c:numCache>
            </c:numRef>
          </c:val>
          <c:extLst>
            <c:ext xmlns:c16="http://schemas.microsoft.com/office/drawing/2014/chart" uri="{C3380CC4-5D6E-409C-BE32-E72D297353CC}">
              <c16:uniqueId val="{00000003-65AA-479C-BEC1-6B3694D9776F}"/>
            </c:ext>
          </c:extLst>
        </c:ser>
        <c:ser>
          <c:idx val="4"/>
          <c:order val="4"/>
          <c:tx>
            <c:v>5</c:v>
          </c:tx>
          <c:spPr>
            <a:solidFill>
              <a:srgbClr val="D2F68A"/>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Answer_Distributions!$G$3:$G$28</c:f>
              <c:numCache>
                <c:formatCode>General</c:formatCode>
                <c:ptCount val="26"/>
                <c:pt idx="0">
                  <c:v>55</c:v>
                </c:pt>
                <c:pt idx="1">
                  <c:v>42</c:v>
                </c:pt>
                <c:pt idx="2">
                  <c:v>54</c:v>
                </c:pt>
                <c:pt idx="3">
                  <c:v>31</c:v>
                </c:pt>
                <c:pt idx="4">
                  <c:v>45</c:v>
                </c:pt>
                <c:pt idx="5">
                  <c:v>66</c:v>
                </c:pt>
                <c:pt idx="6">
                  <c:v>63</c:v>
                </c:pt>
                <c:pt idx="7">
                  <c:v>51</c:v>
                </c:pt>
                <c:pt idx="8">
                  <c:v>49</c:v>
                </c:pt>
                <c:pt idx="9">
                  <c:v>61</c:v>
                </c:pt>
                <c:pt idx="10">
                  <c:v>65</c:v>
                </c:pt>
                <c:pt idx="11">
                  <c:v>38</c:v>
                </c:pt>
                <c:pt idx="12">
                  <c:v>51</c:v>
                </c:pt>
                <c:pt idx="13">
                  <c:v>66</c:v>
                </c:pt>
                <c:pt idx="14">
                  <c:v>68</c:v>
                </c:pt>
                <c:pt idx="15">
                  <c:v>62</c:v>
                </c:pt>
                <c:pt idx="16">
                  <c:v>40</c:v>
                </c:pt>
                <c:pt idx="17">
                  <c:v>66</c:v>
                </c:pt>
                <c:pt idx="18">
                  <c:v>30</c:v>
                </c:pt>
                <c:pt idx="19">
                  <c:v>46</c:v>
                </c:pt>
                <c:pt idx="20">
                  <c:v>46</c:v>
                </c:pt>
                <c:pt idx="21">
                  <c:v>32</c:v>
                </c:pt>
                <c:pt idx="22">
                  <c:v>46</c:v>
                </c:pt>
                <c:pt idx="23">
                  <c:v>69</c:v>
                </c:pt>
                <c:pt idx="24">
                  <c:v>57</c:v>
                </c:pt>
                <c:pt idx="25">
                  <c:v>52</c:v>
                </c:pt>
              </c:numCache>
            </c:numRef>
          </c:val>
          <c:extLst>
            <c:ext xmlns:c16="http://schemas.microsoft.com/office/drawing/2014/chart" uri="{C3380CC4-5D6E-409C-BE32-E72D297353CC}">
              <c16:uniqueId val="{00000004-65AA-479C-BEC1-6B3694D9776F}"/>
            </c:ext>
          </c:extLst>
        </c:ser>
        <c:ser>
          <c:idx val="5"/>
          <c:order val="5"/>
          <c:tx>
            <c:v>6</c:v>
          </c:tx>
          <c:spPr>
            <a:solidFill>
              <a:srgbClr val="72B32F"/>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Answer_Distributions!$H$3:$H$28</c:f>
              <c:numCache>
                <c:formatCode>General</c:formatCode>
                <c:ptCount val="26"/>
                <c:pt idx="0">
                  <c:v>91</c:v>
                </c:pt>
                <c:pt idx="1">
                  <c:v>83</c:v>
                </c:pt>
                <c:pt idx="2">
                  <c:v>51</c:v>
                </c:pt>
                <c:pt idx="3">
                  <c:v>84</c:v>
                </c:pt>
                <c:pt idx="4">
                  <c:v>81</c:v>
                </c:pt>
                <c:pt idx="5">
                  <c:v>63</c:v>
                </c:pt>
                <c:pt idx="6">
                  <c:v>82</c:v>
                </c:pt>
                <c:pt idx="7">
                  <c:v>55</c:v>
                </c:pt>
                <c:pt idx="8">
                  <c:v>98</c:v>
                </c:pt>
                <c:pt idx="9">
                  <c:v>59</c:v>
                </c:pt>
                <c:pt idx="10">
                  <c:v>61</c:v>
                </c:pt>
                <c:pt idx="11">
                  <c:v>83</c:v>
                </c:pt>
                <c:pt idx="12">
                  <c:v>85</c:v>
                </c:pt>
                <c:pt idx="13">
                  <c:v>84</c:v>
                </c:pt>
                <c:pt idx="14">
                  <c:v>72</c:v>
                </c:pt>
                <c:pt idx="15">
                  <c:v>84</c:v>
                </c:pt>
                <c:pt idx="16">
                  <c:v>95</c:v>
                </c:pt>
                <c:pt idx="17">
                  <c:v>52</c:v>
                </c:pt>
                <c:pt idx="18">
                  <c:v>107</c:v>
                </c:pt>
                <c:pt idx="19">
                  <c:v>93</c:v>
                </c:pt>
                <c:pt idx="20">
                  <c:v>90</c:v>
                </c:pt>
                <c:pt idx="21">
                  <c:v>112</c:v>
                </c:pt>
                <c:pt idx="22">
                  <c:v>69</c:v>
                </c:pt>
                <c:pt idx="23">
                  <c:v>66</c:v>
                </c:pt>
                <c:pt idx="24">
                  <c:v>74</c:v>
                </c:pt>
                <c:pt idx="25">
                  <c:v>70</c:v>
                </c:pt>
              </c:numCache>
            </c:numRef>
          </c:val>
          <c:extLst>
            <c:ext xmlns:c16="http://schemas.microsoft.com/office/drawing/2014/chart" uri="{C3380CC4-5D6E-409C-BE32-E72D297353CC}">
              <c16:uniqueId val="{00000005-65AA-479C-BEC1-6B3694D9776F}"/>
            </c:ext>
          </c:extLst>
        </c:ser>
        <c:ser>
          <c:idx val="6"/>
          <c:order val="6"/>
          <c:tx>
            <c:v>7</c:v>
          </c:tx>
          <c:spPr>
            <a:solidFill>
              <a:srgbClr val="4B881D"/>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Answer_Distributions!$I$3:$I$28</c:f>
              <c:numCache>
                <c:formatCode>General</c:formatCode>
                <c:ptCount val="26"/>
                <c:pt idx="0">
                  <c:v>68</c:v>
                </c:pt>
                <c:pt idx="1">
                  <c:v>101</c:v>
                </c:pt>
                <c:pt idx="2">
                  <c:v>39</c:v>
                </c:pt>
                <c:pt idx="3">
                  <c:v>83</c:v>
                </c:pt>
                <c:pt idx="4">
                  <c:v>74</c:v>
                </c:pt>
                <c:pt idx="5">
                  <c:v>32</c:v>
                </c:pt>
                <c:pt idx="6">
                  <c:v>43</c:v>
                </c:pt>
                <c:pt idx="7">
                  <c:v>20</c:v>
                </c:pt>
                <c:pt idx="8">
                  <c:v>53</c:v>
                </c:pt>
                <c:pt idx="9">
                  <c:v>32</c:v>
                </c:pt>
                <c:pt idx="10">
                  <c:v>39</c:v>
                </c:pt>
                <c:pt idx="11">
                  <c:v>89</c:v>
                </c:pt>
                <c:pt idx="12">
                  <c:v>70</c:v>
                </c:pt>
                <c:pt idx="13">
                  <c:v>60</c:v>
                </c:pt>
                <c:pt idx="14">
                  <c:v>24</c:v>
                </c:pt>
                <c:pt idx="15">
                  <c:v>63</c:v>
                </c:pt>
                <c:pt idx="16">
                  <c:v>72</c:v>
                </c:pt>
                <c:pt idx="17">
                  <c:v>28</c:v>
                </c:pt>
                <c:pt idx="18">
                  <c:v>80</c:v>
                </c:pt>
                <c:pt idx="19">
                  <c:v>82</c:v>
                </c:pt>
                <c:pt idx="20">
                  <c:v>80</c:v>
                </c:pt>
                <c:pt idx="21">
                  <c:v>84</c:v>
                </c:pt>
                <c:pt idx="22">
                  <c:v>73</c:v>
                </c:pt>
                <c:pt idx="23">
                  <c:v>48</c:v>
                </c:pt>
                <c:pt idx="24">
                  <c:v>66</c:v>
                </c:pt>
                <c:pt idx="25">
                  <c:v>20</c:v>
                </c:pt>
              </c:numCache>
            </c:numRef>
          </c:val>
          <c:extLst>
            <c:ext xmlns:c16="http://schemas.microsoft.com/office/drawing/2014/chart" uri="{C3380CC4-5D6E-409C-BE32-E72D297353CC}">
              <c16:uniqueId val="{00000006-65AA-479C-BEC1-6B3694D9776F}"/>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1.4732026143790853</c:v>
                </c:pt>
                <c:pt idx="1">
                  <c:v>1.642156862745098</c:v>
                </c:pt>
                <c:pt idx="2">
                  <c:v>1.6068627450980393</c:v>
                </c:pt>
                <c:pt idx="3">
                  <c:v>1.2431372549019608</c:v>
                </c:pt>
                <c:pt idx="4">
                  <c:v>1.1352941176470588</c:v>
                </c:pt>
                <c:pt idx="5">
                  <c:v>0.77352941176470591</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0.1402318672138218</c:v>
                  </c:pt>
                  <c:pt idx="1">
                    <c:v>0.13966874419267003</c:v>
                  </c:pt>
                  <c:pt idx="2">
                    <c:v>0.12861327028175656</c:v>
                  </c:pt>
                  <c:pt idx="3">
                    <c:v>0.11148218781010273</c:v>
                  </c:pt>
                  <c:pt idx="4">
                    <c:v>0.13023022071507703</c:v>
                  </c:pt>
                  <c:pt idx="5">
                    <c:v>0.13249367017601985</c:v>
                  </c:pt>
                </c:numCache>
              </c:numRef>
            </c:plus>
            <c:minus>
              <c:numRef>
                <c:f>Confidence_Intervals!$M$5:$M$10</c:f>
                <c:numCache>
                  <c:formatCode>General</c:formatCode>
                  <c:ptCount val="6"/>
                  <c:pt idx="0">
                    <c:v>0.1402318672138218</c:v>
                  </c:pt>
                  <c:pt idx="1">
                    <c:v>0.13966874419267003</c:v>
                  </c:pt>
                  <c:pt idx="2">
                    <c:v>0.12861327028175656</c:v>
                  </c:pt>
                  <c:pt idx="3">
                    <c:v>0.11148218781010273</c:v>
                  </c:pt>
                  <c:pt idx="4">
                    <c:v>0.13023022071507703</c:v>
                  </c:pt>
                  <c:pt idx="5">
                    <c:v>0.13249367017601985</c:v>
                  </c:pt>
                </c:numCache>
              </c:numRef>
            </c:minus>
            <c:spPr>
              <a:ln w="25400"/>
            </c:spPr>
          </c:errBar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1.4732026143790853</c:v>
                </c:pt>
                <c:pt idx="1">
                  <c:v>1.642156862745098</c:v>
                </c:pt>
                <c:pt idx="2">
                  <c:v>1.6068627450980393</c:v>
                </c:pt>
                <c:pt idx="3">
                  <c:v>1.2431372549019608</c:v>
                </c:pt>
                <c:pt idx="4">
                  <c:v>1.1352941176470588</c:v>
                </c:pt>
                <c:pt idx="5">
                  <c:v>0.77352941176470591</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round/>
              </a:ln>
              <a:effectLst/>
            </c:spPr>
          </c:errBars>
          <c:cat>
            <c:strRef>
              <c:f>KPI_Calculation!$Q$4:$Q$9</c:f>
              <c:strCache>
                <c:ptCount val="6"/>
                <c:pt idx="0">
                  <c:v>Attractiveness</c:v>
                </c:pt>
                <c:pt idx="1">
                  <c:v>Perspicuity</c:v>
                </c:pt>
                <c:pt idx="2">
                  <c:v>Efficiency</c:v>
                </c:pt>
                <c:pt idx="3">
                  <c:v>Dependability</c:v>
                </c:pt>
                <c:pt idx="4">
                  <c:v>Stimulation</c:v>
                </c:pt>
                <c:pt idx="5">
                  <c:v>Novelty</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FC48-4AA2-BE0C-0EB7731414B9}"/>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652218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2286000</xdr:colOff>
      <xdr:row>0</xdr:row>
      <xdr:rowOff>99060</xdr:rowOff>
    </xdr:from>
    <xdr:to>
      <xdr:col>2</xdr:col>
      <xdr:colOff>845820</xdr:colOff>
      <xdr:row>0</xdr:row>
      <xdr:rowOff>632460</xdr:rowOff>
    </xdr:to>
    <xdr:pic>
      <xdr:nvPicPr>
        <xdr:cNvPr id="3" name="Graphic 2">
          <a:extLst>
            <a:ext uri="{FF2B5EF4-FFF2-40B4-BE49-F238E27FC236}">
              <a16:creationId xmlns:a16="http://schemas.microsoft.com/office/drawing/2014/main" id="{6436C665-6E69-4D29-9A30-9669EF8BEE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0" y="9906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9</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609598</xdr:colOff>
      <xdr:row>9</xdr:row>
      <xdr:rowOff>0</xdr:rowOff>
    </xdr:from>
    <xdr:to>
      <xdr:col>14</xdr:col>
      <xdr:colOff>609599</xdr:colOff>
      <xdr:row>22</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22</xdr:row>
      <xdr:rowOff>180975</xdr:rowOff>
    </xdr:from>
    <xdr:to>
      <xdr:col>14</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43</xdr:row>
      <xdr:rowOff>1295400</xdr:rowOff>
    </xdr:from>
    <xdr:to>
      <xdr:col>15</xdr:col>
      <xdr:colOff>1</xdr:colOff>
      <xdr:row>58</xdr:row>
      <xdr:rowOff>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4" name="Chart 3">
          <a:extLst>
            <a:ext uri="{FF2B5EF4-FFF2-40B4-BE49-F238E27FC236}">
              <a16:creationId xmlns:a16="http://schemas.microsoft.com/office/drawing/2014/main" id="{3535CF03-C6A4-4B69-8BF1-BB117950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253E9B32-0670-43B0-A529-2F0D00E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3" name="Chart 2">
          <a:extLst>
            <a:ext uri="{FF2B5EF4-FFF2-40B4-BE49-F238E27FC236}">
              <a16:creationId xmlns:a16="http://schemas.microsoft.com/office/drawing/2014/main" id="{D02D68D3-601E-4DE4-B88D-C8AF7326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3.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topLeftCell="A2" workbookViewId="0">
      <selection activeCell="B5" sqref="B5"/>
    </sheetView>
  </sheetViews>
  <sheetFormatPr defaultColWidth="9.109375" defaultRowHeight="14.4"/>
  <cols>
    <col min="1" max="1" width="35.109375" customWidth="1"/>
    <col min="2" max="2" width="22" customWidth="1"/>
    <col min="3" max="3" width="43" customWidth="1"/>
  </cols>
  <sheetData>
    <row r="1" spans="1:3" s="45" customFormat="1" ht="57" customHeight="1">
      <c r="A1" s="165"/>
      <c r="B1" s="165"/>
      <c r="C1" s="165"/>
    </row>
    <row r="2" spans="1:3" ht="58.8" customHeight="1">
      <c r="A2" s="161" t="s">
        <v>1269</v>
      </c>
      <c r="B2" s="161"/>
      <c r="C2" s="161"/>
    </row>
    <row r="3" spans="1:3" ht="107.25" customHeight="1">
      <c r="A3" s="162" t="s">
        <v>1258</v>
      </c>
      <c r="B3" s="162"/>
      <c r="C3" s="162"/>
    </row>
    <row r="5" spans="1:3" ht="18">
      <c r="A5" s="34" t="s">
        <v>818</v>
      </c>
      <c r="B5" s="64" t="s">
        <v>128</v>
      </c>
    </row>
    <row r="7" spans="1:3" ht="30.75" customHeight="1">
      <c r="A7" s="163" t="s">
        <v>1268</v>
      </c>
      <c r="B7" s="163"/>
      <c r="C7" s="163"/>
    </row>
    <row r="9" spans="1:3" ht="406.2" customHeight="1">
      <c r="A9" s="164" t="s">
        <v>1267</v>
      </c>
      <c r="B9" s="164"/>
      <c r="C9" s="164"/>
    </row>
  </sheetData>
  <mergeCells count="5">
    <mergeCell ref="A2:C2"/>
    <mergeCell ref="A3:C3"/>
    <mergeCell ref="A7:C7"/>
    <mergeCell ref="A9:C9"/>
    <mergeCell ref="A1:C1"/>
  </mergeCells>
  <pageMargins left="0.7" right="0.7" top="0.75" bottom="0.75" header="0.3" footer="0.3"/>
  <pageSetup paperSize="9" orientation="portrait" r:id="rId1"/>
  <customProperties>
    <customPr name="EpmWorksheetKeyString_GUID" r:id="rId2"/>
    <customPr name="IbpWorksheetKeyString_GUID" r:id="rId3"/>
  </customPropertie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6"/>
  <sheetViews>
    <sheetView zoomScaleNormal="100" workbookViewId="0">
      <selection activeCell="AA11" sqref="AA11"/>
    </sheetView>
  </sheetViews>
  <sheetFormatPr defaultColWidth="9.109375" defaultRowHeight="14.4"/>
  <cols>
    <col min="1" max="26" width="3.6640625" style="1" customWidth="1"/>
  </cols>
  <sheetData>
    <row r="1" spans="1:27" ht="144" customHeight="1">
      <c r="A1" s="166" t="s">
        <v>1259</v>
      </c>
      <c r="B1" s="167"/>
      <c r="C1" s="167"/>
      <c r="D1" s="167"/>
      <c r="E1" s="167"/>
      <c r="F1" s="167"/>
      <c r="G1" s="167"/>
      <c r="H1" s="167"/>
      <c r="I1" s="167"/>
      <c r="J1" s="167"/>
      <c r="K1" s="167"/>
      <c r="L1" s="167"/>
      <c r="M1" s="167"/>
      <c r="N1" s="167"/>
      <c r="O1" s="167"/>
      <c r="P1" s="167"/>
      <c r="Q1" s="167"/>
      <c r="R1" s="167"/>
      <c r="S1" s="167"/>
      <c r="T1" s="167"/>
      <c r="U1" s="167"/>
      <c r="V1" s="167"/>
      <c r="W1" s="167"/>
      <c r="X1" s="167"/>
      <c r="Y1" s="167"/>
      <c r="Z1" s="167"/>
    </row>
    <row r="2" spans="1:27">
      <c r="A2" s="168" t="s">
        <v>0</v>
      </c>
      <c r="B2" s="168"/>
      <c r="C2" s="168"/>
      <c r="D2" s="168"/>
      <c r="E2" s="168"/>
      <c r="F2" s="168"/>
      <c r="G2" s="168"/>
      <c r="H2" s="168"/>
      <c r="I2" s="168"/>
      <c r="J2" s="168"/>
      <c r="K2" s="168"/>
      <c r="L2" s="168"/>
      <c r="M2" s="168"/>
      <c r="N2" s="168"/>
      <c r="O2" s="168"/>
      <c r="P2" s="168"/>
      <c r="Q2" s="168"/>
      <c r="R2" s="168"/>
      <c r="S2" s="168"/>
      <c r="T2" s="168"/>
      <c r="U2" s="168"/>
      <c r="V2" s="168"/>
      <c r="W2" s="168"/>
      <c r="X2" s="168"/>
      <c r="Y2" s="168"/>
      <c r="Z2" s="168"/>
    </row>
    <row r="3" spans="1:27">
      <c r="A3" s="106">
        <v>1</v>
      </c>
      <c r="B3" s="106">
        <v>2</v>
      </c>
      <c r="C3" s="106">
        <v>3</v>
      </c>
      <c r="D3" s="106">
        <v>4</v>
      </c>
      <c r="E3" s="107">
        <v>5</v>
      </c>
      <c r="F3" s="107">
        <v>6</v>
      </c>
      <c r="G3" s="108">
        <v>7</v>
      </c>
      <c r="H3" s="106">
        <v>8</v>
      </c>
      <c r="I3" s="106">
        <v>9</v>
      </c>
      <c r="J3" s="106">
        <v>10</v>
      </c>
      <c r="K3" s="106">
        <v>11</v>
      </c>
      <c r="L3" s="106">
        <v>12</v>
      </c>
      <c r="M3" s="107">
        <v>13</v>
      </c>
      <c r="N3" s="108">
        <v>14</v>
      </c>
      <c r="O3" s="106">
        <v>15</v>
      </c>
      <c r="P3" s="106">
        <v>16</v>
      </c>
      <c r="Q3" s="107">
        <v>17</v>
      </c>
      <c r="R3" s="108">
        <v>18</v>
      </c>
      <c r="S3" s="106">
        <v>19</v>
      </c>
      <c r="T3" s="106">
        <v>20</v>
      </c>
      <c r="U3" s="107">
        <v>21</v>
      </c>
      <c r="V3" s="106">
        <v>22</v>
      </c>
      <c r="W3" s="106">
        <v>23</v>
      </c>
      <c r="X3" s="106">
        <v>24</v>
      </c>
      <c r="Y3" s="106">
        <v>25</v>
      </c>
      <c r="Z3" s="109">
        <v>26</v>
      </c>
      <c r="AA3" s="66"/>
    </row>
    <row r="4" spans="1:27">
      <c r="A4" s="65">
        <v>6</v>
      </c>
      <c r="B4" s="65">
        <v>7</v>
      </c>
      <c r="C4" s="65">
        <v>2</v>
      </c>
      <c r="D4" s="65">
        <v>1</v>
      </c>
      <c r="E4" s="65">
        <v>2</v>
      </c>
      <c r="F4" s="65">
        <v>6</v>
      </c>
      <c r="G4" s="65">
        <v>6</v>
      </c>
      <c r="H4" s="65">
        <v>6</v>
      </c>
      <c r="I4" s="65">
        <v>2</v>
      </c>
      <c r="J4" s="65">
        <v>3</v>
      </c>
      <c r="K4" s="65">
        <v>6</v>
      </c>
      <c r="L4" s="65">
        <v>2</v>
      </c>
      <c r="M4" s="65">
        <v>5</v>
      </c>
      <c r="N4" s="65">
        <v>6</v>
      </c>
      <c r="O4" s="65">
        <v>5</v>
      </c>
      <c r="P4" s="65">
        <v>5</v>
      </c>
      <c r="Q4" s="65">
        <v>2</v>
      </c>
      <c r="R4" s="65">
        <v>2</v>
      </c>
      <c r="S4" s="65">
        <v>2</v>
      </c>
      <c r="T4" s="65">
        <v>6</v>
      </c>
      <c r="U4" s="65">
        <v>2</v>
      </c>
      <c r="V4" s="65">
        <v>6</v>
      </c>
      <c r="W4" s="65">
        <v>2</v>
      </c>
      <c r="X4" s="65">
        <v>2</v>
      </c>
      <c r="Y4" s="65">
        <v>2</v>
      </c>
      <c r="Z4" s="65">
        <v>6</v>
      </c>
    </row>
    <row r="5" spans="1:27">
      <c r="A5" s="60">
        <v>7</v>
      </c>
      <c r="B5" s="60">
        <v>7</v>
      </c>
      <c r="C5" s="60">
        <v>1</v>
      </c>
      <c r="D5" s="60">
        <v>1</v>
      </c>
      <c r="E5" s="60">
        <v>1</v>
      </c>
      <c r="F5" s="60">
        <v>7</v>
      </c>
      <c r="G5" s="60">
        <v>7</v>
      </c>
      <c r="H5" s="60">
        <v>7</v>
      </c>
      <c r="I5" s="60">
        <v>1</v>
      </c>
      <c r="J5" s="60">
        <v>1</v>
      </c>
      <c r="K5" s="60">
        <v>7</v>
      </c>
      <c r="L5" s="60">
        <v>1</v>
      </c>
      <c r="M5" s="60">
        <v>7</v>
      </c>
      <c r="N5" s="60">
        <v>7</v>
      </c>
      <c r="O5" s="60">
        <v>1</v>
      </c>
      <c r="P5" s="60">
        <v>7</v>
      </c>
      <c r="Q5" s="60">
        <v>1</v>
      </c>
      <c r="R5" s="60">
        <v>1</v>
      </c>
      <c r="S5" s="60">
        <v>1</v>
      </c>
      <c r="T5" s="60">
        <v>7</v>
      </c>
      <c r="U5" s="60">
        <v>1</v>
      </c>
      <c r="V5" s="60">
        <v>7</v>
      </c>
      <c r="W5" s="60">
        <v>1</v>
      </c>
      <c r="X5" s="60">
        <v>1</v>
      </c>
      <c r="Y5" s="60">
        <v>1</v>
      </c>
      <c r="Z5" s="60">
        <v>1</v>
      </c>
    </row>
    <row r="6" spans="1:27">
      <c r="A6" s="60">
        <v>7</v>
      </c>
      <c r="B6" s="60">
        <v>7</v>
      </c>
      <c r="C6" s="60">
        <v>2</v>
      </c>
      <c r="D6" s="60">
        <v>1</v>
      </c>
      <c r="E6" s="60">
        <v>1</v>
      </c>
      <c r="F6" s="60">
        <v>5</v>
      </c>
      <c r="G6" s="60">
        <v>6</v>
      </c>
      <c r="H6" s="60">
        <v>2</v>
      </c>
      <c r="I6" s="60">
        <v>2</v>
      </c>
      <c r="J6" s="60">
        <v>2</v>
      </c>
      <c r="K6" s="60">
        <v>5</v>
      </c>
      <c r="L6" s="60">
        <v>1</v>
      </c>
      <c r="M6" s="60">
        <v>5</v>
      </c>
      <c r="N6" s="60">
        <v>6</v>
      </c>
      <c r="O6" s="60">
        <v>6</v>
      </c>
      <c r="P6" s="60">
        <v>6</v>
      </c>
      <c r="Q6" s="60">
        <v>2</v>
      </c>
      <c r="R6" s="60">
        <v>3</v>
      </c>
      <c r="S6" s="60">
        <v>2</v>
      </c>
      <c r="T6" s="60">
        <v>6</v>
      </c>
      <c r="U6" s="60">
        <v>3</v>
      </c>
      <c r="V6" s="60">
        <v>6</v>
      </c>
      <c r="W6" s="60">
        <v>2</v>
      </c>
      <c r="X6" s="60">
        <v>3</v>
      </c>
      <c r="Y6" s="60">
        <v>3</v>
      </c>
      <c r="Z6" s="60">
        <v>6</v>
      </c>
    </row>
    <row r="7" spans="1:27">
      <c r="A7" s="60">
        <v>6</v>
      </c>
      <c r="B7" s="60">
        <v>6</v>
      </c>
      <c r="C7" s="60">
        <v>4</v>
      </c>
      <c r="D7" s="60">
        <v>2</v>
      </c>
      <c r="E7" s="60">
        <v>3</v>
      </c>
      <c r="F7" s="60">
        <v>4</v>
      </c>
      <c r="G7" s="60">
        <v>4</v>
      </c>
      <c r="H7" s="60">
        <v>6</v>
      </c>
      <c r="I7" s="60">
        <v>2</v>
      </c>
      <c r="J7" s="60">
        <v>3</v>
      </c>
      <c r="K7" s="60">
        <v>5</v>
      </c>
      <c r="L7" s="60">
        <v>1</v>
      </c>
      <c r="M7" s="60">
        <v>7</v>
      </c>
      <c r="N7" s="60">
        <v>5</v>
      </c>
      <c r="O7" s="60">
        <v>6</v>
      </c>
      <c r="P7" s="60">
        <v>6</v>
      </c>
      <c r="Q7" s="60">
        <v>1</v>
      </c>
      <c r="R7" s="60">
        <v>4</v>
      </c>
      <c r="S7" s="60">
        <v>1</v>
      </c>
      <c r="T7" s="60">
        <v>7</v>
      </c>
      <c r="U7" s="60">
        <v>1</v>
      </c>
      <c r="V7" s="60">
        <v>6</v>
      </c>
      <c r="W7" s="60">
        <v>2</v>
      </c>
      <c r="X7" s="60">
        <v>4</v>
      </c>
      <c r="Y7" s="60">
        <v>3</v>
      </c>
      <c r="Z7" s="60">
        <v>4</v>
      </c>
    </row>
    <row r="8" spans="1:27">
      <c r="A8" s="60">
        <v>6</v>
      </c>
      <c r="B8" s="60">
        <v>3</v>
      </c>
      <c r="C8" s="60">
        <v>4</v>
      </c>
      <c r="D8" s="60">
        <v>5</v>
      </c>
      <c r="E8" s="60">
        <v>2</v>
      </c>
      <c r="F8" s="60">
        <v>4</v>
      </c>
      <c r="G8" s="60">
        <v>5</v>
      </c>
      <c r="H8" s="60">
        <v>5</v>
      </c>
      <c r="I8" s="60">
        <v>2</v>
      </c>
      <c r="J8" s="60">
        <v>4</v>
      </c>
      <c r="K8" s="60">
        <v>5</v>
      </c>
      <c r="L8" s="60">
        <v>2</v>
      </c>
      <c r="M8" s="60">
        <v>5</v>
      </c>
      <c r="N8" s="60">
        <v>5</v>
      </c>
      <c r="O8" s="60">
        <v>4</v>
      </c>
      <c r="P8" s="60">
        <v>5</v>
      </c>
      <c r="Q8" s="60">
        <v>2</v>
      </c>
      <c r="R8" s="60">
        <v>3</v>
      </c>
      <c r="S8" s="60">
        <v>2</v>
      </c>
      <c r="T8" s="60">
        <v>6</v>
      </c>
      <c r="U8" s="60">
        <v>3</v>
      </c>
      <c r="V8" s="60">
        <v>6</v>
      </c>
      <c r="W8" s="60">
        <v>2</v>
      </c>
      <c r="X8" s="60">
        <v>3</v>
      </c>
      <c r="Y8" s="60">
        <v>3</v>
      </c>
      <c r="Z8" s="60">
        <v>4</v>
      </c>
    </row>
    <row r="9" spans="1:27">
      <c r="A9" s="60">
        <v>3</v>
      </c>
      <c r="B9" s="60">
        <v>6</v>
      </c>
      <c r="C9" s="60">
        <v>2</v>
      </c>
      <c r="D9" s="60">
        <v>7</v>
      </c>
      <c r="E9" s="60">
        <v>4</v>
      </c>
      <c r="F9" s="60">
        <v>4</v>
      </c>
      <c r="G9" s="60">
        <v>4</v>
      </c>
      <c r="H9" s="60">
        <v>6</v>
      </c>
      <c r="I9" s="60">
        <v>2</v>
      </c>
      <c r="J9" s="60">
        <v>4</v>
      </c>
      <c r="K9" s="60">
        <v>4</v>
      </c>
      <c r="L9" s="60">
        <v>4</v>
      </c>
      <c r="M9" s="60">
        <v>4</v>
      </c>
      <c r="N9" s="60">
        <v>3</v>
      </c>
      <c r="O9" s="60">
        <v>4</v>
      </c>
      <c r="P9" s="60">
        <v>3</v>
      </c>
      <c r="Q9" s="60">
        <v>5</v>
      </c>
      <c r="R9" s="60">
        <v>5</v>
      </c>
      <c r="S9" s="60">
        <v>4</v>
      </c>
      <c r="T9" s="60">
        <v>4</v>
      </c>
      <c r="U9" s="60">
        <v>2</v>
      </c>
      <c r="V9" s="60">
        <v>6</v>
      </c>
      <c r="W9" s="60">
        <v>2</v>
      </c>
      <c r="X9" s="60">
        <v>4</v>
      </c>
      <c r="Y9" s="60">
        <v>3</v>
      </c>
      <c r="Z9" s="60">
        <v>6</v>
      </c>
    </row>
    <row r="10" spans="1:27">
      <c r="A10" s="60">
        <v>7</v>
      </c>
      <c r="B10" s="60">
        <v>5</v>
      </c>
      <c r="C10" s="60">
        <v>4</v>
      </c>
      <c r="D10" s="60">
        <v>5</v>
      </c>
      <c r="E10" s="60">
        <v>1</v>
      </c>
      <c r="F10" s="60">
        <v>4</v>
      </c>
      <c r="G10" s="60">
        <v>5</v>
      </c>
      <c r="H10" s="60">
        <v>4</v>
      </c>
      <c r="I10" s="60">
        <v>3</v>
      </c>
      <c r="J10" s="60">
        <v>3</v>
      </c>
      <c r="K10" s="60">
        <v>6</v>
      </c>
      <c r="L10" s="60">
        <v>1</v>
      </c>
      <c r="M10" s="60">
        <v>6</v>
      </c>
      <c r="N10" s="60">
        <v>7</v>
      </c>
      <c r="O10" s="60">
        <v>4</v>
      </c>
      <c r="P10" s="60">
        <v>7</v>
      </c>
      <c r="Q10" s="60">
        <v>1</v>
      </c>
      <c r="R10" s="60">
        <v>3</v>
      </c>
      <c r="S10" s="60">
        <v>1</v>
      </c>
      <c r="T10" s="60">
        <v>7</v>
      </c>
      <c r="U10" s="60">
        <v>2</v>
      </c>
      <c r="V10" s="60">
        <v>6</v>
      </c>
      <c r="W10" s="60">
        <v>2</v>
      </c>
      <c r="X10" s="60">
        <v>4</v>
      </c>
      <c r="Y10" s="60">
        <v>1</v>
      </c>
      <c r="Z10" s="60">
        <v>6</v>
      </c>
    </row>
    <row r="11" spans="1:27">
      <c r="A11" s="60">
        <v>5</v>
      </c>
      <c r="B11" s="60">
        <v>6</v>
      </c>
      <c r="C11" s="60">
        <v>4</v>
      </c>
      <c r="D11" s="60">
        <v>3</v>
      </c>
      <c r="E11" s="60">
        <v>1</v>
      </c>
      <c r="F11" s="60">
        <v>4</v>
      </c>
      <c r="G11" s="60">
        <v>4</v>
      </c>
      <c r="H11" s="60">
        <v>6</v>
      </c>
      <c r="I11" s="60">
        <v>3</v>
      </c>
      <c r="J11" s="60">
        <v>2</v>
      </c>
      <c r="K11" s="60">
        <v>4</v>
      </c>
      <c r="L11" s="60">
        <v>3</v>
      </c>
      <c r="M11" s="60">
        <v>6</v>
      </c>
      <c r="N11" s="60">
        <v>4</v>
      </c>
      <c r="O11" s="60">
        <v>6</v>
      </c>
      <c r="P11" s="60">
        <v>5</v>
      </c>
      <c r="Q11" s="60">
        <v>1</v>
      </c>
      <c r="R11" s="60">
        <v>4</v>
      </c>
      <c r="S11" s="60">
        <v>2</v>
      </c>
      <c r="T11" s="60">
        <v>5</v>
      </c>
      <c r="U11" s="60">
        <v>1</v>
      </c>
      <c r="V11" s="60">
        <v>7</v>
      </c>
      <c r="W11" s="60">
        <v>3</v>
      </c>
      <c r="X11" s="60">
        <v>4</v>
      </c>
      <c r="Y11" s="60">
        <v>4</v>
      </c>
      <c r="Z11" s="60">
        <v>5</v>
      </c>
    </row>
    <row r="12" spans="1:27">
      <c r="A12" s="60">
        <v>7</v>
      </c>
      <c r="B12" s="60">
        <v>7</v>
      </c>
      <c r="C12" s="60">
        <v>1</v>
      </c>
      <c r="D12" s="60">
        <v>1</v>
      </c>
      <c r="E12" s="60">
        <v>1</v>
      </c>
      <c r="F12" s="60">
        <v>5</v>
      </c>
      <c r="G12" s="60">
        <v>6</v>
      </c>
      <c r="H12" s="60">
        <v>4</v>
      </c>
      <c r="I12" s="60">
        <v>1</v>
      </c>
      <c r="J12" s="60">
        <v>4</v>
      </c>
      <c r="K12" s="60">
        <v>4</v>
      </c>
      <c r="L12" s="60">
        <v>1</v>
      </c>
      <c r="M12" s="60">
        <v>7</v>
      </c>
      <c r="N12" s="60">
        <v>7</v>
      </c>
      <c r="O12" s="60">
        <v>7</v>
      </c>
      <c r="P12" s="60">
        <v>7</v>
      </c>
      <c r="Q12" s="60">
        <v>2</v>
      </c>
      <c r="R12" s="60">
        <v>4</v>
      </c>
      <c r="S12" s="60">
        <v>1</v>
      </c>
      <c r="T12" s="60">
        <v>7</v>
      </c>
      <c r="U12" s="60">
        <v>2</v>
      </c>
      <c r="V12" s="60">
        <v>7</v>
      </c>
      <c r="W12" s="60">
        <v>3</v>
      </c>
      <c r="X12" s="60">
        <v>1</v>
      </c>
      <c r="Y12" s="60">
        <v>1</v>
      </c>
      <c r="Z12" s="60">
        <v>4</v>
      </c>
    </row>
    <row r="13" spans="1:27">
      <c r="A13" s="60">
        <v>6</v>
      </c>
      <c r="B13" s="60">
        <v>7</v>
      </c>
      <c r="C13" s="60">
        <v>6</v>
      </c>
      <c r="D13" s="60">
        <v>6</v>
      </c>
      <c r="E13" s="60">
        <v>5</v>
      </c>
      <c r="F13" s="60">
        <v>5</v>
      </c>
      <c r="G13" s="60">
        <v>5</v>
      </c>
      <c r="H13" s="60">
        <v>3</v>
      </c>
      <c r="I13" s="60">
        <v>5</v>
      </c>
      <c r="J13" s="60">
        <v>6</v>
      </c>
      <c r="K13" s="60">
        <v>6</v>
      </c>
      <c r="L13" s="60">
        <v>1</v>
      </c>
      <c r="M13" s="60">
        <v>7</v>
      </c>
      <c r="N13" s="60">
        <v>6</v>
      </c>
      <c r="O13" s="60">
        <v>5</v>
      </c>
      <c r="P13" s="60">
        <v>6</v>
      </c>
      <c r="Q13" s="60">
        <v>2</v>
      </c>
      <c r="R13" s="60">
        <v>2</v>
      </c>
      <c r="S13" s="60">
        <v>2</v>
      </c>
      <c r="T13" s="60">
        <v>6</v>
      </c>
      <c r="U13" s="60">
        <v>1</v>
      </c>
      <c r="V13" s="60">
        <v>7</v>
      </c>
      <c r="W13" s="60">
        <v>1</v>
      </c>
      <c r="X13" s="60">
        <v>2</v>
      </c>
      <c r="Y13" s="60">
        <v>1</v>
      </c>
      <c r="Z13" s="60">
        <v>1</v>
      </c>
    </row>
    <row r="14" spans="1:27">
      <c r="A14" s="60">
        <v>5</v>
      </c>
      <c r="B14" s="60">
        <v>5</v>
      </c>
      <c r="C14" s="60">
        <v>6</v>
      </c>
      <c r="D14" s="60">
        <v>6</v>
      </c>
      <c r="E14" s="60">
        <v>2</v>
      </c>
      <c r="F14" s="60">
        <v>4</v>
      </c>
      <c r="G14" s="60">
        <v>5</v>
      </c>
      <c r="H14" s="60">
        <v>3</v>
      </c>
      <c r="I14" s="60">
        <v>4</v>
      </c>
      <c r="J14" s="60">
        <v>2</v>
      </c>
      <c r="K14" s="60">
        <v>5</v>
      </c>
      <c r="L14" s="60">
        <v>3</v>
      </c>
      <c r="M14" s="60">
        <v>5</v>
      </c>
      <c r="N14" s="60">
        <v>5</v>
      </c>
      <c r="O14" s="60">
        <v>5</v>
      </c>
      <c r="P14" s="60">
        <v>5</v>
      </c>
      <c r="Q14" s="60">
        <v>1</v>
      </c>
      <c r="R14" s="60">
        <v>4</v>
      </c>
      <c r="S14" s="60">
        <v>2</v>
      </c>
      <c r="T14" s="60">
        <v>5</v>
      </c>
      <c r="U14" s="60">
        <v>3</v>
      </c>
      <c r="V14" s="60">
        <v>5</v>
      </c>
      <c r="W14" s="60">
        <v>6</v>
      </c>
      <c r="X14" s="60">
        <v>2</v>
      </c>
      <c r="Y14" s="60">
        <v>2</v>
      </c>
      <c r="Z14" s="60">
        <v>6</v>
      </c>
    </row>
    <row r="15" spans="1:27">
      <c r="A15" s="60">
        <v>6</v>
      </c>
      <c r="B15" s="60">
        <v>6</v>
      </c>
      <c r="C15" s="60">
        <v>4</v>
      </c>
      <c r="D15" s="60">
        <v>2</v>
      </c>
      <c r="E15" s="60">
        <v>2</v>
      </c>
      <c r="F15" s="60">
        <v>5</v>
      </c>
      <c r="G15" s="60">
        <v>5</v>
      </c>
      <c r="H15" s="60">
        <v>5</v>
      </c>
      <c r="I15" s="60">
        <v>4</v>
      </c>
      <c r="J15" s="60">
        <v>3</v>
      </c>
      <c r="K15" s="60">
        <v>4</v>
      </c>
      <c r="L15" s="60">
        <v>2</v>
      </c>
      <c r="M15" s="60">
        <v>5</v>
      </c>
      <c r="N15" s="60">
        <v>4</v>
      </c>
      <c r="O15" s="60">
        <v>4</v>
      </c>
      <c r="P15" s="60">
        <v>5</v>
      </c>
      <c r="Q15" s="60">
        <v>3</v>
      </c>
      <c r="R15" s="60">
        <v>4</v>
      </c>
      <c r="S15" s="60">
        <v>2</v>
      </c>
      <c r="T15" s="60">
        <v>5</v>
      </c>
      <c r="U15" s="60">
        <v>2</v>
      </c>
      <c r="V15" s="60">
        <v>4</v>
      </c>
      <c r="W15" s="60">
        <v>3</v>
      </c>
      <c r="X15" s="60">
        <v>3</v>
      </c>
      <c r="Y15" s="60">
        <v>3</v>
      </c>
      <c r="Z15" s="60">
        <v>4</v>
      </c>
    </row>
    <row r="16" spans="1:27">
      <c r="A16" s="60">
        <v>5</v>
      </c>
      <c r="B16" s="60">
        <v>4</v>
      </c>
      <c r="C16" s="60">
        <v>3</v>
      </c>
      <c r="D16" s="60">
        <v>2</v>
      </c>
      <c r="E16" s="60">
        <v>3</v>
      </c>
      <c r="F16" s="60">
        <v>6</v>
      </c>
      <c r="G16" s="60">
        <v>6</v>
      </c>
      <c r="H16" s="60">
        <v>5</v>
      </c>
      <c r="I16" s="60">
        <v>2</v>
      </c>
      <c r="J16" s="60">
        <v>3</v>
      </c>
      <c r="K16" s="60">
        <v>5</v>
      </c>
      <c r="L16" s="60">
        <v>2</v>
      </c>
      <c r="M16" s="60">
        <v>5</v>
      </c>
      <c r="N16" s="60">
        <v>5</v>
      </c>
      <c r="O16" s="60">
        <v>4</v>
      </c>
      <c r="P16" s="60">
        <v>6</v>
      </c>
      <c r="Q16" s="60">
        <v>2</v>
      </c>
      <c r="R16" s="60">
        <v>3</v>
      </c>
      <c r="S16" s="60">
        <v>3</v>
      </c>
      <c r="T16" s="60">
        <v>6</v>
      </c>
      <c r="U16" s="60">
        <v>2</v>
      </c>
      <c r="V16" s="60">
        <v>6</v>
      </c>
      <c r="W16" s="60">
        <v>4</v>
      </c>
      <c r="X16" s="60">
        <v>6</v>
      </c>
      <c r="Y16" s="60">
        <v>3</v>
      </c>
      <c r="Z16" s="60">
        <v>4</v>
      </c>
    </row>
    <row r="17" spans="1:26">
      <c r="A17" s="60">
        <v>6</v>
      </c>
      <c r="B17" s="60">
        <v>6</v>
      </c>
      <c r="C17" s="60">
        <v>2</v>
      </c>
      <c r="D17" s="60">
        <v>2</v>
      </c>
      <c r="E17" s="60">
        <v>3</v>
      </c>
      <c r="F17" s="60">
        <v>6</v>
      </c>
      <c r="G17" s="60">
        <v>6</v>
      </c>
      <c r="H17" s="60">
        <v>6</v>
      </c>
      <c r="I17" s="60">
        <v>2</v>
      </c>
      <c r="J17" s="60">
        <v>2</v>
      </c>
      <c r="K17" s="60">
        <v>6</v>
      </c>
      <c r="L17" s="60">
        <v>2</v>
      </c>
      <c r="M17" s="60">
        <v>6</v>
      </c>
      <c r="N17" s="60">
        <v>6</v>
      </c>
      <c r="O17" s="60">
        <v>3</v>
      </c>
      <c r="P17" s="60">
        <v>6</v>
      </c>
      <c r="Q17" s="60">
        <v>2</v>
      </c>
      <c r="R17" s="60">
        <v>3</v>
      </c>
      <c r="S17" s="60">
        <v>2</v>
      </c>
      <c r="T17" s="60">
        <v>6</v>
      </c>
      <c r="U17" s="60">
        <v>2</v>
      </c>
      <c r="V17" s="60">
        <v>6</v>
      </c>
      <c r="W17" s="60">
        <v>2</v>
      </c>
      <c r="X17" s="60">
        <v>2</v>
      </c>
      <c r="Y17" s="60">
        <v>2</v>
      </c>
      <c r="Z17" s="60">
        <v>3</v>
      </c>
    </row>
    <row r="18" spans="1:26">
      <c r="A18" s="60">
        <v>7</v>
      </c>
      <c r="B18" s="60">
        <v>7</v>
      </c>
      <c r="C18" s="60">
        <v>4</v>
      </c>
      <c r="D18" s="60">
        <v>1</v>
      </c>
      <c r="E18" s="60">
        <v>3</v>
      </c>
      <c r="F18" s="60">
        <v>5</v>
      </c>
      <c r="G18" s="60">
        <v>7</v>
      </c>
      <c r="H18" s="60">
        <v>5</v>
      </c>
      <c r="I18" s="60">
        <v>1</v>
      </c>
      <c r="J18" s="60">
        <v>4</v>
      </c>
      <c r="K18" s="60">
        <v>7</v>
      </c>
      <c r="L18" s="60">
        <v>1</v>
      </c>
      <c r="M18" s="60">
        <v>7</v>
      </c>
      <c r="N18" s="60">
        <v>7</v>
      </c>
      <c r="O18" s="60">
        <v>7</v>
      </c>
      <c r="P18" s="60">
        <v>7</v>
      </c>
      <c r="Q18" s="60">
        <v>1</v>
      </c>
      <c r="R18" s="60">
        <v>3</v>
      </c>
      <c r="S18" s="60">
        <v>1</v>
      </c>
      <c r="T18" s="60">
        <v>7</v>
      </c>
      <c r="U18" s="60">
        <v>1</v>
      </c>
      <c r="V18" s="60">
        <v>7</v>
      </c>
      <c r="W18" s="60">
        <v>1</v>
      </c>
      <c r="X18" s="60">
        <v>1</v>
      </c>
      <c r="Y18" s="60">
        <v>1</v>
      </c>
      <c r="Z18" s="60">
        <v>1</v>
      </c>
    </row>
    <row r="19" spans="1:26">
      <c r="A19" s="60">
        <v>7</v>
      </c>
      <c r="B19" s="60">
        <v>7</v>
      </c>
      <c r="C19" s="60">
        <v>1</v>
      </c>
      <c r="D19" s="60">
        <v>1</v>
      </c>
      <c r="E19" s="60">
        <v>1</v>
      </c>
      <c r="F19" s="60">
        <v>6</v>
      </c>
      <c r="G19" s="60">
        <v>6</v>
      </c>
      <c r="H19" s="60">
        <v>4</v>
      </c>
      <c r="I19" s="60">
        <v>3</v>
      </c>
      <c r="J19" s="60">
        <v>3</v>
      </c>
      <c r="K19" s="60">
        <v>6</v>
      </c>
      <c r="L19" s="60">
        <v>2</v>
      </c>
      <c r="M19" s="60">
        <v>7</v>
      </c>
      <c r="N19" s="60">
        <v>7</v>
      </c>
      <c r="O19" s="60">
        <v>7</v>
      </c>
      <c r="P19" s="60">
        <v>7</v>
      </c>
      <c r="Q19" s="60">
        <v>1</v>
      </c>
      <c r="R19" s="60">
        <v>1</v>
      </c>
      <c r="S19" s="60">
        <v>1</v>
      </c>
      <c r="T19" s="60">
        <v>5</v>
      </c>
      <c r="U19" s="60">
        <v>2</v>
      </c>
      <c r="V19" s="60">
        <v>7</v>
      </c>
      <c r="W19" s="60">
        <v>1</v>
      </c>
      <c r="X19" s="60">
        <v>1</v>
      </c>
      <c r="Y19" s="60">
        <v>1</v>
      </c>
      <c r="Z19" s="60">
        <v>7</v>
      </c>
    </row>
    <row r="20" spans="1:26">
      <c r="A20" s="60">
        <v>2</v>
      </c>
      <c r="B20" s="60">
        <v>6</v>
      </c>
      <c r="C20" s="60">
        <v>3</v>
      </c>
      <c r="D20" s="60">
        <v>3</v>
      </c>
      <c r="E20" s="60">
        <v>4</v>
      </c>
      <c r="F20" s="60">
        <v>3</v>
      </c>
      <c r="G20" s="60">
        <v>2</v>
      </c>
      <c r="H20" s="60">
        <v>6</v>
      </c>
      <c r="I20" s="60">
        <v>6</v>
      </c>
      <c r="J20" s="60">
        <v>5</v>
      </c>
      <c r="K20" s="60">
        <v>2</v>
      </c>
      <c r="L20" s="60">
        <v>7</v>
      </c>
      <c r="M20" s="60">
        <v>4</v>
      </c>
      <c r="N20" s="60">
        <v>1</v>
      </c>
      <c r="O20" s="60">
        <v>5</v>
      </c>
      <c r="P20" s="60">
        <v>1</v>
      </c>
      <c r="Q20" s="60">
        <v>2</v>
      </c>
      <c r="R20" s="60">
        <v>6</v>
      </c>
      <c r="S20" s="60">
        <v>2</v>
      </c>
      <c r="T20" s="60">
        <v>7</v>
      </c>
      <c r="U20" s="60">
        <v>3</v>
      </c>
      <c r="V20" s="60">
        <v>6</v>
      </c>
      <c r="W20" s="60">
        <v>1</v>
      </c>
      <c r="X20" s="60">
        <v>4</v>
      </c>
      <c r="Y20" s="60">
        <v>4</v>
      </c>
      <c r="Z20" s="60">
        <v>5</v>
      </c>
    </row>
    <row r="21" spans="1:26">
      <c r="A21" s="60">
        <v>5</v>
      </c>
      <c r="B21" s="60">
        <v>7</v>
      </c>
      <c r="C21" s="60">
        <v>4</v>
      </c>
      <c r="D21" s="60">
        <v>2</v>
      </c>
      <c r="E21" s="60">
        <v>4</v>
      </c>
      <c r="F21" s="60">
        <v>6</v>
      </c>
      <c r="G21" s="60">
        <v>6</v>
      </c>
      <c r="H21" s="60">
        <v>3</v>
      </c>
      <c r="I21" s="60">
        <v>4</v>
      </c>
      <c r="J21" s="60">
        <v>3</v>
      </c>
      <c r="K21" s="60">
        <v>5</v>
      </c>
      <c r="L21" s="60">
        <v>2</v>
      </c>
      <c r="M21" s="60">
        <v>5</v>
      </c>
      <c r="N21" s="60">
        <v>6</v>
      </c>
      <c r="O21" s="60">
        <v>5</v>
      </c>
      <c r="P21" s="60">
        <v>7</v>
      </c>
      <c r="Q21" s="60">
        <v>3</v>
      </c>
      <c r="R21" s="60">
        <v>5</v>
      </c>
      <c r="S21" s="60">
        <v>3</v>
      </c>
      <c r="T21" s="60">
        <v>7</v>
      </c>
      <c r="U21" s="60">
        <v>3</v>
      </c>
      <c r="V21" s="60">
        <v>6</v>
      </c>
      <c r="W21" s="60">
        <v>1</v>
      </c>
      <c r="X21" s="60">
        <v>1</v>
      </c>
      <c r="Y21" s="60">
        <v>1</v>
      </c>
      <c r="Z21" s="60">
        <v>4</v>
      </c>
    </row>
    <row r="22" spans="1:26">
      <c r="A22" s="60">
        <v>6</v>
      </c>
      <c r="B22" s="60">
        <v>7</v>
      </c>
      <c r="C22" s="60">
        <v>2</v>
      </c>
      <c r="D22" s="60">
        <v>2</v>
      </c>
      <c r="E22" s="60">
        <v>2</v>
      </c>
      <c r="F22" s="60">
        <v>4</v>
      </c>
      <c r="G22" s="60">
        <v>5</v>
      </c>
      <c r="H22" s="60">
        <v>6</v>
      </c>
      <c r="I22" s="60">
        <v>2</v>
      </c>
      <c r="J22" s="60">
        <v>3</v>
      </c>
      <c r="K22" s="60">
        <v>5</v>
      </c>
      <c r="L22" s="60">
        <v>1</v>
      </c>
      <c r="M22" s="60">
        <v>7</v>
      </c>
      <c r="N22" s="60">
        <v>6</v>
      </c>
      <c r="O22" s="60">
        <v>5</v>
      </c>
      <c r="P22" s="60">
        <v>6</v>
      </c>
      <c r="Q22" s="60">
        <v>2</v>
      </c>
      <c r="R22" s="60">
        <v>2</v>
      </c>
      <c r="S22" s="60">
        <v>2</v>
      </c>
      <c r="T22" s="60">
        <v>6</v>
      </c>
      <c r="U22" s="60">
        <v>2</v>
      </c>
      <c r="V22" s="60">
        <v>7</v>
      </c>
      <c r="W22" s="60">
        <v>1</v>
      </c>
      <c r="X22" s="60">
        <v>2</v>
      </c>
      <c r="Y22" s="60">
        <v>1</v>
      </c>
      <c r="Z22" s="60">
        <v>6</v>
      </c>
    </row>
    <row r="23" spans="1:26">
      <c r="A23" s="60">
        <v>6</v>
      </c>
      <c r="B23" s="60">
        <v>6</v>
      </c>
      <c r="C23" s="60">
        <v>2</v>
      </c>
      <c r="D23" s="60">
        <v>2</v>
      </c>
      <c r="E23" s="60">
        <v>2</v>
      </c>
      <c r="F23" s="60">
        <v>6</v>
      </c>
      <c r="G23" s="60">
        <v>6</v>
      </c>
      <c r="H23" s="60">
        <v>5</v>
      </c>
      <c r="I23" s="60">
        <v>2</v>
      </c>
      <c r="J23" s="60">
        <v>1</v>
      </c>
      <c r="K23" s="60">
        <v>6</v>
      </c>
      <c r="L23" s="60">
        <v>2</v>
      </c>
      <c r="M23" s="60">
        <v>5</v>
      </c>
      <c r="N23" s="60">
        <v>6</v>
      </c>
      <c r="O23" s="60">
        <v>7</v>
      </c>
      <c r="P23" s="60">
        <v>6</v>
      </c>
      <c r="Q23" s="60">
        <v>2</v>
      </c>
      <c r="R23" s="60">
        <v>3</v>
      </c>
      <c r="S23" s="60">
        <v>1</v>
      </c>
      <c r="T23" s="60">
        <v>7</v>
      </c>
      <c r="U23" s="60">
        <v>2</v>
      </c>
      <c r="V23" s="60">
        <v>6</v>
      </c>
      <c r="W23" s="60">
        <v>2</v>
      </c>
      <c r="X23" s="60">
        <v>2</v>
      </c>
      <c r="Y23" s="60">
        <v>2</v>
      </c>
      <c r="Z23" s="60">
        <v>7</v>
      </c>
    </row>
    <row r="24" spans="1:26">
      <c r="A24" s="60">
        <v>6</v>
      </c>
      <c r="B24" s="60">
        <v>5</v>
      </c>
      <c r="C24" s="60">
        <v>2</v>
      </c>
      <c r="D24" s="60">
        <v>2</v>
      </c>
      <c r="E24" s="60">
        <v>2</v>
      </c>
      <c r="F24" s="60">
        <v>6</v>
      </c>
      <c r="G24" s="60">
        <v>6</v>
      </c>
      <c r="H24" s="60">
        <v>3</v>
      </c>
      <c r="I24" s="60">
        <v>2</v>
      </c>
      <c r="J24" s="60">
        <v>1</v>
      </c>
      <c r="K24" s="60">
        <v>6</v>
      </c>
      <c r="L24" s="60">
        <v>1</v>
      </c>
      <c r="M24" s="60">
        <v>5</v>
      </c>
      <c r="N24" s="60">
        <v>7</v>
      </c>
      <c r="O24" s="60">
        <v>5</v>
      </c>
      <c r="P24" s="60">
        <v>6</v>
      </c>
      <c r="Q24" s="60">
        <v>2</v>
      </c>
      <c r="R24" s="60">
        <v>3</v>
      </c>
      <c r="S24" s="60">
        <v>1</v>
      </c>
      <c r="T24" s="60">
        <v>7</v>
      </c>
      <c r="U24" s="60">
        <v>2</v>
      </c>
      <c r="V24" s="60">
        <v>6</v>
      </c>
      <c r="W24" s="60">
        <v>3</v>
      </c>
      <c r="X24" s="60">
        <v>4</v>
      </c>
      <c r="Y24" s="60">
        <v>2</v>
      </c>
      <c r="Z24" s="60">
        <v>6</v>
      </c>
    </row>
    <row r="25" spans="1:26">
      <c r="A25" s="60">
        <v>7</v>
      </c>
      <c r="B25" s="60">
        <v>7</v>
      </c>
      <c r="C25" s="60">
        <v>1</v>
      </c>
      <c r="D25" s="60">
        <v>1</v>
      </c>
      <c r="E25" s="60">
        <v>1</v>
      </c>
      <c r="F25" s="60">
        <v>7</v>
      </c>
      <c r="G25" s="60">
        <v>7</v>
      </c>
      <c r="H25" s="60">
        <v>6</v>
      </c>
      <c r="I25" s="60">
        <v>2</v>
      </c>
      <c r="J25" s="60">
        <v>2</v>
      </c>
      <c r="K25" s="60">
        <v>4</v>
      </c>
      <c r="L25" s="60">
        <v>3</v>
      </c>
      <c r="M25" s="60">
        <v>5</v>
      </c>
      <c r="N25" s="60">
        <v>5</v>
      </c>
      <c r="O25" s="60">
        <v>6</v>
      </c>
      <c r="P25" s="60">
        <v>6</v>
      </c>
      <c r="Q25" s="60">
        <v>2</v>
      </c>
      <c r="R25" s="60">
        <v>2</v>
      </c>
      <c r="S25" s="60">
        <v>2</v>
      </c>
      <c r="T25" s="60">
        <v>7</v>
      </c>
      <c r="U25" s="60">
        <v>2</v>
      </c>
      <c r="V25" s="60">
        <v>6</v>
      </c>
      <c r="W25" s="60">
        <v>2</v>
      </c>
      <c r="X25" s="60">
        <v>2</v>
      </c>
      <c r="Y25" s="60">
        <v>2</v>
      </c>
      <c r="Z25" s="60">
        <v>6</v>
      </c>
    </row>
    <row r="26" spans="1:26">
      <c r="A26" s="60">
        <v>7</v>
      </c>
      <c r="B26" s="60">
        <v>6</v>
      </c>
      <c r="C26" s="60">
        <v>1</v>
      </c>
      <c r="D26" s="60">
        <v>1</v>
      </c>
      <c r="E26" s="60">
        <v>1</v>
      </c>
      <c r="F26" s="60">
        <v>6</v>
      </c>
      <c r="G26" s="60">
        <v>6</v>
      </c>
      <c r="H26" s="60">
        <v>4</v>
      </c>
      <c r="I26" s="60">
        <v>1</v>
      </c>
      <c r="J26" s="60">
        <v>6</v>
      </c>
      <c r="K26" s="60">
        <v>6</v>
      </c>
      <c r="L26" s="60">
        <v>1</v>
      </c>
      <c r="M26" s="60">
        <v>7</v>
      </c>
      <c r="N26" s="60">
        <v>6</v>
      </c>
      <c r="O26" s="60">
        <v>7</v>
      </c>
      <c r="P26" s="60">
        <v>6</v>
      </c>
      <c r="Q26" s="60">
        <v>1</v>
      </c>
      <c r="R26" s="60">
        <v>1</v>
      </c>
      <c r="S26" s="60">
        <v>2</v>
      </c>
      <c r="T26" s="60">
        <v>7</v>
      </c>
      <c r="U26" s="60">
        <v>1</v>
      </c>
      <c r="V26" s="60">
        <v>6</v>
      </c>
      <c r="W26" s="60">
        <v>2</v>
      </c>
      <c r="X26" s="60">
        <v>2</v>
      </c>
      <c r="Y26" s="60">
        <v>2</v>
      </c>
      <c r="Z26" s="60">
        <v>2</v>
      </c>
    </row>
    <row r="27" spans="1:26">
      <c r="A27" s="60">
        <v>5</v>
      </c>
      <c r="B27" s="60">
        <v>7</v>
      </c>
      <c r="C27" s="60">
        <v>4</v>
      </c>
      <c r="D27" s="60">
        <v>1</v>
      </c>
      <c r="E27" s="60">
        <v>1</v>
      </c>
      <c r="F27" s="60">
        <v>4</v>
      </c>
      <c r="G27" s="60">
        <v>5</v>
      </c>
      <c r="H27" s="60">
        <v>6</v>
      </c>
      <c r="I27" s="60">
        <v>2</v>
      </c>
      <c r="J27" s="60">
        <v>6</v>
      </c>
      <c r="K27" s="60">
        <v>6</v>
      </c>
      <c r="L27" s="60">
        <v>1</v>
      </c>
      <c r="M27" s="60">
        <v>7</v>
      </c>
      <c r="N27" s="60">
        <v>6</v>
      </c>
      <c r="O27" s="60">
        <v>2</v>
      </c>
      <c r="P27" s="60">
        <v>6</v>
      </c>
      <c r="Q27" s="60">
        <v>2</v>
      </c>
      <c r="R27" s="60">
        <v>4</v>
      </c>
      <c r="S27" s="60">
        <v>2</v>
      </c>
      <c r="T27" s="60">
        <v>7</v>
      </c>
      <c r="U27" s="60">
        <v>1</v>
      </c>
      <c r="V27" s="60">
        <v>7</v>
      </c>
      <c r="W27" s="60">
        <v>1</v>
      </c>
      <c r="X27" s="60">
        <v>3</v>
      </c>
      <c r="Y27" s="60">
        <v>1</v>
      </c>
      <c r="Z27" s="60">
        <v>4</v>
      </c>
    </row>
    <row r="28" spans="1:26">
      <c r="A28" s="60">
        <v>5</v>
      </c>
      <c r="B28" s="60">
        <v>7</v>
      </c>
      <c r="C28" s="60">
        <v>4</v>
      </c>
      <c r="D28" s="60">
        <v>2</v>
      </c>
      <c r="E28" s="60">
        <v>4</v>
      </c>
      <c r="F28" s="60">
        <v>4</v>
      </c>
      <c r="G28" s="60">
        <v>4</v>
      </c>
      <c r="H28" s="60">
        <v>6</v>
      </c>
      <c r="I28" s="60">
        <v>3</v>
      </c>
      <c r="J28" s="60">
        <v>4</v>
      </c>
      <c r="K28" s="60">
        <v>4</v>
      </c>
      <c r="L28" s="60">
        <v>3</v>
      </c>
      <c r="M28" s="60">
        <v>6</v>
      </c>
      <c r="N28" s="60">
        <v>3</v>
      </c>
      <c r="O28" s="60">
        <v>4</v>
      </c>
      <c r="P28" s="60">
        <v>5</v>
      </c>
      <c r="Q28" s="60">
        <v>2</v>
      </c>
      <c r="R28" s="60">
        <v>3</v>
      </c>
      <c r="S28" s="60">
        <v>2</v>
      </c>
      <c r="T28" s="60">
        <v>6</v>
      </c>
      <c r="U28" s="60">
        <v>2</v>
      </c>
      <c r="V28" s="60">
        <v>6</v>
      </c>
      <c r="W28" s="60">
        <v>2</v>
      </c>
      <c r="X28" s="60">
        <v>3</v>
      </c>
      <c r="Y28" s="60">
        <v>3</v>
      </c>
      <c r="Z28" s="60">
        <v>4</v>
      </c>
    </row>
    <row r="29" spans="1:26">
      <c r="A29" s="60">
        <v>6</v>
      </c>
      <c r="B29" s="60">
        <v>7</v>
      </c>
      <c r="C29" s="60">
        <v>2</v>
      </c>
      <c r="D29" s="60">
        <v>2</v>
      </c>
      <c r="E29" s="60">
        <v>3</v>
      </c>
      <c r="F29" s="60">
        <v>5</v>
      </c>
      <c r="G29" s="60">
        <v>4</v>
      </c>
      <c r="H29" s="60">
        <v>6</v>
      </c>
      <c r="I29" s="60">
        <v>1</v>
      </c>
      <c r="J29" s="60">
        <v>2</v>
      </c>
      <c r="K29" s="60">
        <v>5</v>
      </c>
      <c r="L29" s="60">
        <v>2</v>
      </c>
      <c r="M29" s="60">
        <v>6</v>
      </c>
      <c r="N29" s="60">
        <v>6</v>
      </c>
      <c r="O29" s="60">
        <v>6</v>
      </c>
      <c r="P29" s="60">
        <v>6</v>
      </c>
      <c r="Q29" s="60">
        <v>2</v>
      </c>
      <c r="R29" s="60">
        <v>2</v>
      </c>
      <c r="S29" s="60">
        <v>1</v>
      </c>
      <c r="T29" s="60">
        <v>7</v>
      </c>
      <c r="U29" s="60">
        <v>1</v>
      </c>
      <c r="V29" s="60">
        <v>6</v>
      </c>
      <c r="W29" s="60">
        <v>1</v>
      </c>
      <c r="X29" s="60">
        <v>2</v>
      </c>
      <c r="Y29" s="60">
        <v>1</v>
      </c>
      <c r="Z29" s="60">
        <v>6</v>
      </c>
    </row>
    <row r="30" spans="1:26">
      <c r="A30" s="60">
        <v>6</v>
      </c>
      <c r="B30" s="60">
        <v>5</v>
      </c>
      <c r="C30" s="60">
        <v>1</v>
      </c>
      <c r="D30" s="60">
        <v>3</v>
      </c>
      <c r="E30" s="60">
        <v>2</v>
      </c>
      <c r="F30" s="60">
        <v>5</v>
      </c>
      <c r="G30" s="60">
        <v>6</v>
      </c>
      <c r="H30" s="60">
        <v>5</v>
      </c>
      <c r="I30" s="60">
        <v>1</v>
      </c>
      <c r="J30" s="60">
        <v>2</v>
      </c>
      <c r="K30" s="60">
        <v>6</v>
      </c>
      <c r="L30" s="60">
        <v>2</v>
      </c>
      <c r="M30" s="60">
        <v>4</v>
      </c>
      <c r="N30" s="60">
        <v>6</v>
      </c>
      <c r="O30" s="60">
        <v>3</v>
      </c>
      <c r="P30" s="60">
        <v>6</v>
      </c>
      <c r="Q30" s="60">
        <v>2</v>
      </c>
      <c r="R30" s="60">
        <v>2</v>
      </c>
      <c r="S30" s="60">
        <v>2</v>
      </c>
      <c r="T30" s="60">
        <v>6</v>
      </c>
      <c r="U30" s="60">
        <v>2</v>
      </c>
      <c r="V30" s="60">
        <v>6</v>
      </c>
      <c r="W30" s="60">
        <v>2</v>
      </c>
      <c r="X30" s="60">
        <v>1</v>
      </c>
      <c r="Y30" s="60">
        <v>1</v>
      </c>
      <c r="Z30" s="60">
        <v>4</v>
      </c>
    </row>
    <row r="31" spans="1:26">
      <c r="A31" s="60">
        <v>3</v>
      </c>
      <c r="B31" s="60">
        <v>3</v>
      </c>
      <c r="C31" s="60">
        <v>7</v>
      </c>
      <c r="D31" s="60">
        <v>7</v>
      </c>
      <c r="E31" s="60">
        <v>4</v>
      </c>
      <c r="F31" s="60">
        <v>1</v>
      </c>
      <c r="G31" s="60">
        <v>1</v>
      </c>
      <c r="H31" s="60">
        <v>7</v>
      </c>
      <c r="I31" s="60">
        <v>4</v>
      </c>
      <c r="J31" s="60">
        <v>4</v>
      </c>
      <c r="K31" s="60">
        <v>4</v>
      </c>
      <c r="L31" s="60">
        <v>7</v>
      </c>
      <c r="M31" s="60">
        <v>1</v>
      </c>
      <c r="N31" s="60">
        <v>1</v>
      </c>
      <c r="O31" s="60">
        <v>4</v>
      </c>
      <c r="P31" s="60">
        <v>4</v>
      </c>
      <c r="Q31" s="60">
        <v>4</v>
      </c>
      <c r="R31" s="60">
        <v>7</v>
      </c>
      <c r="S31" s="60">
        <v>7</v>
      </c>
      <c r="T31" s="60">
        <v>1</v>
      </c>
      <c r="U31" s="60">
        <v>7</v>
      </c>
      <c r="V31" s="60">
        <v>4</v>
      </c>
      <c r="W31" s="60">
        <v>7</v>
      </c>
      <c r="X31" s="60">
        <v>7</v>
      </c>
      <c r="Y31" s="60">
        <v>4</v>
      </c>
      <c r="Z31" s="60">
        <v>4</v>
      </c>
    </row>
    <row r="32" spans="1:26">
      <c r="A32" s="60">
        <v>7</v>
      </c>
      <c r="B32" s="60">
        <v>6</v>
      </c>
      <c r="C32" s="60">
        <v>1</v>
      </c>
      <c r="D32" s="60">
        <v>1</v>
      </c>
      <c r="E32" s="60">
        <v>2</v>
      </c>
      <c r="F32" s="60">
        <v>7</v>
      </c>
      <c r="G32" s="60">
        <v>6</v>
      </c>
      <c r="H32" s="60">
        <v>5</v>
      </c>
      <c r="I32" s="60">
        <v>2</v>
      </c>
      <c r="J32" s="60">
        <v>2</v>
      </c>
      <c r="K32" s="60">
        <v>6</v>
      </c>
      <c r="L32" s="60">
        <v>1</v>
      </c>
      <c r="M32" s="60">
        <v>7</v>
      </c>
      <c r="N32" s="60">
        <v>7</v>
      </c>
      <c r="O32" s="60">
        <v>6</v>
      </c>
      <c r="P32" s="60">
        <v>7</v>
      </c>
      <c r="Q32" s="60">
        <v>1</v>
      </c>
      <c r="R32" s="60">
        <v>2</v>
      </c>
      <c r="S32" s="60">
        <v>1</v>
      </c>
      <c r="T32" s="60">
        <v>7</v>
      </c>
      <c r="U32" s="60">
        <v>1</v>
      </c>
      <c r="V32" s="60">
        <v>7</v>
      </c>
      <c r="W32" s="60">
        <v>1</v>
      </c>
      <c r="X32" s="60">
        <v>1</v>
      </c>
      <c r="Y32" s="60">
        <v>1</v>
      </c>
      <c r="Z32" s="60">
        <v>6</v>
      </c>
    </row>
    <row r="33" spans="1:26">
      <c r="A33" s="60">
        <v>3</v>
      </c>
      <c r="B33" s="60">
        <v>5</v>
      </c>
      <c r="C33" s="60">
        <v>4</v>
      </c>
      <c r="D33" s="60">
        <v>5</v>
      </c>
      <c r="E33" s="60">
        <v>4</v>
      </c>
      <c r="F33" s="60">
        <v>4</v>
      </c>
      <c r="G33" s="60">
        <v>3</v>
      </c>
      <c r="H33" s="60">
        <v>4</v>
      </c>
      <c r="I33" s="60">
        <v>3</v>
      </c>
      <c r="J33" s="60">
        <v>3</v>
      </c>
      <c r="K33" s="60">
        <v>3</v>
      </c>
      <c r="L33" s="60">
        <v>3</v>
      </c>
      <c r="M33" s="60">
        <v>4</v>
      </c>
      <c r="N33" s="60">
        <v>5</v>
      </c>
      <c r="O33" s="60">
        <v>5</v>
      </c>
      <c r="P33" s="60">
        <v>5</v>
      </c>
      <c r="Q33" s="60">
        <v>5</v>
      </c>
      <c r="R33" s="60">
        <v>4</v>
      </c>
      <c r="S33" s="60">
        <v>5</v>
      </c>
      <c r="T33" s="60">
        <v>4</v>
      </c>
      <c r="U33" s="60">
        <v>5</v>
      </c>
      <c r="V33" s="60">
        <v>4</v>
      </c>
      <c r="W33" s="60">
        <v>3</v>
      </c>
      <c r="X33" s="60">
        <v>4</v>
      </c>
      <c r="Y33" s="60">
        <v>4</v>
      </c>
      <c r="Z33" s="60">
        <v>4</v>
      </c>
    </row>
    <row r="34" spans="1:26">
      <c r="A34" s="60">
        <v>6</v>
      </c>
      <c r="B34" s="60">
        <v>7</v>
      </c>
      <c r="C34" s="60">
        <v>3</v>
      </c>
      <c r="D34" s="60">
        <v>2</v>
      </c>
      <c r="E34" s="60">
        <v>2</v>
      </c>
      <c r="F34" s="60">
        <v>6</v>
      </c>
      <c r="G34" s="60">
        <v>6</v>
      </c>
      <c r="H34" s="60">
        <v>6</v>
      </c>
      <c r="I34" s="60">
        <v>2</v>
      </c>
      <c r="J34" s="60">
        <v>2</v>
      </c>
      <c r="K34" s="60">
        <v>6</v>
      </c>
      <c r="L34" s="60">
        <v>2</v>
      </c>
      <c r="M34" s="60">
        <v>6</v>
      </c>
      <c r="N34" s="60">
        <v>6</v>
      </c>
      <c r="O34" s="60">
        <v>6</v>
      </c>
      <c r="P34" s="60">
        <v>6</v>
      </c>
      <c r="Q34" s="60">
        <v>2</v>
      </c>
      <c r="R34" s="60">
        <v>2</v>
      </c>
      <c r="S34" s="60">
        <v>2</v>
      </c>
      <c r="T34" s="60">
        <v>6</v>
      </c>
      <c r="U34" s="60">
        <v>2</v>
      </c>
      <c r="V34" s="60">
        <v>6</v>
      </c>
      <c r="W34" s="60">
        <v>2</v>
      </c>
      <c r="X34" s="60">
        <v>2</v>
      </c>
      <c r="Y34" s="60">
        <v>2</v>
      </c>
      <c r="Z34" s="60">
        <v>6</v>
      </c>
    </row>
    <row r="35" spans="1:26">
      <c r="A35" s="60">
        <v>5</v>
      </c>
      <c r="B35" s="60">
        <v>5</v>
      </c>
      <c r="C35" s="60">
        <v>4</v>
      </c>
      <c r="D35" s="60">
        <v>3</v>
      </c>
      <c r="E35" s="60">
        <v>3</v>
      </c>
      <c r="F35" s="60">
        <v>5</v>
      </c>
      <c r="G35" s="60">
        <v>2</v>
      </c>
      <c r="H35" s="60">
        <v>5</v>
      </c>
      <c r="I35" s="60">
        <v>3</v>
      </c>
      <c r="J35" s="60">
        <v>5</v>
      </c>
      <c r="K35" s="60">
        <v>2</v>
      </c>
      <c r="L35" s="60">
        <v>2</v>
      </c>
      <c r="M35" s="60">
        <v>5</v>
      </c>
      <c r="N35" s="60">
        <v>3</v>
      </c>
      <c r="O35" s="60">
        <v>5</v>
      </c>
      <c r="P35" s="60">
        <v>3</v>
      </c>
      <c r="Q35" s="60">
        <v>2</v>
      </c>
      <c r="R35" s="60">
        <v>2</v>
      </c>
      <c r="S35" s="60">
        <v>3</v>
      </c>
      <c r="T35" s="60">
        <v>5</v>
      </c>
      <c r="U35" s="60">
        <v>2</v>
      </c>
      <c r="V35" s="60">
        <v>4</v>
      </c>
      <c r="W35" s="60">
        <v>4</v>
      </c>
      <c r="X35" s="60">
        <v>3</v>
      </c>
      <c r="Y35" s="60">
        <v>2</v>
      </c>
      <c r="Z35" s="60">
        <v>3</v>
      </c>
    </row>
    <row r="36" spans="1:26">
      <c r="A36" s="60">
        <v>7</v>
      </c>
      <c r="B36" s="60">
        <v>7</v>
      </c>
      <c r="C36" s="60">
        <v>1</v>
      </c>
      <c r="D36" s="60">
        <v>1</v>
      </c>
      <c r="E36" s="60">
        <v>1</v>
      </c>
      <c r="F36" s="60">
        <v>4</v>
      </c>
      <c r="G36" s="60">
        <v>6</v>
      </c>
      <c r="H36" s="60">
        <v>4</v>
      </c>
      <c r="I36" s="60">
        <v>1</v>
      </c>
      <c r="J36" s="60">
        <v>1</v>
      </c>
      <c r="K36" s="60">
        <v>7</v>
      </c>
      <c r="L36" s="60">
        <v>1</v>
      </c>
      <c r="M36" s="60">
        <v>7</v>
      </c>
      <c r="N36" s="60">
        <v>7</v>
      </c>
      <c r="O36" s="60">
        <v>7</v>
      </c>
      <c r="P36" s="60">
        <v>7</v>
      </c>
      <c r="Q36" s="60">
        <v>1</v>
      </c>
      <c r="R36" s="60">
        <v>1</v>
      </c>
      <c r="S36" s="60">
        <v>1</v>
      </c>
      <c r="T36" s="60">
        <v>7</v>
      </c>
      <c r="U36" s="60">
        <v>1</v>
      </c>
      <c r="V36" s="60">
        <v>7</v>
      </c>
      <c r="W36" s="60">
        <v>1</v>
      </c>
      <c r="X36" s="60">
        <v>1</v>
      </c>
      <c r="Y36" s="60">
        <v>1</v>
      </c>
      <c r="Z36" s="60">
        <v>7</v>
      </c>
    </row>
    <row r="37" spans="1:26">
      <c r="A37" s="60">
        <v>5</v>
      </c>
      <c r="B37" s="60">
        <v>7</v>
      </c>
      <c r="C37" s="60">
        <v>1</v>
      </c>
      <c r="D37" s="60">
        <v>2</v>
      </c>
      <c r="E37" s="60">
        <v>2</v>
      </c>
      <c r="F37" s="60">
        <v>5</v>
      </c>
      <c r="G37" s="60">
        <v>6</v>
      </c>
      <c r="H37" s="60">
        <v>5</v>
      </c>
      <c r="I37" s="60">
        <v>2</v>
      </c>
      <c r="J37" s="60">
        <v>1</v>
      </c>
      <c r="K37" s="60">
        <v>6</v>
      </c>
      <c r="L37" s="60">
        <v>1</v>
      </c>
      <c r="M37" s="60">
        <v>6</v>
      </c>
      <c r="N37" s="60">
        <v>6</v>
      </c>
      <c r="O37" s="60">
        <v>6</v>
      </c>
      <c r="P37" s="60">
        <v>6</v>
      </c>
      <c r="Q37" s="60">
        <v>1</v>
      </c>
      <c r="R37" s="60">
        <v>4</v>
      </c>
      <c r="S37" s="60">
        <v>2</v>
      </c>
      <c r="T37" s="60">
        <v>6</v>
      </c>
      <c r="U37" s="60">
        <v>3</v>
      </c>
      <c r="V37" s="60">
        <v>7</v>
      </c>
      <c r="W37" s="60">
        <v>1</v>
      </c>
      <c r="X37" s="60">
        <v>2</v>
      </c>
      <c r="Y37" s="60">
        <v>2</v>
      </c>
      <c r="Z37" s="60">
        <v>6</v>
      </c>
    </row>
    <row r="38" spans="1:26">
      <c r="A38" s="60">
        <v>5</v>
      </c>
      <c r="B38" s="60">
        <v>5</v>
      </c>
      <c r="C38" s="60">
        <v>4</v>
      </c>
      <c r="D38" s="60">
        <v>2</v>
      </c>
      <c r="E38" s="60">
        <v>2</v>
      </c>
      <c r="F38" s="60">
        <v>5</v>
      </c>
      <c r="G38" s="60">
        <v>5</v>
      </c>
      <c r="H38" s="60">
        <v>3</v>
      </c>
      <c r="I38" s="60">
        <v>2</v>
      </c>
      <c r="J38" s="60">
        <v>3</v>
      </c>
      <c r="K38" s="60">
        <v>5</v>
      </c>
      <c r="L38" s="60">
        <v>2</v>
      </c>
      <c r="M38" s="60">
        <v>6</v>
      </c>
      <c r="N38" s="60">
        <v>6</v>
      </c>
      <c r="O38" s="60">
        <v>4</v>
      </c>
      <c r="P38" s="60">
        <v>5</v>
      </c>
      <c r="Q38" s="60">
        <v>2</v>
      </c>
      <c r="R38" s="60">
        <v>3</v>
      </c>
      <c r="S38" s="60">
        <v>2</v>
      </c>
      <c r="T38" s="60">
        <v>6</v>
      </c>
      <c r="U38" s="60">
        <v>6</v>
      </c>
      <c r="V38" s="60">
        <v>6</v>
      </c>
      <c r="W38" s="60">
        <v>5</v>
      </c>
      <c r="X38" s="60">
        <v>3</v>
      </c>
      <c r="Y38" s="60">
        <v>3</v>
      </c>
      <c r="Z38" s="60">
        <v>5</v>
      </c>
    </row>
    <row r="39" spans="1:26">
      <c r="A39" s="60">
        <v>7</v>
      </c>
      <c r="B39" s="60">
        <v>7</v>
      </c>
      <c r="C39" s="60">
        <v>1</v>
      </c>
      <c r="D39" s="60">
        <v>1</v>
      </c>
      <c r="E39" s="60">
        <v>1</v>
      </c>
      <c r="F39" s="60">
        <v>7</v>
      </c>
      <c r="G39" s="60">
        <v>7</v>
      </c>
      <c r="H39" s="60">
        <v>1</v>
      </c>
      <c r="I39" s="60">
        <v>1</v>
      </c>
      <c r="J39" s="60">
        <v>1</v>
      </c>
      <c r="K39" s="60">
        <v>7</v>
      </c>
      <c r="L39" s="60">
        <v>1</v>
      </c>
      <c r="M39" s="60">
        <v>7</v>
      </c>
      <c r="N39" s="60">
        <v>7</v>
      </c>
      <c r="O39" s="60">
        <v>7</v>
      </c>
      <c r="P39" s="60">
        <v>7</v>
      </c>
      <c r="Q39" s="60">
        <v>1</v>
      </c>
      <c r="R39" s="60">
        <v>1</v>
      </c>
      <c r="S39" s="60">
        <v>1</v>
      </c>
      <c r="T39" s="60">
        <v>7</v>
      </c>
      <c r="U39" s="60">
        <v>1</v>
      </c>
      <c r="V39" s="60">
        <v>7</v>
      </c>
      <c r="W39" s="60">
        <v>1</v>
      </c>
      <c r="X39" s="60">
        <v>1</v>
      </c>
      <c r="Y39" s="60">
        <v>1</v>
      </c>
      <c r="Z39" s="60">
        <v>7</v>
      </c>
    </row>
    <row r="40" spans="1:26">
      <c r="A40" s="60">
        <v>6</v>
      </c>
      <c r="B40" s="60">
        <v>7</v>
      </c>
      <c r="C40" s="60">
        <v>2</v>
      </c>
      <c r="D40" s="60">
        <v>1</v>
      </c>
      <c r="E40" s="60">
        <v>1</v>
      </c>
      <c r="F40" s="60">
        <v>6</v>
      </c>
      <c r="G40" s="60">
        <v>6</v>
      </c>
      <c r="H40" s="60">
        <v>3</v>
      </c>
      <c r="I40" s="60">
        <v>1</v>
      </c>
      <c r="J40" s="60">
        <v>2</v>
      </c>
      <c r="K40" s="60">
        <v>7</v>
      </c>
      <c r="L40" s="60">
        <v>1</v>
      </c>
      <c r="M40" s="60">
        <v>6</v>
      </c>
      <c r="N40" s="60">
        <v>7</v>
      </c>
      <c r="O40" s="60">
        <v>5</v>
      </c>
      <c r="P40" s="60">
        <v>6</v>
      </c>
      <c r="Q40" s="60">
        <v>1</v>
      </c>
      <c r="R40" s="60">
        <v>3</v>
      </c>
      <c r="S40" s="60">
        <v>1</v>
      </c>
      <c r="T40" s="60">
        <v>6</v>
      </c>
      <c r="U40" s="60">
        <v>1</v>
      </c>
      <c r="V40" s="60">
        <v>7</v>
      </c>
      <c r="W40" s="60">
        <v>1</v>
      </c>
      <c r="X40" s="60">
        <v>2</v>
      </c>
      <c r="Y40" s="60">
        <v>1</v>
      </c>
      <c r="Z40" s="60">
        <v>6</v>
      </c>
    </row>
    <row r="41" spans="1:26">
      <c r="A41" s="60">
        <v>6</v>
      </c>
      <c r="B41" s="60">
        <v>7</v>
      </c>
      <c r="C41" s="60">
        <v>2</v>
      </c>
      <c r="D41" s="60">
        <v>1</v>
      </c>
      <c r="E41" s="60">
        <v>2</v>
      </c>
      <c r="F41" s="60">
        <v>6</v>
      </c>
      <c r="G41" s="60">
        <v>6</v>
      </c>
      <c r="H41" s="60">
        <v>4</v>
      </c>
      <c r="I41" s="60">
        <v>2</v>
      </c>
      <c r="J41" s="60">
        <v>1</v>
      </c>
      <c r="K41" s="60">
        <v>7</v>
      </c>
      <c r="L41" s="60">
        <v>1</v>
      </c>
      <c r="M41" s="60">
        <v>7</v>
      </c>
      <c r="N41" s="60">
        <v>6</v>
      </c>
      <c r="O41" s="60">
        <v>5</v>
      </c>
      <c r="P41" s="60">
        <v>7</v>
      </c>
      <c r="Q41" s="60">
        <v>1</v>
      </c>
      <c r="R41" s="60">
        <v>1</v>
      </c>
      <c r="S41" s="60">
        <v>1</v>
      </c>
      <c r="T41" s="60">
        <v>7</v>
      </c>
      <c r="U41" s="60">
        <v>1</v>
      </c>
      <c r="V41" s="60">
        <v>7</v>
      </c>
      <c r="W41" s="60">
        <v>1</v>
      </c>
      <c r="X41" s="60">
        <v>1</v>
      </c>
      <c r="Y41" s="60">
        <v>1</v>
      </c>
      <c r="Z41" s="60">
        <v>4</v>
      </c>
    </row>
    <row r="42" spans="1:26">
      <c r="A42" s="60">
        <v>7</v>
      </c>
      <c r="B42" s="60">
        <v>7</v>
      </c>
      <c r="C42" s="60">
        <v>2</v>
      </c>
      <c r="D42" s="60">
        <v>1</v>
      </c>
      <c r="E42" s="60">
        <v>1</v>
      </c>
      <c r="F42" s="60">
        <v>6</v>
      </c>
      <c r="G42" s="60">
        <v>6</v>
      </c>
      <c r="H42" s="60">
        <v>4</v>
      </c>
      <c r="I42" s="60">
        <v>1</v>
      </c>
      <c r="J42" s="60">
        <v>4</v>
      </c>
      <c r="K42" s="60">
        <v>7</v>
      </c>
      <c r="L42" s="60">
        <v>1</v>
      </c>
      <c r="M42" s="60">
        <v>7</v>
      </c>
      <c r="N42" s="60">
        <v>7</v>
      </c>
      <c r="O42" s="60">
        <v>4</v>
      </c>
      <c r="P42" s="60">
        <v>7</v>
      </c>
      <c r="Q42" s="60">
        <v>2</v>
      </c>
      <c r="R42" s="60">
        <v>3</v>
      </c>
      <c r="S42" s="60">
        <v>1</v>
      </c>
      <c r="T42" s="60">
        <v>7</v>
      </c>
      <c r="U42" s="60">
        <v>1</v>
      </c>
      <c r="V42" s="60">
        <v>7</v>
      </c>
      <c r="W42" s="60">
        <v>1</v>
      </c>
      <c r="X42" s="60">
        <v>1</v>
      </c>
      <c r="Y42" s="60">
        <v>1</v>
      </c>
      <c r="Z42" s="60">
        <v>4</v>
      </c>
    </row>
    <row r="43" spans="1:26">
      <c r="A43" s="60">
        <v>5</v>
      </c>
      <c r="B43" s="60">
        <v>6</v>
      </c>
      <c r="C43" s="60">
        <v>4</v>
      </c>
      <c r="D43" s="60">
        <v>3</v>
      </c>
      <c r="E43" s="60">
        <v>2</v>
      </c>
      <c r="F43" s="60">
        <v>6</v>
      </c>
      <c r="G43" s="60">
        <v>6</v>
      </c>
      <c r="H43" s="60">
        <v>4</v>
      </c>
      <c r="I43" s="60">
        <v>3</v>
      </c>
      <c r="J43" s="60">
        <v>4</v>
      </c>
      <c r="K43" s="60">
        <v>4</v>
      </c>
      <c r="L43" s="60">
        <v>2</v>
      </c>
      <c r="M43" s="60">
        <v>5</v>
      </c>
      <c r="N43" s="60">
        <v>6</v>
      </c>
      <c r="O43" s="60">
        <v>5</v>
      </c>
      <c r="P43" s="60">
        <v>5</v>
      </c>
      <c r="Q43" s="60">
        <v>5</v>
      </c>
      <c r="R43" s="60">
        <v>3</v>
      </c>
      <c r="S43" s="60">
        <v>3</v>
      </c>
      <c r="T43" s="60">
        <v>6</v>
      </c>
      <c r="U43" s="60">
        <v>2</v>
      </c>
      <c r="V43" s="60">
        <v>6</v>
      </c>
      <c r="W43" s="60">
        <v>2</v>
      </c>
      <c r="X43" s="60">
        <v>3</v>
      </c>
      <c r="Y43" s="60">
        <v>4</v>
      </c>
      <c r="Z43" s="60">
        <v>5</v>
      </c>
    </row>
    <row r="44" spans="1:26">
      <c r="A44" s="60">
        <v>4</v>
      </c>
      <c r="B44" s="60">
        <v>6</v>
      </c>
      <c r="C44" s="60">
        <v>4</v>
      </c>
      <c r="D44" s="60">
        <v>3</v>
      </c>
      <c r="E44" s="60">
        <v>4</v>
      </c>
      <c r="F44" s="60">
        <v>4</v>
      </c>
      <c r="G44" s="60">
        <v>4</v>
      </c>
      <c r="H44" s="60">
        <v>5</v>
      </c>
      <c r="I44" s="60">
        <v>3</v>
      </c>
      <c r="J44" s="60">
        <v>4</v>
      </c>
      <c r="K44" s="60">
        <v>5</v>
      </c>
      <c r="L44" s="60">
        <v>3</v>
      </c>
      <c r="M44" s="60">
        <v>5</v>
      </c>
      <c r="N44" s="60">
        <v>5</v>
      </c>
      <c r="O44" s="60">
        <v>3</v>
      </c>
      <c r="P44" s="60">
        <v>4</v>
      </c>
      <c r="Q44" s="60">
        <v>2</v>
      </c>
      <c r="R44" s="60">
        <v>4</v>
      </c>
      <c r="S44" s="60">
        <v>3</v>
      </c>
      <c r="T44" s="60">
        <v>5</v>
      </c>
      <c r="U44" s="60">
        <v>2</v>
      </c>
      <c r="V44" s="60">
        <v>6</v>
      </c>
      <c r="W44" s="60">
        <v>3</v>
      </c>
      <c r="X44" s="60">
        <v>4</v>
      </c>
      <c r="Y44" s="60">
        <v>3</v>
      </c>
      <c r="Z44" s="60">
        <v>3</v>
      </c>
    </row>
    <row r="45" spans="1:26">
      <c r="A45" s="60">
        <v>7</v>
      </c>
      <c r="B45" s="60">
        <v>6</v>
      </c>
      <c r="C45" s="60">
        <v>2</v>
      </c>
      <c r="D45" s="60">
        <v>6</v>
      </c>
      <c r="E45" s="60">
        <v>2</v>
      </c>
      <c r="F45" s="60">
        <v>6</v>
      </c>
      <c r="G45" s="60">
        <v>6</v>
      </c>
      <c r="H45" s="60">
        <v>6</v>
      </c>
      <c r="I45" s="60">
        <v>2</v>
      </c>
      <c r="J45" s="60">
        <v>5</v>
      </c>
      <c r="K45" s="60">
        <v>6</v>
      </c>
      <c r="L45" s="60">
        <v>2</v>
      </c>
      <c r="M45" s="60">
        <v>6</v>
      </c>
      <c r="N45" s="60">
        <v>6</v>
      </c>
      <c r="O45" s="60">
        <v>6</v>
      </c>
      <c r="P45" s="60">
        <v>6</v>
      </c>
      <c r="Q45" s="60">
        <v>2</v>
      </c>
      <c r="R45" s="60">
        <v>2</v>
      </c>
      <c r="S45" s="60">
        <v>2</v>
      </c>
      <c r="T45" s="60">
        <v>6</v>
      </c>
      <c r="U45" s="60">
        <v>2</v>
      </c>
      <c r="V45" s="60">
        <v>6</v>
      </c>
      <c r="W45" s="60">
        <v>3</v>
      </c>
      <c r="X45" s="60">
        <v>2</v>
      </c>
      <c r="Y45" s="60">
        <v>1</v>
      </c>
      <c r="Z45" s="60">
        <v>6</v>
      </c>
    </row>
    <row r="46" spans="1:26">
      <c r="A46" s="60">
        <v>6</v>
      </c>
      <c r="B46" s="60">
        <v>6</v>
      </c>
      <c r="C46" s="60">
        <v>3</v>
      </c>
      <c r="D46" s="60">
        <v>3</v>
      </c>
      <c r="E46" s="60">
        <v>3</v>
      </c>
      <c r="F46" s="60">
        <v>5</v>
      </c>
      <c r="G46" s="60">
        <v>6</v>
      </c>
      <c r="H46" s="60">
        <v>5</v>
      </c>
      <c r="I46" s="60">
        <v>2</v>
      </c>
      <c r="J46" s="60">
        <v>4</v>
      </c>
      <c r="K46" s="60">
        <v>5</v>
      </c>
      <c r="L46" s="60">
        <v>2</v>
      </c>
      <c r="M46" s="60">
        <v>4</v>
      </c>
      <c r="N46" s="60">
        <v>5</v>
      </c>
      <c r="O46" s="60">
        <v>6</v>
      </c>
      <c r="P46" s="60">
        <v>5</v>
      </c>
      <c r="Q46" s="60">
        <v>2</v>
      </c>
      <c r="R46" s="60">
        <v>3</v>
      </c>
      <c r="S46" s="60">
        <v>2</v>
      </c>
      <c r="T46" s="60">
        <v>6</v>
      </c>
      <c r="U46" s="60">
        <v>2</v>
      </c>
      <c r="V46" s="60">
        <v>6</v>
      </c>
      <c r="W46" s="60">
        <v>3</v>
      </c>
      <c r="X46" s="60">
        <v>2</v>
      </c>
      <c r="Y46" s="60">
        <v>3</v>
      </c>
      <c r="Z46" s="60">
        <v>6</v>
      </c>
    </row>
    <row r="47" spans="1:26">
      <c r="A47" s="60">
        <v>7</v>
      </c>
      <c r="B47" s="60">
        <v>6</v>
      </c>
      <c r="C47" s="60">
        <v>1</v>
      </c>
      <c r="D47" s="60">
        <v>1</v>
      </c>
      <c r="E47" s="60">
        <v>1</v>
      </c>
      <c r="F47" s="60">
        <v>7</v>
      </c>
      <c r="G47" s="60">
        <v>7</v>
      </c>
      <c r="H47" s="60">
        <v>5</v>
      </c>
      <c r="I47" s="60">
        <v>1</v>
      </c>
      <c r="J47" s="60">
        <v>1</v>
      </c>
      <c r="K47" s="60">
        <v>7</v>
      </c>
      <c r="L47" s="60">
        <v>1</v>
      </c>
      <c r="M47" s="60">
        <v>7</v>
      </c>
      <c r="N47" s="60">
        <v>7</v>
      </c>
      <c r="O47" s="60">
        <v>6</v>
      </c>
      <c r="P47" s="60">
        <v>7</v>
      </c>
      <c r="Q47" s="60">
        <v>1</v>
      </c>
      <c r="R47" s="60">
        <v>2</v>
      </c>
      <c r="S47" s="60">
        <v>1</v>
      </c>
      <c r="T47" s="60">
        <v>7</v>
      </c>
      <c r="U47" s="60">
        <v>1</v>
      </c>
      <c r="V47" s="60">
        <v>6</v>
      </c>
      <c r="W47" s="60">
        <v>5</v>
      </c>
      <c r="X47" s="60">
        <v>2</v>
      </c>
      <c r="Y47" s="60">
        <v>1</v>
      </c>
      <c r="Z47" s="60">
        <v>5</v>
      </c>
    </row>
    <row r="48" spans="1:26">
      <c r="A48" s="60">
        <v>7</v>
      </c>
      <c r="B48" s="60">
        <v>7</v>
      </c>
      <c r="C48" s="60">
        <v>1</v>
      </c>
      <c r="D48" s="60">
        <v>1</v>
      </c>
      <c r="E48" s="60">
        <v>1</v>
      </c>
      <c r="F48" s="60">
        <v>7</v>
      </c>
      <c r="G48" s="60">
        <v>7</v>
      </c>
      <c r="H48" s="60">
        <v>1</v>
      </c>
      <c r="I48" s="60">
        <v>1</v>
      </c>
      <c r="J48" s="60">
        <v>1</v>
      </c>
      <c r="K48" s="60">
        <v>7</v>
      </c>
      <c r="L48" s="60">
        <v>1</v>
      </c>
      <c r="M48" s="60">
        <v>7</v>
      </c>
      <c r="N48" s="60">
        <v>7</v>
      </c>
      <c r="O48" s="60">
        <v>7</v>
      </c>
      <c r="P48" s="60">
        <v>7</v>
      </c>
      <c r="Q48" s="60">
        <v>1</v>
      </c>
      <c r="R48" s="60">
        <v>1</v>
      </c>
      <c r="S48" s="60">
        <v>1</v>
      </c>
      <c r="T48" s="60">
        <v>7</v>
      </c>
      <c r="U48" s="60">
        <v>1</v>
      </c>
      <c r="V48" s="60">
        <v>7</v>
      </c>
      <c r="W48" s="60">
        <v>1</v>
      </c>
      <c r="X48" s="60">
        <v>1</v>
      </c>
      <c r="Y48" s="60">
        <v>1</v>
      </c>
      <c r="Z48" s="60">
        <v>1</v>
      </c>
    </row>
    <row r="49" spans="1:26">
      <c r="A49" s="60">
        <v>6</v>
      </c>
      <c r="B49" s="60">
        <v>6</v>
      </c>
      <c r="C49" s="60">
        <v>2</v>
      </c>
      <c r="D49" s="60">
        <v>2</v>
      </c>
      <c r="E49" s="60">
        <v>2</v>
      </c>
      <c r="F49" s="60">
        <v>4</v>
      </c>
      <c r="G49" s="60">
        <v>4</v>
      </c>
      <c r="H49" s="60">
        <v>4</v>
      </c>
      <c r="I49" s="60">
        <v>2</v>
      </c>
      <c r="J49" s="60">
        <v>3</v>
      </c>
      <c r="K49" s="60">
        <v>5</v>
      </c>
      <c r="L49" s="60">
        <v>3</v>
      </c>
      <c r="M49" s="60">
        <v>5</v>
      </c>
      <c r="N49" s="60">
        <v>6</v>
      </c>
      <c r="O49" s="60">
        <v>5</v>
      </c>
      <c r="P49" s="60">
        <v>5</v>
      </c>
      <c r="Q49" s="60">
        <v>2</v>
      </c>
      <c r="R49" s="60">
        <v>3</v>
      </c>
      <c r="S49" s="60">
        <v>2</v>
      </c>
      <c r="T49" s="60">
        <v>6</v>
      </c>
      <c r="U49" s="60">
        <v>2</v>
      </c>
      <c r="V49" s="60">
        <v>6</v>
      </c>
      <c r="W49" s="60">
        <v>2</v>
      </c>
      <c r="X49" s="60">
        <v>3</v>
      </c>
      <c r="Y49" s="60">
        <v>2</v>
      </c>
      <c r="Z49" s="60">
        <v>5</v>
      </c>
    </row>
    <row r="50" spans="1:26">
      <c r="A50" s="60">
        <v>6</v>
      </c>
      <c r="B50" s="60">
        <v>6</v>
      </c>
      <c r="C50" s="60">
        <v>3</v>
      </c>
      <c r="D50" s="60">
        <v>2</v>
      </c>
      <c r="E50" s="60">
        <v>3</v>
      </c>
      <c r="F50" s="60">
        <v>4</v>
      </c>
      <c r="G50" s="60">
        <v>4</v>
      </c>
      <c r="H50" s="60">
        <v>3</v>
      </c>
      <c r="I50" s="60">
        <v>2</v>
      </c>
      <c r="J50" s="60">
        <v>4</v>
      </c>
      <c r="K50" s="60">
        <v>5</v>
      </c>
      <c r="L50" s="60">
        <v>2</v>
      </c>
      <c r="M50" s="60">
        <v>6</v>
      </c>
      <c r="N50" s="60">
        <v>6</v>
      </c>
      <c r="O50" s="60">
        <v>5</v>
      </c>
      <c r="P50" s="60">
        <v>5</v>
      </c>
      <c r="Q50" s="60">
        <v>2</v>
      </c>
      <c r="R50" s="60">
        <v>2</v>
      </c>
      <c r="S50" s="60">
        <v>2</v>
      </c>
      <c r="T50" s="60">
        <v>6</v>
      </c>
      <c r="U50" s="60">
        <v>2</v>
      </c>
      <c r="V50" s="60">
        <v>6</v>
      </c>
      <c r="W50" s="60">
        <v>1</v>
      </c>
      <c r="X50" s="60">
        <v>2</v>
      </c>
      <c r="Y50" s="60">
        <v>1</v>
      </c>
      <c r="Z50" s="60">
        <v>5</v>
      </c>
    </row>
    <row r="51" spans="1:26">
      <c r="A51" s="60">
        <v>5</v>
      </c>
      <c r="B51" s="60">
        <v>5</v>
      </c>
      <c r="C51" s="60">
        <v>4</v>
      </c>
      <c r="D51" s="60">
        <v>2</v>
      </c>
      <c r="E51" s="60">
        <v>2</v>
      </c>
      <c r="F51" s="60">
        <v>5</v>
      </c>
      <c r="G51" s="60">
        <v>5</v>
      </c>
      <c r="H51" s="60">
        <v>3</v>
      </c>
      <c r="I51" s="60">
        <v>2</v>
      </c>
      <c r="J51" s="60">
        <v>2</v>
      </c>
      <c r="K51" s="60">
        <v>3</v>
      </c>
      <c r="L51" s="60">
        <v>2</v>
      </c>
      <c r="M51" s="60">
        <v>5</v>
      </c>
      <c r="N51" s="60">
        <v>5</v>
      </c>
      <c r="O51" s="60">
        <v>5</v>
      </c>
      <c r="P51" s="60">
        <v>5</v>
      </c>
      <c r="Q51" s="60">
        <v>2</v>
      </c>
      <c r="R51" s="60">
        <v>4</v>
      </c>
      <c r="S51" s="60">
        <v>3</v>
      </c>
      <c r="T51" s="60">
        <v>4</v>
      </c>
      <c r="U51" s="60">
        <v>3</v>
      </c>
      <c r="V51" s="60">
        <v>5</v>
      </c>
      <c r="W51" s="60">
        <v>3</v>
      </c>
      <c r="X51" s="60">
        <v>4</v>
      </c>
      <c r="Y51" s="60">
        <v>4</v>
      </c>
      <c r="Z51" s="60">
        <v>6</v>
      </c>
    </row>
    <row r="52" spans="1:26">
      <c r="A52" s="60">
        <v>6</v>
      </c>
      <c r="B52" s="60">
        <v>6</v>
      </c>
      <c r="C52" s="60">
        <v>4</v>
      </c>
      <c r="D52" s="60">
        <v>2</v>
      </c>
      <c r="E52" s="60">
        <v>2</v>
      </c>
      <c r="F52" s="60">
        <v>4</v>
      </c>
      <c r="G52" s="60">
        <v>6</v>
      </c>
      <c r="H52" s="60">
        <v>4</v>
      </c>
      <c r="I52" s="60">
        <v>2</v>
      </c>
      <c r="J52" s="60">
        <v>5</v>
      </c>
      <c r="K52" s="60">
        <v>5</v>
      </c>
      <c r="L52" s="60">
        <v>2</v>
      </c>
      <c r="M52" s="60">
        <v>6</v>
      </c>
      <c r="N52" s="60">
        <v>6</v>
      </c>
      <c r="O52" s="60">
        <v>3</v>
      </c>
      <c r="P52" s="60">
        <v>6</v>
      </c>
      <c r="Q52" s="60">
        <v>2</v>
      </c>
      <c r="R52" s="60">
        <v>2</v>
      </c>
      <c r="S52" s="60">
        <v>2</v>
      </c>
      <c r="T52" s="60">
        <v>7</v>
      </c>
      <c r="U52" s="60">
        <v>3</v>
      </c>
      <c r="V52" s="60">
        <v>6</v>
      </c>
      <c r="W52" s="60">
        <v>5</v>
      </c>
      <c r="X52" s="60">
        <v>4</v>
      </c>
      <c r="Y52" s="60">
        <v>3</v>
      </c>
      <c r="Z52" s="60">
        <v>3</v>
      </c>
    </row>
    <row r="53" spans="1:26">
      <c r="A53" s="60">
        <v>4</v>
      </c>
      <c r="B53" s="60">
        <v>4</v>
      </c>
      <c r="C53" s="60">
        <v>4</v>
      </c>
      <c r="D53" s="60">
        <v>4</v>
      </c>
      <c r="E53" s="60">
        <v>4</v>
      </c>
      <c r="F53" s="60">
        <v>2</v>
      </c>
      <c r="G53" s="60">
        <v>2</v>
      </c>
      <c r="H53" s="60">
        <v>2</v>
      </c>
      <c r="I53" s="60">
        <v>4</v>
      </c>
      <c r="J53" s="60">
        <v>4</v>
      </c>
      <c r="K53" s="60">
        <v>3</v>
      </c>
      <c r="L53" s="60">
        <v>4</v>
      </c>
      <c r="M53" s="60">
        <v>2</v>
      </c>
      <c r="N53" s="60">
        <v>2</v>
      </c>
      <c r="O53" s="60">
        <v>2</v>
      </c>
      <c r="P53" s="60">
        <v>2</v>
      </c>
      <c r="Q53" s="60">
        <v>4</v>
      </c>
      <c r="R53" s="60">
        <v>4</v>
      </c>
      <c r="S53" s="60">
        <v>4</v>
      </c>
      <c r="T53" s="60">
        <v>4</v>
      </c>
      <c r="U53" s="60">
        <v>4</v>
      </c>
      <c r="V53" s="60">
        <v>2</v>
      </c>
      <c r="W53" s="60">
        <v>4</v>
      </c>
      <c r="X53" s="60">
        <v>2</v>
      </c>
      <c r="Y53" s="60">
        <v>4</v>
      </c>
      <c r="Z53" s="60">
        <v>2</v>
      </c>
    </row>
    <row r="54" spans="1:26">
      <c r="A54" s="60">
        <v>5</v>
      </c>
      <c r="B54" s="60">
        <v>5</v>
      </c>
      <c r="C54" s="60">
        <v>5</v>
      </c>
      <c r="D54" s="60">
        <v>5</v>
      </c>
      <c r="E54" s="60">
        <v>5</v>
      </c>
      <c r="F54" s="60">
        <v>5</v>
      </c>
      <c r="G54" s="60">
        <v>5</v>
      </c>
      <c r="H54" s="60">
        <v>4</v>
      </c>
      <c r="I54" s="60">
        <v>4</v>
      </c>
      <c r="J54" s="60">
        <v>4</v>
      </c>
      <c r="K54" s="60">
        <v>5</v>
      </c>
      <c r="L54" s="60">
        <v>6</v>
      </c>
      <c r="M54" s="60">
        <v>6</v>
      </c>
      <c r="N54" s="60">
        <v>6</v>
      </c>
      <c r="O54" s="60">
        <v>6</v>
      </c>
      <c r="P54" s="60">
        <v>6</v>
      </c>
      <c r="Q54" s="60">
        <v>6</v>
      </c>
      <c r="R54" s="60">
        <v>4</v>
      </c>
      <c r="S54" s="60">
        <v>4</v>
      </c>
      <c r="T54" s="60">
        <v>4</v>
      </c>
      <c r="U54" s="60">
        <v>4</v>
      </c>
      <c r="V54" s="60">
        <v>4</v>
      </c>
      <c r="W54" s="60">
        <v>4</v>
      </c>
      <c r="X54" s="60">
        <v>4</v>
      </c>
      <c r="Y54" s="60">
        <v>4</v>
      </c>
      <c r="Z54" s="60">
        <v>4</v>
      </c>
    </row>
    <row r="55" spans="1:26">
      <c r="A55" s="60">
        <v>7</v>
      </c>
      <c r="B55" s="60">
        <v>6</v>
      </c>
      <c r="C55" s="60">
        <v>2</v>
      </c>
      <c r="D55" s="60">
        <v>6</v>
      </c>
      <c r="E55" s="60">
        <v>2</v>
      </c>
      <c r="F55" s="60">
        <v>7</v>
      </c>
      <c r="G55" s="60">
        <v>7</v>
      </c>
      <c r="H55" s="60">
        <v>1</v>
      </c>
      <c r="I55" s="60">
        <v>2</v>
      </c>
      <c r="J55" s="60">
        <v>1</v>
      </c>
      <c r="K55" s="60">
        <v>6</v>
      </c>
      <c r="L55" s="60">
        <v>1</v>
      </c>
      <c r="M55" s="60">
        <v>7</v>
      </c>
      <c r="N55" s="60">
        <v>7</v>
      </c>
      <c r="O55" s="60">
        <v>7</v>
      </c>
      <c r="P55" s="60">
        <v>7</v>
      </c>
      <c r="Q55" s="60">
        <v>2</v>
      </c>
      <c r="R55" s="60">
        <v>2</v>
      </c>
      <c r="S55" s="60">
        <v>1</v>
      </c>
      <c r="T55" s="60">
        <v>7</v>
      </c>
      <c r="U55" s="60">
        <v>2</v>
      </c>
      <c r="V55" s="60">
        <v>6</v>
      </c>
      <c r="W55" s="60">
        <v>2</v>
      </c>
      <c r="X55" s="60">
        <v>2</v>
      </c>
      <c r="Y55" s="60">
        <v>2</v>
      </c>
      <c r="Z55" s="60">
        <v>5</v>
      </c>
    </row>
    <row r="56" spans="1:26">
      <c r="A56" s="60">
        <v>5</v>
      </c>
      <c r="B56" s="60">
        <v>7</v>
      </c>
      <c r="C56" s="60">
        <v>7</v>
      </c>
      <c r="D56" s="60">
        <v>7</v>
      </c>
      <c r="E56" s="60">
        <v>7</v>
      </c>
      <c r="F56" s="60">
        <v>7</v>
      </c>
      <c r="G56" s="60">
        <v>7</v>
      </c>
      <c r="H56" s="60">
        <v>6</v>
      </c>
      <c r="I56" s="60">
        <v>7</v>
      </c>
      <c r="J56" s="60">
        <v>7</v>
      </c>
      <c r="K56" s="60">
        <v>7</v>
      </c>
      <c r="L56" s="60">
        <v>7</v>
      </c>
      <c r="M56" s="60">
        <v>7</v>
      </c>
      <c r="N56" s="60">
        <v>6</v>
      </c>
      <c r="O56" s="60">
        <v>6</v>
      </c>
      <c r="P56" s="60">
        <v>7</v>
      </c>
      <c r="Q56" s="60">
        <v>7</v>
      </c>
      <c r="R56" s="60">
        <v>7</v>
      </c>
      <c r="S56" s="60">
        <v>7</v>
      </c>
      <c r="T56" s="60">
        <v>6</v>
      </c>
      <c r="U56" s="60">
        <v>7</v>
      </c>
      <c r="V56" s="60">
        <v>7</v>
      </c>
      <c r="W56" s="60">
        <v>1</v>
      </c>
      <c r="X56" s="60">
        <v>6</v>
      </c>
      <c r="Y56" s="60">
        <v>7</v>
      </c>
      <c r="Z56" s="60">
        <v>7</v>
      </c>
    </row>
    <row r="57" spans="1:26">
      <c r="A57" s="60">
        <v>7</v>
      </c>
      <c r="B57" s="60">
        <v>7</v>
      </c>
      <c r="C57" s="60">
        <v>2</v>
      </c>
      <c r="D57" s="60">
        <v>1</v>
      </c>
      <c r="E57" s="60">
        <v>1</v>
      </c>
      <c r="F57" s="60">
        <v>7</v>
      </c>
      <c r="G57" s="60">
        <v>7</v>
      </c>
      <c r="H57" s="60">
        <v>4</v>
      </c>
      <c r="I57" s="60">
        <v>3</v>
      </c>
      <c r="J57" s="60">
        <v>1</v>
      </c>
      <c r="K57" s="60">
        <v>7</v>
      </c>
      <c r="L57" s="60">
        <v>1</v>
      </c>
      <c r="M57" s="60">
        <v>7</v>
      </c>
      <c r="N57" s="60">
        <v>7</v>
      </c>
      <c r="O57" s="60">
        <v>6</v>
      </c>
      <c r="P57" s="60">
        <v>7</v>
      </c>
      <c r="Q57" s="60">
        <v>2</v>
      </c>
      <c r="R57" s="60">
        <v>1</v>
      </c>
      <c r="S57" s="60">
        <v>1</v>
      </c>
      <c r="T57" s="60">
        <v>7</v>
      </c>
      <c r="U57" s="60">
        <v>1</v>
      </c>
      <c r="V57" s="60">
        <v>7</v>
      </c>
      <c r="W57" s="60">
        <v>1</v>
      </c>
      <c r="X57" s="60">
        <v>3</v>
      </c>
      <c r="Y57" s="60">
        <v>1</v>
      </c>
      <c r="Z57" s="60">
        <v>6</v>
      </c>
    </row>
    <row r="58" spans="1:26">
      <c r="A58" s="60">
        <v>7</v>
      </c>
      <c r="B58" s="60">
        <v>7</v>
      </c>
      <c r="C58" s="60">
        <v>1</v>
      </c>
      <c r="D58" s="60">
        <v>1</v>
      </c>
      <c r="E58" s="60">
        <v>1</v>
      </c>
      <c r="F58" s="60">
        <v>7</v>
      </c>
      <c r="G58" s="60">
        <v>7</v>
      </c>
      <c r="H58" s="60">
        <v>4</v>
      </c>
      <c r="I58" s="60">
        <v>1</v>
      </c>
      <c r="J58" s="60">
        <v>1</v>
      </c>
      <c r="K58" s="60">
        <v>6</v>
      </c>
      <c r="L58" s="60">
        <v>1</v>
      </c>
      <c r="M58" s="60">
        <v>7</v>
      </c>
      <c r="N58" s="60">
        <v>7</v>
      </c>
      <c r="O58" s="60">
        <v>6</v>
      </c>
      <c r="P58" s="60">
        <v>7</v>
      </c>
      <c r="Q58" s="60">
        <v>1</v>
      </c>
      <c r="R58" s="60">
        <v>1</v>
      </c>
      <c r="S58" s="60">
        <v>1</v>
      </c>
      <c r="T58" s="60">
        <v>7</v>
      </c>
      <c r="U58" s="60">
        <v>1</v>
      </c>
      <c r="V58" s="60">
        <v>7</v>
      </c>
      <c r="W58" s="60">
        <v>2</v>
      </c>
      <c r="X58" s="60">
        <v>1</v>
      </c>
      <c r="Y58" s="60">
        <v>1</v>
      </c>
      <c r="Z58" s="60">
        <v>7</v>
      </c>
    </row>
    <row r="59" spans="1:26">
      <c r="A59" s="60">
        <v>7</v>
      </c>
      <c r="B59" s="60">
        <v>7</v>
      </c>
      <c r="C59" s="60">
        <v>2</v>
      </c>
      <c r="D59" s="60">
        <v>1</v>
      </c>
      <c r="E59" s="60">
        <v>1</v>
      </c>
      <c r="F59" s="60">
        <v>6</v>
      </c>
      <c r="G59" s="60">
        <v>7</v>
      </c>
      <c r="H59" s="60">
        <v>4</v>
      </c>
      <c r="I59" s="60">
        <v>2</v>
      </c>
      <c r="J59" s="60">
        <v>4</v>
      </c>
      <c r="K59" s="60">
        <v>6</v>
      </c>
      <c r="L59" s="60">
        <v>1</v>
      </c>
      <c r="M59" s="60">
        <v>7</v>
      </c>
      <c r="N59" s="60">
        <v>7</v>
      </c>
      <c r="O59" s="60">
        <v>4</v>
      </c>
      <c r="P59" s="60">
        <v>7</v>
      </c>
      <c r="Q59" s="60">
        <v>2</v>
      </c>
      <c r="R59" s="60">
        <v>1</v>
      </c>
      <c r="S59" s="60">
        <v>1</v>
      </c>
      <c r="T59" s="60">
        <v>7</v>
      </c>
      <c r="U59" s="60">
        <v>1</v>
      </c>
      <c r="V59" s="60">
        <v>7</v>
      </c>
      <c r="W59" s="60">
        <v>1</v>
      </c>
      <c r="X59" s="60">
        <v>1</v>
      </c>
      <c r="Y59" s="60">
        <v>1</v>
      </c>
      <c r="Z59" s="60">
        <v>5</v>
      </c>
    </row>
    <row r="60" spans="1:26">
      <c r="A60" s="60">
        <v>6</v>
      </c>
      <c r="B60" s="60">
        <v>6</v>
      </c>
      <c r="C60" s="60">
        <v>5</v>
      </c>
      <c r="D60" s="60">
        <v>5</v>
      </c>
      <c r="E60" s="60">
        <v>2</v>
      </c>
      <c r="F60" s="60">
        <v>6</v>
      </c>
      <c r="G60" s="60">
        <v>5</v>
      </c>
      <c r="H60" s="60">
        <v>5</v>
      </c>
      <c r="I60" s="60">
        <v>2</v>
      </c>
      <c r="J60" s="60">
        <v>3</v>
      </c>
      <c r="K60" s="60">
        <v>5</v>
      </c>
      <c r="L60" s="60">
        <v>3</v>
      </c>
      <c r="M60" s="60">
        <v>3</v>
      </c>
      <c r="N60" s="60">
        <v>6</v>
      </c>
      <c r="O60" s="60">
        <v>5</v>
      </c>
      <c r="P60" s="60">
        <v>6</v>
      </c>
      <c r="Q60" s="60">
        <v>1</v>
      </c>
      <c r="R60" s="60">
        <v>3</v>
      </c>
      <c r="S60" s="60">
        <v>2</v>
      </c>
      <c r="T60" s="60">
        <v>5</v>
      </c>
      <c r="U60" s="60">
        <v>3</v>
      </c>
      <c r="V60" s="60">
        <v>6</v>
      </c>
      <c r="W60" s="60">
        <v>5</v>
      </c>
      <c r="X60" s="60">
        <v>3</v>
      </c>
      <c r="Y60" s="60">
        <v>2</v>
      </c>
      <c r="Z60" s="60">
        <v>6</v>
      </c>
    </row>
    <row r="61" spans="1:26">
      <c r="A61" s="60">
        <v>4</v>
      </c>
      <c r="B61" s="60">
        <v>3</v>
      </c>
      <c r="C61" s="60">
        <v>4</v>
      </c>
      <c r="D61" s="60">
        <v>5</v>
      </c>
      <c r="E61" s="60">
        <v>3</v>
      </c>
      <c r="F61" s="60">
        <v>4</v>
      </c>
      <c r="G61" s="60">
        <v>6</v>
      </c>
      <c r="H61" s="60">
        <v>4</v>
      </c>
      <c r="I61" s="60">
        <v>3</v>
      </c>
      <c r="J61" s="60">
        <v>2</v>
      </c>
      <c r="K61" s="60">
        <v>3</v>
      </c>
      <c r="L61" s="60">
        <v>4</v>
      </c>
      <c r="M61" s="60">
        <v>3</v>
      </c>
      <c r="N61" s="60">
        <v>2</v>
      </c>
      <c r="O61" s="60">
        <v>3</v>
      </c>
      <c r="P61" s="60">
        <v>3</v>
      </c>
      <c r="Q61" s="60">
        <v>5</v>
      </c>
      <c r="R61" s="60">
        <v>4</v>
      </c>
      <c r="S61" s="60">
        <v>4</v>
      </c>
      <c r="T61" s="60">
        <v>5</v>
      </c>
      <c r="U61" s="60">
        <v>3</v>
      </c>
      <c r="V61" s="60">
        <v>5</v>
      </c>
      <c r="W61" s="60">
        <v>5</v>
      </c>
      <c r="X61" s="60">
        <v>3</v>
      </c>
      <c r="Y61" s="60">
        <v>4</v>
      </c>
      <c r="Z61" s="60">
        <v>4</v>
      </c>
    </row>
    <row r="62" spans="1:26">
      <c r="A62" s="60">
        <v>7</v>
      </c>
      <c r="B62" s="60">
        <v>7</v>
      </c>
      <c r="C62" s="60">
        <v>1</v>
      </c>
      <c r="D62" s="60">
        <v>1</v>
      </c>
      <c r="E62" s="60">
        <v>1</v>
      </c>
      <c r="F62" s="60">
        <v>7</v>
      </c>
      <c r="G62" s="60">
        <v>7</v>
      </c>
      <c r="H62" s="60">
        <v>4</v>
      </c>
      <c r="I62" s="60">
        <v>1</v>
      </c>
      <c r="J62" s="60">
        <v>1</v>
      </c>
      <c r="K62" s="60">
        <v>7</v>
      </c>
      <c r="L62" s="60">
        <v>1</v>
      </c>
      <c r="M62" s="60">
        <v>7</v>
      </c>
      <c r="N62" s="60">
        <v>7</v>
      </c>
      <c r="O62" s="60">
        <v>4</v>
      </c>
      <c r="P62" s="60">
        <v>7</v>
      </c>
      <c r="Q62" s="60">
        <v>1</v>
      </c>
      <c r="R62" s="60">
        <v>1</v>
      </c>
      <c r="S62" s="60">
        <v>1</v>
      </c>
      <c r="T62" s="60">
        <v>7</v>
      </c>
      <c r="U62" s="60">
        <v>1</v>
      </c>
      <c r="V62" s="60">
        <v>7</v>
      </c>
      <c r="W62" s="60">
        <v>1</v>
      </c>
      <c r="X62" s="60">
        <v>1</v>
      </c>
      <c r="Y62" s="60">
        <v>1</v>
      </c>
      <c r="Z62" s="60">
        <v>4</v>
      </c>
    </row>
    <row r="63" spans="1:26">
      <c r="A63" s="60">
        <v>7</v>
      </c>
      <c r="B63" s="60">
        <v>7</v>
      </c>
      <c r="C63" s="60">
        <v>3</v>
      </c>
      <c r="D63" s="60">
        <v>3</v>
      </c>
      <c r="E63" s="60">
        <v>1</v>
      </c>
      <c r="F63" s="60">
        <v>6</v>
      </c>
      <c r="G63" s="60">
        <v>6</v>
      </c>
      <c r="H63" s="60">
        <v>5</v>
      </c>
      <c r="I63" s="60">
        <v>1</v>
      </c>
      <c r="J63" s="60">
        <v>2</v>
      </c>
      <c r="K63" s="60">
        <v>6</v>
      </c>
      <c r="L63" s="60">
        <v>1</v>
      </c>
      <c r="M63" s="60">
        <v>6</v>
      </c>
      <c r="N63" s="60">
        <v>7</v>
      </c>
      <c r="O63" s="60">
        <v>6</v>
      </c>
      <c r="P63" s="60">
        <v>7</v>
      </c>
      <c r="Q63" s="60">
        <v>2</v>
      </c>
      <c r="R63" s="60">
        <v>1</v>
      </c>
      <c r="S63" s="60">
        <v>1</v>
      </c>
      <c r="T63" s="60">
        <v>7</v>
      </c>
      <c r="U63" s="60">
        <v>2</v>
      </c>
      <c r="V63" s="60">
        <v>7</v>
      </c>
      <c r="W63" s="60">
        <v>1</v>
      </c>
      <c r="X63" s="60">
        <v>1</v>
      </c>
      <c r="Y63" s="60">
        <v>3</v>
      </c>
      <c r="Z63" s="60">
        <v>6</v>
      </c>
    </row>
    <row r="64" spans="1:26">
      <c r="A64" s="60">
        <v>6</v>
      </c>
      <c r="B64" s="60">
        <v>6</v>
      </c>
      <c r="C64" s="60">
        <v>3</v>
      </c>
      <c r="D64" s="60">
        <v>1</v>
      </c>
      <c r="E64" s="60">
        <v>1</v>
      </c>
      <c r="F64" s="60">
        <v>6</v>
      </c>
      <c r="G64" s="60">
        <v>7</v>
      </c>
      <c r="H64" s="60">
        <v>5</v>
      </c>
      <c r="I64" s="60">
        <v>2</v>
      </c>
      <c r="J64" s="60">
        <v>3</v>
      </c>
      <c r="K64" s="60">
        <v>6</v>
      </c>
      <c r="L64" s="60">
        <v>1</v>
      </c>
      <c r="M64" s="60">
        <v>7</v>
      </c>
      <c r="N64" s="60">
        <v>7</v>
      </c>
      <c r="O64" s="60">
        <v>1</v>
      </c>
      <c r="P64" s="60">
        <v>7</v>
      </c>
      <c r="Q64" s="60">
        <v>1</v>
      </c>
      <c r="R64" s="60">
        <v>1</v>
      </c>
      <c r="S64" s="60">
        <v>1</v>
      </c>
      <c r="T64" s="60">
        <v>7</v>
      </c>
      <c r="U64" s="60">
        <v>1</v>
      </c>
      <c r="V64" s="60">
        <v>7</v>
      </c>
      <c r="W64" s="60">
        <v>1</v>
      </c>
      <c r="X64" s="60">
        <v>2</v>
      </c>
      <c r="Y64" s="60">
        <v>2</v>
      </c>
      <c r="Z64" s="60">
        <v>2</v>
      </c>
    </row>
    <row r="65" spans="1:26">
      <c r="A65" s="60">
        <v>7</v>
      </c>
      <c r="B65" s="60">
        <v>7</v>
      </c>
      <c r="C65" s="60">
        <v>4</v>
      </c>
      <c r="D65" s="60">
        <v>1</v>
      </c>
      <c r="E65" s="60">
        <v>1</v>
      </c>
      <c r="F65" s="60">
        <v>5</v>
      </c>
      <c r="G65" s="60">
        <v>4</v>
      </c>
      <c r="H65" s="60">
        <v>4</v>
      </c>
      <c r="I65" s="60">
        <v>3</v>
      </c>
      <c r="J65" s="60">
        <v>4</v>
      </c>
      <c r="K65" s="60">
        <v>6</v>
      </c>
      <c r="L65" s="60">
        <v>1</v>
      </c>
      <c r="M65" s="60">
        <v>7</v>
      </c>
      <c r="N65" s="60">
        <v>7</v>
      </c>
      <c r="O65" s="60">
        <v>4</v>
      </c>
      <c r="P65" s="60">
        <v>7</v>
      </c>
      <c r="Q65" s="60">
        <v>3</v>
      </c>
      <c r="R65" s="60">
        <v>4</v>
      </c>
      <c r="S65" s="60">
        <v>1</v>
      </c>
      <c r="T65" s="60">
        <v>7</v>
      </c>
      <c r="U65" s="60">
        <v>1</v>
      </c>
      <c r="V65" s="60">
        <v>7</v>
      </c>
      <c r="W65" s="60">
        <v>4</v>
      </c>
      <c r="X65" s="60">
        <v>4</v>
      </c>
      <c r="Y65" s="60">
        <v>3</v>
      </c>
      <c r="Z65" s="60">
        <v>5</v>
      </c>
    </row>
    <row r="66" spans="1:26">
      <c r="A66" s="60">
        <v>6</v>
      </c>
      <c r="B66" s="60">
        <v>6</v>
      </c>
      <c r="C66" s="60">
        <v>5</v>
      </c>
      <c r="D66" s="60">
        <v>5</v>
      </c>
      <c r="E66" s="60">
        <v>5</v>
      </c>
      <c r="F66" s="60">
        <v>5</v>
      </c>
      <c r="G66" s="60">
        <v>5</v>
      </c>
      <c r="H66" s="60">
        <v>3</v>
      </c>
      <c r="I66" s="60">
        <v>4</v>
      </c>
      <c r="J66" s="60">
        <v>5</v>
      </c>
      <c r="K66" s="60">
        <v>5</v>
      </c>
      <c r="L66" s="60">
        <v>5</v>
      </c>
      <c r="M66" s="60">
        <v>5</v>
      </c>
      <c r="N66" s="60">
        <v>5</v>
      </c>
      <c r="O66" s="60">
        <v>5</v>
      </c>
      <c r="P66" s="60">
        <v>5</v>
      </c>
      <c r="Q66" s="60">
        <v>6</v>
      </c>
      <c r="R66" s="60">
        <v>5</v>
      </c>
      <c r="S66" s="60">
        <v>4</v>
      </c>
      <c r="T66" s="60">
        <v>5</v>
      </c>
      <c r="U66" s="60">
        <v>4</v>
      </c>
      <c r="V66" s="60">
        <v>5</v>
      </c>
      <c r="W66" s="60">
        <v>4</v>
      </c>
      <c r="X66" s="60">
        <v>5</v>
      </c>
      <c r="Y66" s="60">
        <v>5</v>
      </c>
      <c r="Z66" s="60">
        <v>4</v>
      </c>
    </row>
    <row r="67" spans="1:26">
      <c r="A67" s="60">
        <v>6</v>
      </c>
      <c r="B67" s="60">
        <v>6</v>
      </c>
      <c r="C67" s="60">
        <v>2</v>
      </c>
      <c r="D67" s="60">
        <v>1</v>
      </c>
      <c r="E67" s="60">
        <v>1</v>
      </c>
      <c r="F67" s="60">
        <v>5</v>
      </c>
      <c r="G67" s="60">
        <v>6</v>
      </c>
      <c r="H67" s="60">
        <v>6</v>
      </c>
      <c r="I67" s="60">
        <v>1</v>
      </c>
      <c r="J67" s="60">
        <v>1</v>
      </c>
      <c r="K67" s="60">
        <v>5</v>
      </c>
      <c r="L67" s="60">
        <v>3</v>
      </c>
      <c r="M67" s="60">
        <v>6</v>
      </c>
      <c r="N67" s="60">
        <v>6</v>
      </c>
      <c r="O67" s="60">
        <v>7</v>
      </c>
      <c r="P67" s="60">
        <v>6</v>
      </c>
      <c r="Q67" s="60">
        <v>2</v>
      </c>
      <c r="R67" s="60">
        <v>2</v>
      </c>
      <c r="S67" s="60">
        <v>1</v>
      </c>
      <c r="T67" s="60">
        <v>6</v>
      </c>
      <c r="U67" s="60">
        <v>3</v>
      </c>
      <c r="V67" s="60">
        <v>7</v>
      </c>
      <c r="W67" s="60">
        <v>2</v>
      </c>
      <c r="X67" s="60">
        <v>3</v>
      </c>
      <c r="Y67" s="60">
        <v>3</v>
      </c>
      <c r="Z67" s="60">
        <v>7</v>
      </c>
    </row>
    <row r="68" spans="1:26">
      <c r="A68" s="60">
        <v>6</v>
      </c>
      <c r="B68" s="60">
        <v>7</v>
      </c>
      <c r="C68" s="60">
        <v>4</v>
      </c>
      <c r="D68" s="60">
        <v>1</v>
      </c>
      <c r="E68" s="60">
        <v>4</v>
      </c>
      <c r="F68" s="60">
        <v>6</v>
      </c>
      <c r="G68" s="60">
        <v>6</v>
      </c>
      <c r="H68" s="60">
        <v>7</v>
      </c>
      <c r="I68" s="60">
        <v>4</v>
      </c>
      <c r="J68" s="60">
        <v>4</v>
      </c>
      <c r="K68" s="60">
        <v>6</v>
      </c>
      <c r="L68" s="60">
        <v>1</v>
      </c>
      <c r="M68" s="60">
        <v>7</v>
      </c>
      <c r="N68" s="60">
        <v>7</v>
      </c>
      <c r="O68" s="60">
        <v>4</v>
      </c>
      <c r="P68" s="60">
        <v>7</v>
      </c>
      <c r="Q68" s="60">
        <v>3</v>
      </c>
      <c r="R68" s="60">
        <v>4</v>
      </c>
      <c r="S68" s="60">
        <v>1</v>
      </c>
      <c r="T68" s="60">
        <v>7</v>
      </c>
      <c r="U68" s="60">
        <v>1</v>
      </c>
      <c r="V68" s="60">
        <v>7</v>
      </c>
      <c r="W68" s="60">
        <v>1</v>
      </c>
      <c r="X68" s="60">
        <v>3</v>
      </c>
      <c r="Y68" s="60">
        <v>1</v>
      </c>
      <c r="Z68" s="60">
        <v>5</v>
      </c>
    </row>
    <row r="69" spans="1:26">
      <c r="A69" s="60">
        <v>6</v>
      </c>
      <c r="B69" s="60">
        <v>6</v>
      </c>
      <c r="C69" s="60">
        <v>3</v>
      </c>
      <c r="D69" s="60">
        <v>3</v>
      </c>
      <c r="E69" s="60">
        <v>3</v>
      </c>
      <c r="F69" s="60">
        <v>6</v>
      </c>
      <c r="G69" s="60">
        <v>6</v>
      </c>
      <c r="H69" s="60">
        <v>5</v>
      </c>
      <c r="I69" s="60">
        <v>2</v>
      </c>
      <c r="J69" s="60">
        <v>4</v>
      </c>
      <c r="K69" s="60">
        <v>4</v>
      </c>
      <c r="L69" s="60">
        <v>2</v>
      </c>
      <c r="M69" s="60">
        <v>6</v>
      </c>
      <c r="N69" s="60">
        <v>4</v>
      </c>
      <c r="O69" s="60">
        <v>5</v>
      </c>
      <c r="P69" s="60">
        <v>5</v>
      </c>
      <c r="Q69" s="60">
        <v>2</v>
      </c>
      <c r="R69" s="60">
        <v>3</v>
      </c>
      <c r="S69" s="60">
        <v>3</v>
      </c>
      <c r="T69" s="60">
        <v>6</v>
      </c>
      <c r="U69" s="60">
        <v>2</v>
      </c>
      <c r="V69" s="60">
        <v>6</v>
      </c>
      <c r="W69" s="60">
        <v>3</v>
      </c>
      <c r="X69" s="60">
        <v>3</v>
      </c>
      <c r="Y69" s="60">
        <v>3</v>
      </c>
      <c r="Z69" s="60">
        <v>4</v>
      </c>
    </row>
    <row r="70" spans="1:26">
      <c r="A70" s="60">
        <v>7</v>
      </c>
      <c r="B70" s="60">
        <v>7</v>
      </c>
      <c r="C70" s="60">
        <v>2</v>
      </c>
      <c r="D70" s="60">
        <v>2</v>
      </c>
      <c r="E70" s="60">
        <v>3</v>
      </c>
      <c r="F70" s="60">
        <v>5</v>
      </c>
      <c r="G70" s="60">
        <v>6</v>
      </c>
      <c r="H70" s="60">
        <v>4</v>
      </c>
      <c r="I70" s="60">
        <v>4</v>
      </c>
      <c r="J70" s="60">
        <v>4</v>
      </c>
      <c r="K70" s="60">
        <v>5</v>
      </c>
      <c r="L70" s="60">
        <v>2</v>
      </c>
      <c r="M70" s="60">
        <v>6</v>
      </c>
      <c r="N70" s="60">
        <v>6</v>
      </c>
      <c r="O70" s="60">
        <v>4</v>
      </c>
      <c r="P70" s="60">
        <v>5</v>
      </c>
      <c r="Q70" s="60">
        <v>2</v>
      </c>
      <c r="R70" s="60">
        <v>3</v>
      </c>
      <c r="S70" s="60">
        <v>2</v>
      </c>
      <c r="T70" s="60">
        <v>6</v>
      </c>
      <c r="U70" s="60">
        <v>2</v>
      </c>
      <c r="V70" s="60">
        <v>6</v>
      </c>
      <c r="W70" s="60">
        <v>2</v>
      </c>
      <c r="X70" s="60">
        <v>3</v>
      </c>
      <c r="Y70" s="60">
        <v>2</v>
      </c>
      <c r="Z70" s="60">
        <v>4</v>
      </c>
    </row>
    <row r="71" spans="1:26">
      <c r="A71" s="60">
        <v>5</v>
      </c>
      <c r="B71" s="60">
        <v>5</v>
      </c>
      <c r="C71" s="60">
        <v>4</v>
      </c>
      <c r="D71" s="60">
        <v>7</v>
      </c>
      <c r="E71" s="60">
        <v>3</v>
      </c>
      <c r="F71" s="60">
        <v>2</v>
      </c>
      <c r="G71" s="60">
        <v>2</v>
      </c>
      <c r="H71" s="60">
        <v>6</v>
      </c>
      <c r="I71" s="60">
        <v>6</v>
      </c>
      <c r="J71" s="60">
        <v>3</v>
      </c>
      <c r="K71" s="60">
        <v>4</v>
      </c>
      <c r="L71" s="60">
        <v>3</v>
      </c>
      <c r="M71" s="60">
        <v>6</v>
      </c>
      <c r="N71" s="60">
        <v>4</v>
      </c>
      <c r="O71" s="60">
        <v>6</v>
      </c>
      <c r="P71" s="60">
        <v>4</v>
      </c>
      <c r="Q71" s="60">
        <v>2</v>
      </c>
      <c r="R71" s="60">
        <v>4</v>
      </c>
      <c r="S71" s="60">
        <v>1</v>
      </c>
      <c r="T71" s="60">
        <v>4</v>
      </c>
      <c r="U71" s="60">
        <v>2</v>
      </c>
      <c r="V71" s="60">
        <v>6</v>
      </c>
      <c r="W71" s="60">
        <v>4</v>
      </c>
      <c r="X71" s="60">
        <v>6</v>
      </c>
      <c r="Y71" s="60">
        <v>4</v>
      </c>
      <c r="Z71" s="60">
        <v>6</v>
      </c>
    </row>
    <row r="72" spans="1:26">
      <c r="A72" s="60">
        <v>6</v>
      </c>
      <c r="B72" s="60">
        <v>6</v>
      </c>
      <c r="C72" s="60">
        <v>1</v>
      </c>
      <c r="D72" s="60">
        <v>2</v>
      </c>
      <c r="E72" s="60">
        <v>3</v>
      </c>
      <c r="F72" s="60">
        <v>5</v>
      </c>
      <c r="G72" s="60">
        <v>4</v>
      </c>
      <c r="H72" s="60">
        <v>4</v>
      </c>
      <c r="I72" s="60">
        <v>4</v>
      </c>
      <c r="J72" s="60">
        <v>2</v>
      </c>
      <c r="K72" s="60">
        <v>4</v>
      </c>
      <c r="L72" s="60">
        <v>1</v>
      </c>
      <c r="M72" s="60">
        <v>3</v>
      </c>
      <c r="N72" s="60">
        <v>3</v>
      </c>
      <c r="O72" s="60">
        <v>4</v>
      </c>
      <c r="P72" s="60">
        <v>4</v>
      </c>
      <c r="Q72" s="60">
        <v>2</v>
      </c>
      <c r="R72" s="60">
        <v>3</v>
      </c>
      <c r="S72" s="60">
        <v>2</v>
      </c>
      <c r="T72" s="60">
        <v>4</v>
      </c>
      <c r="U72" s="60">
        <v>2</v>
      </c>
      <c r="V72" s="60">
        <v>3</v>
      </c>
      <c r="W72" s="60">
        <v>3</v>
      </c>
      <c r="X72" s="60">
        <v>2</v>
      </c>
      <c r="Y72" s="60">
        <v>3</v>
      </c>
      <c r="Z72" s="60">
        <v>4</v>
      </c>
    </row>
    <row r="73" spans="1:26">
      <c r="A73" s="60">
        <v>5</v>
      </c>
      <c r="B73" s="60">
        <v>2</v>
      </c>
      <c r="C73" s="60">
        <v>3</v>
      </c>
      <c r="D73" s="60">
        <v>3</v>
      </c>
      <c r="E73" s="60">
        <v>2</v>
      </c>
      <c r="F73" s="60">
        <v>5</v>
      </c>
      <c r="G73" s="60">
        <v>5</v>
      </c>
      <c r="H73" s="60">
        <v>5</v>
      </c>
      <c r="I73" s="60">
        <v>2</v>
      </c>
      <c r="J73" s="60">
        <v>3</v>
      </c>
      <c r="K73" s="60">
        <v>5</v>
      </c>
      <c r="L73" s="60">
        <v>3</v>
      </c>
      <c r="M73" s="60">
        <v>5</v>
      </c>
      <c r="N73" s="60">
        <v>5</v>
      </c>
      <c r="O73" s="60">
        <v>3</v>
      </c>
      <c r="P73" s="60">
        <v>5</v>
      </c>
      <c r="Q73" s="60">
        <v>2</v>
      </c>
      <c r="R73" s="60">
        <v>4</v>
      </c>
      <c r="S73" s="60">
        <v>2</v>
      </c>
      <c r="T73" s="60">
        <v>5</v>
      </c>
      <c r="U73" s="60">
        <v>3</v>
      </c>
      <c r="V73" s="60">
        <v>5</v>
      </c>
      <c r="W73" s="60">
        <v>4</v>
      </c>
      <c r="X73" s="60">
        <v>3</v>
      </c>
      <c r="Y73" s="60">
        <v>3</v>
      </c>
      <c r="Z73" s="60">
        <v>3</v>
      </c>
    </row>
    <row r="74" spans="1:26">
      <c r="A74" s="60">
        <v>6</v>
      </c>
      <c r="B74" s="60">
        <v>6</v>
      </c>
      <c r="C74" s="60">
        <v>5</v>
      </c>
      <c r="D74" s="60">
        <v>1</v>
      </c>
      <c r="E74" s="60">
        <v>2</v>
      </c>
      <c r="F74" s="60">
        <v>6</v>
      </c>
      <c r="G74" s="60">
        <v>6</v>
      </c>
      <c r="H74" s="60">
        <v>4</v>
      </c>
      <c r="I74" s="60">
        <v>2</v>
      </c>
      <c r="J74" s="60">
        <v>3</v>
      </c>
      <c r="K74" s="60">
        <v>5</v>
      </c>
      <c r="L74" s="60">
        <v>1</v>
      </c>
      <c r="M74" s="60">
        <v>6</v>
      </c>
      <c r="N74" s="60">
        <v>6</v>
      </c>
      <c r="O74" s="60">
        <v>4</v>
      </c>
      <c r="P74" s="60">
        <v>6</v>
      </c>
      <c r="Q74" s="60">
        <v>2</v>
      </c>
      <c r="R74" s="60">
        <v>3</v>
      </c>
      <c r="S74" s="60">
        <v>2</v>
      </c>
      <c r="T74" s="60">
        <v>6</v>
      </c>
      <c r="U74" s="60">
        <v>3</v>
      </c>
      <c r="V74" s="60">
        <v>6</v>
      </c>
      <c r="W74" s="60">
        <v>2</v>
      </c>
      <c r="X74" s="60">
        <v>2</v>
      </c>
      <c r="Y74" s="60">
        <v>2</v>
      </c>
      <c r="Z74" s="60">
        <v>3</v>
      </c>
    </row>
    <row r="75" spans="1:26">
      <c r="A75" s="60">
        <v>7</v>
      </c>
      <c r="B75" s="60">
        <v>7</v>
      </c>
      <c r="C75" s="60">
        <v>2</v>
      </c>
      <c r="D75" s="60">
        <v>1</v>
      </c>
      <c r="E75" s="60">
        <v>1</v>
      </c>
      <c r="F75" s="60">
        <v>7</v>
      </c>
      <c r="G75" s="60">
        <v>7</v>
      </c>
      <c r="H75" s="60">
        <v>3</v>
      </c>
      <c r="I75" s="60">
        <v>1</v>
      </c>
      <c r="J75" s="60">
        <v>1</v>
      </c>
      <c r="K75" s="60">
        <v>7</v>
      </c>
      <c r="L75" s="60">
        <v>1</v>
      </c>
      <c r="M75" s="60">
        <v>7</v>
      </c>
      <c r="N75" s="60">
        <v>7</v>
      </c>
      <c r="O75" s="60">
        <v>5</v>
      </c>
      <c r="P75" s="60">
        <v>7</v>
      </c>
      <c r="Q75" s="60">
        <v>1</v>
      </c>
      <c r="R75" s="60">
        <v>2</v>
      </c>
      <c r="S75" s="60">
        <v>1</v>
      </c>
      <c r="T75" s="60">
        <v>7</v>
      </c>
      <c r="U75" s="60">
        <v>1</v>
      </c>
      <c r="V75" s="60">
        <v>7</v>
      </c>
      <c r="W75" s="60">
        <v>1</v>
      </c>
      <c r="X75" s="60">
        <v>1</v>
      </c>
      <c r="Y75" s="60">
        <v>1</v>
      </c>
      <c r="Z75" s="60">
        <v>7</v>
      </c>
    </row>
    <row r="76" spans="1:26">
      <c r="A76" s="60">
        <v>7</v>
      </c>
      <c r="B76" s="60">
        <v>7</v>
      </c>
      <c r="C76" s="60">
        <v>3</v>
      </c>
      <c r="D76" s="60">
        <v>2</v>
      </c>
      <c r="E76" s="60">
        <v>3</v>
      </c>
      <c r="F76" s="60">
        <v>6</v>
      </c>
      <c r="G76" s="60">
        <v>6</v>
      </c>
      <c r="H76" s="60">
        <v>6</v>
      </c>
      <c r="I76" s="60">
        <v>2</v>
      </c>
      <c r="J76" s="60">
        <v>4</v>
      </c>
      <c r="K76" s="60">
        <v>5</v>
      </c>
      <c r="L76" s="60">
        <v>1</v>
      </c>
      <c r="M76" s="60">
        <v>6</v>
      </c>
      <c r="N76" s="60">
        <v>6</v>
      </c>
      <c r="O76" s="60">
        <v>4</v>
      </c>
      <c r="P76" s="60">
        <v>6</v>
      </c>
      <c r="Q76" s="60">
        <v>2</v>
      </c>
      <c r="R76" s="60">
        <v>4</v>
      </c>
      <c r="S76" s="60">
        <v>1</v>
      </c>
      <c r="T76" s="60">
        <v>7</v>
      </c>
      <c r="U76" s="60">
        <v>2</v>
      </c>
      <c r="V76" s="60">
        <v>6</v>
      </c>
      <c r="W76" s="60">
        <v>2</v>
      </c>
      <c r="X76" s="60">
        <v>2</v>
      </c>
      <c r="Y76" s="60">
        <v>3</v>
      </c>
      <c r="Z76" s="60">
        <v>4</v>
      </c>
    </row>
    <row r="77" spans="1:26">
      <c r="A77" s="60">
        <v>7</v>
      </c>
      <c r="B77" s="60">
        <v>7</v>
      </c>
      <c r="C77" s="60">
        <v>3</v>
      </c>
      <c r="D77" s="60">
        <v>1</v>
      </c>
      <c r="E77" s="60">
        <v>1</v>
      </c>
      <c r="F77" s="60">
        <v>4</v>
      </c>
      <c r="G77" s="60">
        <v>4</v>
      </c>
      <c r="H77" s="60">
        <v>7</v>
      </c>
      <c r="I77" s="60">
        <v>7</v>
      </c>
      <c r="J77" s="60">
        <v>7</v>
      </c>
      <c r="K77" s="60">
        <v>4</v>
      </c>
      <c r="L77" s="60">
        <v>1</v>
      </c>
      <c r="M77" s="60">
        <v>5</v>
      </c>
      <c r="N77" s="60">
        <v>7</v>
      </c>
      <c r="O77" s="60">
        <v>1</v>
      </c>
      <c r="P77" s="60">
        <v>7</v>
      </c>
      <c r="Q77" s="60">
        <v>1</v>
      </c>
      <c r="R77" s="60">
        <v>5</v>
      </c>
      <c r="S77" s="60">
        <v>1</v>
      </c>
      <c r="T77" s="60">
        <v>7</v>
      </c>
      <c r="U77" s="60">
        <v>1</v>
      </c>
      <c r="V77" s="60">
        <v>7</v>
      </c>
      <c r="W77" s="60">
        <v>1</v>
      </c>
      <c r="X77" s="60">
        <v>1</v>
      </c>
      <c r="Y77" s="60">
        <v>1</v>
      </c>
      <c r="Z77" s="60">
        <v>4</v>
      </c>
    </row>
    <row r="78" spans="1:26">
      <c r="A78" s="60">
        <v>6</v>
      </c>
      <c r="B78" s="60">
        <v>6</v>
      </c>
      <c r="C78" s="60">
        <v>6</v>
      </c>
      <c r="D78" s="60">
        <v>2</v>
      </c>
      <c r="E78" s="60">
        <v>2</v>
      </c>
      <c r="F78" s="60">
        <v>3</v>
      </c>
      <c r="G78" s="60">
        <v>2</v>
      </c>
      <c r="H78" s="60">
        <v>5</v>
      </c>
      <c r="I78" s="60">
        <v>2</v>
      </c>
      <c r="J78" s="60">
        <v>6</v>
      </c>
      <c r="K78" s="60">
        <v>4</v>
      </c>
      <c r="L78" s="60">
        <v>2</v>
      </c>
      <c r="M78" s="60">
        <v>6</v>
      </c>
      <c r="N78" s="60">
        <v>4</v>
      </c>
      <c r="O78" s="60">
        <v>2</v>
      </c>
      <c r="P78" s="60">
        <v>6</v>
      </c>
      <c r="Q78" s="60">
        <v>3</v>
      </c>
      <c r="R78" s="60">
        <v>5</v>
      </c>
      <c r="S78" s="60">
        <v>2</v>
      </c>
      <c r="T78" s="60">
        <v>3</v>
      </c>
      <c r="U78" s="60">
        <v>2</v>
      </c>
      <c r="V78" s="60">
        <v>6</v>
      </c>
      <c r="W78" s="60">
        <v>6</v>
      </c>
      <c r="X78" s="60">
        <v>3</v>
      </c>
      <c r="Y78" s="60">
        <v>3</v>
      </c>
      <c r="Z78" s="60">
        <v>4</v>
      </c>
    </row>
    <row r="79" spans="1:26">
      <c r="A79" s="60">
        <v>7</v>
      </c>
      <c r="B79" s="60">
        <v>7</v>
      </c>
      <c r="C79" s="60">
        <v>1</v>
      </c>
      <c r="D79" s="60">
        <v>1</v>
      </c>
      <c r="E79" s="60">
        <v>1</v>
      </c>
      <c r="F79" s="60">
        <v>7</v>
      </c>
      <c r="G79" s="60">
        <v>7</v>
      </c>
      <c r="H79" s="60">
        <v>4</v>
      </c>
      <c r="I79" s="60">
        <v>1</v>
      </c>
      <c r="J79" s="60">
        <v>1</v>
      </c>
      <c r="K79" s="60">
        <v>7</v>
      </c>
      <c r="L79" s="60">
        <v>1</v>
      </c>
      <c r="M79" s="60">
        <v>7</v>
      </c>
      <c r="N79" s="60">
        <v>7</v>
      </c>
      <c r="O79" s="60">
        <v>7</v>
      </c>
      <c r="P79" s="60">
        <v>7</v>
      </c>
      <c r="Q79" s="60">
        <v>3</v>
      </c>
      <c r="R79" s="60">
        <v>4</v>
      </c>
      <c r="S79" s="60">
        <v>1</v>
      </c>
      <c r="T79" s="60">
        <v>7</v>
      </c>
      <c r="U79" s="60">
        <v>1</v>
      </c>
      <c r="V79" s="60">
        <v>7</v>
      </c>
      <c r="W79" s="60">
        <v>1</v>
      </c>
      <c r="X79" s="60">
        <v>1</v>
      </c>
      <c r="Y79" s="60">
        <v>1</v>
      </c>
      <c r="Z79" s="60">
        <v>7</v>
      </c>
    </row>
    <row r="80" spans="1:26">
      <c r="A80" s="60">
        <v>5</v>
      </c>
      <c r="B80" s="60">
        <v>7</v>
      </c>
      <c r="C80" s="60">
        <v>5</v>
      </c>
      <c r="D80" s="60">
        <v>5</v>
      </c>
      <c r="E80" s="60">
        <v>6</v>
      </c>
      <c r="F80" s="60">
        <v>5</v>
      </c>
      <c r="G80" s="60">
        <v>5</v>
      </c>
      <c r="H80" s="60">
        <v>6</v>
      </c>
      <c r="I80" s="60">
        <v>6</v>
      </c>
      <c r="J80" s="60">
        <v>4</v>
      </c>
      <c r="K80" s="60">
        <v>7</v>
      </c>
      <c r="L80" s="60">
        <v>1</v>
      </c>
      <c r="M80" s="60">
        <v>6</v>
      </c>
      <c r="N80" s="60">
        <v>6</v>
      </c>
      <c r="O80" s="60">
        <v>6</v>
      </c>
      <c r="P80" s="60">
        <v>6</v>
      </c>
      <c r="Q80" s="60">
        <v>7</v>
      </c>
      <c r="R80" s="60">
        <v>2</v>
      </c>
      <c r="S80" s="60">
        <v>1</v>
      </c>
      <c r="T80" s="60">
        <v>6</v>
      </c>
      <c r="U80" s="60">
        <v>3</v>
      </c>
      <c r="V80" s="60">
        <v>5</v>
      </c>
      <c r="W80" s="60">
        <v>2</v>
      </c>
      <c r="X80" s="60">
        <v>4</v>
      </c>
      <c r="Y80" s="60">
        <v>3</v>
      </c>
      <c r="Z80" s="60">
        <v>5</v>
      </c>
    </row>
    <row r="81" spans="1:26">
      <c r="A81" s="60">
        <v>4</v>
      </c>
      <c r="B81" s="60">
        <v>7</v>
      </c>
      <c r="C81" s="60">
        <v>5</v>
      </c>
      <c r="D81" s="60">
        <v>6</v>
      </c>
      <c r="E81" s="60">
        <v>6</v>
      </c>
      <c r="F81" s="60">
        <v>6</v>
      </c>
      <c r="G81" s="60">
        <v>2</v>
      </c>
      <c r="H81" s="60">
        <v>7</v>
      </c>
      <c r="I81" s="60">
        <v>3</v>
      </c>
      <c r="J81" s="60">
        <v>3</v>
      </c>
      <c r="K81" s="60">
        <v>5</v>
      </c>
      <c r="L81" s="60">
        <v>3</v>
      </c>
      <c r="M81" s="60">
        <v>7</v>
      </c>
      <c r="N81" s="60">
        <v>6</v>
      </c>
      <c r="O81" s="60">
        <v>5</v>
      </c>
      <c r="P81" s="60">
        <v>5</v>
      </c>
      <c r="Q81" s="60">
        <v>2</v>
      </c>
      <c r="R81" s="60">
        <v>2</v>
      </c>
      <c r="S81" s="60">
        <v>3</v>
      </c>
      <c r="T81" s="60">
        <v>6</v>
      </c>
      <c r="U81" s="60">
        <v>1</v>
      </c>
      <c r="V81" s="60">
        <v>7</v>
      </c>
      <c r="W81" s="60">
        <v>1</v>
      </c>
      <c r="X81" s="60">
        <v>3</v>
      </c>
      <c r="Y81" s="60">
        <v>3</v>
      </c>
      <c r="Z81" s="60">
        <v>4</v>
      </c>
    </row>
    <row r="82" spans="1:26">
      <c r="A82" s="60">
        <v>6</v>
      </c>
      <c r="B82" s="60">
        <v>6</v>
      </c>
      <c r="C82" s="60">
        <v>3</v>
      </c>
      <c r="D82" s="60">
        <v>2</v>
      </c>
      <c r="E82" s="60">
        <v>2</v>
      </c>
      <c r="F82" s="60">
        <v>5</v>
      </c>
      <c r="G82" s="60">
        <v>6</v>
      </c>
      <c r="H82" s="60">
        <v>5</v>
      </c>
      <c r="I82" s="60">
        <v>5</v>
      </c>
      <c r="J82" s="60">
        <v>4</v>
      </c>
      <c r="K82" s="60">
        <v>5</v>
      </c>
      <c r="L82" s="60">
        <v>2</v>
      </c>
      <c r="M82" s="60">
        <v>4</v>
      </c>
      <c r="N82" s="60">
        <v>5</v>
      </c>
      <c r="O82" s="60">
        <v>2</v>
      </c>
      <c r="P82" s="60">
        <v>6</v>
      </c>
      <c r="Q82" s="60">
        <v>2</v>
      </c>
      <c r="R82" s="60">
        <v>2</v>
      </c>
      <c r="S82" s="60">
        <v>2</v>
      </c>
      <c r="T82" s="60">
        <v>5</v>
      </c>
      <c r="U82" s="60">
        <v>5</v>
      </c>
      <c r="V82" s="60">
        <v>6</v>
      </c>
      <c r="W82" s="60">
        <v>5</v>
      </c>
      <c r="X82" s="60">
        <v>2</v>
      </c>
      <c r="Y82" s="60">
        <v>2</v>
      </c>
      <c r="Z82" s="60">
        <v>5</v>
      </c>
    </row>
    <row r="83" spans="1:26">
      <c r="A83" s="60">
        <v>6</v>
      </c>
      <c r="B83" s="60">
        <v>6</v>
      </c>
      <c r="C83" s="60">
        <v>2</v>
      </c>
      <c r="D83" s="60">
        <v>2</v>
      </c>
      <c r="E83" s="60">
        <v>4</v>
      </c>
      <c r="F83" s="60">
        <v>4</v>
      </c>
      <c r="G83" s="60">
        <v>6</v>
      </c>
      <c r="H83" s="60">
        <v>4</v>
      </c>
      <c r="I83" s="60">
        <v>4</v>
      </c>
      <c r="J83" s="60">
        <v>2</v>
      </c>
      <c r="K83" s="60">
        <v>4</v>
      </c>
      <c r="L83" s="60">
        <v>3</v>
      </c>
      <c r="M83" s="60">
        <v>4</v>
      </c>
      <c r="N83" s="60">
        <v>4</v>
      </c>
      <c r="O83" s="60">
        <v>5</v>
      </c>
      <c r="P83" s="60">
        <v>4</v>
      </c>
      <c r="Q83" s="60">
        <v>4</v>
      </c>
      <c r="R83" s="60">
        <v>4</v>
      </c>
      <c r="S83" s="60">
        <v>2</v>
      </c>
      <c r="T83" s="60">
        <v>6</v>
      </c>
      <c r="U83" s="60">
        <v>2</v>
      </c>
      <c r="V83" s="60">
        <v>4</v>
      </c>
      <c r="W83" s="60">
        <v>2</v>
      </c>
      <c r="X83" s="60">
        <v>4</v>
      </c>
      <c r="Y83" s="60">
        <v>4</v>
      </c>
      <c r="Z83" s="60">
        <v>5</v>
      </c>
    </row>
    <row r="84" spans="1:26">
      <c r="A84" s="60">
        <v>7</v>
      </c>
      <c r="B84" s="60">
        <v>6</v>
      </c>
      <c r="C84" s="60">
        <v>7</v>
      </c>
      <c r="D84" s="60">
        <v>5</v>
      </c>
      <c r="E84" s="60">
        <v>7</v>
      </c>
      <c r="F84" s="60">
        <v>7</v>
      </c>
      <c r="G84" s="60">
        <v>7</v>
      </c>
      <c r="H84" s="60">
        <v>7</v>
      </c>
      <c r="I84" s="60">
        <v>1</v>
      </c>
      <c r="J84" s="60">
        <v>7</v>
      </c>
      <c r="K84" s="60">
        <v>7</v>
      </c>
      <c r="L84" s="60">
        <v>1</v>
      </c>
      <c r="M84" s="60">
        <v>7</v>
      </c>
      <c r="N84" s="60">
        <v>6</v>
      </c>
      <c r="O84" s="60">
        <v>6</v>
      </c>
      <c r="P84" s="60">
        <v>6</v>
      </c>
      <c r="Q84" s="60">
        <v>1</v>
      </c>
      <c r="R84" s="60">
        <v>1</v>
      </c>
      <c r="S84" s="60">
        <v>1</v>
      </c>
      <c r="T84" s="60">
        <v>4</v>
      </c>
      <c r="U84" s="60">
        <v>4</v>
      </c>
      <c r="V84" s="60">
        <v>4</v>
      </c>
      <c r="W84" s="60">
        <v>1</v>
      </c>
      <c r="X84" s="60">
        <v>1</v>
      </c>
      <c r="Y84" s="60">
        <v>1</v>
      </c>
      <c r="Z84" s="60">
        <v>4</v>
      </c>
    </row>
    <row r="85" spans="1:26">
      <c r="A85" s="60">
        <v>5</v>
      </c>
      <c r="B85" s="60">
        <v>7</v>
      </c>
      <c r="C85" s="60">
        <v>3</v>
      </c>
      <c r="D85" s="60">
        <v>1</v>
      </c>
      <c r="E85" s="60">
        <v>3</v>
      </c>
      <c r="F85" s="60">
        <v>5</v>
      </c>
      <c r="G85" s="60">
        <v>5</v>
      </c>
      <c r="H85" s="60">
        <v>3</v>
      </c>
      <c r="I85" s="60">
        <v>1</v>
      </c>
      <c r="J85" s="60">
        <v>3</v>
      </c>
      <c r="K85" s="60">
        <v>4</v>
      </c>
      <c r="L85" s="60">
        <v>4</v>
      </c>
      <c r="M85" s="60">
        <v>7</v>
      </c>
      <c r="N85" s="60">
        <v>4</v>
      </c>
      <c r="O85" s="60">
        <v>5</v>
      </c>
      <c r="P85" s="60">
        <v>4</v>
      </c>
      <c r="Q85" s="60">
        <v>1</v>
      </c>
      <c r="R85" s="60">
        <v>3</v>
      </c>
      <c r="S85" s="60">
        <v>1</v>
      </c>
      <c r="T85" s="60">
        <v>7</v>
      </c>
      <c r="U85" s="60">
        <v>1</v>
      </c>
      <c r="V85" s="60">
        <v>7</v>
      </c>
      <c r="W85" s="60">
        <v>3</v>
      </c>
      <c r="X85" s="60">
        <v>5</v>
      </c>
      <c r="Y85" s="60">
        <v>4</v>
      </c>
      <c r="Z85" s="60">
        <v>5</v>
      </c>
    </row>
    <row r="86" spans="1:26">
      <c r="A86" s="60">
        <v>2</v>
      </c>
      <c r="B86" s="60">
        <v>1</v>
      </c>
      <c r="C86" s="60">
        <v>5</v>
      </c>
      <c r="D86" s="60">
        <v>5</v>
      </c>
      <c r="E86" s="60">
        <v>4</v>
      </c>
      <c r="F86" s="60">
        <v>3</v>
      </c>
      <c r="G86" s="60">
        <v>3</v>
      </c>
      <c r="H86" s="60">
        <v>4</v>
      </c>
      <c r="I86" s="60">
        <v>5</v>
      </c>
      <c r="J86" s="60">
        <v>5</v>
      </c>
      <c r="K86" s="60">
        <v>2</v>
      </c>
      <c r="L86" s="60">
        <v>6</v>
      </c>
      <c r="M86" s="60">
        <v>2</v>
      </c>
      <c r="N86" s="60">
        <v>1</v>
      </c>
      <c r="O86" s="60">
        <v>3</v>
      </c>
      <c r="P86" s="60">
        <v>2</v>
      </c>
      <c r="Q86" s="60">
        <v>5</v>
      </c>
      <c r="R86" s="60">
        <v>5</v>
      </c>
      <c r="S86" s="60">
        <v>4</v>
      </c>
      <c r="T86" s="60">
        <v>1</v>
      </c>
      <c r="U86" s="60">
        <v>2</v>
      </c>
      <c r="V86" s="60">
        <v>5</v>
      </c>
      <c r="W86" s="60">
        <v>3</v>
      </c>
      <c r="X86" s="60">
        <v>4</v>
      </c>
      <c r="Y86" s="60">
        <v>3</v>
      </c>
      <c r="Z86" s="60">
        <v>6</v>
      </c>
    </row>
    <row r="87" spans="1:26">
      <c r="A87" s="60">
        <v>7</v>
      </c>
      <c r="B87" s="60">
        <v>7</v>
      </c>
      <c r="C87" s="60">
        <v>1</v>
      </c>
      <c r="D87" s="60">
        <v>1</v>
      </c>
      <c r="E87" s="60">
        <v>1</v>
      </c>
      <c r="F87" s="60">
        <v>6</v>
      </c>
      <c r="G87" s="60">
        <v>6</v>
      </c>
      <c r="H87" s="60">
        <v>4</v>
      </c>
      <c r="I87" s="60">
        <v>2</v>
      </c>
      <c r="J87" s="60">
        <v>1</v>
      </c>
      <c r="K87" s="60">
        <v>6</v>
      </c>
      <c r="L87" s="60">
        <v>2</v>
      </c>
      <c r="M87" s="60">
        <v>6</v>
      </c>
      <c r="N87" s="60">
        <v>7</v>
      </c>
      <c r="O87" s="60">
        <v>7</v>
      </c>
      <c r="P87" s="60">
        <v>6</v>
      </c>
      <c r="Q87" s="60">
        <v>3</v>
      </c>
      <c r="R87" s="60">
        <v>4</v>
      </c>
      <c r="S87" s="60">
        <v>1</v>
      </c>
      <c r="T87" s="60">
        <v>7</v>
      </c>
      <c r="U87" s="60">
        <v>1</v>
      </c>
      <c r="V87" s="60">
        <v>6</v>
      </c>
      <c r="W87" s="60">
        <v>4</v>
      </c>
      <c r="X87" s="60">
        <v>2</v>
      </c>
      <c r="Y87" s="60">
        <v>2</v>
      </c>
      <c r="Z87" s="60">
        <v>6</v>
      </c>
    </row>
    <row r="88" spans="1:26">
      <c r="A88" s="60">
        <v>6</v>
      </c>
      <c r="B88" s="60">
        <v>6</v>
      </c>
      <c r="C88" s="60">
        <v>4</v>
      </c>
      <c r="D88" s="60">
        <v>6</v>
      </c>
      <c r="E88" s="60">
        <v>3</v>
      </c>
      <c r="F88" s="60">
        <v>4</v>
      </c>
      <c r="G88" s="60">
        <v>5</v>
      </c>
      <c r="H88" s="60">
        <v>5</v>
      </c>
      <c r="I88" s="60">
        <v>2</v>
      </c>
      <c r="J88" s="60">
        <v>4</v>
      </c>
      <c r="K88" s="60">
        <v>6</v>
      </c>
      <c r="L88" s="60">
        <v>2</v>
      </c>
      <c r="M88" s="60">
        <v>6</v>
      </c>
      <c r="N88" s="60">
        <v>6</v>
      </c>
      <c r="O88" s="60">
        <v>6</v>
      </c>
      <c r="P88" s="60">
        <v>6</v>
      </c>
      <c r="Q88" s="60">
        <v>2</v>
      </c>
      <c r="R88" s="60">
        <v>4</v>
      </c>
      <c r="S88" s="60">
        <v>2</v>
      </c>
      <c r="T88" s="60">
        <v>6</v>
      </c>
      <c r="U88" s="60">
        <v>2</v>
      </c>
      <c r="V88" s="60">
        <v>6</v>
      </c>
      <c r="W88" s="60">
        <v>2</v>
      </c>
      <c r="X88" s="60">
        <v>3</v>
      </c>
      <c r="Y88" s="60">
        <v>2</v>
      </c>
      <c r="Z88" s="60">
        <v>4</v>
      </c>
    </row>
    <row r="89" spans="1:26">
      <c r="A89" s="60">
        <v>6</v>
      </c>
      <c r="B89" s="60">
        <v>6</v>
      </c>
      <c r="C89" s="60">
        <v>2</v>
      </c>
      <c r="D89" s="60">
        <v>2</v>
      </c>
      <c r="E89" s="60">
        <v>2</v>
      </c>
      <c r="F89" s="60">
        <v>5</v>
      </c>
      <c r="G89" s="60">
        <v>5</v>
      </c>
      <c r="H89" s="60">
        <v>6</v>
      </c>
      <c r="I89" s="60">
        <v>1</v>
      </c>
      <c r="J89" s="60">
        <v>2</v>
      </c>
      <c r="K89" s="60">
        <v>4</v>
      </c>
      <c r="L89" s="60">
        <v>2</v>
      </c>
      <c r="M89" s="60">
        <v>6</v>
      </c>
      <c r="N89" s="60">
        <v>6</v>
      </c>
      <c r="O89" s="60">
        <v>6</v>
      </c>
      <c r="P89" s="60">
        <v>6</v>
      </c>
      <c r="Q89" s="60">
        <v>2</v>
      </c>
      <c r="R89" s="60">
        <v>2</v>
      </c>
      <c r="S89" s="60">
        <v>2</v>
      </c>
      <c r="T89" s="60">
        <v>7</v>
      </c>
      <c r="U89" s="60">
        <v>2</v>
      </c>
      <c r="V89" s="60">
        <v>6</v>
      </c>
      <c r="W89" s="60">
        <v>2</v>
      </c>
      <c r="X89" s="60">
        <v>2</v>
      </c>
      <c r="Y89" s="60">
        <v>2</v>
      </c>
      <c r="Z89" s="60">
        <v>7</v>
      </c>
    </row>
    <row r="90" spans="1:26">
      <c r="A90" s="60">
        <v>4</v>
      </c>
      <c r="B90" s="60">
        <v>3</v>
      </c>
      <c r="C90" s="60">
        <v>4</v>
      </c>
      <c r="D90" s="60">
        <v>5</v>
      </c>
      <c r="E90" s="60">
        <v>2</v>
      </c>
      <c r="F90" s="60">
        <v>6</v>
      </c>
      <c r="G90" s="60">
        <v>6</v>
      </c>
      <c r="H90" s="60">
        <v>6</v>
      </c>
      <c r="I90" s="60">
        <v>3</v>
      </c>
      <c r="J90" s="60">
        <v>6</v>
      </c>
      <c r="K90" s="60">
        <v>4</v>
      </c>
      <c r="L90" s="60">
        <v>3</v>
      </c>
      <c r="M90" s="60">
        <v>4</v>
      </c>
      <c r="N90" s="60">
        <v>5</v>
      </c>
      <c r="O90" s="60">
        <v>3</v>
      </c>
      <c r="P90" s="60">
        <v>5</v>
      </c>
      <c r="Q90" s="60">
        <v>2</v>
      </c>
      <c r="R90" s="60">
        <v>3</v>
      </c>
      <c r="S90" s="60">
        <v>2</v>
      </c>
      <c r="T90" s="60">
        <v>6</v>
      </c>
      <c r="U90" s="60">
        <v>3</v>
      </c>
      <c r="V90" s="60">
        <v>6</v>
      </c>
      <c r="W90" s="60">
        <v>6</v>
      </c>
      <c r="X90" s="60">
        <v>4</v>
      </c>
      <c r="Y90" s="60">
        <v>4</v>
      </c>
      <c r="Z90" s="60">
        <v>3</v>
      </c>
    </row>
    <row r="91" spans="1:26">
      <c r="A91" s="60">
        <v>5</v>
      </c>
      <c r="B91" s="60">
        <v>6</v>
      </c>
      <c r="C91" s="60">
        <v>3</v>
      </c>
      <c r="D91" s="60">
        <v>3</v>
      </c>
      <c r="E91" s="60">
        <v>2</v>
      </c>
      <c r="F91" s="60">
        <v>5</v>
      </c>
      <c r="G91" s="60">
        <v>5</v>
      </c>
      <c r="H91" s="60">
        <v>4</v>
      </c>
      <c r="I91" s="60">
        <v>2</v>
      </c>
      <c r="J91" s="60">
        <v>3</v>
      </c>
      <c r="K91" s="60">
        <v>5</v>
      </c>
      <c r="L91" s="60">
        <v>2</v>
      </c>
      <c r="M91" s="60">
        <v>5</v>
      </c>
      <c r="N91" s="60">
        <v>5</v>
      </c>
      <c r="O91" s="60">
        <v>6</v>
      </c>
      <c r="P91" s="60">
        <v>5</v>
      </c>
      <c r="Q91" s="60">
        <v>3</v>
      </c>
      <c r="R91" s="60">
        <v>3</v>
      </c>
      <c r="S91" s="60">
        <v>3</v>
      </c>
      <c r="T91" s="60">
        <v>6</v>
      </c>
      <c r="U91" s="60">
        <v>2</v>
      </c>
      <c r="V91" s="60">
        <v>6</v>
      </c>
      <c r="W91" s="60">
        <v>2</v>
      </c>
      <c r="X91" s="60">
        <v>3</v>
      </c>
      <c r="Y91" s="60">
        <v>3</v>
      </c>
      <c r="Z91" s="60">
        <v>6</v>
      </c>
    </row>
    <row r="92" spans="1:26">
      <c r="A92" s="60">
        <v>7</v>
      </c>
      <c r="B92" s="60">
        <v>7</v>
      </c>
      <c r="C92" s="60">
        <v>1</v>
      </c>
      <c r="D92" s="60">
        <v>1</v>
      </c>
      <c r="E92" s="60">
        <v>1</v>
      </c>
      <c r="F92" s="60">
        <v>7</v>
      </c>
      <c r="G92" s="60">
        <v>7</v>
      </c>
      <c r="H92" s="60">
        <v>4</v>
      </c>
      <c r="I92" s="60">
        <v>1</v>
      </c>
      <c r="J92" s="60">
        <v>2</v>
      </c>
      <c r="K92" s="60">
        <v>7</v>
      </c>
      <c r="L92" s="60">
        <v>1</v>
      </c>
      <c r="M92" s="60">
        <v>7</v>
      </c>
      <c r="N92" s="60">
        <v>7</v>
      </c>
      <c r="O92" s="60">
        <v>7</v>
      </c>
      <c r="P92" s="60">
        <v>7</v>
      </c>
      <c r="Q92" s="60">
        <v>1</v>
      </c>
      <c r="R92" s="60">
        <v>1</v>
      </c>
      <c r="S92" s="60">
        <v>1</v>
      </c>
      <c r="T92" s="60">
        <v>7</v>
      </c>
      <c r="U92" s="60">
        <v>1</v>
      </c>
      <c r="V92" s="60">
        <v>7</v>
      </c>
      <c r="W92" s="60">
        <v>1</v>
      </c>
      <c r="X92" s="60">
        <v>1</v>
      </c>
      <c r="Y92" s="60">
        <v>1</v>
      </c>
      <c r="Z92" s="60">
        <v>1</v>
      </c>
    </row>
    <row r="93" spans="1:26">
      <c r="A93" s="60">
        <v>1</v>
      </c>
      <c r="B93" s="60">
        <v>5</v>
      </c>
      <c r="C93" s="60">
        <v>3</v>
      </c>
      <c r="D93" s="60">
        <v>5</v>
      </c>
      <c r="E93" s="60">
        <v>4</v>
      </c>
      <c r="F93" s="60">
        <v>5</v>
      </c>
      <c r="G93" s="60">
        <v>4</v>
      </c>
      <c r="H93" s="60">
        <v>4</v>
      </c>
      <c r="I93" s="60">
        <v>4</v>
      </c>
      <c r="J93" s="60">
        <v>5</v>
      </c>
      <c r="K93" s="60">
        <v>2</v>
      </c>
      <c r="L93" s="60">
        <v>6</v>
      </c>
      <c r="M93" s="60">
        <v>4</v>
      </c>
      <c r="N93" s="60">
        <v>1</v>
      </c>
      <c r="O93" s="60">
        <v>4</v>
      </c>
      <c r="P93" s="60">
        <v>1</v>
      </c>
      <c r="Q93" s="60">
        <v>4</v>
      </c>
      <c r="R93" s="60">
        <v>7</v>
      </c>
      <c r="S93" s="60">
        <v>5</v>
      </c>
      <c r="T93" s="60">
        <v>4</v>
      </c>
      <c r="U93" s="60">
        <v>4</v>
      </c>
      <c r="V93" s="60">
        <v>4</v>
      </c>
      <c r="W93" s="60">
        <v>4</v>
      </c>
      <c r="X93" s="60">
        <v>4</v>
      </c>
      <c r="Y93" s="60">
        <v>7</v>
      </c>
      <c r="Z93" s="60">
        <v>4</v>
      </c>
    </row>
    <row r="94" spans="1:26">
      <c r="A94" s="60">
        <v>2</v>
      </c>
      <c r="B94" s="60">
        <v>5</v>
      </c>
      <c r="C94" s="60">
        <v>5</v>
      </c>
      <c r="D94" s="60">
        <v>4</v>
      </c>
      <c r="E94" s="60">
        <v>2</v>
      </c>
      <c r="F94" s="60">
        <v>4</v>
      </c>
      <c r="G94" s="60">
        <v>3</v>
      </c>
      <c r="H94" s="60">
        <v>3</v>
      </c>
      <c r="I94" s="60">
        <v>1</v>
      </c>
      <c r="J94" s="60">
        <v>2</v>
      </c>
      <c r="K94" s="60">
        <v>5</v>
      </c>
      <c r="L94" s="60">
        <v>2</v>
      </c>
      <c r="M94" s="60">
        <v>6</v>
      </c>
      <c r="N94" s="60">
        <v>5</v>
      </c>
      <c r="O94" s="60">
        <v>5</v>
      </c>
      <c r="P94" s="60">
        <v>5</v>
      </c>
      <c r="Q94" s="60">
        <v>5</v>
      </c>
      <c r="R94" s="60">
        <v>4</v>
      </c>
      <c r="S94" s="60">
        <v>2</v>
      </c>
      <c r="T94" s="60">
        <v>7</v>
      </c>
      <c r="U94" s="60">
        <v>2</v>
      </c>
      <c r="V94" s="60">
        <v>7</v>
      </c>
      <c r="W94" s="60">
        <v>3</v>
      </c>
      <c r="X94" s="60">
        <v>2</v>
      </c>
      <c r="Y94" s="60">
        <v>2</v>
      </c>
      <c r="Z94" s="60">
        <v>5</v>
      </c>
    </row>
    <row r="95" spans="1:26">
      <c r="A95" s="60">
        <v>7</v>
      </c>
      <c r="B95" s="60">
        <v>7</v>
      </c>
      <c r="C95" s="60">
        <v>1</v>
      </c>
      <c r="D95" s="60">
        <v>1</v>
      </c>
      <c r="E95" s="60">
        <v>1</v>
      </c>
      <c r="F95" s="60">
        <v>7</v>
      </c>
      <c r="G95" s="60">
        <v>7</v>
      </c>
      <c r="H95" s="60">
        <v>4</v>
      </c>
      <c r="I95" s="60">
        <v>1</v>
      </c>
      <c r="J95" s="60">
        <v>1</v>
      </c>
      <c r="K95" s="60">
        <v>7</v>
      </c>
      <c r="L95" s="60">
        <v>1</v>
      </c>
      <c r="M95" s="60">
        <v>1</v>
      </c>
      <c r="N95" s="60">
        <v>7</v>
      </c>
      <c r="O95" s="60">
        <v>7</v>
      </c>
      <c r="P95" s="60">
        <v>7</v>
      </c>
      <c r="Q95" s="60">
        <v>1</v>
      </c>
      <c r="R95" s="60">
        <v>1</v>
      </c>
      <c r="S95" s="60">
        <v>1</v>
      </c>
      <c r="T95" s="60">
        <v>7</v>
      </c>
      <c r="U95" s="60">
        <v>1</v>
      </c>
      <c r="V95" s="60">
        <v>7</v>
      </c>
      <c r="W95" s="60">
        <v>1</v>
      </c>
      <c r="X95" s="60">
        <v>1</v>
      </c>
      <c r="Y95" s="60">
        <v>1</v>
      </c>
      <c r="Z95" s="60">
        <v>1</v>
      </c>
    </row>
    <row r="96" spans="1:26">
      <c r="A96" s="60">
        <v>6</v>
      </c>
      <c r="B96" s="60">
        <v>6</v>
      </c>
      <c r="C96" s="60">
        <v>4</v>
      </c>
      <c r="D96" s="60">
        <v>2</v>
      </c>
      <c r="E96" s="60">
        <v>2</v>
      </c>
      <c r="F96" s="60">
        <v>6</v>
      </c>
      <c r="G96" s="60">
        <v>6</v>
      </c>
      <c r="H96" s="60">
        <v>5</v>
      </c>
      <c r="I96" s="60">
        <v>3</v>
      </c>
      <c r="J96" s="60">
        <v>2</v>
      </c>
      <c r="K96" s="60">
        <v>5</v>
      </c>
      <c r="L96" s="60">
        <v>4</v>
      </c>
      <c r="M96" s="60">
        <v>7</v>
      </c>
      <c r="N96" s="60">
        <v>6</v>
      </c>
      <c r="O96" s="60">
        <v>5</v>
      </c>
      <c r="P96" s="60">
        <v>5</v>
      </c>
      <c r="Q96" s="60">
        <v>2</v>
      </c>
      <c r="R96" s="60">
        <v>4</v>
      </c>
      <c r="S96" s="60">
        <v>3</v>
      </c>
      <c r="T96" s="60">
        <v>6</v>
      </c>
      <c r="U96" s="60">
        <v>2</v>
      </c>
      <c r="V96" s="60">
        <v>6</v>
      </c>
      <c r="W96" s="60">
        <v>1</v>
      </c>
      <c r="X96" s="60">
        <v>2</v>
      </c>
      <c r="Y96" s="60">
        <v>2</v>
      </c>
      <c r="Z96" s="60">
        <v>5</v>
      </c>
    </row>
    <row r="97" spans="1:26">
      <c r="A97" s="60">
        <v>6</v>
      </c>
      <c r="B97" s="60">
        <v>7</v>
      </c>
      <c r="C97" s="60">
        <v>2</v>
      </c>
      <c r="D97" s="60">
        <v>1</v>
      </c>
      <c r="E97" s="60">
        <v>1</v>
      </c>
      <c r="F97" s="60">
        <v>6</v>
      </c>
      <c r="G97" s="60">
        <v>5</v>
      </c>
      <c r="H97" s="60">
        <v>6</v>
      </c>
      <c r="I97" s="60">
        <v>4</v>
      </c>
      <c r="J97" s="60">
        <v>3</v>
      </c>
      <c r="K97" s="60">
        <v>6</v>
      </c>
      <c r="L97" s="60">
        <v>1</v>
      </c>
      <c r="M97" s="60">
        <v>3</v>
      </c>
      <c r="N97" s="60">
        <v>7</v>
      </c>
      <c r="O97" s="60">
        <v>5</v>
      </c>
      <c r="P97" s="60">
        <v>6</v>
      </c>
      <c r="Q97" s="60">
        <v>3</v>
      </c>
      <c r="R97" s="60">
        <v>2</v>
      </c>
      <c r="S97" s="60">
        <v>1</v>
      </c>
      <c r="T97" s="60">
        <v>7</v>
      </c>
      <c r="U97" s="60">
        <v>1</v>
      </c>
      <c r="V97" s="60">
        <v>7</v>
      </c>
      <c r="W97" s="60">
        <v>1</v>
      </c>
      <c r="X97" s="60">
        <v>2</v>
      </c>
      <c r="Y97" s="60">
        <v>1</v>
      </c>
      <c r="Z97" s="60">
        <v>6</v>
      </c>
    </row>
    <row r="98" spans="1:26">
      <c r="A98" s="60">
        <v>7</v>
      </c>
      <c r="B98" s="60">
        <v>7</v>
      </c>
      <c r="C98" s="60">
        <v>4</v>
      </c>
      <c r="D98" s="60">
        <v>1</v>
      </c>
      <c r="E98" s="60">
        <v>1</v>
      </c>
      <c r="F98" s="60">
        <v>7</v>
      </c>
      <c r="G98" s="60">
        <v>7</v>
      </c>
      <c r="H98" s="60">
        <v>4</v>
      </c>
      <c r="I98" s="60">
        <v>1</v>
      </c>
      <c r="J98" s="60">
        <v>1</v>
      </c>
      <c r="K98" s="60">
        <v>7</v>
      </c>
      <c r="L98" s="60">
        <v>1</v>
      </c>
      <c r="M98" s="60">
        <v>7</v>
      </c>
      <c r="N98" s="60">
        <v>7</v>
      </c>
      <c r="O98" s="60">
        <v>7</v>
      </c>
      <c r="P98" s="60">
        <v>7</v>
      </c>
      <c r="Q98" s="60">
        <v>1</v>
      </c>
      <c r="R98" s="60">
        <v>4</v>
      </c>
      <c r="S98" s="60">
        <v>1</v>
      </c>
      <c r="T98" s="60">
        <v>7</v>
      </c>
      <c r="U98" s="60">
        <v>1</v>
      </c>
      <c r="V98" s="60">
        <v>7</v>
      </c>
      <c r="W98" s="60">
        <v>3</v>
      </c>
      <c r="X98" s="60">
        <v>2</v>
      </c>
      <c r="Y98" s="60">
        <v>1</v>
      </c>
      <c r="Z98" s="60">
        <v>7</v>
      </c>
    </row>
    <row r="99" spans="1:26">
      <c r="A99" s="60">
        <v>6</v>
      </c>
      <c r="B99" s="60">
        <v>7</v>
      </c>
      <c r="C99" s="60">
        <v>1</v>
      </c>
      <c r="D99" s="60">
        <v>1</v>
      </c>
      <c r="E99" s="60">
        <v>1</v>
      </c>
      <c r="F99" s="60">
        <v>5</v>
      </c>
      <c r="G99" s="60">
        <v>5</v>
      </c>
      <c r="H99" s="60">
        <v>4</v>
      </c>
      <c r="I99" s="60">
        <v>1</v>
      </c>
      <c r="J99" s="60">
        <v>3</v>
      </c>
      <c r="K99" s="60">
        <v>5</v>
      </c>
      <c r="L99" s="60">
        <v>1</v>
      </c>
      <c r="M99" s="60">
        <v>7</v>
      </c>
      <c r="N99" s="60">
        <v>7</v>
      </c>
      <c r="O99" s="60">
        <v>6</v>
      </c>
      <c r="P99" s="60">
        <v>7</v>
      </c>
      <c r="Q99" s="60">
        <v>1</v>
      </c>
      <c r="R99" s="60">
        <v>3</v>
      </c>
      <c r="S99" s="60">
        <v>4</v>
      </c>
      <c r="T99" s="60">
        <v>7</v>
      </c>
      <c r="U99" s="60">
        <v>1</v>
      </c>
      <c r="V99" s="60">
        <v>7</v>
      </c>
      <c r="W99" s="60">
        <v>1</v>
      </c>
      <c r="X99" s="60">
        <v>1</v>
      </c>
      <c r="Y99" s="60">
        <v>4</v>
      </c>
      <c r="Z99" s="60">
        <v>6</v>
      </c>
    </row>
    <row r="100" spans="1:26">
      <c r="A100" s="60">
        <v>5</v>
      </c>
      <c r="B100" s="60">
        <v>6</v>
      </c>
      <c r="C100" s="60">
        <v>5</v>
      </c>
      <c r="D100" s="60">
        <v>2</v>
      </c>
      <c r="E100" s="60">
        <v>2</v>
      </c>
      <c r="F100" s="60">
        <v>4</v>
      </c>
      <c r="G100" s="60">
        <v>5</v>
      </c>
      <c r="H100" s="60">
        <v>5</v>
      </c>
      <c r="I100" s="60">
        <v>2</v>
      </c>
      <c r="J100" s="60">
        <v>2</v>
      </c>
      <c r="K100" s="60">
        <v>3</v>
      </c>
      <c r="L100" s="60">
        <v>3</v>
      </c>
      <c r="M100" s="60">
        <v>4</v>
      </c>
      <c r="N100" s="60">
        <v>6</v>
      </c>
      <c r="O100" s="60">
        <v>6</v>
      </c>
      <c r="P100" s="60">
        <v>7</v>
      </c>
      <c r="Q100" s="60">
        <v>2</v>
      </c>
      <c r="R100" s="60">
        <v>3</v>
      </c>
      <c r="S100" s="60">
        <v>2</v>
      </c>
      <c r="T100" s="60">
        <v>7</v>
      </c>
      <c r="U100" s="60">
        <v>3</v>
      </c>
      <c r="V100" s="60">
        <v>6</v>
      </c>
      <c r="W100" s="60">
        <v>5</v>
      </c>
      <c r="X100" s="60">
        <v>4</v>
      </c>
      <c r="Y100" s="60">
        <v>3</v>
      </c>
      <c r="Z100" s="60">
        <v>6</v>
      </c>
    </row>
    <row r="101" spans="1:26">
      <c r="A101" s="60">
        <v>4</v>
      </c>
      <c r="B101" s="60">
        <v>6</v>
      </c>
      <c r="C101" s="60">
        <v>4</v>
      </c>
      <c r="D101" s="60">
        <v>2</v>
      </c>
      <c r="E101" s="60">
        <v>3</v>
      </c>
      <c r="F101" s="60">
        <v>4</v>
      </c>
      <c r="G101" s="60">
        <v>4</v>
      </c>
      <c r="H101" s="60">
        <v>7</v>
      </c>
      <c r="I101" s="60">
        <v>2</v>
      </c>
      <c r="J101" s="60">
        <v>4</v>
      </c>
      <c r="K101" s="60">
        <v>4</v>
      </c>
      <c r="L101" s="60">
        <v>5</v>
      </c>
      <c r="M101" s="60">
        <v>6</v>
      </c>
      <c r="N101" s="60">
        <v>4</v>
      </c>
      <c r="O101" s="60">
        <v>3</v>
      </c>
      <c r="P101" s="60">
        <v>5</v>
      </c>
      <c r="Q101" s="60">
        <v>2</v>
      </c>
      <c r="R101" s="60">
        <v>4</v>
      </c>
      <c r="S101" s="60">
        <v>3</v>
      </c>
      <c r="T101" s="60">
        <v>5</v>
      </c>
      <c r="U101" s="60">
        <v>2</v>
      </c>
      <c r="V101" s="60">
        <v>6</v>
      </c>
      <c r="W101" s="60">
        <v>6</v>
      </c>
      <c r="X101" s="60">
        <v>3</v>
      </c>
      <c r="Y101" s="60">
        <v>3</v>
      </c>
      <c r="Z101" s="60">
        <v>4</v>
      </c>
    </row>
    <row r="102" spans="1:26">
      <c r="A102" s="60">
        <v>7</v>
      </c>
      <c r="B102" s="60">
        <v>7</v>
      </c>
      <c r="C102" s="60">
        <v>2</v>
      </c>
      <c r="D102" s="60">
        <v>1</v>
      </c>
      <c r="E102" s="60">
        <v>1</v>
      </c>
      <c r="F102" s="60">
        <v>7</v>
      </c>
      <c r="G102" s="60">
        <v>7</v>
      </c>
      <c r="H102" s="60">
        <v>3</v>
      </c>
      <c r="I102" s="60">
        <v>4</v>
      </c>
      <c r="J102" s="60">
        <v>2</v>
      </c>
      <c r="K102" s="60">
        <v>6</v>
      </c>
      <c r="L102" s="60">
        <v>1</v>
      </c>
      <c r="M102" s="60">
        <v>7</v>
      </c>
      <c r="N102" s="60">
        <v>7</v>
      </c>
      <c r="O102" s="60">
        <v>4</v>
      </c>
      <c r="P102" s="60">
        <v>7</v>
      </c>
      <c r="Q102" s="60">
        <v>1</v>
      </c>
      <c r="R102" s="60">
        <v>4</v>
      </c>
      <c r="S102" s="60">
        <v>1</v>
      </c>
      <c r="T102" s="60">
        <v>7</v>
      </c>
      <c r="U102" s="60">
        <v>1</v>
      </c>
      <c r="V102" s="60">
        <v>7</v>
      </c>
      <c r="W102" s="60">
        <v>1</v>
      </c>
      <c r="X102" s="60">
        <v>1</v>
      </c>
      <c r="Y102" s="60">
        <v>1</v>
      </c>
      <c r="Z102" s="60">
        <v>5</v>
      </c>
    </row>
    <row r="103" spans="1:26">
      <c r="A103" s="60">
        <v>2</v>
      </c>
      <c r="B103" s="60">
        <v>2</v>
      </c>
      <c r="C103" s="60">
        <v>3</v>
      </c>
      <c r="D103" s="60">
        <v>3</v>
      </c>
      <c r="E103" s="60">
        <v>2</v>
      </c>
      <c r="F103" s="60">
        <v>5</v>
      </c>
      <c r="G103" s="60">
        <v>4</v>
      </c>
      <c r="H103" s="60">
        <v>3</v>
      </c>
      <c r="I103" s="60">
        <v>2</v>
      </c>
      <c r="J103" s="60">
        <v>2</v>
      </c>
      <c r="K103" s="60">
        <v>4</v>
      </c>
      <c r="L103" s="60">
        <v>2</v>
      </c>
      <c r="M103" s="60">
        <v>6</v>
      </c>
      <c r="N103" s="60">
        <v>5</v>
      </c>
      <c r="O103" s="60">
        <v>6</v>
      </c>
      <c r="P103" s="60">
        <v>1</v>
      </c>
      <c r="Q103" s="60">
        <v>2</v>
      </c>
      <c r="R103" s="60">
        <v>4</v>
      </c>
      <c r="S103" s="60">
        <v>2</v>
      </c>
      <c r="T103" s="60">
        <v>5</v>
      </c>
      <c r="U103" s="60">
        <v>2</v>
      </c>
      <c r="V103" s="60">
        <v>7</v>
      </c>
      <c r="W103" s="60">
        <v>3</v>
      </c>
      <c r="X103" s="60">
        <v>3</v>
      </c>
      <c r="Y103" s="60">
        <v>4</v>
      </c>
      <c r="Z103" s="60">
        <v>7</v>
      </c>
    </row>
    <row r="104" spans="1:26">
      <c r="A104" s="60">
        <v>4</v>
      </c>
      <c r="B104" s="60">
        <v>6</v>
      </c>
      <c r="C104" s="60">
        <v>4</v>
      </c>
      <c r="D104" s="60">
        <v>2</v>
      </c>
      <c r="E104" s="60">
        <v>1</v>
      </c>
      <c r="F104" s="60">
        <v>4</v>
      </c>
      <c r="G104" s="60">
        <v>5</v>
      </c>
      <c r="H104" s="60">
        <v>6</v>
      </c>
      <c r="I104" s="60">
        <v>2</v>
      </c>
      <c r="J104" s="60">
        <v>3</v>
      </c>
      <c r="K104" s="60">
        <v>7</v>
      </c>
      <c r="L104" s="60">
        <v>1</v>
      </c>
      <c r="M104" s="60">
        <v>6</v>
      </c>
      <c r="N104" s="60">
        <v>6</v>
      </c>
      <c r="O104" s="60">
        <v>4</v>
      </c>
      <c r="P104" s="60">
        <v>6</v>
      </c>
      <c r="Q104" s="60">
        <v>2</v>
      </c>
      <c r="R104" s="60">
        <v>3</v>
      </c>
      <c r="S104" s="60">
        <v>1</v>
      </c>
      <c r="T104" s="60">
        <v>7</v>
      </c>
      <c r="U104" s="60">
        <v>2</v>
      </c>
      <c r="V104" s="60">
        <v>6</v>
      </c>
      <c r="W104" s="60">
        <v>2</v>
      </c>
      <c r="X104" s="60">
        <v>4</v>
      </c>
      <c r="Y104" s="60">
        <v>2</v>
      </c>
      <c r="Z104" s="60">
        <v>4</v>
      </c>
    </row>
    <row r="105" spans="1:26">
      <c r="A105" s="60">
        <v>7</v>
      </c>
      <c r="B105" s="60">
        <v>7</v>
      </c>
      <c r="C105" s="60">
        <v>6</v>
      </c>
      <c r="D105" s="60">
        <v>4</v>
      </c>
      <c r="E105" s="60">
        <v>7</v>
      </c>
      <c r="F105" s="60">
        <v>7</v>
      </c>
      <c r="G105" s="60">
        <v>7</v>
      </c>
      <c r="H105" s="60">
        <v>7</v>
      </c>
      <c r="I105" s="60">
        <v>1</v>
      </c>
      <c r="J105" s="60">
        <v>7</v>
      </c>
      <c r="K105" s="60">
        <v>7</v>
      </c>
      <c r="L105" s="60">
        <v>1</v>
      </c>
      <c r="M105" s="60">
        <v>7</v>
      </c>
      <c r="N105" s="60">
        <v>7</v>
      </c>
      <c r="O105" s="60">
        <v>4</v>
      </c>
      <c r="P105" s="60">
        <v>7</v>
      </c>
      <c r="Q105" s="60">
        <v>2</v>
      </c>
      <c r="R105" s="60">
        <v>2</v>
      </c>
      <c r="S105" s="60">
        <v>2</v>
      </c>
      <c r="T105" s="60">
        <v>2</v>
      </c>
      <c r="U105" s="60">
        <v>1</v>
      </c>
      <c r="V105" s="60">
        <v>7</v>
      </c>
      <c r="W105" s="60">
        <v>7</v>
      </c>
      <c r="X105" s="60">
        <v>3</v>
      </c>
      <c r="Y105" s="60">
        <v>3</v>
      </c>
      <c r="Z105" s="60">
        <v>3</v>
      </c>
    </row>
    <row r="106" spans="1:26">
      <c r="A106" s="60">
        <v>7</v>
      </c>
      <c r="B106" s="60">
        <v>7</v>
      </c>
      <c r="C106" s="60">
        <v>1</v>
      </c>
      <c r="D106" s="60">
        <v>1</v>
      </c>
      <c r="E106" s="60">
        <v>1</v>
      </c>
      <c r="F106" s="60">
        <v>7</v>
      </c>
      <c r="G106" s="60">
        <v>7</v>
      </c>
      <c r="H106" s="60">
        <v>7</v>
      </c>
      <c r="I106" s="60">
        <v>1</v>
      </c>
      <c r="J106" s="60">
        <v>1</v>
      </c>
      <c r="K106" s="60">
        <v>7</v>
      </c>
      <c r="L106" s="60">
        <v>1</v>
      </c>
      <c r="M106" s="60">
        <v>7</v>
      </c>
      <c r="N106" s="60">
        <v>7</v>
      </c>
      <c r="O106" s="60">
        <v>7</v>
      </c>
      <c r="P106" s="60">
        <v>7</v>
      </c>
      <c r="Q106" s="60">
        <v>1</v>
      </c>
      <c r="R106" s="60">
        <v>1</v>
      </c>
      <c r="S106" s="60">
        <v>1</v>
      </c>
      <c r="T106" s="60">
        <v>7</v>
      </c>
      <c r="U106" s="60">
        <v>1</v>
      </c>
      <c r="V106" s="60">
        <v>7</v>
      </c>
      <c r="W106" s="60">
        <v>1</v>
      </c>
      <c r="X106" s="60">
        <v>1</v>
      </c>
      <c r="Y106" s="60">
        <v>1</v>
      </c>
      <c r="Z106" s="60">
        <v>1</v>
      </c>
    </row>
    <row r="107" spans="1:26">
      <c r="A107" s="60">
        <v>6</v>
      </c>
      <c r="B107" s="60">
        <v>7</v>
      </c>
      <c r="C107" s="60">
        <v>2</v>
      </c>
      <c r="D107" s="60">
        <v>3</v>
      </c>
      <c r="E107" s="60">
        <v>1</v>
      </c>
      <c r="F107" s="60">
        <v>6</v>
      </c>
      <c r="G107" s="60">
        <v>7</v>
      </c>
      <c r="H107" s="60">
        <v>4</v>
      </c>
      <c r="I107" s="60">
        <v>2</v>
      </c>
      <c r="J107" s="60">
        <v>2</v>
      </c>
      <c r="K107" s="60">
        <v>6</v>
      </c>
      <c r="L107" s="60">
        <v>1</v>
      </c>
      <c r="M107" s="60">
        <v>7</v>
      </c>
      <c r="N107" s="60">
        <v>6</v>
      </c>
      <c r="O107" s="60">
        <v>6</v>
      </c>
      <c r="P107" s="60">
        <v>7</v>
      </c>
      <c r="Q107" s="60">
        <v>3</v>
      </c>
      <c r="R107" s="60">
        <v>3</v>
      </c>
      <c r="S107" s="60">
        <v>2</v>
      </c>
      <c r="T107" s="60">
        <v>6</v>
      </c>
      <c r="U107" s="60">
        <v>2</v>
      </c>
      <c r="V107" s="60">
        <v>6</v>
      </c>
      <c r="W107" s="60">
        <v>1</v>
      </c>
      <c r="X107" s="60">
        <v>2</v>
      </c>
      <c r="Y107" s="60">
        <v>2</v>
      </c>
      <c r="Z107" s="60">
        <v>6</v>
      </c>
    </row>
    <row r="108" spans="1:26">
      <c r="A108" s="60">
        <v>7</v>
      </c>
      <c r="B108" s="60">
        <v>7</v>
      </c>
      <c r="C108" s="60">
        <v>1</v>
      </c>
      <c r="D108" s="60">
        <v>1</v>
      </c>
      <c r="E108" s="60">
        <v>4</v>
      </c>
      <c r="F108" s="60">
        <v>4</v>
      </c>
      <c r="G108" s="60">
        <v>7</v>
      </c>
      <c r="H108" s="60">
        <v>4</v>
      </c>
      <c r="I108" s="60">
        <v>2</v>
      </c>
      <c r="J108" s="60">
        <v>6</v>
      </c>
      <c r="K108" s="60">
        <v>7</v>
      </c>
      <c r="L108" s="60">
        <v>1</v>
      </c>
      <c r="M108" s="60">
        <v>7</v>
      </c>
      <c r="N108" s="60">
        <v>6</v>
      </c>
      <c r="O108" s="60">
        <v>6</v>
      </c>
      <c r="P108" s="60">
        <v>7</v>
      </c>
      <c r="Q108" s="60">
        <v>3</v>
      </c>
      <c r="R108" s="60">
        <v>3</v>
      </c>
      <c r="S108" s="60">
        <v>1</v>
      </c>
      <c r="T108" s="60">
        <v>6</v>
      </c>
      <c r="U108" s="60">
        <v>1</v>
      </c>
      <c r="V108" s="60">
        <v>7</v>
      </c>
      <c r="W108" s="60">
        <v>1</v>
      </c>
      <c r="X108" s="60">
        <v>3</v>
      </c>
      <c r="Y108" s="60">
        <v>1</v>
      </c>
      <c r="Z108" s="60">
        <v>2</v>
      </c>
    </row>
    <row r="109" spans="1:26">
      <c r="A109" s="60">
        <v>7</v>
      </c>
      <c r="B109" s="60">
        <v>7</v>
      </c>
      <c r="C109" s="60">
        <v>3</v>
      </c>
      <c r="D109" s="60">
        <v>1</v>
      </c>
      <c r="E109" s="60">
        <v>1</v>
      </c>
      <c r="F109" s="60">
        <v>6</v>
      </c>
      <c r="G109" s="60">
        <v>6</v>
      </c>
      <c r="H109" s="60">
        <v>5</v>
      </c>
      <c r="I109" s="60">
        <v>2</v>
      </c>
      <c r="J109" s="60">
        <v>3</v>
      </c>
      <c r="K109" s="60">
        <v>7</v>
      </c>
      <c r="L109" s="60">
        <v>1</v>
      </c>
      <c r="M109" s="60">
        <v>7</v>
      </c>
      <c r="N109" s="60">
        <v>7</v>
      </c>
      <c r="O109" s="60">
        <v>2</v>
      </c>
      <c r="P109" s="60">
        <v>6</v>
      </c>
      <c r="Q109" s="60">
        <v>1</v>
      </c>
      <c r="R109" s="60">
        <v>2</v>
      </c>
      <c r="S109" s="60">
        <v>2</v>
      </c>
      <c r="T109" s="60">
        <v>7</v>
      </c>
      <c r="U109" s="60">
        <v>1</v>
      </c>
      <c r="V109" s="60">
        <v>7</v>
      </c>
      <c r="W109" s="60">
        <v>1</v>
      </c>
      <c r="X109" s="60">
        <v>1</v>
      </c>
      <c r="Y109" s="60">
        <v>1</v>
      </c>
      <c r="Z109" s="60">
        <v>3</v>
      </c>
    </row>
    <row r="110" spans="1:26">
      <c r="A110" s="60">
        <v>7</v>
      </c>
      <c r="B110" s="60">
        <v>7</v>
      </c>
      <c r="C110" s="60">
        <v>1</v>
      </c>
      <c r="D110" s="60">
        <v>1</v>
      </c>
      <c r="E110" s="60">
        <v>1</v>
      </c>
      <c r="F110" s="60">
        <v>7</v>
      </c>
      <c r="G110" s="60">
        <v>6</v>
      </c>
      <c r="H110" s="60">
        <v>4</v>
      </c>
      <c r="I110" s="60">
        <v>1</v>
      </c>
      <c r="J110" s="60">
        <v>1</v>
      </c>
      <c r="K110" s="60">
        <v>7</v>
      </c>
      <c r="L110" s="60">
        <v>1</v>
      </c>
      <c r="M110" s="60">
        <v>6</v>
      </c>
      <c r="N110" s="60">
        <v>7</v>
      </c>
      <c r="O110" s="60">
        <v>7</v>
      </c>
      <c r="P110" s="60">
        <v>7</v>
      </c>
      <c r="Q110" s="60">
        <v>1</v>
      </c>
      <c r="R110" s="60">
        <v>3</v>
      </c>
      <c r="S110" s="60">
        <v>1</v>
      </c>
      <c r="T110" s="60">
        <v>7</v>
      </c>
      <c r="U110" s="60">
        <v>1</v>
      </c>
      <c r="V110" s="60">
        <v>7</v>
      </c>
      <c r="W110" s="60">
        <v>2</v>
      </c>
      <c r="X110" s="60">
        <v>1</v>
      </c>
      <c r="Y110" s="60">
        <v>1</v>
      </c>
      <c r="Z110" s="60">
        <v>4</v>
      </c>
    </row>
    <row r="111" spans="1:26">
      <c r="A111" s="60">
        <v>6</v>
      </c>
      <c r="B111" s="60">
        <v>6</v>
      </c>
      <c r="C111" s="60">
        <v>3</v>
      </c>
      <c r="D111" s="60">
        <v>2</v>
      </c>
      <c r="E111" s="60">
        <v>2</v>
      </c>
      <c r="F111" s="60">
        <v>4</v>
      </c>
      <c r="G111" s="60">
        <v>5</v>
      </c>
      <c r="H111" s="60">
        <v>4</v>
      </c>
      <c r="I111" s="60">
        <v>2</v>
      </c>
      <c r="J111" s="60">
        <v>2</v>
      </c>
      <c r="K111" s="60">
        <v>4</v>
      </c>
      <c r="L111" s="60">
        <v>2</v>
      </c>
      <c r="M111" s="60">
        <v>5</v>
      </c>
      <c r="N111" s="60">
        <v>5</v>
      </c>
      <c r="O111" s="60">
        <v>6</v>
      </c>
      <c r="P111" s="60">
        <v>5</v>
      </c>
      <c r="Q111" s="60">
        <v>3</v>
      </c>
      <c r="R111" s="60">
        <v>3</v>
      </c>
      <c r="S111" s="60">
        <v>3</v>
      </c>
      <c r="T111" s="60">
        <v>6</v>
      </c>
      <c r="U111" s="60">
        <v>4</v>
      </c>
      <c r="V111" s="60">
        <v>7</v>
      </c>
      <c r="W111" s="60">
        <v>3</v>
      </c>
      <c r="X111" s="60">
        <v>3</v>
      </c>
      <c r="Y111" s="60">
        <v>3</v>
      </c>
      <c r="Z111" s="60">
        <v>5</v>
      </c>
    </row>
    <row r="112" spans="1:26">
      <c r="A112" s="60">
        <v>6</v>
      </c>
      <c r="B112" s="60">
        <v>5</v>
      </c>
      <c r="C112" s="60">
        <v>3</v>
      </c>
      <c r="D112" s="60">
        <v>3</v>
      </c>
      <c r="E112" s="60">
        <v>2</v>
      </c>
      <c r="F112" s="60">
        <v>4</v>
      </c>
      <c r="G112" s="60">
        <v>4</v>
      </c>
      <c r="H112" s="60">
        <v>6</v>
      </c>
      <c r="I112" s="60">
        <v>2</v>
      </c>
      <c r="J112" s="60">
        <v>3</v>
      </c>
      <c r="K112" s="60">
        <v>1</v>
      </c>
      <c r="L112" s="60">
        <v>1</v>
      </c>
      <c r="M112" s="60">
        <v>3</v>
      </c>
      <c r="N112" s="60">
        <v>5</v>
      </c>
      <c r="O112" s="60">
        <v>3</v>
      </c>
      <c r="P112" s="60">
        <v>4</v>
      </c>
      <c r="Q112" s="60">
        <v>1</v>
      </c>
      <c r="R112" s="60">
        <v>5</v>
      </c>
      <c r="S112" s="60">
        <v>2</v>
      </c>
      <c r="T112" s="60">
        <v>5</v>
      </c>
      <c r="U112" s="60">
        <v>2</v>
      </c>
      <c r="V112" s="60">
        <v>7</v>
      </c>
      <c r="W112" s="60">
        <v>2</v>
      </c>
      <c r="X112" s="60">
        <v>2</v>
      </c>
      <c r="Y112" s="60">
        <v>2</v>
      </c>
      <c r="Z112" s="60">
        <v>5</v>
      </c>
    </row>
    <row r="113" spans="1:26">
      <c r="A113" s="60">
        <v>6</v>
      </c>
      <c r="B113" s="60">
        <v>6</v>
      </c>
      <c r="C113" s="60">
        <v>2</v>
      </c>
      <c r="D113" s="60">
        <v>2</v>
      </c>
      <c r="E113" s="60">
        <v>2</v>
      </c>
      <c r="F113" s="60">
        <v>5</v>
      </c>
      <c r="G113" s="60">
        <v>6</v>
      </c>
      <c r="H113" s="60">
        <v>5</v>
      </c>
      <c r="I113" s="60">
        <v>2</v>
      </c>
      <c r="J113" s="60">
        <v>2</v>
      </c>
      <c r="K113" s="60">
        <v>6</v>
      </c>
      <c r="L113" s="60">
        <v>2</v>
      </c>
      <c r="M113" s="60">
        <v>6</v>
      </c>
      <c r="N113" s="60">
        <v>6</v>
      </c>
      <c r="O113" s="60">
        <v>6</v>
      </c>
      <c r="P113" s="60">
        <v>6</v>
      </c>
      <c r="Q113" s="60">
        <v>2</v>
      </c>
      <c r="R113" s="60">
        <v>3</v>
      </c>
      <c r="S113" s="60">
        <v>2</v>
      </c>
      <c r="T113" s="60">
        <v>6</v>
      </c>
      <c r="U113" s="60">
        <v>2</v>
      </c>
      <c r="V113" s="60">
        <v>5</v>
      </c>
      <c r="W113" s="60">
        <v>2</v>
      </c>
      <c r="X113" s="60">
        <v>2</v>
      </c>
      <c r="Y113" s="60">
        <v>2</v>
      </c>
      <c r="Z113" s="60">
        <v>6</v>
      </c>
    </row>
    <row r="114" spans="1:26">
      <c r="A114" s="60">
        <v>6</v>
      </c>
      <c r="B114" s="60">
        <v>5</v>
      </c>
      <c r="C114" s="60">
        <v>3</v>
      </c>
      <c r="D114" s="60">
        <v>5</v>
      </c>
      <c r="E114" s="60">
        <v>2</v>
      </c>
      <c r="F114" s="60">
        <v>6</v>
      </c>
      <c r="G114" s="60">
        <v>6</v>
      </c>
      <c r="H114" s="60">
        <v>4</v>
      </c>
      <c r="I114" s="60">
        <v>2</v>
      </c>
      <c r="J114" s="60">
        <v>2</v>
      </c>
      <c r="K114" s="60">
        <v>5</v>
      </c>
      <c r="L114" s="60">
        <v>2</v>
      </c>
      <c r="M114" s="60">
        <v>4</v>
      </c>
      <c r="N114" s="60">
        <v>5</v>
      </c>
      <c r="O114" s="60">
        <v>6</v>
      </c>
      <c r="P114" s="60">
        <v>6</v>
      </c>
      <c r="Q114" s="60">
        <v>2</v>
      </c>
      <c r="R114" s="60">
        <v>3</v>
      </c>
      <c r="S114" s="60">
        <v>2</v>
      </c>
      <c r="T114" s="60">
        <v>6</v>
      </c>
      <c r="U114" s="60">
        <v>4</v>
      </c>
      <c r="V114" s="60">
        <v>6</v>
      </c>
      <c r="W114" s="60">
        <v>3</v>
      </c>
      <c r="X114" s="60">
        <v>2</v>
      </c>
      <c r="Y114" s="60">
        <v>2</v>
      </c>
      <c r="Z114" s="60">
        <v>6</v>
      </c>
    </row>
    <row r="115" spans="1:26">
      <c r="A115" s="60">
        <v>5</v>
      </c>
      <c r="B115" s="60">
        <v>7</v>
      </c>
      <c r="C115" s="60">
        <v>3</v>
      </c>
      <c r="D115" s="60">
        <v>2</v>
      </c>
      <c r="E115" s="60">
        <v>4</v>
      </c>
      <c r="F115" s="60">
        <v>4</v>
      </c>
      <c r="G115" s="60">
        <v>6</v>
      </c>
      <c r="H115" s="60">
        <v>4</v>
      </c>
      <c r="I115" s="60">
        <v>4</v>
      </c>
      <c r="J115" s="60">
        <v>4</v>
      </c>
      <c r="K115" s="60">
        <v>4</v>
      </c>
      <c r="L115" s="60">
        <v>2</v>
      </c>
      <c r="M115" s="60">
        <v>5</v>
      </c>
      <c r="N115" s="60">
        <v>5</v>
      </c>
      <c r="O115" s="60">
        <v>6</v>
      </c>
      <c r="P115" s="60">
        <v>6</v>
      </c>
      <c r="Q115" s="60">
        <v>2</v>
      </c>
      <c r="R115" s="60">
        <v>4</v>
      </c>
      <c r="S115" s="60">
        <v>2</v>
      </c>
      <c r="T115" s="60">
        <v>6</v>
      </c>
      <c r="U115" s="60">
        <v>1</v>
      </c>
      <c r="V115" s="60">
        <v>6</v>
      </c>
      <c r="W115" s="60">
        <v>1</v>
      </c>
      <c r="X115" s="60">
        <v>4</v>
      </c>
      <c r="Y115" s="60">
        <v>2</v>
      </c>
      <c r="Z115" s="60">
        <v>6</v>
      </c>
    </row>
    <row r="116" spans="1:26">
      <c r="A116" s="60">
        <v>6</v>
      </c>
      <c r="B116" s="60">
        <v>6</v>
      </c>
      <c r="C116" s="60">
        <v>6</v>
      </c>
      <c r="D116" s="60">
        <v>1</v>
      </c>
      <c r="E116" s="60">
        <v>2</v>
      </c>
      <c r="F116" s="60">
        <v>3</v>
      </c>
      <c r="G116" s="60">
        <v>4</v>
      </c>
      <c r="H116" s="60">
        <v>6</v>
      </c>
      <c r="I116" s="60">
        <v>6</v>
      </c>
      <c r="J116" s="60">
        <v>6</v>
      </c>
      <c r="K116" s="60">
        <v>6</v>
      </c>
      <c r="L116" s="60">
        <v>2</v>
      </c>
      <c r="M116" s="60">
        <v>6</v>
      </c>
      <c r="N116" s="60">
        <v>5</v>
      </c>
      <c r="O116" s="60">
        <v>3</v>
      </c>
      <c r="P116" s="60">
        <v>5</v>
      </c>
      <c r="Q116" s="60">
        <v>2</v>
      </c>
      <c r="R116" s="60">
        <v>2</v>
      </c>
      <c r="S116" s="60">
        <v>2</v>
      </c>
      <c r="T116" s="60">
        <v>5</v>
      </c>
      <c r="U116" s="60">
        <v>1</v>
      </c>
      <c r="V116" s="60">
        <v>6</v>
      </c>
      <c r="W116" s="60">
        <v>2</v>
      </c>
      <c r="X116" s="60">
        <v>2</v>
      </c>
      <c r="Y116" s="60">
        <v>2</v>
      </c>
      <c r="Z116" s="60">
        <v>5</v>
      </c>
    </row>
    <row r="117" spans="1:26">
      <c r="A117" s="60">
        <v>7</v>
      </c>
      <c r="B117" s="60">
        <v>7</v>
      </c>
      <c r="C117" s="60">
        <v>4</v>
      </c>
      <c r="D117" s="60">
        <v>4</v>
      </c>
      <c r="E117" s="60">
        <v>3</v>
      </c>
      <c r="F117" s="60">
        <v>7</v>
      </c>
      <c r="G117" s="60">
        <v>7</v>
      </c>
      <c r="H117" s="60">
        <v>4</v>
      </c>
      <c r="I117" s="60">
        <v>1</v>
      </c>
      <c r="J117" s="60">
        <v>1</v>
      </c>
      <c r="K117" s="60">
        <v>6</v>
      </c>
      <c r="L117" s="60">
        <v>1</v>
      </c>
      <c r="M117" s="60">
        <v>7</v>
      </c>
      <c r="N117" s="60">
        <v>7</v>
      </c>
      <c r="O117" s="60">
        <v>5</v>
      </c>
      <c r="P117" s="60">
        <v>7</v>
      </c>
      <c r="Q117" s="60">
        <v>1</v>
      </c>
      <c r="R117" s="60">
        <v>2</v>
      </c>
      <c r="S117" s="60">
        <v>1</v>
      </c>
      <c r="T117" s="60">
        <v>7</v>
      </c>
      <c r="U117" s="60">
        <v>1</v>
      </c>
      <c r="V117" s="60">
        <v>7</v>
      </c>
      <c r="W117" s="60">
        <v>2</v>
      </c>
      <c r="X117" s="60">
        <v>2</v>
      </c>
      <c r="Y117" s="60">
        <v>2</v>
      </c>
      <c r="Z117" s="60">
        <v>6</v>
      </c>
    </row>
    <row r="118" spans="1:26">
      <c r="A118" s="60">
        <v>5</v>
      </c>
      <c r="B118" s="60">
        <v>4</v>
      </c>
      <c r="C118" s="60">
        <v>3</v>
      </c>
      <c r="D118" s="60">
        <v>2</v>
      </c>
      <c r="E118" s="60">
        <v>3</v>
      </c>
      <c r="F118" s="60">
        <v>4</v>
      </c>
      <c r="G118" s="60">
        <v>5</v>
      </c>
      <c r="H118" s="60">
        <v>4</v>
      </c>
      <c r="I118" s="60">
        <v>3</v>
      </c>
      <c r="J118" s="60">
        <v>4</v>
      </c>
      <c r="K118" s="60">
        <v>5</v>
      </c>
      <c r="L118" s="60">
        <v>3</v>
      </c>
      <c r="M118" s="60">
        <v>4</v>
      </c>
      <c r="N118" s="60">
        <v>5</v>
      </c>
      <c r="O118" s="60">
        <v>5</v>
      </c>
      <c r="P118" s="60">
        <v>5</v>
      </c>
      <c r="Q118" s="60">
        <v>6</v>
      </c>
      <c r="R118" s="60">
        <v>2</v>
      </c>
      <c r="S118" s="60">
        <v>2</v>
      </c>
      <c r="T118" s="60">
        <v>5</v>
      </c>
      <c r="U118" s="60">
        <v>2</v>
      </c>
      <c r="V118" s="60">
        <v>5</v>
      </c>
      <c r="W118" s="60">
        <v>4</v>
      </c>
      <c r="X118" s="60">
        <v>5</v>
      </c>
      <c r="Y118" s="60">
        <v>3</v>
      </c>
      <c r="Z118" s="60">
        <v>4</v>
      </c>
    </row>
    <row r="119" spans="1:26">
      <c r="A119" s="60">
        <v>4</v>
      </c>
      <c r="B119" s="60">
        <v>5</v>
      </c>
      <c r="C119" s="60">
        <v>2</v>
      </c>
      <c r="D119" s="60">
        <v>2</v>
      </c>
      <c r="E119" s="60">
        <v>3</v>
      </c>
      <c r="F119" s="60">
        <v>6</v>
      </c>
      <c r="G119" s="60">
        <v>4</v>
      </c>
      <c r="H119" s="60">
        <v>5</v>
      </c>
      <c r="I119" s="60">
        <v>5</v>
      </c>
      <c r="J119" s="60">
        <v>4</v>
      </c>
      <c r="K119" s="60">
        <v>5</v>
      </c>
      <c r="L119" s="60">
        <v>2</v>
      </c>
      <c r="M119" s="60">
        <v>2</v>
      </c>
      <c r="N119" s="60">
        <v>6</v>
      </c>
      <c r="O119" s="60">
        <v>2</v>
      </c>
      <c r="P119" s="60">
        <v>6</v>
      </c>
      <c r="Q119" s="60">
        <v>2</v>
      </c>
      <c r="R119" s="60">
        <v>2</v>
      </c>
      <c r="S119" s="60">
        <v>3</v>
      </c>
      <c r="T119" s="60">
        <v>5</v>
      </c>
      <c r="U119" s="60">
        <v>2</v>
      </c>
      <c r="V119" s="60">
        <v>6</v>
      </c>
      <c r="W119" s="60">
        <v>1</v>
      </c>
      <c r="X119" s="60">
        <v>5</v>
      </c>
      <c r="Y119" s="60">
        <v>2</v>
      </c>
      <c r="Z119" s="60">
        <v>3</v>
      </c>
    </row>
    <row r="120" spans="1:26">
      <c r="A120" s="60">
        <v>5</v>
      </c>
      <c r="B120" s="60">
        <v>4</v>
      </c>
      <c r="C120" s="60">
        <v>5</v>
      </c>
      <c r="D120" s="60">
        <v>5</v>
      </c>
      <c r="E120" s="60">
        <v>3</v>
      </c>
      <c r="F120" s="60">
        <v>4</v>
      </c>
      <c r="G120" s="60">
        <v>5</v>
      </c>
      <c r="H120" s="60">
        <v>4</v>
      </c>
      <c r="I120" s="60">
        <v>3</v>
      </c>
      <c r="J120" s="60">
        <v>3</v>
      </c>
      <c r="K120" s="60">
        <v>4</v>
      </c>
      <c r="L120" s="60">
        <v>3</v>
      </c>
      <c r="M120" s="60">
        <v>3</v>
      </c>
      <c r="N120" s="60">
        <v>4</v>
      </c>
      <c r="O120" s="60">
        <v>5</v>
      </c>
      <c r="P120" s="60">
        <v>4</v>
      </c>
      <c r="Q120" s="60">
        <v>4</v>
      </c>
      <c r="R120" s="60">
        <v>3</v>
      </c>
      <c r="S120" s="60">
        <v>3</v>
      </c>
      <c r="T120" s="60">
        <v>5</v>
      </c>
      <c r="U120" s="60">
        <v>5</v>
      </c>
      <c r="V120" s="60">
        <v>4</v>
      </c>
      <c r="W120" s="60">
        <v>6</v>
      </c>
      <c r="X120" s="60">
        <v>4</v>
      </c>
      <c r="Y120" s="60">
        <v>3</v>
      </c>
      <c r="Z120" s="60">
        <v>4</v>
      </c>
    </row>
    <row r="121" spans="1:26">
      <c r="A121" s="60">
        <v>7</v>
      </c>
      <c r="B121" s="60">
        <v>7</v>
      </c>
      <c r="C121" s="60">
        <v>1</v>
      </c>
      <c r="D121" s="60">
        <v>1</v>
      </c>
      <c r="E121" s="60">
        <v>1</v>
      </c>
      <c r="F121" s="60">
        <v>7</v>
      </c>
      <c r="G121" s="60">
        <v>7</v>
      </c>
      <c r="H121" s="60">
        <v>7</v>
      </c>
      <c r="I121" s="60">
        <v>1</v>
      </c>
      <c r="J121" s="60">
        <v>1</v>
      </c>
      <c r="K121" s="60">
        <v>7</v>
      </c>
      <c r="L121" s="60">
        <v>1</v>
      </c>
      <c r="M121" s="60">
        <v>7</v>
      </c>
      <c r="N121" s="60">
        <v>7</v>
      </c>
      <c r="O121" s="60">
        <v>7</v>
      </c>
      <c r="P121" s="60">
        <v>7</v>
      </c>
      <c r="Q121" s="60">
        <v>1</v>
      </c>
      <c r="R121" s="60">
        <v>1</v>
      </c>
      <c r="S121" s="60">
        <v>1</v>
      </c>
      <c r="T121" s="60">
        <v>7</v>
      </c>
      <c r="U121" s="60">
        <v>1</v>
      </c>
      <c r="V121" s="60">
        <v>7</v>
      </c>
      <c r="W121" s="60">
        <v>1</v>
      </c>
      <c r="X121" s="60">
        <v>1</v>
      </c>
      <c r="Y121" s="60">
        <v>1</v>
      </c>
      <c r="Z121" s="60">
        <v>7</v>
      </c>
    </row>
    <row r="122" spans="1:26">
      <c r="A122" s="60">
        <v>6</v>
      </c>
      <c r="B122" s="60">
        <v>7</v>
      </c>
      <c r="C122" s="60">
        <v>2</v>
      </c>
      <c r="D122" s="60">
        <v>3</v>
      </c>
      <c r="E122" s="60">
        <v>2</v>
      </c>
      <c r="F122" s="60">
        <v>6</v>
      </c>
      <c r="G122" s="60">
        <v>7</v>
      </c>
      <c r="H122" s="60">
        <v>5</v>
      </c>
      <c r="I122" s="60">
        <v>2</v>
      </c>
      <c r="J122" s="60">
        <v>5</v>
      </c>
      <c r="K122" s="60">
        <v>6</v>
      </c>
      <c r="L122" s="60">
        <v>1</v>
      </c>
      <c r="M122" s="60">
        <v>5</v>
      </c>
      <c r="N122" s="60">
        <v>6</v>
      </c>
      <c r="O122" s="60">
        <v>6</v>
      </c>
      <c r="P122" s="60">
        <v>7</v>
      </c>
      <c r="Q122" s="60">
        <v>2</v>
      </c>
      <c r="R122" s="60">
        <v>3</v>
      </c>
      <c r="S122" s="60">
        <v>2</v>
      </c>
      <c r="T122" s="60">
        <v>6</v>
      </c>
      <c r="U122" s="60">
        <v>2</v>
      </c>
      <c r="V122" s="60">
        <v>6</v>
      </c>
      <c r="W122" s="60">
        <v>3</v>
      </c>
      <c r="X122" s="60">
        <v>2</v>
      </c>
      <c r="Y122" s="60">
        <v>3</v>
      </c>
      <c r="Z122" s="60">
        <v>5</v>
      </c>
    </row>
    <row r="123" spans="1:26">
      <c r="A123" s="60">
        <v>5</v>
      </c>
      <c r="B123" s="60">
        <v>6</v>
      </c>
      <c r="C123" s="60">
        <v>4</v>
      </c>
      <c r="D123" s="60">
        <v>2</v>
      </c>
      <c r="E123" s="60">
        <v>3</v>
      </c>
      <c r="F123" s="60">
        <v>4</v>
      </c>
      <c r="G123" s="60">
        <v>5</v>
      </c>
      <c r="H123" s="60">
        <v>5</v>
      </c>
      <c r="I123" s="60">
        <v>4</v>
      </c>
      <c r="J123" s="60">
        <v>4</v>
      </c>
      <c r="K123" s="60">
        <v>4</v>
      </c>
      <c r="L123" s="60">
        <v>3</v>
      </c>
      <c r="M123" s="60">
        <v>5</v>
      </c>
      <c r="N123" s="60">
        <v>5</v>
      </c>
      <c r="O123" s="60">
        <v>4</v>
      </c>
      <c r="P123" s="60">
        <v>5</v>
      </c>
      <c r="Q123" s="60">
        <v>3</v>
      </c>
      <c r="R123" s="60">
        <v>4</v>
      </c>
      <c r="S123" s="60">
        <v>2</v>
      </c>
      <c r="T123" s="60">
        <v>5</v>
      </c>
      <c r="U123" s="60">
        <v>2</v>
      </c>
      <c r="V123" s="60">
        <v>6</v>
      </c>
      <c r="W123" s="60">
        <v>2</v>
      </c>
      <c r="X123" s="60">
        <v>3</v>
      </c>
      <c r="Y123" s="60">
        <v>2</v>
      </c>
      <c r="Z123" s="60">
        <v>4</v>
      </c>
    </row>
    <row r="124" spans="1:26">
      <c r="A124" s="60">
        <v>6</v>
      </c>
      <c r="B124" s="60">
        <v>7</v>
      </c>
      <c r="C124" s="60">
        <v>3</v>
      </c>
      <c r="D124" s="60">
        <v>2</v>
      </c>
      <c r="E124" s="60">
        <v>2</v>
      </c>
      <c r="F124" s="60">
        <v>4</v>
      </c>
      <c r="G124" s="60">
        <v>6</v>
      </c>
      <c r="H124" s="60">
        <v>4</v>
      </c>
      <c r="I124" s="60">
        <v>2</v>
      </c>
      <c r="J124" s="60">
        <v>2</v>
      </c>
      <c r="K124" s="60">
        <v>6</v>
      </c>
      <c r="L124" s="60">
        <v>2</v>
      </c>
      <c r="M124" s="60">
        <v>6</v>
      </c>
      <c r="N124" s="60">
        <v>5</v>
      </c>
      <c r="O124" s="60">
        <v>4</v>
      </c>
      <c r="P124" s="60">
        <v>5</v>
      </c>
      <c r="Q124" s="60">
        <v>6</v>
      </c>
      <c r="R124" s="60">
        <v>4</v>
      </c>
      <c r="S124" s="60">
        <v>6</v>
      </c>
      <c r="T124" s="60">
        <v>6</v>
      </c>
      <c r="U124" s="60">
        <v>2</v>
      </c>
      <c r="V124" s="60">
        <v>6</v>
      </c>
      <c r="W124" s="60">
        <v>2</v>
      </c>
      <c r="X124" s="60">
        <v>3</v>
      </c>
      <c r="Y124" s="60">
        <v>2</v>
      </c>
      <c r="Z124" s="60">
        <v>6</v>
      </c>
    </row>
    <row r="125" spans="1:26">
      <c r="A125" s="60">
        <v>6</v>
      </c>
      <c r="B125" s="60">
        <v>6</v>
      </c>
      <c r="C125" s="60">
        <v>3</v>
      </c>
      <c r="D125" s="60">
        <v>1</v>
      </c>
      <c r="E125" s="60">
        <v>1</v>
      </c>
      <c r="F125" s="60">
        <v>4</v>
      </c>
      <c r="G125" s="60">
        <v>6</v>
      </c>
      <c r="H125" s="60">
        <v>6</v>
      </c>
      <c r="I125" s="60">
        <v>2</v>
      </c>
      <c r="J125" s="60">
        <v>7</v>
      </c>
      <c r="K125" s="60">
        <v>6</v>
      </c>
      <c r="L125" s="60">
        <v>1</v>
      </c>
      <c r="M125" s="60">
        <v>7</v>
      </c>
      <c r="N125" s="60">
        <v>7</v>
      </c>
      <c r="O125" s="60">
        <v>4</v>
      </c>
      <c r="P125" s="60">
        <v>7</v>
      </c>
      <c r="Q125" s="60">
        <v>2</v>
      </c>
      <c r="R125" s="60">
        <v>2</v>
      </c>
      <c r="S125" s="60">
        <v>1</v>
      </c>
      <c r="T125" s="60">
        <v>6</v>
      </c>
      <c r="U125" s="60">
        <v>6</v>
      </c>
      <c r="V125" s="60">
        <v>7</v>
      </c>
      <c r="W125" s="60">
        <v>1</v>
      </c>
      <c r="X125" s="60">
        <v>3</v>
      </c>
      <c r="Y125" s="60">
        <v>1</v>
      </c>
      <c r="Z125" s="60">
        <v>3</v>
      </c>
    </row>
    <row r="126" spans="1:26">
      <c r="A126" s="60">
        <v>7</v>
      </c>
      <c r="B126" s="60">
        <v>7</v>
      </c>
      <c r="C126" s="60">
        <v>1</v>
      </c>
      <c r="D126" s="60">
        <v>1</v>
      </c>
      <c r="E126" s="60">
        <v>1</v>
      </c>
      <c r="F126" s="60">
        <v>7</v>
      </c>
      <c r="G126" s="60">
        <v>7</v>
      </c>
      <c r="H126" s="60">
        <v>2</v>
      </c>
      <c r="I126" s="60">
        <v>1</v>
      </c>
      <c r="J126" s="60">
        <v>4</v>
      </c>
      <c r="K126" s="60">
        <v>7</v>
      </c>
      <c r="L126" s="60">
        <v>1</v>
      </c>
      <c r="M126" s="60">
        <v>6</v>
      </c>
      <c r="N126" s="60">
        <v>7</v>
      </c>
      <c r="O126" s="60">
        <v>4</v>
      </c>
      <c r="P126" s="60">
        <v>7</v>
      </c>
      <c r="Q126" s="60">
        <v>1</v>
      </c>
      <c r="R126" s="60">
        <v>1</v>
      </c>
      <c r="S126" s="60">
        <v>1</v>
      </c>
      <c r="T126" s="60">
        <v>7</v>
      </c>
      <c r="U126" s="60">
        <v>2</v>
      </c>
      <c r="V126" s="60">
        <v>7</v>
      </c>
      <c r="W126" s="60">
        <v>1</v>
      </c>
      <c r="X126" s="60">
        <v>1</v>
      </c>
      <c r="Y126" s="60">
        <v>1</v>
      </c>
      <c r="Z126" s="60">
        <v>4</v>
      </c>
    </row>
    <row r="127" spans="1:26">
      <c r="A127" s="60">
        <v>7</v>
      </c>
      <c r="B127" s="60">
        <v>7</v>
      </c>
      <c r="C127" s="60">
        <v>2</v>
      </c>
      <c r="D127" s="60">
        <v>2</v>
      </c>
      <c r="E127" s="60">
        <v>2</v>
      </c>
      <c r="F127" s="60">
        <v>5</v>
      </c>
      <c r="G127" s="60">
        <v>6</v>
      </c>
      <c r="H127" s="60">
        <v>5</v>
      </c>
      <c r="I127" s="60">
        <v>2</v>
      </c>
      <c r="J127" s="60">
        <v>2</v>
      </c>
      <c r="K127" s="60">
        <v>7</v>
      </c>
      <c r="L127" s="60">
        <v>1</v>
      </c>
      <c r="M127" s="60">
        <v>6</v>
      </c>
      <c r="N127" s="60">
        <v>6</v>
      </c>
      <c r="O127" s="60">
        <v>6</v>
      </c>
      <c r="P127" s="60">
        <v>7</v>
      </c>
      <c r="Q127" s="60">
        <v>2</v>
      </c>
      <c r="R127" s="60">
        <v>4</v>
      </c>
      <c r="S127" s="60">
        <v>1</v>
      </c>
      <c r="T127" s="60">
        <v>6</v>
      </c>
      <c r="U127" s="60">
        <v>3</v>
      </c>
      <c r="V127" s="60">
        <v>7</v>
      </c>
      <c r="W127" s="60">
        <v>5</v>
      </c>
      <c r="X127" s="60">
        <v>3</v>
      </c>
      <c r="Y127" s="60">
        <v>2</v>
      </c>
      <c r="Z127" s="60">
        <v>6</v>
      </c>
    </row>
    <row r="128" spans="1:26">
      <c r="A128" s="60">
        <v>5</v>
      </c>
      <c r="B128" s="60">
        <v>6</v>
      </c>
      <c r="C128" s="60">
        <v>3</v>
      </c>
      <c r="D128" s="60">
        <v>3</v>
      </c>
      <c r="E128" s="60">
        <v>3</v>
      </c>
      <c r="F128" s="60">
        <v>4</v>
      </c>
      <c r="G128" s="60">
        <v>4</v>
      </c>
      <c r="H128" s="60">
        <v>4</v>
      </c>
      <c r="I128" s="60">
        <v>2</v>
      </c>
      <c r="J128" s="60">
        <v>3</v>
      </c>
      <c r="K128" s="60">
        <v>4</v>
      </c>
      <c r="L128" s="60">
        <v>3</v>
      </c>
      <c r="M128" s="60">
        <v>5</v>
      </c>
      <c r="N128" s="60">
        <v>4</v>
      </c>
      <c r="O128" s="60">
        <v>5</v>
      </c>
      <c r="P128" s="60">
        <v>5</v>
      </c>
      <c r="Q128" s="60">
        <v>3</v>
      </c>
      <c r="R128" s="60">
        <v>3</v>
      </c>
      <c r="S128" s="60">
        <v>6</v>
      </c>
      <c r="T128" s="60">
        <v>6</v>
      </c>
      <c r="U128" s="60">
        <v>3</v>
      </c>
      <c r="V128" s="60">
        <v>6</v>
      </c>
      <c r="W128" s="60">
        <v>3</v>
      </c>
      <c r="X128" s="60">
        <v>3</v>
      </c>
      <c r="Y128" s="60">
        <v>3</v>
      </c>
      <c r="Z128" s="60">
        <v>6</v>
      </c>
    </row>
    <row r="129" spans="1:26">
      <c r="A129" s="60">
        <v>6</v>
      </c>
      <c r="B129" s="60">
        <v>6</v>
      </c>
      <c r="C129" s="60">
        <v>4</v>
      </c>
      <c r="D129" s="60">
        <v>5</v>
      </c>
      <c r="E129" s="60">
        <v>2</v>
      </c>
      <c r="F129" s="60">
        <v>5</v>
      </c>
      <c r="G129" s="60">
        <v>5</v>
      </c>
      <c r="H129" s="60">
        <v>6</v>
      </c>
      <c r="I129" s="60">
        <v>2</v>
      </c>
      <c r="J129" s="60">
        <v>3</v>
      </c>
      <c r="K129" s="60">
        <v>6</v>
      </c>
      <c r="L129" s="60">
        <v>1</v>
      </c>
      <c r="M129" s="60">
        <v>5</v>
      </c>
      <c r="N129" s="60">
        <v>4</v>
      </c>
      <c r="O129" s="60">
        <v>5</v>
      </c>
      <c r="P129" s="60">
        <v>5</v>
      </c>
      <c r="Q129" s="60">
        <v>1</v>
      </c>
      <c r="R129" s="60">
        <v>4</v>
      </c>
      <c r="S129" s="60">
        <v>2</v>
      </c>
      <c r="T129" s="60">
        <v>6</v>
      </c>
      <c r="U129" s="60">
        <v>1</v>
      </c>
      <c r="V129" s="60">
        <v>7</v>
      </c>
      <c r="W129" s="60">
        <v>3</v>
      </c>
      <c r="X129" s="60">
        <v>3</v>
      </c>
      <c r="Y129" s="60">
        <v>4</v>
      </c>
      <c r="Z129" s="60">
        <v>6</v>
      </c>
    </row>
    <row r="130" spans="1:26">
      <c r="A130" s="60">
        <v>5</v>
      </c>
      <c r="B130" s="60">
        <v>7</v>
      </c>
      <c r="C130" s="60">
        <v>5</v>
      </c>
      <c r="D130" s="60">
        <v>2</v>
      </c>
      <c r="E130" s="60">
        <v>1</v>
      </c>
      <c r="F130" s="60">
        <v>3</v>
      </c>
      <c r="G130" s="60">
        <v>6</v>
      </c>
      <c r="H130" s="60">
        <v>6</v>
      </c>
      <c r="I130" s="60">
        <v>3</v>
      </c>
      <c r="J130" s="60">
        <v>3</v>
      </c>
      <c r="K130" s="60">
        <v>4</v>
      </c>
      <c r="L130" s="60">
        <v>3</v>
      </c>
      <c r="M130" s="60">
        <v>5</v>
      </c>
      <c r="N130" s="60">
        <v>5</v>
      </c>
      <c r="O130" s="60">
        <v>3</v>
      </c>
      <c r="P130" s="60">
        <v>4</v>
      </c>
      <c r="Q130" s="60">
        <v>5</v>
      </c>
      <c r="R130" s="60">
        <v>3</v>
      </c>
      <c r="S130" s="60">
        <v>4</v>
      </c>
      <c r="T130" s="60">
        <v>6</v>
      </c>
      <c r="U130" s="60">
        <v>2</v>
      </c>
      <c r="V130" s="60">
        <v>5</v>
      </c>
      <c r="W130" s="60">
        <v>2</v>
      </c>
      <c r="X130" s="60">
        <v>4</v>
      </c>
      <c r="Y130" s="60">
        <v>3</v>
      </c>
      <c r="Z130" s="60">
        <v>3</v>
      </c>
    </row>
    <row r="131" spans="1:26">
      <c r="A131" s="60">
        <v>5</v>
      </c>
      <c r="B131" s="60">
        <v>7</v>
      </c>
      <c r="C131" s="60">
        <v>3</v>
      </c>
      <c r="D131" s="60">
        <v>1</v>
      </c>
      <c r="E131" s="60">
        <v>4</v>
      </c>
      <c r="F131" s="60">
        <v>5</v>
      </c>
      <c r="G131" s="60">
        <v>5</v>
      </c>
      <c r="H131" s="60">
        <v>5</v>
      </c>
      <c r="I131" s="60">
        <v>3</v>
      </c>
      <c r="J131" s="60">
        <v>4</v>
      </c>
      <c r="K131" s="60">
        <v>5</v>
      </c>
      <c r="L131" s="60">
        <v>1</v>
      </c>
      <c r="M131" s="60">
        <v>6</v>
      </c>
      <c r="N131" s="60">
        <v>7</v>
      </c>
      <c r="O131" s="60">
        <v>4</v>
      </c>
      <c r="P131" s="60">
        <v>7</v>
      </c>
      <c r="Q131" s="60">
        <v>1</v>
      </c>
      <c r="R131" s="60">
        <v>4</v>
      </c>
      <c r="S131" s="60">
        <v>1</v>
      </c>
      <c r="T131" s="60">
        <v>7</v>
      </c>
      <c r="U131" s="60">
        <v>1</v>
      </c>
      <c r="V131" s="60">
        <v>5</v>
      </c>
      <c r="W131" s="60">
        <v>1</v>
      </c>
      <c r="X131" s="60">
        <v>3</v>
      </c>
      <c r="Y131" s="60">
        <v>2</v>
      </c>
      <c r="Z131" s="60">
        <v>3</v>
      </c>
    </row>
    <row r="132" spans="1:26">
      <c r="A132" s="60">
        <v>7</v>
      </c>
      <c r="B132" s="60">
        <v>7</v>
      </c>
      <c r="C132" s="60">
        <v>2</v>
      </c>
      <c r="D132" s="60">
        <v>1</v>
      </c>
      <c r="E132" s="60">
        <v>1</v>
      </c>
      <c r="F132" s="60">
        <v>4</v>
      </c>
      <c r="G132" s="60">
        <v>6</v>
      </c>
      <c r="H132" s="60">
        <v>4</v>
      </c>
      <c r="I132" s="60">
        <v>2</v>
      </c>
      <c r="J132" s="60">
        <v>2</v>
      </c>
      <c r="K132" s="60">
        <v>4</v>
      </c>
      <c r="L132" s="60">
        <v>1</v>
      </c>
      <c r="M132" s="60">
        <v>7</v>
      </c>
      <c r="N132" s="60">
        <v>7</v>
      </c>
      <c r="O132" s="60">
        <v>6</v>
      </c>
      <c r="P132" s="60">
        <v>7</v>
      </c>
      <c r="Q132" s="60">
        <v>1</v>
      </c>
      <c r="R132" s="60">
        <v>1</v>
      </c>
      <c r="S132" s="60">
        <v>1</v>
      </c>
      <c r="T132" s="60">
        <v>7</v>
      </c>
      <c r="U132" s="60">
        <v>1</v>
      </c>
      <c r="V132" s="60">
        <v>7</v>
      </c>
      <c r="W132" s="60">
        <v>1</v>
      </c>
      <c r="X132" s="60">
        <v>4</v>
      </c>
      <c r="Y132" s="60">
        <v>1</v>
      </c>
      <c r="Z132" s="60">
        <v>4</v>
      </c>
    </row>
    <row r="133" spans="1:26">
      <c r="A133" s="60">
        <v>6</v>
      </c>
      <c r="B133" s="60">
        <v>7</v>
      </c>
      <c r="C133" s="60">
        <v>5</v>
      </c>
      <c r="D133" s="60">
        <v>2</v>
      </c>
      <c r="E133" s="60">
        <v>3</v>
      </c>
      <c r="F133" s="60">
        <v>5</v>
      </c>
      <c r="G133" s="60">
        <v>4</v>
      </c>
      <c r="H133" s="60">
        <v>4</v>
      </c>
      <c r="I133" s="60">
        <v>2</v>
      </c>
      <c r="J133" s="60">
        <v>3</v>
      </c>
      <c r="K133" s="60">
        <v>4</v>
      </c>
      <c r="L133" s="60">
        <v>2</v>
      </c>
      <c r="M133" s="60">
        <v>6</v>
      </c>
      <c r="N133" s="60">
        <v>5</v>
      </c>
      <c r="O133" s="60">
        <v>6</v>
      </c>
      <c r="P133" s="60">
        <v>5</v>
      </c>
      <c r="Q133" s="60">
        <v>2</v>
      </c>
      <c r="R133" s="60">
        <v>4</v>
      </c>
      <c r="S133" s="60">
        <v>2</v>
      </c>
      <c r="T133" s="60">
        <v>7</v>
      </c>
      <c r="U133" s="60">
        <v>1</v>
      </c>
      <c r="V133" s="60">
        <v>7</v>
      </c>
      <c r="W133" s="60">
        <v>3</v>
      </c>
      <c r="X133" s="60">
        <v>4</v>
      </c>
      <c r="Y133" s="60">
        <v>4</v>
      </c>
      <c r="Z133" s="60">
        <v>4</v>
      </c>
    </row>
    <row r="134" spans="1:26">
      <c r="A134" s="60">
        <v>4</v>
      </c>
      <c r="B134" s="60">
        <v>4</v>
      </c>
      <c r="C134" s="60">
        <v>2</v>
      </c>
      <c r="D134" s="60">
        <v>3</v>
      </c>
      <c r="E134" s="60">
        <v>2</v>
      </c>
      <c r="F134" s="60">
        <v>4</v>
      </c>
      <c r="G134" s="60">
        <v>4</v>
      </c>
      <c r="H134" s="60">
        <v>5</v>
      </c>
      <c r="I134" s="60">
        <v>3</v>
      </c>
      <c r="J134" s="60">
        <v>2</v>
      </c>
      <c r="K134" s="60">
        <v>4</v>
      </c>
      <c r="L134" s="60">
        <v>3</v>
      </c>
      <c r="M134" s="60">
        <v>4</v>
      </c>
      <c r="N134" s="60">
        <v>5</v>
      </c>
      <c r="O134" s="60">
        <v>5</v>
      </c>
      <c r="P134" s="60">
        <v>5</v>
      </c>
      <c r="Q134" s="60">
        <v>3</v>
      </c>
      <c r="R134" s="60">
        <v>3</v>
      </c>
      <c r="S134" s="60">
        <v>2</v>
      </c>
      <c r="T134" s="60">
        <v>5</v>
      </c>
      <c r="U134" s="60">
        <v>3</v>
      </c>
      <c r="V134" s="60">
        <v>6</v>
      </c>
      <c r="W134" s="60">
        <v>2</v>
      </c>
      <c r="X134" s="60">
        <v>4</v>
      </c>
      <c r="Y134" s="60">
        <v>3</v>
      </c>
      <c r="Z134" s="60">
        <v>6</v>
      </c>
    </row>
    <row r="135" spans="1:26">
      <c r="A135" s="60">
        <v>7</v>
      </c>
      <c r="B135" s="60">
        <v>6</v>
      </c>
      <c r="C135" s="60">
        <v>3</v>
      </c>
      <c r="D135" s="60">
        <v>2</v>
      </c>
      <c r="E135" s="60">
        <v>2</v>
      </c>
      <c r="F135" s="60">
        <v>5</v>
      </c>
      <c r="G135" s="60">
        <v>6</v>
      </c>
      <c r="H135" s="60">
        <v>5</v>
      </c>
      <c r="I135" s="60">
        <v>3</v>
      </c>
      <c r="J135" s="60">
        <v>2</v>
      </c>
      <c r="K135" s="60">
        <v>5</v>
      </c>
      <c r="L135" s="60">
        <v>3</v>
      </c>
      <c r="M135" s="60">
        <v>4</v>
      </c>
      <c r="N135" s="60">
        <v>6</v>
      </c>
      <c r="O135" s="60">
        <v>5</v>
      </c>
      <c r="P135" s="60">
        <v>6</v>
      </c>
      <c r="Q135" s="60">
        <v>2</v>
      </c>
      <c r="R135" s="60">
        <v>3</v>
      </c>
      <c r="S135" s="60">
        <v>2</v>
      </c>
      <c r="T135" s="60">
        <v>6</v>
      </c>
      <c r="U135" s="60">
        <v>2</v>
      </c>
      <c r="V135" s="60">
        <v>6</v>
      </c>
      <c r="W135" s="60">
        <v>3</v>
      </c>
      <c r="X135" s="60">
        <v>3</v>
      </c>
      <c r="Y135" s="60">
        <v>3</v>
      </c>
      <c r="Z135" s="60">
        <v>5</v>
      </c>
    </row>
    <row r="136" spans="1:26">
      <c r="A136" s="60">
        <v>5</v>
      </c>
      <c r="B136" s="60">
        <v>5</v>
      </c>
      <c r="C136" s="60">
        <v>4</v>
      </c>
      <c r="D136" s="60">
        <v>2</v>
      </c>
      <c r="E136" s="60">
        <v>3</v>
      </c>
      <c r="F136" s="60">
        <v>5</v>
      </c>
      <c r="G136" s="60">
        <v>5</v>
      </c>
      <c r="H136" s="60">
        <v>5</v>
      </c>
      <c r="I136" s="60">
        <v>3</v>
      </c>
      <c r="J136" s="60">
        <v>5</v>
      </c>
      <c r="K136" s="60">
        <v>5</v>
      </c>
      <c r="L136" s="60">
        <v>3</v>
      </c>
      <c r="M136" s="60">
        <v>5</v>
      </c>
      <c r="N136" s="60">
        <v>5</v>
      </c>
      <c r="O136" s="60">
        <v>3</v>
      </c>
      <c r="P136" s="60">
        <v>5</v>
      </c>
      <c r="Q136" s="60">
        <v>3</v>
      </c>
      <c r="R136" s="60">
        <v>4</v>
      </c>
      <c r="S136" s="60">
        <v>2</v>
      </c>
      <c r="T136" s="60">
        <v>6</v>
      </c>
      <c r="U136" s="60">
        <v>2</v>
      </c>
      <c r="V136" s="60">
        <v>2</v>
      </c>
      <c r="W136" s="60">
        <v>2</v>
      </c>
      <c r="X136" s="60">
        <v>3</v>
      </c>
      <c r="Y136" s="60">
        <v>2</v>
      </c>
      <c r="Z136" s="60">
        <v>4</v>
      </c>
    </row>
    <row r="137" spans="1:26">
      <c r="A137" s="60">
        <v>7</v>
      </c>
      <c r="B137" s="60">
        <v>7</v>
      </c>
      <c r="C137" s="60">
        <v>2</v>
      </c>
      <c r="D137" s="60">
        <v>1</v>
      </c>
      <c r="E137" s="60">
        <v>4</v>
      </c>
      <c r="F137" s="60">
        <v>6</v>
      </c>
      <c r="G137" s="60">
        <v>7</v>
      </c>
      <c r="H137" s="60">
        <v>5</v>
      </c>
      <c r="I137" s="60">
        <v>4</v>
      </c>
      <c r="J137" s="60">
        <v>3</v>
      </c>
      <c r="K137" s="60">
        <v>4</v>
      </c>
      <c r="L137" s="60">
        <v>1</v>
      </c>
      <c r="M137" s="60">
        <v>7</v>
      </c>
      <c r="N137" s="60">
        <v>7</v>
      </c>
      <c r="O137" s="60">
        <v>4</v>
      </c>
      <c r="P137" s="60">
        <v>6</v>
      </c>
      <c r="Q137" s="60">
        <v>2</v>
      </c>
      <c r="R137" s="60">
        <v>4</v>
      </c>
      <c r="S137" s="60">
        <v>1</v>
      </c>
      <c r="T137" s="60">
        <v>7</v>
      </c>
      <c r="U137" s="60">
        <v>1</v>
      </c>
      <c r="V137" s="60">
        <v>7</v>
      </c>
      <c r="W137" s="60">
        <v>2</v>
      </c>
      <c r="X137" s="60">
        <v>2</v>
      </c>
      <c r="Y137" s="60">
        <v>1</v>
      </c>
      <c r="Z137" s="60">
        <v>5</v>
      </c>
    </row>
    <row r="138" spans="1:26">
      <c r="A138" s="60">
        <v>6</v>
      </c>
      <c r="B138" s="60">
        <v>7</v>
      </c>
      <c r="C138" s="60">
        <v>2</v>
      </c>
      <c r="D138" s="60">
        <v>1</v>
      </c>
      <c r="E138" s="60">
        <v>4</v>
      </c>
      <c r="F138" s="60">
        <v>6</v>
      </c>
      <c r="G138" s="60">
        <v>7</v>
      </c>
      <c r="H138" s="60">
        <v>7</v>
      </c>
      <c r="I138" s="60">
        <v>1</v>
      </c>
      <c r="J138" s="60">
        <v>3</v>
      </c>
      <c r="K138" s="60">
        <v>7</v>
      </c>
      <c r="L138" s="60">
        <v>1</v>
      </c>
      <c r="M138" s="60">
        <v>7</v>
      </c>
      <c r="N138" s="60">
        <v>5</v>
      </c>
      <c r="O138" s="60">
        <v>3</v>
      </c>
      <c r="P138" s="60">
        <v>7</v>
      </c>
      <c r="Q138" s="60">
        <v>1</v>
      </c>
      <c r="R138" s="60">
        <v>4</v>
      </c>
      <c r="S138" s="60">
        <v>2</v>
      </c>
      <c r="T138" s="60">
        <v>7</v>
      </c>
      <c r="U138" s="60">
        <v>1</v>
      </c>
      <c r="V138" s="60">
        <v>7</v>
      </c>
      <c r="W138" s="60">
        <v>4</v>
      </c>
      <c r="X138" s="60">
        <v>4</v>
      </c>
      <c r="Y138" s="60">
        <v>1</v>
      </c>
      <c r="Z138" s="60">
        <v>6</v>
      </c>
    </row>
    <row r="139" spans="1:26">
      <c r="A139" s="60">
        <v>4</v>
      </c>
      <c r="B139" s="60">
        <v>4</v>
      </c>
      <c r="C139" s="60">
        <v>3</v>
      </c>
      <c r="D139" s="60">
        <v>1</v>
      </c>
      <c r="E139" s="60">
        <v>2</v>
      </c>
      <c r="F139" s="60">
        <v>4</v>
      </c>
      <c r="G139" s="60">
        <v>4</v>
      </c>
      <c r="H139" s="60">
        <v>4</v>
      </c>
      <c r="I139" s="60">
        <v>1</v>
      </c>
      <c r="J139" s="60">
        <v>3</v>
      </c>
      <c r="K139" s="60">
        <v>5</v>
      </c>
      <c r="L139" s="60">
        <v>6</v>
      </c>
      <c r="M139" s="60">
        <v>7</v>
      </c>
      <c r="N139" s="60">
        <v>2</v>
      </c>
      <c r="O139" s="60">
        <v>6</v>
      </c>
      <c r="P139" s="60">
        <v>2</v>
      </c>
      <c r="Q139" s="60">
        <v>1</v>
      </c>
      <c r="R139" s="60">
        <v>4</v>
      </c>
      <c r="S139" s="60">
        <v>1</v>
      </c>
      <c r="T139" s="60">
        <v>6</v>
      </c>
      <c r="U139" s="60">
        <v>1</v>
      </c>
      <c r="V139" s="60">
        <v>7</v>
      </c>
      <c r="W139" s="60">
        <v>4</v>
      </c>
      <c r="X139" s="60">
        <v>4</v>
      </c>
      <c r="Y139" s="60">
        <v>2</v>
      </c>
      <c r="Z139" s="60">
        <v>6</v>
      </c>
    </row>
    <row r="140" spans="1:26">
      <c r="A140" s="60">
        <v>6</v>
      </c>
      <c r="B140" s="60">
        <v>7</v>
      </c>
      <c r="C140" s="60">
        <v>3</v>
      </c>
      <c r="D140" s="60">
        <v>2</v>
      </c>
      <c r="E140" s="60">
        <v>3</v>
      </c>
      <c r="F140" s="60">
        <v>6</v>
      </c>
      <c r="G140" s="60">
        <v>6</v>
      </c>
      <c r="H140" s="60">
        <v>4</v>
      </c>
      <c r="I140" s="60">
        <v>2</v>
      </c>
      <c r="J140" s="60">
        <v>3</v>
      </c>
      <c r="K140" s="60">
        <v>5</v>
      </c>
      <c r="L140" s="60">
        <v>2</v>
      </c>
      <c r="M140" s="60">
        <v>7</v>
      </c>
      <c r="N140" s="60">
        <v>6</v>
      </c>
      <c r="O140" s="60">
        <v>5</v>
      </c>
      <c r="P140" s="60">
        <v>5</v>
      </c>
      <c r="Q140" s="60">
        <v>2</v>
      </c>
      <c r="R140" s="60">
        <v>4</v>
      </c>
      <c r="S140" s="60">
        <v>3</v>
      </c>
      <c r="T140" s="60">
        <v>5</v>
      </c>
      <c r="U140" s="60">
        <v>2</v>
      </c>
      <c r="V140" s="60">
        <v>5</v>
      </c>
      <c r="W140" s="60">
        <v>2</v>
      </c>
      <c r="X140" s="60">
        <v>2</v>
      </c>
      <c r="Y140" s="60">
        <v>2</v>
      </c>
      <c r="Z140" s="60">
        <v>4</v>
      </c>
    </row>
    <row r="141" spans="1:26">
      <c r="A141" s="60">
        <v>2</v>
      </c>
      <c r="B141" s="60">
        <v>3</v>
      </c>
      <c r="C141" s="60">
        <v>6</v>
      </c>
      <c r="D141" s="60">
        <v>7</v>
      </c>
      <c r="E141" s="60">
        <v>4</v>
      </c>
      <c r="F141" s="60">
        <v>2</v>
      </c>
      <c r="G141" s="60">
        <v>2</v>
      </c>
      <c r="H141" s="60">
        <v>1</v>
      </c>
      <c r="I141" s="60">
        <v>3</v>
      </c>
      <c r="J141" s="60">
        <v>2</v>
      </c>
      <c r="K141" s="60">
        <v>2</v>
      </c>
      <c r="L141" s="60">
        <v>4</v>
      </c>
      <c r="M141" s="60">
        <v>1</v>
      </c>
      <c r="N141" s="60">
        <v>2</v>
      </c>
      <c r="O141" s="60">
        <v>4</v>
      </c>
      <c r="P141" s="60">
        <v>3</v>
      </c>
      <c r="Q141" s="60">
        <v>3</v>
      </c>
      <c r="R141" s="60">
        <v>4</v>
      </c>
      <c r="S141" s="60">
        <v>6</v>
      </c>
      <c r="T141" s="60">
        <v>6</v>
      </c>
      <c r="U141" s="60">
        <v>7</v>
      </c>
      <c r="V141" s="60">
        <v>5</v>
      </c>
      <c r="W141" s="60">
        <v>6</v>
      </c>
      <c r="X141" s="60">
        <v>6</v>
      </c>
      <c r="Y141" s="60">
        <v>6</v>
      </c>
      <c r="Z141" s="60">
        <v>6</v>
      </c>
    </row>
    <row r="142" spans="1:26">
      <c r="A142" s="60">
        <v>6</v>
      </c>
      <c r="B142" s="60">
        <v>6</v>
      </c>
      <c r="C142" s="60">
        <v>4</v>
      </c>
      <c r="D142" s="60">
        <v>6</v>
      </c>
      <c r="E142" s="60">
        <v>6</v>
      </c>
      <c r="F142" s="60">
        <v>5</v>
      </c>
      <c r="G142" s="60">
        <v>5</v>
      </c>
      <c r="H142" s="60">
        <v>6</v>
      </c>
      <c r="I142" s="60">
        <v>2</v>
      </c>
      <c r="J142" s="60">
        <v>4</v>
      </c>
      <c r="K142" s="60">
        <v>4</v>
      </c>
      <c r="L142" s="60">
        <v>2</v>
      </c>
      <c r="M142" s="60">
        <v>6</v>
      </c>
      <c r="N142" s="60">
        <v>6</v>
      </c>
      <c r="O142" s="60">
        <v>5</v>
      </c>
      <c r="P142" s="60">
        <v>6</v>
      </c>
      <c r="Q142" s="60">
        <v>6</v>
      </c>
      <c r="R142" s="60">
        <v>1</v>
      </c>
      <c r="S142" s="60">
        <v>3</v>
      </c>
      <c r="T142" s="60">
        <v>6</v>
      </c>
      <c r="U142" s="60">
        <v>1</v>
      </c>
      <c r="V142" s="60">
        <v>5</v>
      </c>
      <c r="W142" s="60">
        <v>3</v>
      </c>
      <c r="X142" s="60">
        <v>2</v>
      </c>
      <c r="Y142" s="60">
        <v>2</v>
      </c>
      <c r="Z142" s="60">
        <v>4</v>
      </c>
    </row>
    <row r="143" spans="1:26">
      <c r="A143" s="60">
        <v>3</v>
      </c>
      <c r="B143" s="60">
        <v>7</v>
      </c>
      <c r="C143" s="60">
        <v>4</v>
      </c>
      <c r="D143" s="60">
        <v>1</v>
      </c>
      <c r="E143" s="60">
        <v>3</v>
      </c>
      <c r="F143" s="60">
        <v>4</v>
      </c>
      <c r="G143" s="60">
        <v>4</v>
      </c>
      <c r="H143" s="60">
        <v>7</v>
      </c>
      <c r="I143" s="60">
        <v>4</v>
      </c>
      <c r="J143" s="60">
        <v>4</v>
      </c>
      <c r="K143" s="60">
        <v>4</v>
      </c>
      <c r="L143" s="60">
        <v>4</v>
      </c>
      <c r="M143" s="60">
        <v>7</v>
      </c>
      <c r="N143" s="60">
        <v>6</v>
      </c>
      <c r="O143" s="60">
        <v>4</v>
      </c>
      <c r="P143" s="60">
        <v>4</v>
      </c>
      <c r="Q143" s="60">
        <v>6</v>
      </c>
      <c r="R143" s="60">
        <v>7</v>
      </c>
      <c r="S143" s="60">
        <v>4</v>
      </c>
      <c r="T143" s="60">
        <v>5</v>
      </c>
      <c r="U143" s="60">
        <v>1</v>
      </c>
      <c r="V143" s="60">
        <v>6</v>
      </c>
      <c r="W143" s="60">
        <v>5</v>
      </c>
      <c r="X143" s="60">
        <v>4</v>
      </c>
      <c r="Y143" s="60">
        <v>4</v>
      </c>
      <c r="Z143" s="60">
        <v>3</v>
      </c>
    </row>
    <row r="144" spans="1:26">
      <c r="A144" s="60">
        <v>7</v>
      </c>
      <c r="B144" s="60">
        <v>7</v>
      </c>
      <c r="C144" s="60">
        <v>1</v>
      </c>
      <c r="D144" s="60">
        <v>2</v>
      </c>
      <c r="E144" s="60">
        <v>1</v>
      </c>
      <c r="F144" s="60">
        <v>6</v>
      </c>
      <c r="G144" s="60">
        <v>6</v>
      </c>
      <c r="H144" s="60">
        <v>4</v>
      </c>
      <c r="I144" s="60">
        <v>2</v>
      </c>
      <c r="J144" s="60">
        <v>2</v>
      </c>
      <c r="K144" s="60">
        <v>6</v>
      </c>
      <c r="L144" s="60">
        <v>2</v>
      </c>
      <c r="M144" s="60">
        <v>6</v>
      </c>
      <c r="N144" s="60">
        <v>6</v>
      </c>
      <c r="O144" s="60">
        <v>6</v>
      </c>
      <c r="P144" s="60">
        <v>6</v>
      </c>
      <c r="Q144" s="60">
        <v>1</v>
      </c>
      <c r="R144" s="60">
        <v>1</v>
      </c>
      <c r="S144" s="60">
        <v>2</v>
      </c>
      <c r="T144" s="60">
        <v>6</v>
      </c>
      <c r="U144" s="60">
        <v>2</v>
      </c>
      <c r="V144" s="60">
        <v>7</v>
      </c>
      <c r="W144" s="60">
        <v>1</v>
      </c>
      <c r="X144" s="60">
        <v>1</v>
      </c>
      <c r="Y144" s="60">
        <v>1</v>
      </c>
      <c r="Z144" s="60">
        <v>4</v>
      </c>
    </row>
    <row r="145" spans="1:26">
      <c r="A145" s="60">
        <v>7</v>
      </c>
      <c r="B145" s="60">
        <v>7</v>
      </c>
      <c r="C145" s="60">
        <v>1</v>
      </c>
      <c r="D145" s="60">
        <v>1</v>
      </c>
      <c r="E145" s="60">
        <v>1</v>
      </c>
      <c r="F145" s="60">
        <v>6</v>
      </c>
      <c r="G145" s="60">
        <v>6</v>
      </c>
      <c r="H145" s="60">
        <v>4</v>
      </c>
      <c r="I145" s="60">
        <v>1</v>
      </c>
      <c r="J145" s="60">
        <v>5</v>
      </c>
      <c r="K145" s="60">
        <v>6</v>
      </c>
      <c r="L145" s="60">
        <v>2</v>
      </c>
      <c r="M145" s="60">
        <v>6</v>
      </c>
      <c r="N145" s="60">
        <v>6</v>
      </c>
      <c r="O145" s="60">
        <v>5</v>
      </c>
      <c r="P145" s="60">
        <v>7</v>
      </c>
      <c r="Q145" s="60">
        <v>1</v>
      </c>
      <c r="R145" s="60">
        <v>2</v>
      </c>
      <c r="S145" s="60">
        <v>2</v>
      </c>
      <c r="T145" s="60">
        <v>6</v>
      </c>
      <c r="U145" s="60">
        <v>1</v>
      </c>
      <c r="V145" s="60">
        <v>6</v>
      </c>
      <c r="W145" s="60">
        <v>1</v>
      </c>
      <c r="X145" s="60">
        <v>1</v>
      </c>
      <c r="Y145" s="60">
        <v>1</v>
      </c>
      <c r="Z145" s="60">
        <v>3</v>
      </c>
    </row>
    <row r="146" spans="1:26">
      <c r="A146" s="60">
        <v>6</v>
      </c>
      <c r="B146" s="60">
        <v>6</v>
      </c>
      <c r="C146" s="60">
        <v>2</v>
      </c>
      <c r="D146" s="60">
        <v>1</v>
      </c>
      <c r="E146" s="60">
        <v>2</v>
      </c>
      <c r="F146" s="60">
        <v>5</v>
      </c>
      <c r="G146" s="60">
        <v>7</v>
      </c>
      <c r="H146" s="60">
        <v>3</v>
      </c>
      <c r="I146" s="60">
        <v>2</v>
      </c>
      <c r="J146" s="60">
        <v>2</v>
      </c>
      <c r="K146" s="60">
        <v>5</v>
      </c>
      <c r="L146" s="60">
        <v>2</v>
      </c>
      <c r="M146" s="60">
        <v>5</v>
      </c>
      <c r="N146" s="60">
        <v>6</v>
      </c>
      <c r="O146" s="60">
        <v>6</v>
      </c>
      <c r="P146" s="60">
        <v>5</v>
      </c>
      <c r="Q146" s="60">
        <v>2</v>
      </c>
      <c r="R146" s="60">
        <v>3</v>
      </c>
      <c r="S146" s="60">
        <v>1</v>
      </c>
      <c r="T146" s="60">
        <v>6</v>
      </c>
      <c r="U146" s="60">
        <v>3</v>
      </c>
      <c r="V146" s="60">
        <v>6</v>
      </c>
      <c r="W146" s="60">
        <v>2</v>
      </c>
      <c r="X146" s="60">
        <v>2</v>
      </c>
      <c r="Y146" s="60">
        <v>2</v>
      </c>
      <c r="Z146" s="60">
        <v>6</v>
      </c>
    </row>
    <row r="147" spans="1:26">
      <c r="A147" s="60">
        <v>5</v>
      </c>
      <c r="B147" s="60">
        <v>2</v>
      </c>
      <c r="C147" s="60">
        <v>3</v>
      </c>
      <c r="D147" s="60">
        <v>5</v>
      </c>
      <c r="E147" s="60">
        <v>5</v>
      </c>
      <c r="F147" s="60">
        <v>2</v>
      </c>
      <c r="G147" s="60">
        <v>2</v>
      </c>
      <c r="H147" s="60">
        <v>2</v>
      </c>
      <c r="I147" s="60">
        <v>4</v>
      </c>
      <c r="J147" s="60">
        <v>4</v>
      </c>
      <c r="K147" s="60">
        <v>3</v>
      </c>
      <c r="L147" s="60">
        <v>5</v>
      </c>
      <c r="M147" s="60">
        <v>3</v>
      </c>
      <c r="N147" s="60">
        <v>2</v>
      </c>
      <c r="O147" s="60">
        <v>2</v>
      </c>
      <c r="P147" s="60">
        <v>2</v>
      </c>
      <c r="Q147" s="60">
        <v>4</v>
      </c>
      <c r="R147" s="60">
        <v>2</v>
      </c>
      <c r="S147" s="60">
        <v>5</v>
      </c>
      <c r="T147" s="60">
        <v>2</v>
      </c>
      <c r="U147" s="60">
        <v>5</v>
      </c>
      <c r="V147" s="60">
        <v>2</v>
      </c>
      <c r="W147" s="60">
        <v>5</v>
      </c>
      <c r="X147" s="60">
        <v>5</v>
      </c>
      <c r="Y147" s="60">
        <v>5</v>
      </c>
      <c r="Z147" s="60">
        <v>4</v>
      </c>
    </row>
    <row r="148" spans="1:26">
      <c r="A148" s="60">
        <v>2</v>
      </c>
      <c r="B148" s="60">
        <v>4</v>
      </c>
      <c r="C148" s="60">
        <v>4</v>
      </c>
      <c r="D148" s="60">
        <v>5</v>
      </c>
      <c r="E148" s="60">
        <v>3</v>
      </c>
      <c r="F148" s="60">
        <v>4</v>
      </c>
      <c r="G148" s="60">
        <v>4</v>
      </c>
      <c r="H148" s="60">
        <v>3</v>
      </c>
      <c r="I148" s="60">
        <v>3</v>
      </c>
      <c r="J148" s="60">
        <v>3</v>
      </c>
      <c r="K148" s="60">
        <v>3</v>
      </c>
      <c r="L148" s="60">
        <v>4</v>
      </c>
      <c r="M148" s="60">
        <v>2</v>
      </c>
      <c r="N148" s="60">
        <v>3</v>
      </c>
      <c r="O148" s="60">
        <v>5</v>
      </c>
      <c r="P148" s="60">
        <v>3</v>
      </c>
      <c r="Q148" s="60">
        <v>3</v>
      </c>
      <c r="R148" s="60">
        <v>4</v>
      </c>
      <c r="S148" s="60">
        <v>5</v>
      </c>
      <c r="T148" s="60">
        <v>3</v>
      </c>
      <c r="U148" s="60">
        <v>5</v>
      </c>
      <c r="V148" s="60">
        <v>5</v>
      </c>
      <c r="W148" s="60">
        <v>6</v>
      </c>
      <c r="X148" s="60">
        <v>5</v>
      </c>
      <c r="Y148" s="60">
        <v>4</v>
      </c>
      <c r="Z148" s="60">
        <v>6</v>
      </c>
    </row>
    <row r="149" spans="1:26">
      <c r="A149" s="60">
        <v>5</v>
      </c>
      <c r="B149" s="60">
        <v>5</v>
      </c>
      <c r="C149" s="60">
        <v>4</v>
      </c>
      <c r="D149" s="60">
        <v>2</v>
      </c>
      <c r="E149" s="60">
        <v>2</v>
      </c>
      <c r="F149" s="60">
        <v>4</v>
      </c>
      <c r="G149" s="60">
        <v>5</v>
      </c>
      <c r="H149" s="60">
        <v>6</v>
      </c>
      <c r="I149" s="60">
        <v>2</v>
      </c>
      <c r="J149" s="60">
        <v>2</v>
      </c>
      <c r="K149" s="60">
        <v>5</v>
      </c>
      <c r="L149" s="60">
        <v>1</v>
      </c>
      <c r="M149" s="60">
        <v>6</v>
      </c>
      <c r="N149" s="60">
        <v>6</v>
      </c>
      <c r="O149" s="60">
        <v>6</v>
      </c>
      <c r="P149" s="60">
        <v>6</v>
      </c>
      <c r="Q149" s="60">
        <v>2</v>
      </c>
      <c r="R149" s="60">
        <v>2</v>
      </c>
      <c r="S149" s="60">
        <v>2</v>
      </c>
      <c r="T149" s="60">
        <v>6</v>
      </c>
      <c r="U149" s="60">
        <v>2</v>
      </c>
      <c r="V149" s="60">
        <v>5</v>
      </c>
      <c r="W149" s="60">
        <v>1</v>
      </c>
      <c r="X149" s="60">
        <v>2</v>
      </c>
      <c r="Y149" s="60">
        <v>1</v>
      </c>
      <c r="Z149" s="60">
        <v>5</v>
      </c>
    </row>
    <row r="150" spans="1:26">
      <c r="A150" s="60">
        <v>5</v>
      </c>
      <c r="B150" s="60">
        <v>7</v>
      </c>
      <c r="C150" s="60">
        <v>4</v>
      </c>
      <c r="D150" s="60">
        <v>1</v>
      </c>
      <c r="E150" s="60">
        <v>1</v>
      </c>
      <c r="F150" s="60">
        <v>5</v>
      </c>
      <c r="G150" s="60">
        <v>5</v>
      </c>
      <c r="H150" s="60">
        <v>6</v>
      </c>
      <c r="I150" s="60">
        <v>1</v>
      </c>
      <c r="J150" s="60">
        <v>3</v>
      </c>
      <c r="K150" s="60">
        <v>5</v>
      </c>
      <c r="L150" s="60">
        <v>1</v>
      </c>
      <c r="M150" s="60">
        <v>7</v>
      </c>
      <c r="N150" s="60">
        <v>7</v>
      </c>
      <c r="O150" s="60">
        <v>5</v>
      </c>
      <c r="P150" s="60">
        <v>7</v>
      </c>
      <c r="Q150" s="60">
        <v>1</v>
      </c>
      <c r="R150" s="60">
        <v>2</v>
      </c>
      <c r="S150" s="60">
        <v>1</v>
      </c>
      <c r="T150" s="60">
        <v>7</v>
      </c>
      <c r="U150" s="60">
        <v>1</v>
      </c>
      <c r="V150" s="60">
        <v>7</v>
      </c>
      <c r="W150" s="60">
        <v>1</v>
      </c>
      <c r="X150" s="60">
        <v>1</v>
      </c>
      <c r="Y150" s="60">
        <v>4</v>
      </c>
      <c r="Z150" s="60">
        <v>4</v>
      </c>
    </row>
    <row r="151" spans="1:26">
      <c r="A151" s="60">
        <v>5</v>
      </c>
      <c r="B151" s="60">
        <v>6</v>
      </c>
      <c r="C151" s="60">
        <v>3</v>
      </c>
      <c r="D151" s="60">
        <v>2</v>
      </c>
      <c r="E151" s="60">
        <v>2</v>
      </c>
      <c r="F151" s="60">
        <v>6</v>
      </c>
      <c r="G151" s="60">
        <v>6</v>
      </c>
      <c r="H151" s="60">
        <v>5</v>
      </c>
      <c r="I151" s="60">
        <v>3</v>
      </c>
      <c r="J151" s="60">
        <v>3</v>
      </c>
      <c r="K151" s="60">
        <v>2</v>
      </c>
      <c r="L151" s="60">
        <v>2</v>
      </c>
      <c r="M151" s="60">
        <v>5</v>
      </c>
      <c r="N151" s="60">
        <v>6</v>
      </c>
      <c r="O151" s="60">
        <v>5</v>
      </c>
      <c r="P151" s="60">
        <v>6</v>
      </c>
      <c r="Q151" s="60">
        <v>4</v>
      </c>
      <c r="R151" s="60">
        <v>4</v>
      </c>
      <c r="S151" s="60">
        <v>2</v>
      </c>
      <c r="T151" s="60">
        <v>5</v>
      </c>
      <c r="U151" s="60">
        <v>2</v>
      </c>
      <c r="V151" s="60">
        <v>6</v>
      </c>
      <c r="W151" s="60">
        <v>3</v>
      </c>
      <c r="X151" s="60">
        <v>2</v>
      </c>
      <c r="Y151" s="60">
        <v>2</v>
      </c>
      <c r="Z151" s="60">
        <v>4</v>
      </c>
    </row>
    <row r="152" spans="1:26">
      <c r="A152" s="60">
        <v>4</v>
      </c>
      <c r="B152" s="60">
        <v>7</v>
      </c>
      <c r="C152" s="60">
        <v>3</v>
      </c>
      <c r="D152" s="60">
        <v>1</v>
      </c>
      <c r="E152" s="60">
        <v>2</v>
      </c>
      <c r="F152" s="60">
        <v>4</v>
      </c>
      <c r="G152" s="60">
        <v>4</v>
      </c>
      <c r="H152" s="60">
        <v>4</v>
      </c>
      <c r="I152" s="60">
        <v>2</v>
      </c>
      <c r="J152" s="60">
        <v>4</v>
      </c>
      <c r="K152" s="60">
        <v>4</v>
      </c>
      <c r="L152" s="60">
        <v>2</v>
      </c>
      <c r="M152" s="60">
        <v>6</v>
      </c>
      <c r="N152" s="60">
        <v>5</v>
      </c>
      <c r="O152" s="60">
        <v>5</v>
      </c>
      <c r="P152" s="60">
        <v>6</v>
      </c>
      <c r="Q152" s="60">
        <v>1</v>
      </c>
      <c r="R152" s="60">
        <v>4</v>
      </c>
      <c r="S152" s="60">
        <v>2</v>
      </c>
      <c r="T152" s="60">
        <v>6</v>
      </c>
      <c r="U152" s="60">
        <v>2</v>
      </c>
      <c r="V152" s="60">
        <v>6</v>
      </c>
      <c r="W152" s="60">
        <v>2</v>
      </c>
      <c r="X152" s="60">
        <v>2</v>
      </c>
      <c r="Y152" s="60">
        <v>2</v>
      </c>
      <c r="Z152" s="60">
        <v>4</v>
      </c>
    </row>
    <row r="153" spans="1:26">
      <c r="A153" s="60">
        <v>6</v>
      </c>
      <c r="B153" s="60">
        <v>6</v>
      </c>
      <c r="C153" s="60">
        <v>2</v>
      </c>
      <c r="D153" s="60">
        <v>2</v>
      </c>
      <c r="E153" s="60">
        <v>1</v>
      </c>
      <c r="F153" s="60">
        <v>6</v>
      </c>
      <c r="G153" s="60">
        <v>5</v>
      </c>
      <c r="H153" s="60">
        <v>5</v>
      </c>
      <c r="I153" s="60">
        <v>2</v>
      </c>
      <c r="J153" s="60">
        <v>2</v>
      </c>
      <c r="K153" s="60">
        <v>6</v>
      </c>
      <c r="L153" s="60">
        <v>2</v>
      </c>
      <c r="M153" s="60">
        <v>5</v>
      </c>
      <c r="N153" s="60">
        <v>6</v>
      </c>
      <c r="O153" s="60">
        <v>6</v>
      </c>
      <c r="P153" s="60">
        <v>6</v>
      </c>
      <c r="Q153" s="60">
        <v>2</v>
      </c>
      <c r="R153" s="60">
        <v>2</v>
      </c>
      <c r="S153" s="60">
        <v>2</v>
      </c>
      <c r="T153" s="60">
        <v>6</v>
      </c>
      <c r="U153" s="60">
        <v>3</v>
      </c>
      <c r="V153" s="60">
        <v>6</v>
      </c>
      <c r="W153" s="60">
        <v>1</v>
      </c>
      <c r="X153" s="60">
        <v>2</v>
      </c>
      <c r="Y153" s="60">
        <v>2</v>
      </c>
      <c r="Z153" s="60">
        <v>6</v>
      </c>
    </row>
    <row r="154" spans="1:26">
      <c r="A154" s="60">
        <v>3</v>
      </c>
      <c r="B154" s="60">
        <v>5</v>
      </c>
      <c r="C154" s="60">
        <v>4</v>
      </c>
      <c r="D154" s="60">
        <v>5</v>
      </c>
      <c r="E154" s="60">
        <v>5</v>
      </c>
      <c r="F154" s="60">
        <v>3</v>
      </c>
      <c r="G154" s="60">
        <v>3</v>
      </c>
      <c r="H154" s="60">
        <v>3</v>
      </c>
      <c r="I154" s="60">
        <v>5</v>
      </c>
      <c r="J154" s="60">
        <v>5</v>
      </c>
      <c r="K154" s="60">
        <v>2</v>
      </c>
      <c r="L154" s="60">
        <v>2</v>
      </c>
      <c r="M154" s="60">
        <v>6</v>
      </c>
      <c r="N154" s="60">
        <v>5</v>
      </c>
      <c r="O154" s="60">
        <v>4</v>
      </c>
      <c r="P154" s="60">
        <v>5</v>
      </c>
      <c r="Q154" s="60">
        <v>3</v>
      </c>
      <c r="R154" s="60">
        <v>3</v>
      </c>
      <c r="S154" s="60">
        <v>2</v>
      </c>
      <c r="T154" s="60">
        <v>5</v>
      </c>
      <c r="U154" s="60">
        <v>2</v>
      </c>
      <c r="V154" s="60">
        <v>6</v>
      </c>
      <c r="W154" s="60">
        <v>4</v>
      </c>
      <c r="X154" s="60">
        <v>2</v>
      </c>
      <c r="Y154" s="60">
        <v>2</v>
      </c>
      <c r="Z154" s="60">
        <v>4</v>
      </c>
    </row>
    <row r="155" spans="1:26">
      <c r="A155" s="60">
        <v>5</v>
      </c>
      <c r="B155" s="60">
        <v>5</v>
      </c>
      <c r="C155" s="60">
        <v>2</v>
      </c>
      <c r="D155" s="60">
        <v>2</v>
      </c>
      <c r="E155" s="60">
        <v>3</v>
      </c>
      <c r="F155" s="60">
        <v>5</v>
      </c>
      <c r="G155" s="60">
        <v>5</v>
      </c>
      <c r="H155" s="60">
        <v>4</v>
      </c>
      <c r="I155" s="60">
        <v>2</v>
      </c>
      <c r="J155" s="60">
        <v>2</v>
      </c>
      <c r="K155" s="60">
        <v>6</v>
      </c>
      <c r="L155" s="60">
        <v>2</v>
      </c>
      <c r="M155" s="60">
        <v>6</v>
      </c>
      <c r="N155" s="60">
        <v>5</v>
      </c>
      <c r="O155" s="60">
        <v>6</v>
      </c>
      <c r="P155" s="60">
        <v>6</v>
      </c>
      <c r="Q155" s="60">
        <v>2</v>
      </c>
      <c r="R155" s="60">
        <v>4</v>
      </c>
      <c r="S155" s="60">
        <v>3</v>
      </c>
      <c r="T155" s="60">
        <v>6</v>
      </c>
      <c r="U155" s="60">
        <v>3</v>
      </c>
      <c r="V155" s="60">
        <v>6</v>
      </c>
      <c r="W155" s="60">
        <v>6</v>
      </c>
      <c r="X155" s="60">
        <v>4</v>
      </c>
      <c r="Y155" s="60">
        <v>4</v>
      </c>
      <c r="Z155" s="60">
        <v>6</v>
      </c>
    </row>
    <row r="156" spans="1:26">
      <c r="A156" s="60">
        <v>4</v>
      </c>
      <c r="B156" s="60">
        <v>5</v>
      </c>
      <c r="C156" s="60">
        <v>4</v>
      </c>
      <c r="D156" s="60">
        <v>4</v>
      </c>
      <c r="E156" s="60">
        <v>6</v>
      </c>
      <c r="F156" s="60">
        <v>5</v>
      </c>
      <c r="G156" s="60">
        <v>5</v>
      </c>
      <c r="H156" s="60">
        <v>4</v>
      </c>
      <c r="I156" s="60">
        <v>4</v>
      </c>
      <c r="J156" s="60">
        <v>3</v>
      </c>
      <c r="K156" s="60">
        <v>5</v>
      </c>
      <c r="L156" s="60">
        <v>3</v>
      </c>
      <c r="M156" s="60">
        <v>5</v>
      </c>
      <c r="N156" s="60">
        <v>4</v>
      </c>
      <c r="O156" s="60">
        <v>4</v>
      </c>
      <c r="P156" s="60">
        <v>5</v>
      </c>
      <c r="Q156" s="60">
        <v>4</v>
      </c>
      <c r="R156" s="60">
        <v>3</v>
      </c>
      <c r="S156" s="60">
        <v>4</v>
      </c>
      <c r="T156" s="60">
        <v>5</v>
      </c>
      <c r="U156" s="60">
        <v>3</v>
      </c>
      <c r="V156" s="60">
        <v>5</v>
      </c>
      <c r="W156" s="60">
        <v>3</v>
      </c>
      <c r="X156" s="60">
        <v>5</v>
      </c>
      <c r="Y156" s="60">
        <v>3</v>
      </c>
      <c r="Z156" s="60">
        <v>4</v>
      </c>
    </row>
    <row r="157" spans="1:26">
      <c r="A157" s="60">
        <v>2</v>
      </c>
      <c r="B157" s="60">
        <v>6</v>
      </c>
      <c r="C157" s="60">
        <v>3</v>
      </c>
      <c r="D157" s="60">
        <v>2</v>
      </c>
      <c r="E157" s="60">
        <v>2</v>
      </c>
      <c r="F157" s="60">
        <v>5</v>
      </c>
      <c r="G157" s="60">
        <v>6</v>
      </c>
      <c r="H157" s="60">
        <v>4</v>
      </c>
      <c r="I157" s="60">
        <v>3</v>
      </c>
      <c r="J157" s="60">
        <v>2</v>
      </c>
      <c r="K157" s="60">
        <v>5</v>
      </c>
      <c r="L157" s="60">
        <v>2</v>
      </c>
      <c r="M157" s="60">
        <v>6</v>
      </c>
      <c r="N157" s="60">
        <v>6</v>
      </c>
      <c r="O157" s="60">
        <v>6</v>
      </c>
      <c r="P157" s="60">
        <v>5</v>
      </c>
      <c r="Q157" s="60">
        <v>3</v>
      </c>
      <c r="R157" s="60">
        <v>3</v>
      </c>
      <c r="S157" s="60">
        <v>2</v>
      </c>
      <c r="T157" s="60">
        <v>6</v>
      </c>
      <c r="U157" s="60">
        <v>2</v>
      </c>
      <c r="V157" s="60">
        <v>6</v>
      </c>
      <c r="W157" s="60">
        <v>3</v>
      </c>
      <c r="X157" s="60">
        <v>3</v>
      </c>
      <c r="Y157" s="60">
        <v>4</v>
      </c>
      <c r="Z157" s="60">
        <v>6</v>
      </c>
    </row>
    <row r="158" spans="1:26">
      <c r="A158" s="60">
        <v>4</v>
      </c>
      <c r="B158" s="60">
        <v>5</v>
      </c>
      <c r="C158" s="60">
        <v>5</v>
      </c>
      <c r="D158" s="60">
        <v>3</v>
      </c>
      <c r="E158" s="60">
        <v>5</v>
      </c>
      <c r="F158" s="60">
        <v>3</v>
      </c>
      <c r="G158" s="60">
        <v>3</v>
      </c>
      <c r="H158" s="60">
        <v>7</v>
      </c>
      <c r="I158" s="60">
        <v>4</v>
      </c>
      <c r="J158" s="60">
        <v>5</v>
      </c>
      <c r="K158" s="60">
        <v>3</v>
      </c>
      <c r="L158" s="60">
        <v>5</v>
      </c>
      <c r="M158" s="60">
        <v>5</v>
      </c>
      <c r="N158" s="60">
        <v>3</v>
      </c>
      <c r="O158" s="60">
        <v>3</v>
      </c>
      <c r="P158" s="60">
        <v>3</v>
      </c>
      <c r="Q158" s="60">
        <v>3</v>
      </c>
      <c r="R158" s="60">
        <v>6</v>
      </c>
      <c r="S158" s="60">
        <v>4</v>
      </c>
      <c r="T158" s="60">
        <v>1</v>
      </c>
      <c r="U158" s="60">
        <v>4</v>
      </c>
      <c r="V158" s="60">
        <v>6</v>
      </c>
      <c r="W158" s="60">
        <v>6</v>
      </c>
      <c r="X158" s="60">
        <v>6</v>
      </c>
      <c r="Y158" s="60">
        <v>6</v>
      </c>
      <c r="Z158" s="60">
        <v>3</v>
      </c>
    </row>
    <row r="159" spans="1:26">
      <c r="A159" s="60">
        <v>3</v>
      </c>
      <c r="B159" s="60">
        <v>4</v>
      </c>
      <c r="C159" s="60">
        <v>5</v>
      </c>
      <c r="D159" s="60">
        <v>6</v>
      </c>
      <c r="E159" s="60">
        <v>5</v>
      </c>
      <c r="F159" s="60">
        <v>3</v>
      </c>
      <c r="G159" s="60">
        <v>2</v>
      </c>
      <c r="H159" s="60">
        <v>3</v>
      </c>
      <c r="I159" s="60">
        <v>5</v>
      </c>
      <c r="J159" s="60">
        <v>4</v>
      </c>
      <c r="K159" s="60">
        <v>3</v>
      </c>
      <c r="L159" s="60">
        <v>6</v>
      </c>
      <c r="M159" s="60">
        <v>3</v>
      </c>
      <c r="N159" s="60">
        <v>6</v>
      </c>
      <c r="O159" s="60">
        <v>5</v>
      </c>
      <c r="P159" s="60">
        <v>5</v>
      </c>
      <c r="Q159" s="60">
        <v>2</v>
      </c>
      <c r="R159" s="60">
        <v>2</v>
      </c>
      <c r="S159" s="60">
        <v>2</v>
      </c>
      <c r="T159" s="60">
        <v>5</v>
      </c>
      <c r="U159" s="60">
        <v>3</v>
      </c>
      <c r="V159" s="60">
        <v>6</v>
      </c>
      <c r="W159" s="60">
        <v>2</v>
      </c>
      <c r="X159" s="60">
        <v>2</v>
      </c>
      <c r="Y159" s="60">
        <v>3</v>
      </c>
      <c r="Z159" s="60">
        <v>4</v>
      </c>
    </row>
    <row r="160" spans="1:26">
      <c r="A160" s="60">
        <v>6</v>
      </c>
      <c r="B160" s="60">
        <v>6</v>
      </c>
      <c r="C160" s="60">
        <v>6</v>
      </c>
      <c r="D160" s="60">
        <v>1</v>
      </c>
      <c r="E160" s="60">
        <v>3</v>
      </c>
      <c r="F160" s="60">
        <v>6</v>
      </c>
      <c r="G160" s="60">
        <v>6</v>
      </c>
      <c r="H160" s="60">
        <v>4</v>
      </c>
      <c r="I160" s="60">
        <v>2</v>
      </c>
      <c r="J160" s="60">
        <v>2</v>
      </c>
      <c r="K160" s="60">
        <v>6</v>
      </c>
      <c r="L160" s="60">
        <v>2</v>
      </c>
      <c r="M160" s="60">
        <v>6</v>
      </c>
      <c r="N160" s="60">
        <v>6</v>
      </c>
      <c r="O160" s="60">
        <v>5</v>
      </c>
      <c r="P160" s="60">
        <v>6</v>
      </c>
      <c r="Q160" s="60">
        <v>2</v>
      </c>
      <c r="R160" s="60">
        <v>2</v>
      </c>
      <c r="S160" s="60">
        <v>2</v>
      </c>
      <c r="T160" s="60">
        <v>6</v>
      </c>
      <c r="U160" s="60">
        <v>3</v>
      </c>
      <c r="V160" s="60">
        <v>6</v>
      </c>
      <c r="W160" s="60">
        <v>2</v>
      </c>
      <c r="X160" s="60">
        <v>2</v>
      </c>
      <c r="Y160" s="60">
        <v>2</v>
      </c>
      <c r="Z160" s="60">
        <v>6</v>
      </c>
    </row>
    <row r="161" spans="1:26">
      <c r="A161" s="60">
        <v>6</v>
      </c>
      <c r="B161" s="60">
        <v>7</v>
      </c>
      <c r="C161" s="60">
        <v>4</v>
      </c>
      <c r="D161" s="60">
        <v>1</v>
      </c>
      <c r="E161" s="60">
        <v>2</v>
      </c>
      <c r="F161" s="60">
        <v>5</v>
      </c>
      <c r="G161" s="60">
        <v>5</v>
      </c>
      <c r="H161" s="60">
        <v>6</v>
      </c>
      <c r="I161" s="60">
        <v>1</v>
      </c>
      <c r="J161" s="60">
        <v>6</v>
      </c>
      <c r="K161" s="60">
        <v>7</v>
      </c>
      <c r="L161" s="60">
        <v>1</v>
      </c>
      <c r="M161" s="60">
        <v>7</v>
      </c>
      <c r="N161" s="60">
        <v>7</v>
      </c>
      <c r="O161" s="60">
        <v>6</v>
      </c>
      <c r="P161" s="60">
        <v>6</v>
      </c>
      <c r="Q161" s="60">
        <v>1</v>
      </c>
      <c r="R161" s="60">
        <v>4</v>
      </c>
      <c r="S161" s="60">
        <v>2</v>
      </c>
      <c r="T161" s="60">
        <v>6</v>
      </c>
      <c r="U161" s="60">
        <v>1</v>
      </c>
      <c r="V161" s="60">
        <v>6</v>
      </c>
      <c r="W161" s="60">
        <v>2</v>
      </c>
      <c r="X161" s="60">
        <v>3</v>
      </c>
      <c r="Y161" s="60">
        <v>2</v>
      </c>
      <c r="Z161" s="60">
        <v>4</v>
      </c>
    </row>
    <row r="162" spans="1:26">
      <c r="A162" s="60">
        <v>2</v>
      </c>
      <c r="B162" s="60">
        <v>4</v>
      </c>
      <c r="C162" s="60">
        <v>6</v>
      </c>
      <c r="D162" s="60">
        <v>5</v>
      </c>
      <c r="E162" s="60">
        <v>4</v>
      </c>
      <c r="F162" s="60">
        <v>2</v>
      </c>
      <c r="G162" s="60">
        <v>2</v>
      </c>
      <c r="H162" s="60">
        <v>6</v>
      </c>
      <c r="I162" s="60">
        <v>5</v>
      </c>
      <c r="J162" s="60">
        <v>4</v>
      </c>
      <c r="K162" s="60">
        <v>3</v>
      </c>
      <c r="L162" s="60">
        <v>5</v>
      </c>
      <c r="M162" s="60">
        <v>2</v>
      </c>
      <c r="N162" s="60">
        <v>2</v>
      </c>
      <c r="O162" s="60">
        <v>3</v>
      </c>
      <c r="P162" s="60">
        <v>4</v>
      </c>
      <c r="Q162" s="60">
        <v>4</v>
      </c>
      <c r="R162" s="60">
        <v>5</v>
      </c>
      <c r="S162" s="60">
        <v>6</v>
      </c>
      <c r="T162" s="60">
        <v>3</v>
      </c>
      <c r="U162" s="60">
        <v>6</v>
      </c>
      <c r="V162" s="60">
        <v>3</v>
      </c>
      <c r="W162" s="60">
        <v>7</v>
      </c>
      <c r="X162" s="60">
        <v>6</v>
      </c>
      <c r="Y162" s="60">
        <v>6</v>
      </c>
      <c r="Z162" s="60">
        <v>6</v>
      </c>
    </row>
    <row r="163" spans="1:26">
      <c r="A163" s="60">
        <v>7</v>
      </c>
      <c r="B163" s="60">
        <v>7</v>
      </c>
      <c r="C163" s="60">
        <v>1</v>
      </c>
      <c r="D163" s="60">
        <v>2</v>
      </c>
      <c r="E163" s="60">
        <v>1</v>
      </c>
      <c r="F163" s="60">
        <v>6</v>
      </c>
      <c r="G163" s="60">
        <v>7</v>
      </c>
      <c r="H163" s="60">
        <v>6</v>
      </c>
      <c r="I163" s="60">
        <v>2</v>
      </c>
      <c r="J163" s="60">
        <v>6</v>
      </c>
      <c r="K163" s="60">
        <v>6</v>
      </c>
      <c r="L163" s="60">
        <v>1</v>
      </c>
      <c r="M163" s="60">
        <v>6</v>
      </c>
      <c r="N163" s="60">
        <v>6</v>
      </c>
      <c r="O163" s="60">
        <v>3</v>
      </c>
      <c r="P163" s="60">
        <v>6</v>
      </c>
      <c r="Q163" s="60">
        <v>1</v>
      </c>
      <c r="R163" s="60">
        <v>2</v>
      </c>
      <c r="S163" s="60">
        <v>2</v>
      </c>
      <c r="T163" s="60">
        <v>7</v>
      </c>
      <c r="U163" s="60">
        <v>1</v>
      </c>
      <c r="V163" s="60">
        <v>6</v>
      </c>
      <c r="W163" s="60">
        <v>1</v>
      </c>
      <c r="X163" s="60">
        <v>1</v>
      </c>
      <c r="Y163" s="60">
        <v>1</v>
      </c>
      <c r="Z163" s="60">
        <v>4</v>
      </c>
    </row>
    <row r="164" spans="1:26">
      <c r="A164" s="60">
        <v>6</v>
      </c>
      <c r="B164" s="60">
        <v>6</v>
      </c>
      <c r="C164" s="60">
        <v>6</v>
      </c>
      <c r="D164" s="60">
        <v>4</v>
      </c>
      <c r="E164" s="60">
        <v>3</v>
      </c>
      <c r="F164" s="60">
        <v>6</v>
      </c>
      <c r="G164" s="60">
        <v>6</v>
      </c>
      <c r="H164" s="60">
        <v>4</v>
      </c>
      <c r="I164" s="60">
        <v>4</v>
      </c>
      <c r="J164" s="60">
        <v>4</v>
      </c>
      <c r="K164" s="60">
        <v>4</v>
      </c>
      <c r="L164" s="60">
        <v>2</v>
      </c>
      <c r="M164" s="60">
        <v>6</v>
      </c>
      <c r="N164" s="60">
        <v>6</v>
      </c>
      <c r="O164" s="60">
        <v>5</v>
      </c>
      <c r="P164" s="60">
        <v>6</v>
      </c>
      <c r="Q164" s="60">
        <v>3</v>
      </c>
      <c r="R164" s="60">
        <v>3</v>
      </c>
      <c r="S164" s="60">
        <v>2</v>
      </c>
      <c r="T164" s="60">
        <v>5</v>
      </c>
      <c r="U164" s="60">
        <v>3</v>
      </c>
      <c r="V164" s="60">
        <v>5</v>
      </c>
      <c r="W164" s="60">
        <v>3</v>
      </c>
      <c r="X164" s="60">
        <v>2</v>
      </c>
      <c r="Y164" s="60">
        <v>2</v>
      </c>
      <c r="Z164" s="60">
        <v>3</v>
      </c>
    </row>
    <row r="165" spans="1:26">
      <c r="A165" s="60">
        <v>7</v>
      </c>
      <c r="B165" s="60">
        <v>6</v>
      </c>
      <c r="C165" s="60">
        <v>1</v>
      </c>
      <c r="D165" s="60">
        <v>2</v>
      </c>
      <c r="E165" s="60">
        <v>1</v>
      </c>
      <c r="F165" s="60">
        <v>7</v>
      </c>
      <c r="G165" s="60">
        <v>7</v>
      </c>
      <c r="H165" s="60">
        <v>4</v>
      </c>
      <c r="I165" s="60">
        <v>2</v>
      </c>
      <c r="J165" s="60">
        <v>1</v>
      </c>
      <c r="K165" s="60">
        <v>7</v>
      </c>
      <c r="L165" s="60">
        <v>1</v>
      </c>
      <c r="M165" s="60">
        <v>6</v>
      </c>
      <c r="N165" s="60">
        <v>7</v>
      </c>
      <c r="O165" s="60">
        <v>6</v>
      </c>
      <c r="P165" s="60">
        <v>7</v>
      </c>
      <c r="Q165" s="60">
        <v>3</v>
      </c>
      <c r="R165" s="60">
        <v>4</v>
      </c>
      <c r="S165" s="60">
        <v>1</v>
      </c>
      <c r="T165" s="60">
        <v>7</v>
      </c>
      <c r="U165" s="60">
        <v>1</v>
      </c>
      <c r="V165" s="60">
        <v>7</v>
      </c>
      <c r="W165" s="60">
        <v>1</v>
      </c>
      <c r="X165" s="60">
        <v>1</v>
      </c>
      <c r="Y165" s="60">
        <v>1</v>
      </c>
      <c r="Z165" s="60">
        <v>7</v>
      </c>
    </row>
    <row r="166" spans="1:26">
      <c r="A166" s="60">
        <v>6</v>
      </c>
      <c r="B166" s="60">
        <v>5</v>
      </c>
      <c r="C166" s="60">
        <v>4</v>
      </c>
      <c r="D166" s="60">
        <v>4</v>
      </c>
      <c r="E166" s="60">
        <v>4</v>
      </c>
      <c r="F166" s="60">
        <v>4</v>
      </c>
      <c r="G166" s="60">
        <v>5</v>
      </c>
      <c r="H166" s="60">
        <v>6</v>
      </c>
      <c r="I166" s="60">
        <v>3</v>
      </c>
      <c r="J166" s="60">
        <v>6</v>
      </c>
      <c r="K166" s="60">
        <v>5</v>
      </c>
      <c r="L166" s="60">
        <v>2</v>
      </c>
      <c r="M166" s="60">
        <v>7</v>
      </c>
      <c r="N166" s="60">
        <v>7</v>
      </c>
      <c r="O166" s="60">
        <v>4</v>
      </c>
      <c r="P166" s="60">
        <v>1</v>
      </c>
      <c r="Q166" s="60">
        <v>4</v>
      </c>
      <c r="R166" s="60">
        <v>4</v>
      </c>
      <c r="S166" s="60">
        <v>4</v>
      </c>
      <c r="T166" s="60">
        <v>3</v>
      </c>
      <c r="U166" s="60">
        <v>4</v>
      </c>
      <c r="V166" s="60">
        <v>4</v>
      </c>
      <c r="W166" s="60">
        <v>4</v>
      </c>
      <c r="X166" s="60">
        <v>1</v>
      </c>
      <c r="Y166" s="60">
        <v>1</v>
      </c>
      <c r="Z166" s="60">
        <v>4</v>
      </c>
    </row>
    <row r="167" spans="1:26">
      <c r="A167" s="60">
        <v>6</v>
      </c>
      <c r="B167" s="60">
        <v>2</v>
      </c>
      <c r="C167" s="60">
        <v>5</v>
      </c>
      <c r="D167" s="60">
        <v>6</v>
      </c>
      <c r="E167" s="60">
        <v>6</v>
      </c>
      <c r="F167" s="60">
        <v>3</v>
      </c>
      <c r="G167" s="60">
        <v>3</v>
      </c>
      <c r="H167" s="60">
        <v>3</v>
      </c>
      <c r="I167" s="60">
        <v>6</v>
      </c>
      <c r="J167" s="60">
        <v>6</v>
      </c>
      <c r="K167" s="60">
        <v>2</v>
      </c>
      <c r="L167" s="60">
        <v>6</v>
      </c>
      <c r="M167" s="60">
        <v>2</v>
      </c>
      <c r="N167" s="60">
        <v>2</v>
      </c>
      <c r="O167" s="60">
        <v>2</v>
      </c>
      <c r="P167" s="60">
        <v>2</v>
      </c>
      <c r="Q167" s="60">
        <v>6</v>
      </c>
      <c r="R167" s="60">
        <v>5</v>
      </c>
      <c r="S167" s="60">
        <v>5</v>
      </c>
      <c r="T167" s="60">
        <v>2</v>
      </c>
      <c r="U167" s="60">
        <v>6</v>
      </c>
      <c r="V167" s="60">
        <v>2</v>
      </c>
      <c r="W167" s="60">
        <v>6</v>
      </c>
      <c r="X167" s="60">
        <v>6</v>
      </c>
      <c r="Y167" s="60">
        <v>6</v>
      </c>
      <c r="Z167" s="60">
        <v>3</v>
      </c>
    </row>
    <row r="168" spans="1:26">
      <c r="A168" s="60">
        <v>5</v>
      </c>
      <c r="B168" s="60">
        <v>4</v>
      </c>
      <c r="C168" s="60">
        <v>4</v>
      </c>
      <c r="D168" s="60">
        <v>5</v>
      </c>
      <c r="E168" s="60">
        <v>4</v>
      </c>
      <c r="F168" s="60">
        <v>5</v>
      </c>
      <c r="G168" s="60">
        <v>5</v>
      </c>
      <c r="H168" s="60">
        <v>4</v>
      </c>
      <c r="I168" s="60">
        <v>2</v>
      </c>
      <c r="J168" s="60">
        <v>2</v>
      </c>
      <c r="K168" s="60">
        <v>4</v>
      </c>
      <c r="L168" s="60">
        <v>4</v>
      </c>
      <c r="M168" s="60">
        <v>5</v>
      </c>
      <c r="N168" s="60">
        <v>5</v>
      </c>
      <c r="O168" s="60">
        <v>4</v>
      </c>
      <c r="P168" s="60">
        <v>4</v>
      </c>
      <c r="Q168" s="60">
        <v>3</v>
      </c>
      <c r="R168" s="60">
        <v>4</v>
      </c>
      <c r="S168" s="60">
        <v>2</v>
      </c>
      <c r="T168" s="60">
        <v>6</v>
      </c>
      <c r="U168" s="60">
        <v>3</v>
      </c>
      <c r="V168" s="60">
        <v>6</v>
      </c>
      <c r="W168" s="60">
        <v>4</v>
      </c>
      <c r="X168" s="60">
        <v>3</v>
      </c>
      <c r="Y168" s="60">
        <v>3</v>
      </c>
      <c r="Z168" s="60">
        <v>4</v>
      </c>
    </row>
    <row r="169" spans="1:26">
      <c r="A169" s="60">
        <v>7</v>
      </c>
      <c r="B169" s="60">
        <v>7</v>
      </c>
      <c r="C169" s="60">
        <v>1</v>
      </c>
      <c r="D169" s="60">
        <v>3</v>
      </c>
      <c r="E169" s="60">
        <v>3</v>
      </c>
      <c r="F169" s="60">
        <v>7</v>
      </c>
      <c r="G169" s="60">
        <v>7</v>
      </c>
      <c r="H169" s="60">
        <v>5</v>
      </c>
      <c r="I169" s="60">
        <v>3</v>
      </c>
      <c r="J169" s="60">
        <v>4</v>
      </c>
      <c r="K169" s="60">
        <v>4</v>
      </c>
      <c r="L169" s="60">
        <v>3</v>
      </c>
      <c r="M169" s="60">
        <v>6</v>
      </c>
      <c r="N169" s="60">
        <v>5</v>
      </c>
      <c r="O169" s="60">
        <v>4</v>
      </c>
      <c r="P169" s="60">
        <v>7</v>
      </c>
      <c r="Q169" s="60">
        <v>1</v>
      </c>
      <c r="R169" s="60">
        <v>2</v>
      </c>
      <c r="S169" s="60">
        <v>2</v>
      </c>
      <c r="T169" s="60">
        <v>6</v>
      </c>
      <c r="U169" s="60">
        <v>3</v>
      </c>
      <c r="V169" s="60">
        <v>6</v>
      </c>
      <c r="W169" s="60">
        <v>3</v>
      </c>
      <c r="X169" s="60">
        <v>3</v>
      </c>
      <c r="Y169" s="60">
        <v>2</v>
      </c>
      <c r="Z169" s="60">
        <v>5</v>
      </c>
    </row>
    <row r="170" spans="1:26">
      <c r="A170" s="60">
        <v>1</v>
      </c>
      <c r="B170" s="60">
        <v>1</v>
      </c>
      <c r="C170" s="60">
        <v>1</v>
      </c>
      <c r="D170" s="60">
        <v>1</v>
      </c>
      <c r="E170" s="60">
        <v>1</v>
      </c>
      <c r="F170" s="60">
        <v>6</v>
      </c>
      <c r="G170" s="60">
        <v>7</v>
      </c>
      <c r="H170" s="60">
        <v>3</v>
      </c>
      <c r="I170" s="60">
        <v>1</v>
      </c>
      <c r="J170" s="60">
        <v>1</v>
      </c>
      <c r="K170" s="60">
        <v>7</v>
      </c>
      <c r="L170" s="60">
        <v>1</v>
      </c>
      <c r="M170" s="60">
        <v>5</v>
      </c>
      <c r="N170" s="60">
        <v>7</v>
      </c>
      <c r="O170" s="60">
        <v>7</v>
      </c>
      <c r="P170" s="60">
        <v>7</v>
      </c>
      <c r="Q170" s="60">
        <v>1</v>
      </c>
      <c r="R170" s="60">
        <v>2</v>
      </c>
      <c r="S170" s="60">
        <v>1</v>
      </c>
      <c r="T170" s="60">
        <v>7</v>
      </c>
      <c r="U170" s="60">
        <v>1</v>
      </c>
      <c r="V170" s="60">
        <v>7</v>
      </c>
      <c r="W170" s="60">
        <v>1</v>
      </c>
      <c r="X170" s="60">
        <v>1</v>
      </c>
      <c r="Y170" s="60">
        <v>1</v>
      </c>
      <c r="Z170" s="60">
        <v>6</v>
      </c>
    </row>
    <row r="171" spans="1:26">
      <c r="A171" s="60">
        <v>3</v>
      </c>
      <c r="B171" s="60">
        <v>7</v>
      </c>
      <c r="C171" s="60">
        <v>5</v>
      </c>
      <c r="D171" s="60">
        <v>1</v>
      </c>
      <c r="E171" s="60">
        <v>3</v>
      </c>
      <c r="F171" s="60">
        <v>4</v>
      </c>
      <c r="G171" s="60">
        <v>4</v>
      </c>
      <c r="H171" s="60">
        <v>4</v>
      </c>
      <c r="I171" s="60">
        <v>6</v>
      </c>
      <c r="J171" s="60">
        <v>4</v>
      </c>
      <c r="K171" s="60">
        <v>4</v>
      </c>
      <c r="L171" s="60">
        <v>3</v>
      </c>
      <c r="M171" s="60">
        <v>3</v>
      </c>
      <c r="N171" s="60">
        <v>4</v>
      </c>
      <c r="O171" s="60">
        <v>1</v>
      </c>
      <c r="P171" s="60">
        <v>7</v>
      </c>
      <c r="Q171" s="60">
        <v>4</v>
      </c>
      <c r="R171" s="60">
        <v>3</v>
      </c>
      <c r="S171" s="60">
        <v>5</v>
      </c>
      <c r="T171" s="60">
        <v>5</v>
      </c>
      <c r="U171" s="60">
        <v>4</v>
      </c>
      <c r="V171" s="60">
        <v>5</v>
      </c>
      <c r="W171" s="60">
        <v>3</v>
      </c>
      <c r="X171" s="60">
        <v>3</v>
      </c>
      <c r="Y171" s="60">
        <v>4</v>
      </c>
      <c r="Z171" s="60">
        <v>4</v>
      </c>
    </row>
    <row r="172" spans="1:26">
      <c r="A172" s="60">
        <v>5</v>
      </c>
      <c r="B172" s="60">
        <v>5</v>
      </c>
      <c r="C172" s="60">
        <v>3</v>
      </c>
      <c r="D172" s="60">
        <v>3</v>
      </c>
      <c r="E172" s="60">
        <v>3</v>
      </c>
      <c r="F172" s="60">
        <v>5</v>
      </c>
      <c r="G172" s="60">
        <v>5</v>
      </c>
      <c r="H172" s="60">
        <v>4</v>
      </c>
      <c r="I172" s="60">
        <v>3</v>
      </c>
      <c r="J172" s="60">
        <v>3</v>
      </c>
      <c r="K172" s="60">
        <v>5</v>
      </c>
      <c r="L172" s="60">
        <v>4</v>
      </c>
      <c r="M172" s="60">
        <v>5</v>
      </c>
      <c r="N172" s="60">
        <v>5</v>
      </c>
      <c r="O172" s="60">
        <v>5</v>
      </c>
      <c r="P172" s="60">
        <v>5</v>
      </c>
      <c r="Q172" s="60">
        <v>4</v>
      </c>
      <c r="R172" s="60">
        <v>4</v>
      </c>
      <c r="S172" s="60">
        <v>2</v>
      </c>
      <c r="T172" s="60">
        <v>5</v>
      </c>
      <c r="U172" s="60">
        <v>3</v>
      </c>
      <c r="V172" s="60">
        <v>5</v>
      </c>
      <c r="W172" s="60">
        <v>3</v>
      </c>
      <c r="X172" s="60">
        <v>4</v>
      </c>
      <c r="Y172" s="60">
        <v>4</v>
      </c>
      <c r="Z172" s="60">
        <v>5</v>
      </c>
    </row>
    <row r="173" spans="1:26">
      <c r="A173" s="60">
        <v>6</v>
      </c>
      <c r="B173" s="60">
        <v>6</v>
      </c>
      <c r="C173" s="60">
        <v>3</v>
      </c>
      <c r="D173" s="60">
        <v>2</v>
      </c>
      <c r="E173" s="60">
        <v>2</v>
      </c>
      <c r="F173" s="60">
        <v>4</v>
      </c>
      <c r="G173" s="60">
        <v>6</v>
      </c>
      <c r="H173" s="60">
        <v>3</v>
      </c>
      <c r="I173" s="60">
        <v>1</v>
      </c>
      <c r="J173" s="60">
        <v>3</v>
      </c>
      <c r="K173" s="60">
        <v>6</v>
      </c>
      <c r="L173" s="60">
        <v>1</v>
      </c>
      <c r="M173" s="60">
        <v>6</v>
      </c>
      <c r="N173" s="60">
        <v>5</v>
      </c>
      <c r="O173" s="60">
        <v>4</v>
      </c>
      <c r="P173" s="60">
        <v>6</v>
      </c>
      <c r="Q173" s="60">
        <v>1</v>
      </c>
      <c r="R173" s="60">
        <v>4</v>
      </c>
      <c r="S173" s="60">
        <v>1</v>
      </c>
      <c r="T173" s="60">
        <v>7</v>
      </c>
      <c r="U173" s="60">
        <v>1</v>
      </c>
      <c r="V173" s="60">
        <v>6</v>
      </c>
      <c r="W173" s="60">
        <v>1</v>
      </c>
      <c r="X173" s="60">
        <v>3</v>
      </c>
      <c r="Y173" s="60">
        <v>2</v>
      </c>
      <c r="Z173" s="60">
        <v>5</v>
      </c>
    </row>
    <row r="174" spans="1:26">
      <c r="A174" s="60">
        <v>5</v>
      </c>
      <c r="B174" s="60">
        <v>7</v>
      </c>
      <c r="C174" s="60">
        <v>4</v>
      </c>
      <c r="D174" s="60">
        <v>2</v>
      </c>
      <c r="E174" s="60">
        <v>4</v>
      </c>
      <c r="F174" s="60">
        <v>3</v>
      </c>
      <c r="G174" s="60">
        <v>3</v>
      </c>
      <c r="H174" s="60">
        <v>6</v>
      </c>
      <c r="I174" s="60">
        <v>4</v>
      </c>
      <c r="J174" s="60">
        <v>6</v>
      </c>
      <c r="K174" s="60">
        <v>4</v>
      </c>
      <c r="L174" s="60">
        <v>4</v>
      </c>
      <c r="M174" s="60">
        <v>6</v>
      </c>
      <c r="N174" s="60">
        <v>6</v>
      </c>
      <c r="O174" s="60">
        <v>4</v>
      </c>
      <c r="P174" s="60">
        <v>5</v>
      </c>
      <c r="Q174" s="60">
        <v>2</v>
      </c>
      <c r="R174" s="60">
        <v>4</v>
      </c>
      <c r="S174" s="60">
        <v>3</v>
      </c>
      <c r="T174" s="60">
        <v>4</v>
      </c>
      <c r="U174" s="60">
        <v>2</v>
      </c>
      <c r="V174" s="60">
        <v>6</v>
      </c>
      <c r="W174" s="60">
        <v>6</v>
      </c>
      <c r="X174" s="60">
        <v>4</v>
      </c>
      <c r="Y174" s="60">
        <v>4</v>
      </c>
      <c r="Z174" s="60">
        <v>4</v>
      </c>
    </row>
    <row r="175" spans="1:26">
      <c r="A175" s="60">
        <v>6</v>
      </c>
      <c r="B175" s="60">
        <v>7</v>
      </c>
      <c r="C175" s="60">
        <v>2</v>
      </c>
      <c r="D175" s="60">
        <v>2</v>
      </c>
      <c r="E175" s="60">
        <v>2</v>
      </c>
      <c r="F175" s="60">
        <v>4</v>
      </c>
      <c r="G175" s="60">
        <v>5</v>
      </c>
      <c r="H175" s="60">
        <v>4</v>
      </c>
      <c r="I175" s="60">
        <v>2</v>
      </c>
      <c r="J175" s="60">
        <v>2</v>
      </c>
      <c r="K175" s="60">
        <v>5</v>
      </c>
      <c r="L175" s="60">
        <v>3</v>
      </c>
      <c r="M175" s="60">
        <v>6</v>
      </c>
      <c r="N175" s="60">
        <v>5</v>
      </c>
      <c r="O175" s="60">
        <v>6</v>
      </c>
      <c r="P175" s="60">
        <v>5</v>
      </c>
      <c r="Q175" s="60">
        <v>3</v>
      </c>
      <c r="R175" s="60">
        <v>4</v>
      </c>
      <c r="S175" s="60">
        <v>1</v>
      </c>
      <c r="T175" s="60">
        <v>7</v>
      </c>
      <c r="U175" s="60">
        <v>2</v>
      </c>
      <c r="V175" s="60">
        <v>6</v>
      </c>
      <c r="W175" s="60">
        <v>3</v>
      </c>
      <c r="X175" s="60">
        <v>3</v>
      </c>
      <c r="Y175" s="60">
        <v>3</v>
      </c>
      <c r="Z175" s="60">
        <v>6</v>
      </c>
    </row>
    <row r="176" spans="1:26">
      <c r="A176" s="60">
        <v>4</v>
      </c>
      <c r="B176" s="60">
        <v>4</v>
      </c>
      <c r="C176" s="60">
        <v>4</v>
      </c>
      <c r="D176" s="60">
        <v>2</v>
      </c>
      <c r="E176" s="60">
        <v>3</v>
      </c>
      <c r="F176" s="60">
        <v>4</v>
      </c>
      <c r="G176" s="60">
        <v>4</v>
      </c>
      <c r="H176" s="60">
        <v>4</v>
      </c>
      <c r="I176" s="60">
        <v>3</v>
      </c>
      <c r="J176" s="60">
        <v>3</v>
      </c>
      <c r="K176" s="60">
        <v>4</v>
      </c>
      <c r="L176" s="60">
        <v>4</v>
      </c>
      <c r="M176" s="60">
        <v>5</v>
      </c>
      <c r="N176" s="60">
        <v>4</v>
      </c>
      <c r="O176" s="60">
        <v>5</v>
      </c>
      <c r="P176" s="60">
        <v>5</v>
      </c>
      <c r="Q176" s="60">
        <v>4</v>
      </c>
      <c r="R176" s="60">
        <v>4</v>
      </c>
      <c r="S176" s="60">
        <v>2</v>
      </c>
      <c r="T176" s="60">
        <v>5</v>
      </c>
      <c r="U176" s="60">
        <v>3</v>
      </c>
      <c r="V176" s="60">
        <v>5</v>
      </c>
      <c r="W176" s="60">
        <v>4</v>
      </c>
      <c r="X176" s="60">
        <v>5</v>
      </c>
      <c r="Y176" s="60">
        <v>3</v>
      </c>
      <c r="Z176" s="60">
        <v>5</v>
      </c>
    </row>
    <row r="177" spans="1:26">
      <c r="A177" s="60">
        <v>2</v>
      </c>
      <c r="B177" s="60">
        <v>2</v>
      </c>
      <c r="C177" s="60">
        <v>7</v>
      </c>
      <c r="D177" s="60">
        <v>5</v>
      </c>
      <c r="E177" s="60">
        <v>5</v>
      </c>
      <c r="F177" s="60">
        <v>2</v>
      </c>
      <c r="G177" s="60">
        <v>2</v>
      </c>
      <c r="H177" s="60">
        <v>4</v>
      </c>
      <c r="I177" s="60">
        <v>3</v>
      </c>
      <c r="J177" s="60">
        <v>6</v>
      </c>
      <c r="K177" s="60">
        <v>2</v>
      </c>
      <c r="L177" s="60">
        <v>6</v>
      </c>
      <c r="M177" s="60">
        <v>4</v>
      </c>
      <c r="N177" s="60">
        <v>1</v>
      </c>
      <c r="O177" s="60">
        <v>2</v>
      </c>
      <c r="P177" s="60">
        <v>2</v>
      </c>
      <c r="Q177" s="60">
        <v>4</v>
      </c>
      <c r="R177" s="60">
        <v>6</v>
      </c>
      <c r="S177" s="60">
        <v>6</v>
      </c>
      <c r="T177" s="60">
        <v>2</v>
      </c>
      <c r="U177" s="60">
        <v>6</v>
      </c>
      <c r="V177" s="60">
        <v>3</v>
      </c>
      <c r="W177" s="60">
        <v>3</v>
      </c>
      <c r="X177" s="60">
        <v>5</v>
      </c>
      <c r="Y177" s="60">
        <v>5</v>
      </c>
      <c r="Z177" s="60">
        <v>2</v>
      </c>
    </row>
    <row r="178" spans="1:26">
      <c r="A178" s="60">
        <v>6</v>
      </c>
      <c r="B178" s="60">
        <v>6</v>
      </c>
      <c r="C178" s="60">
        <v>3</v>
      </c>
      <c r="D178" s="60">
        <v>2</v>
      </c>
      <c r="E178" s="60">
        <v>3</v>
      </c>
      <c r="F178" s="60">
        <v>5</v>
      </c>
      <c r="G178" s="60">
        <v>6</v>
      </c>
      <c r="H178" s="60">
        <v>4</v>
      </c>
      <c r="I178" s="60">
        <v>3</v>
      </c>
      <c r="J178" s="60">
        <v>3</v>
      </c>
      <c r="K178" s="60">
        <v>5</v>
      </c>
      <c r="L178" s="60">
        <v>3</v>
      </c>
      <c r="M178" s="60">
        <v>6</v>
      </c>
      <c r="N178" s="60">
        <v>5</v>
      </c>
      <c r="O178" s="60">
        <v>5</v>
      </c>
      <c r="P178" s="60">
        <v>5</v>
      </c>
      <c r="Q178" s="60">
        <v>3</v>
      </c>
      <c r="R178" s="60">
        <v>4</v>
      </c>
      <c r="S178" s="60">
        <v>2</v>
      </c>
      <c r="T178" s="60">
        <v>4</v>
      </c>
      <c r="U178" s="60">
        <v>2</v>
      </c>
      <c r="V178" s="60">
        <v>5</v>
      </c>
      <c r="W178" s="60">
        <v>3</v>
      </c>
      <c r="X178" s="60">
        <v>2</v>
      </c>
      <c r="Y178" s="60">
        <v>1</v>
      </c>
      <c r="Z178" s="60">
        <v>5</v>
      </c>
    </row>
    <row r="179" spans="1:26">
      <c r="A179" s="60">
        <v>6</v>
      </c>
      <c r="B179" s="60">
        <v>5</v>
      </c>
      <c r="C179" s="60">
        <v>5</v>
      </c>
      <c r="D179" s="60">
        <v>2</v>
      </c>
      <c r="E179" s="60">
        <v>2</v>
      </c>
      <c r="F179" s="60">
        <v>6</v>
      </c>
      <c r="G179" s="60">
        <v>6</v>
      </c>
      <c r="H179" s="60">
        <v>3</v>
      </c>
      <c r="I179" s="60">
        <v>2</v>
      </c>
      <c r="J179" s="60">
        <v>2</v>
      </c>
      <c r="K179" s="60">
        <v>5</v>
      </c>
      <c r="L179" s="60">
        <v>2</v>
      </c>
      <c r="M179" s="60">
        <v>6</v>
      </c>
      <c r="N179" s="60">
        <v>6</v>
      </c>
      <c r="O179" s="60">
        <v>6</v>
      </c>
      <c r="P179" s="60">
        <v>6</v>
      </c>
      <c r="Q179" s="60">
        <v>3</v>
      </c>
      <c r="R179" s="60">
        <v>3</v>
      </c>
      <c r="S179" s="60">
        <v>2</v>
      </c>
      <c r="T179" s="60">
        <v>6</v>
      </c>
      <c r="U179" s="60">
        <v>2</v>
      </c>
      <c r="V179" s="60">
        <v>6</v>
      </c>
      <c r="W179" s="60">
        <v>3</v>
      </c>
      <c r="X179" s="60">
        <v>3</v>
      </c>
      <c r="Y179" s="60">
        <v>2</v>
      </c>
      <c r="Z179" s="60">
        <v>6</v>
      </c>
    </row>
    <row r="180" spans="1:26">
      <c r="A180" s="60">
        <v>6</v>
      </c>
      <c r="B180" s="60">
        <v>7</v>
      </c>
      <c r="C180" s="60">
        <v>3</v>
      </c>
      <c r="D180" s="60">
        <v>1</v>
      </c>
      <c r="E180" s="60">
        <v>1</v>
      </c>
      <c r="F180" s="60">
        <v>5</v>
      </c>
      <c r="G180" s="60">
        <v>5</v>
      </c>
      <c r="H180" s="60">
        <v>4</v>
      </c>
      <c r="I180" s="60">
        <v>4</v>
      </c>
      <c r="J180" s="60">
        <v>3</v>
      </c>
      <c r="K180" s="60">
        <v>4</v>
      </c>
      <c r="L180" s="60">
        <v>4</v>
      </c>
      <c r="M180" s="60">
        <v>7</v>
      </c>
      <c r="N180" s="60">
        <v>5</v>
      </c>
      <c r="O180" s="60">
        <v>5</v>
      </c>
      <c r="P180" s="60">
        <v>6</v>
      </c>
      <c r="Q180" s="60">
        <v>4</v>
      </c>
      <c r="R180" s="60">
        <v>4</v>
      </c>
      <c r="S180" s="60">
        <v>2</v>
      </c>
      <c r="T180" s="60">
        <v>5</v>
      </c>
      <c r="U180" s="60">
        <v>1</v>
      </c>
      <c r="V180" s="60">
        <v>6</v>
      </c>
      <c r="W180" s="60">
        <v>4</v>
      </c>
      <c r="X180" s="60">
        <v>4</v>
      </c>
      <c r="Y180" s="60">
        <v>3</v>
      </c>
      <c r="Z180" s="60">
        <v>5</v>
      </c>
    </row>
    <row r="181" spans="1:26">
      <c r="A181" s="60">
        <v>6</v>
      </c>
      <c r="B181" s="60">
        <v>7</v>
      </c>
      <c r="C181" s="60">
        <v>2</v>
      </c>
      <c r="D181" s="60">
        <v>1</v>
      </c>
      <c r="E181" s="60">
        <v>2</v>
      </c>
      <c r="F181" s="60">
        <v>5</v>
      </c>
      <c r="G181" s="60">
        <v>5</v>
      </c>
      <c r="H181" s="60">
        <v>5</v>
      </c>
      <c r="I181" s="60">
        <v>5</v>
      </c>
      <c r="J181" s="60">
        <v>4</v>
      </c>
      <c r="K181" s="60">
        <v>4</v>
      </c>
      <c r="L181" s="60">
        <v>2</v>
      </c>
      <c r="M181" s="60">
        <v>4</v>
      </c>
      <c r="N181" s="60">
        <v>4</v>
      </c>
      <c r="O181" s="60">
        <v>5</v>
      </c>
      <c r="P181" s="60">
        <v>2</v>
      </c>
      <c r="Q181" s="60">
        <v>3</v>
      </c>
      <c r="R181" s="60">
        <v>4</v>
      </c>
      <c r="S181" s="60">
        <v>2</v>
      </c>
      <c r="T181" s="60">
        <v>6</v>
      </c>
      <c r="U181" s="60">
        <v>4</v>
      </c>
      <c r="V181" s="60">
        <v>6</v>
      </c>
      <c r="W181" s="60">
        <v>5</v>
      </c>
      <c r="X181" s="60">
        <v>4</v>
      </c>
      <c r="Y181" s="60">
        <v>4</v>
      </c>
      <c r="Z181" s="60">
        <v>5</v>
      </c>
    </row>
    <row r="182" spans="1:26">
      <c r="A182" s="60">
        <v>7</v>
      </c>
      <c r="B182" s="60">
        <v>7</v>
      </c>
      <c r="C182" s="60">
        <v>4</v>
      </c>
      <c r="D182" s="60">
        <v>1</v>
      </c>
      <c r="E182" s="60">
        <v>1</v>
      </c>
      <c r="F182" s="60">
        <v>5</v>
      </c>
      <c r="G182" s="60">
        <v>6</v>
      </c>
      <c r="H182" s="60">
        <v>6</v>
      </c>
      <c r="I182" s="60">
        <v>1</v>
      </c>
      <c r="J182" s="60">
        <v>3</v>
      </c>
      <c r="K182" s="60">
        <v>6</v>
      </c>
      <c r="L182" s="60">
        <v>1</v>
      </c>
      <c r="M182" s="60">
        <v>7</v>
      </c>
      <c r="N182" s="60">
        <v>7</v>
      </c>
      <c r="O182" s="60">
        <v>5</v>
      </c>
      <c r="P182" s="60">
        <v>6</v>
      </c>
      <c r="Q182" s="60">
        <v>1</v>
      </c>
      <c r="R182" s="60">
        <v>2</v>
      </c>
      <c r="S182" s="60">
        <v>1</v>
      </c>
      <c r="T182" s="60">
        <v>7</v>
      </c>
      <c r="U182" s="60">
        <v>1</v>
      </c>
      <c r="V182" s="60">
        <v>7</v>
      </c>
      <c r="W182" s="60">
        <v>1</v>
      </c>
      <c r="X182" s="60">
        <v>3</v>
      </c>
      <c r="Y182" s="60">
        <v>3</v>
      </c>
      <c r="Z182" s="60">
        <v>4</v>
      </c>
    </row>
    <row r="183" spans="1:26">
      <c r="A183" s="60">
        <v>6</v>
      </c>
      <c r="B183" s="60">
        <v>5</v>
      </c>
      <c r="C183" s="60">
        <v>3</v>
      </c>
      <c r="D183" s="60">
        <v>3</v>
      </c>
      <c r="E183" s="60">
        <v>2</v>
      </c>
      <c r="F183" s="60">
        <v>4</v>
      </c>
      <c r="G183" s="60">
        <v>5</v>
      </c>
      <c r="H183" s="60">
        <v>6</v>
      </c>
      <c r="I183" s="60">
        <v>2</v>
      </c>
      <c r="J183" s="60">
        <v>3</v>
      </c>
      <c r="K183" s="60">
        <v>4</v>
      </c>
      <c r="L183" s="60">
        <v>3</v>
      </c>
      <c r="M183" s="60">
        <v>4</v>
      </c>
      <c r="N183" s="60">
        <v>5</v>
      </c>
      <c r="O183" s="60">
        <v>2</v>
      </c>
      <c r="P183" s="60">
        <v>5</v>
      </c>
      <c r="Q183" s="60">
        <v>4</v>
      </c>
      <c r="R183" s="60">
        <v>4</v>
      </c>
      <c r="S183" s="60">
        <v>3</v>
      </c>
      <c r="T183" s="60">
        <v>5</v>
      </c>
      <c r="U183" s="60">
        <v>3</v>
      </c>
      <c r="V183" s="60">
        <v>6</v>
      </c>
      <c r="W183" s="60">
        <v>5</v>
      </c>
      <c r="X183" s="60">
        <v>5</v>
      </c>
      <c r="Y183" s="60">
        <v>5</v>
      </c>
      <c r="Z183" s="60">
        <v>4</v>
      </c>
    </row>
    <row r="184" spans="1:26">
      <c r="A184" s="60">
        <v>5</v>
      </c>
      <c r="B184" s="60">
        <v>6</v>
      </c>
      <c r="C184" s="60">
        <v>4</v>
      </c>
      <c r="D184" s="60">
        <v>1</v>
      </c>
      <c r="E184" s="60">
        <v>2</v>
      </c>
      <c r="F184" s="60">
        <v>4</v>
      </c>
      <c r="G184" s="60">
        <v>4</v>
      </c>
      <c r="H184" s="60">
        <v>6</v>
      </c>
      <c r="I184" s="60">
        <v>3</v>
      </c>
      <c r="J184" s="60">
        <v>4</v>
      </c>
      <c r="K184" s="60">
        <v>5</v>
      </c>
      <c r="L184" s="60">
        <v>2</v>
      </c>
      <c r="M184" s="60">
        <v>7</v>
      </c>
      <c r="N184" s="60">
        <v>6</v>
      </c>
      <c r="O184" s="60">
        <v>4</v>
      </c>
      <c r="P184" s="60">
        <v>6</v>
      </c>
      <c r="Q184" s="60">
        <v>1</v>
      </c>
      <c r="R184" s="60">
        <v>4</v>
      </c>
      <c r="S184" s="60">
        <v>2</v>
      </c>
      <c r="T184" s="60">
        <v>5</v>
      </c>
      <c r="U184" s="60">
        <v>3</v>
      </c>
      <c r="V184" s="60">
        <v>6</v>
      </c>
      <c r="W184" s="60">
        <v>2</v>
      </c>
      <c r="X184" s="60">
        <v>4</v>
      </c>
      <c r="Y184" s="60">
        <v>3</v>
      </c>
      <c r="Z184" s="60">
        <v>4</v>
      </c>
    </row>
    <row r="185" spans="1:26">
      <c r="A185" s="60">
        <v>7</v>
      </c>
      <c r="B185" s="60">
        <v>7</v>
      </c>
      <c r="C185" s="60">
        <v>1</v>
      </c>
      <c r="D185" s="60">
        <v>1</v>
      </c>
      <c r="E185" s="60">
        <v>1</v>
      </c>
      <c r="F185" s="60">
        <v>6</v>
      </c>
      <c r="G185" s="60">
        <v>6</v>
      </c>
      <c r="H185" s="60">
        <v>6</v>
      </c>
      <c r="I185" s="60">
        <v>2</v>
      </c>
      <c r="J185" s="60">
        <v>2</v>
      </c>
      <c r="K185" s="60">
        <v>6</v>
      </c>
      <c r="L185" s="60">
        <v>1</v>
      </c>
      <c r="M185" s="60">
        <v>7</v>
      </c>
      <c r="N185" s="60">
        <v>7</v>
      </c>
      <c r="O185" s="60">
        <v>6</v>
      </c>
      <c r="P185" s="60">
        <v>7</v>
      </c>
      <c r="Q185" s="60">
        <v>1</v>
      </c>
      <c r="R185" s="60">
        <v>2</v>
      </c>
      <c r="S185" s="60">
        <v>2</v>
      </c>
      <c r="T185" s="60">
        <v>6</v>
      </c>
      <c r="U185" s="60">
        <v>2</v>
      </c>
      <c r="V185" s="60">
        <v>6</v>
      </c>
      <c r="W185" s="60">
        <v>2</v>
      </c>
      <c r="X185" s="60">
        <v>2</v>
      </c>
      <c r="Y185" s="60">
        <v>2</v>
      </c>
      <c r="Z185" s="60">
        <v>5</v>
      </c>
    </row>
    <row r="186" spans="1:26">
      <c r="A186" s="60">
        <v>7</v>
      </c>
      <c r="B186" s="60">
        <v>7</v>
      </c>
      <c r="C186" s="60">
        <v>1</v>
      </c>
      <c r="D186" s="60">
        <v>3</v>
      </c>
      <c r="E186" s="60">
        <v>4</v>
      </c>
      <c r="F186" s="60">
        <v>5</v>
      </c>
      <c r="G186" s="60">
        <v>4</v>
      </c>
      <c r="H186" s="60">
        <v>7</v>
      </c>
      <c r="I186" s="60">
        <v>5</v>
      </c>
      <c r="J186" s="60">
        <v>4</v>
      </c>
      <c r="K186" s="60">
        <v>5</v>
      </c>
      <c r="L186" s="60">
        <v>1</v>
      </c>
      <c r="M186" s="60">
        <v>5</v>
      </c>
      <c r="N186" s="60">
        <v>4</v>
      </c>
      <c r="O186" s="60">
        <v>4</v>
      </c>
      <c r="P186" s="60">
        <v>4</v>
      </c>
      <c r="Q186" s="60">
        <v>5</v>
      </c>
      <c r="R186" s="60">
        <v>3</v>
      </c>
      <c r="S186" s="60">
        <v>3</v>
      </c>
      <c r="T186" s="60">
        <v>4</v>
      </c>
      <c r="U186" s="60">
        <v>4</v>
      </c>
      <c r="V186" s="60">
        <v>4</v>
      </c>
      <c r="W186" s="60">
        <v>4</v>
      </c>
      <c r="X186" s="60">
        <v>1</v>
      </c>
      <c r="Y186" s="60">
        <v>1</v>
      </c>
      <c r="Z186" s="60">
        <v>1</v>
      </c>
    </row>
    <row r="187" spans="1:26">
      <c r="A187" s="60">
        <v>6</v>
      </c>
      <c r="B187" s="60">
        <v>6</v>
      </c>
      <c r="C187" s="60">
        <v>3</v>
      </c>
      <c r="D187" s="60">
        <v>1</v>
      </c>
      <c r="E187" s="60">
        <v>1</v>
      </c>
      <c r="F187" s="60">
        <v>5</v>
      </c>
      <c r="G187" s="60">
        <v>6</v>
      </c>
      <c r="H187" s="60">
        <v>7</v>
      </c>
      <c r="I187" s="60">
        <v>2</v>
      </c>
      <c r="J187" s="60">
        <v>7</v>
      </c>
      <c r="K187" s="60">
        <v>4</v>
      </c>
      <c r="L187" s="60">
        <v>3</v>
      </c>
      <c r="M187" s="60">
        <v>5</v>
      </c>
      <c r="N187" s="60">
        <v>5</v>
      </c>
      <c r="O187" s="60">
        <v>2</v>
      </c>
      <c r="P187" s="60">
        <v>5</v>
      </c>
      <c r="Q187" s="60">
        <v>1</v>
      </c>
      <c r="R187" s="60">
        <v>3</v>
      </c>
      <c r="S187" s="60">
        <v>2</v>
      </c>
      <c r="T187" s="60">
        <v>6</v>
      </c>
      <c r="U187" s="60">
        <v>1</v>
      </c>
      <c r="V187" s="60">
        <v>7</v>
      </c>
      <c r="W187" s="60">
        <v>1</v>
      </c>
      <c r="X187" s="60">
        <v>3</v>
      </c>
      <c r="Y187" s="60">
        <v>4</v>
      </c>
      <c r="Z187" s="60">
        <v>5</v>
      </c>
    </row>
    <row r="188" spans="1:26">
      <c r="A188" s="60">
        <v>7</v>
      </c>
      <c r="B188" s="60">
        <v>7</v>
      </c>
      <c r="C188" s="60">
        <v>2</v>
      </c>
      <c r="D188" s="60">
        <v>2</v>
      </c>
      <c r="E188" s="60">
        <v>2</v>
      </c>
      <c r="F188" s="60">
        <v>6</v>
      </c>
      <c r="G188" s="60">
        <v>6</v>
      </c>
      <c r="H188" s="60">
        <v>6</v>
      </c>
      <c r="I188" s="60">
        <v>2</v>
      </c>
      <c r="J188" s="60">
        <v>2</v>
      </c>
      <c r="K188" s="60">
        <v>6</v>
      </c>
      <c r="L188" s="60">
        <v>2</v>
      </c>
      <c r="M188" s="60">
        <v>6</v>
      </c>
      <c r="N188" s="60">
        <v>6</v>
      </c>
      <c r="O188" s="60">
        <v>6</v>
      </c>
      <c r="P188" s="60">
        <v>6</v>
      </c>
      <c r="Q188" s="60">
        <v>1</v>
      </c>
      <c r="R188" s="60">
        <v>2</v>
      </c>
      <c r="S188" s="60">
        <v>2</v>
      </c>
      <c r="T188" s="60">
        <v>6</v>
      </c>
      <c r="U188" s="60">
        <v>2</v>
      </c>
      <c r="V188" s="60">
        <v>6</v>
      </c>
      <c r="W188" s="60">
        <v>1</v>
      </c>
      <c r="X188" s="60">
        <v>2</v>
      </c>
      <c r="Y188" s="60">
        <v>2</v>
      </c>
      <c r="Z188" s="60">
        <v>6</v>
      </c>
    </row>
    <row r="189" spans="1:26">
      <c r="A189" s="60">
        <v>6</v>
      </c>
      <c r="B189" s="60">
        <v>6</v>
      </c>
      <c r="C189" s="60">
        <v>2</v>
      </c>
      <c r="D189" s="60">
        <v>2</v>
      </c>
      <c r="E189" s="60">
        <v>2</v>
      </c>
      <c r="F189" s="60">
        <v>6</v>
      </c>
      <c r="G189" s="60">
        <v>6</v>
      </c>
      <c r="H189" s="60">
        <v>3</v>
      </c>
      <c r="I189" s="60">
        <v>1</v>
      </c>
      <c r="J189" s="60">
        <v>1</v>
      </c>
      <c r="K189" s="60">
        <v>6</v>
      </c>
      <c r="L189" s="60">
        <v>2</v>
      </c>
      <c r="M189" s="60">
        <v>6</v>
      </c>
      <c r="N189" s="60">
        <v>6</v>
      </c>
      <c r="O189" s="60">
        <v>6</v>
      </c>
      <c r="P189" s="60">
        <v>6</v>
      </c>
      <c r="Q189" s="60">
        <v>2</v>
      </c>
      <c r="R189" s="60">
        <v>2</v>
      </c>
      <c r="S189" s="60">
        <v>2</v>
      </c>
      <c r="T189" s="60">
        <v>6</v>
      </c>
      <c r="U189" s="60">
        <v>2</v>
      </c>
      <c r="V189" s="60">
        <v>6</v>
      </c>
      <c r="W189" s="60">
        <v>2</v>
      </c>
      <c r="X189" s="60">
        <v>2</v>
      </c>
      <c r="Y189" s="60">
        <v>2</v>
      </c>
      <c r="Z189" s="60">
        <v>6</v>
      </c>
    </row>
    <row r="190" spans="1:26">
      <c r="A190" s="60">
        <v>6</v>
      </c>
      <c r="B190" s="60">
        <v>5</v>
      </c>
      <c r="C190" s="60">
        <v>3</v>
      </c>
      <c r="D190" s="60">
        <v>3</v>
      </c>
      <c r="E190" s="60">
        <v>2</v>
      </c>
      <c r="F190" s="60">
        <v>6</v>
      </c>
      <c r="G190" s="60">
        <v>6</v>
      </c>
      <c r="H190" s="60">
        <v>3</v>
      </c>
      <c r="I190" s="60">
        <v>2</v>
      </c>
      <c r="J190" s="60">
        <v>4</v>
      </c>
      <c r="K190" s="60">
        <v>5</v>
      </c>
      <c r="L190" s="60">
        <v>2</v>
      </c>
      <c r="M190" s="60">
        <v>6</v>
      </c>
      <c r="N190" s="60">
        <v>6</v>
      </c>
      <c r="O190" s="60">
        <v>6</v>
      </c>
      <c r="P190" s="60">
        <v>6</v>
      </c>
      <c r="Q190" s="60">
        <v>2</v>
      </c>
      <c r="R190" s="60">
        <v>4</v>
      </c>
      <c r="S190" s="60">
        <v>1</v>
      </c>
      <c r="T190" s="60">
        <v>6</v>
      </c>
      <c r="U190" s="60">
        <v>2</v>
      </c>
      <c r="V190" s="60">
        <v>6</v>
      </c>
      <c r="W190" s="60">
        <v>2</v>
      </c>
      <c r="X190" s="60">
        <v>2</v>
      </c>
      <c r="Y190" s="60">
        <v>2</v>
      </c>
      <c r="Z190" s="60">
        <v>6</v>
      </c>
    </row>
    <row r="191" spans="1:26">
      <c r="A191" s="60">
        <v>5</v>
      </c>
      <c r="B191" s="60">
        <v>6</v>
      </c>
      <c r="C191" s="60">
        <v>6</v>
      </c>
      <c r="D191" s="60">
        <v>3</v>
      </c>
      <c r="E191" s="60">
        <v>2</v>
      </c>
      <c r="F191" s="60">
        <v>3</v>
      </c>
      <c r="G191" s="60">
        <v>4</v>
      </c>
      <c r="H191" s="60">
        <v>6</v>
      </c>
      <c r="I191" s="60">
        <v>2</v>
      </c>
      <c r="J191" s="60">
        <v>3</v>
      </c>
      <c r="K191" s="60">
        <v>4</v>
      </c>
      <c r="L191" s="60">
        <v>3</v>
      </c>
      <c r="M191" s="60">
        <v>6</v>
      </c>
      <c r="N191" s="60">
        <v>5</v>
      </c>
      <c r="O191" s="60">
        <v>5</v>
      </c>
      <c r="P191" s="60">
        <v>6</v>
      </c>
      <c r="Q191" s="60">
        <v>2</v>
      </c>
      <c r="R191" s="60">
        <v>3</v>
      </c>
      <c r="S191" s="60">
        <v>3</v>
      </c>
      <c r="T191" s="60">
        <v>7</v>
      </c>
      <c r="U191" s="60">
        <v>2</v>
      </c>
      <c r="V191" s="60">
        <v>7</v>
      </c>
      <c r="W191" s="60">
        <v>5</v>
      </c>
      <c r="X191" s="60">
        <v>5</v>
      </c>
      <c r="Y191" s="60">
        <v>3</v>
      </c>
      <c r="Z191" s="60">
        <v>6</v>
      </c>
    </row>
    <row r="192" spans="1:26">
      <c r="A192" s="60">
        <v>6</v>
      </c>
      <c r="B192" s="60">
        <v>5</v>
      </c>
      <c r="C192" s="60">
        <v>3</v>
      </c>
      <c r="D192" s="60">
        <v>2</v>
      </c>
      <c r="E192" s="60">
        <v>1</v>
      </c>
      <c r="F192" s="60">
        <v>5</v>
      </c>
      <c r="G192" s="60">
        <v>5</v>
      </c>
      <c r="H192" s="60">
        <v>5</v>
      </c>
      <c r="I192" s="60">
        <v>1</v>
      </c>
      <c r="J192" s="60">
        <v>2</v>
      </c>
      <c r="K192" s="60">
        <v>6</v>
      </c>
      <c r="L192" s="60">
        <v>2</v>
      </c>
      <c r="M192" s="60">
        <v>6</v>
      </c>
      <c r="N192" s="60">
        <v>5</v>
      </c>
      <c r="O192" s="60">
        <v>6</v>
      </c>
      <c r="P192" s="60">
        <v>6</v>
      </c>
      <c r="Q192" s="60">
        <v>1</v>
      </c>
      <c r="R192" s="60">
        <v>3</v>
      </c>
      <c r="S192" s="60">
        <v>1</v>
      </c>
      <c r="T192" s="60">
        <v>3</v>
      </c>
      <c r="U192" s="60">
        <v>2</v>
      </c>
      <c r="V192" s="60">
        <v>6</v>
      </c>
      <c r="W192" s="60">
        <v>3</v>
      </c>
      <c r="X192" s="60">
        <v>3</v>
      </c>
      <c r="Y192" s="60">
        <v>1</v>
      </c>
      <c r="Z192" s="60">
        <v>5</v>
      </c>
    </row>
    <row r="193" spans="1:26">
      <c r="A193" s="60">
        <v>5</v>
      </c>
      <c r="B193" s="60">
        <v>5</v>
      </c>
      <c r="C193" s="60">
        <v>4</v>
      </c>
      <c r="D193" s="60">
        <v>2</v>
      </c>
      <c r="E193" s="60">
        <v>2</v>
      </c>
      <c r="F193" s="60">
        <v>5</v>
      </c>
      <c r="G193" s="60">
        <v>5</v>
      </c>
      <c r="H193" s="60">
        <v>3</v>
      </c>
      <c r="I193" s="60">
        <v>3</v>
      </c>
      <c r="J193" s="60">
        <v>3</v>
      </c>
      <c r="K193" s="60">
        <v>4</v>
      </c>
      <c r="L193" s="60">
        <v>4</v>
      </c>
      <c r="M193" s="60">
        <v>5</v>
      </c>
      <c r="N193" s="60">
        <v>5</v>
      </c>
      <c r="O193" s="60">
        <v>6</v>
      </c>
      <c r="P193" s="60">
        <v>4</v>
      </c>
      <c r="Q193" s="60">
        <v>3</v>
      </c>
      <c r="R193" s="60">
        <v>4</v>
      </c>
      <c r="S193" s="60">
        <v>2</v>
      </c>
      <c r="T193" s="60">
        <v>5</v>
      </c>
      <c r="U193" s="60">
        <v>2</v>
      </c>
      <c r="V193" s="60">
        <v>6</v>
      </c>
      <c r="W193" s="60">
        <v>3</v>
      </c>
      <c r="X193" s="60">
        <v>3</v>
      </c>
      <c r="Y193" s="60">
        <v>3</v>
      </c>
      <c r="Z193" s="60">
        <v>5</v>
      </c>
    </row>
    <row r="194" spans="1:26">
      <c r="A194" s="60">
        <v>6</v>
      </c>
      <c r="B194" s="60">
        <v>5</v>
      </c>
      <c r="C194" s="60">
        <v>3</v>
      </c>
      <c r="D194" s="60">
        <v>4</v>
      </c>
      <c r="E194" s="60">
        <v>2</v>
      </c>
      <c r="F194" s="60">
        <v>6</v>
      </c>
      <c r="G194" s="60">
        <v>6</v>
      </c>
      <c r="H194" s="60">
        <v>4</v>
      </c>
      <c r="I194" s="60">
        <v>2</v>
      </c>
      <c r="J194" s="60">
        <v>2</v>
      </c>
      <c r="K194" s="60">
        <v>3</v>
      </c>
      <c r="L194" s="60">
        <v>4</v>
      </c>
      <c r="M194" s="60">
        <v>3</v>
      </c>
      <c r="N194" s="60">
        <v>5</v>
      </c>
      <c r="O194" s="60">
        <v>5</v>
      </c>
      <c r="P194" s="60">
        <v>6</v>
      </c>
      <c r="Q194" s="60">
        <v>3</v>
      </c>
      <c r="R194" s="60">
        <v>4</v>
      </c>
      <c r="S194" s="60">
        <v>2</v>
      </c>
      <c r="T194" s="60">
        <v>5</v>
      </c>
      <c r="U194" s="60">
        <v>3</v>
      </c>
      <c r="V194" s="60">
        <v>7</v>
      </c>
      <c r="W194" s="60">
        <v>3</v>
      </c>
      <c r="X194" s="60">
        <v>4</v>
      </c>
      <c r="Y194" s="60">
        <v>3</v>
      </c>
      <c r="Z194" s="60">
        <v>6</v>
      </c>
    </row>
    <row r="195" spans="1:26">
      <c r="A195" s="60">
        <v>7</v>
      </c>
      <c r="B195" s="60">
        <v>7</v>
      </c>
      <c r="C195" s="60">
        <v>1</v>
      </c>
      <c r="D195" s="60">
        <v>1</v>
      </c>
      <c r="E195" s="60">
        <v>1</v>
      </c>
      <c r="F195" s="60">
        <v>7</v>
      </c>
      <c r="G195" s="60">
        <v>7</v>
      </c>
      <c r="H195" s="60">
        <v>1</v>
      </c>
      <c r="I195" s="60">
        <v>1</v>
      </c>
      <c r="J195" s="60">
        <v>1</v>
      </c>
      <c r="K195" s="60">
        <v>7</v>
      </c>
      <c r="L195" s="60">
        <v>1</v>
      </c>
      <c r="M195" s="60">
        <v>7</v>
      </c>
      <c r="N195" s="60">
        <v>7</v>
      </c>
      <c r="O195" s="60">
        <v>7</v>
      </c>
      <c r="P195" s="60">
        <v>7</v>
      </c>
      <c r="Q195" s="60">
        <v>1</v>
      </c>
      <c r="R195" s="60">
        <v>1</v>
      </c>
      <c r="S195" s="60">
        <v>1</v>
      </c>
      <c r="T195" s="60">
        <v>7</v>
      </c>
      <c r="U195" s="60">
        <v>1</v>
      </c>
      <c r="V195" s="60">
        <v>7</v>
      </c>
      <c r="W195" s="60">
        <v>1</v>
      </c>
      <c r="X195" s="60">
        <v>1</v>
      </c>
      <c r="Y195" s="60">
        <v>1</v>
      </c>
      <c r="Z195" s="60">
        <v>7</v>
      </c>
    </row>
    <row r="196" spans="1:26">
      <c r="A196" s="60">
        <v>6</v>
      </c>
      <c r="B196" s="60">
        <v>5</v>
      </c>
      <c r="C196" s="60">
        <v>3</v>
      </c>
      <c r="D196" s="60">
        <v>2</v>
      </c>
      <c r="E196" s="60">
        <v>3</v>
      </c>
      <c r="F196" s="60">
        <v>5</v>
      </c>
      <c r="G196" s="60">
        <v>5</v>
      </c>
      <c r="H196" s="60">
        <v>6</v>
      </c>
      <c r="I196" s="60">
        <v>3</v>
      </c>
      <c r="J196" s="60">
        <v>5</v>
      </c>
      <c r="K196" s="60">
        <v>6</v>
      </c>
      <c r="L196" s="60">
        <v>2</v>
      </c>
      <c r="M196" s="60">
        <v>6</v>
      </c>
      <c r="N196" s="60">
        <v>6</v>
      </c>
      <c r="O196" s="60">
        <v>2</v>
      </c>
      <c r="P196" s="60">
        <v>6</v>
      </c>
      <c r="Q196" s="60">
        <v>2</v>
      </c>
      <c r="R196" s="60">
        <v>4</v>
      </c>
      <c r="S196" s="60">
        <v>2</v>
      </c>
      <c r="T196" s="60">
        <v>5</v>
      </c>
      <c r="U196" s="60">
        <v>3</v>
      </c>
      <c r="V196" s="60">
        <v>6</v>
      </c>
      <c r="W196" s="60">
        <v>2</v>
      </c>
      <c r="X196" s="60">
        <v>2</v>
      </c>
      <c r="Y196" s="60">
        <v>3</v>
      </c>
      <c r="Z196" s="60">
        <v>4</v>
      </c>
    </row>
    <row r="197" spans="1:26">
      <c r="A197" s="60">
        <v>6</v>
      </c>
      <c r="B197" s="60">
        <v>5</v>
      </c>
      <c r="C197" s="60">
        <v>4</v>
      </c>
      <c r="D197" s="60">
        <v>2</v>
      </c>
      <c r="E197" s="60">
        <v>1</v>
      </c>
      <c r="F197" s="60">
        <v>6</v>
      </c>
      <c r="G197" s="60">
        <v>7</v>
      </c>
      <c r="H197" s="60">
        <v>2</v>
      </c>
      <c r="I197" s="60">
        <v>1</v>
      </c>
      <c r="J197" s="60">
        <v>1</v>
      </c>
      <c r="K197" s="60">
        <v>4</v>
      </c>
      <c r="L197" s="60">
        <v>5</v>
      </c>
      <c r="M197" s="60">
        <v>6</v>
      </c>
      <c r="N197" s="60">
        <v>4</v>
      </c>
      <c r="O197" s="60">
        <v>6</v>
      </c>
      <c r="P197" s="60">
        <v>6</v>
      </c>
      <c r="Q197" s="60">
        <v>2</v>
      </c>
      <c r="R197" s="60">
        <v>4</v>
      </c>
      <c r="S197" s="60">
        <v>1</v>
      </c>
      <c r="T197" s="60">
        <v>7</v>
      </c>
      <c r="U197" s="60">
        <v>1</v>
      </c>
      <c r="V197" s="60">
        <v>7</v>
      </c>
      <c r="W197" s="60">
        <v>5</v>
      </c>
      <c r="X197" s="60">
        <v>3</v>
      </c>
      <c r="Y197" s="60">
        <v>4</v>
      </c>
      <c r="Z197" s="60">
        <v>6</v>
      </c>
    </row>
    <row r="198" spans="1:26">
      <c r="A198" s="60">
        <v>7</v>
      </c>
      <c r="B198" s="60">
        <v>7</v>
      </c>
      <c r="C198" s="60">
        <v>2</v>
      </c>
      <c r="D198" s="60">
        <v>1</v>
      </c>
      <c r="E198" s="60">
        <v>1</v>
      </c>
      <c r="F198" s="60">
        <v>6</v>
      </c>
      <c r="G198" s="60">
        <v>6</v>
      </c>
      <c r="H198" s="60">
        <v>4</v>
      </c>
      <c r="I198" s="60">
        <v>2</v>
      </c>
      <c r="J198" s="60">
        <v>1</v>
      </c>
      <c r="K198" s="60">
        <v>6</v>
      </c>
      <c r="L198" s="60">
        <v>1</v>
      </c>
      <c r="M198" s="60">
        <v>7</v>
      </c>
      <c r="N198" s="60">
        <v>7</v>
      </c>
      <c r="O198" s="60">
        <v>5</v>
      </c>
      <c r="P198" s="60">
        <v>7</v>
      </c>
      <c r="Q198" s="60">
        <v>1</v>
      </c>
      <c r="R198" s="60">
        <v>2</v>
      </c>
      <c r="S198" s="60">
        <v>1</v>
      </c>
      <c r="T198" s="60">
        <v>7</v>
      </c>
      <c r="U198" s="60">
        <v>1</v>
      </c>
      <c r="V198" s="60">
        <v>7</v>
      </c>
      <c r="W198" s="60">
        <v>1</v>
      </c>
      <c r="X198" s="60">
        <v>3</v>
      </c>
      <c r="Y198" s="60">
        <v>1</v>
      </c>
      <c r="Z198" s="60">
        <v>7</v>
      </c>
    </row>
    <row r="199" spans="1:26">
      <c r="A199" s="60">
        <v>6</v>
      </c>
      <c r="B199" s="60">
        <v>5</v>
      </c>
      <c r="C199" s="60">
        <v>3</v>
      </c>
      <c r="D199" s="60">
        <v>2</v>
      </c>
      <c r="E199" s="60">
        <v>2</v>
      </c>
      <c r="F199" s="60">
        <v>6</v>
      </c>
      <c r="G199" s="60">
        <v>5</v>
      </c>
      <c r="H199" s="60">
        <v>4</v>
      </c>
      <c r="I199" s="60">
        <v>2</v>
      </c>
      <c r="J199" s="60">
        <v>5</v>
      </c>
      <c r="K199" s="60">
        <v>6</v>
      </c>
      <c r="L199" s="60">
        <v>3</v>
      </c>
      <c r="M199" s="60">
        <v>6</v>
      </c>
      <c r="N199" s="60">
        <v>5</v>
      </c>
      <c r="O199" s="60">
        <v>6</v>
      </c>
      <c r="P199" s="60">
        <v>6</v>
      </c>
      <c r="Q199" s="60">
        <v>2</v>
      </c>
      <c r="R199" s="60">
        <v>3</v>
      </c>
      <c r="S199" s="60">
        <v>2</v>
      </c>
      <c r="T199" s="60">
        <v>6</v>
      </c>
      <c r="U199" s="60">
        <v>2</v>
      </c>
      <c r="V199" s="60">
        <v>5</v>
      </c>
      <c r="W199" s="60">
        <v>2</v>
      </c>
      <c r="X199" s="60">
        <v>3</v>
      </c>
      <c r="Y199" s="60">
        <v>4</v>
      </c>
      <c r="Z199" s="60">
        <v>6</v>
      </c>
    </row>
    <row r="200" spans="1:26">
      <c r="A200" s="60">
        <v>5</v>
      </c>
      <c r="B200" s="60">
        <v>6</v>
      </c>
      <c r="C200" s="60">
        <v>5</v>
      </c>
      <c r="D200" s="60">
        <v>3</v>
      </c>
      <c r="E200" s="60">
        <v>2</v>
      </c>
      <c r="F200" s="60">
        <v>4</v>
      </c>
      <c r="G200" s="60">
        <v>4</v>
      </c>
      <c r="H200" s="60">
        <v>5</v>
      </c>
      <c r="I200" s="60">
        <v>5</v>
      </c>
      <c r="J200" s="60">
        <v>5</v>
      </c>
      <c r="K200" s="60">
        <v>3</v>
      </c>
      <c r="L200" s="60">
        <v>4</v>
      </c>
      <c r="M200" s="60">
        <v>5</v>
      </c>
      <c r="N200" s="60">
        <v>3</v>
      </c>
      <c r="O200" s="60">
        <v>4</v>
      </c>
      <c r="P200" s="60">
        <v>4</v>
      </c>
      <c r="Q200" s="60">
        <v>3</v>
      </c>
      <c r="R200" s="60">
        <v>4</v>
      </c>
      <c r="S200" s="60">
        <v>2</v>
      </c>
      <c r="T200" s="60">
        <v>5</v>
      </c>
      <c r="U200" s="60">
        <v>3</v>
      </c>
      <c r="V200" s="60">
        <v>6</v>
      </c>
      <c r="W200" s="60">
        <v>3</v>
      </c>
      <c r="X200" s="60">
        <v>3</v>
      </c>
      <c r="Y200" s="60">
        <v>4</v>
      </c>
      <c r="Z200" s="60">
        <v>4</v>
      </c>
    </row>
    <row r="201" spans="1:26">
      <c r="A201" s="60">
        <v>6</v>
      </c>
      <c r="B201" s="60">
        <v>7</v>
      </c>
      <c r="C201" s="60">
        <v>4</v>
      </c>
      <c r="D201" s="60">
        <v>6</v>
      </c>
      <c r="E201" s="60">
        <v>4</v>
      </c>
      <c r="F201" s="60">
        <v>4</v>
      </c>
      <c r="G201" s="60">
        <v>4</v>
      </c>
      <c r="H201" s="60">
        <v>4</v>
      </c>
      <c r="I201" s="60">
        <v>4</v>
      </c>
      <c r="J201" s="60">
        <v>5</v>
      </c>
      <c r="K201" s="60">
        <v>4</v>
      </c>
      <c r="L201" s="60">
        <v>1</v>
      </c>
      <c r="M201" s="60">
        <v>7</v>
      </c>
      <c r="N201" s="60">
        <v>7</v>
      </c>
      <c r="O201" s="60">
        <v>6</v>
      </c>
      <c r="P201" s="60">
        <v>7</v>
      </c>
      <c r="Q201" s="60">
        <v>1</v>
      </c>
      <c r="R201" s="60">
        <v>4</v>
      </c>
      <c r="S201" s="60">
        <v>1</v>
      </c>
      <c r="T201" s="60">
        <v>6</v>
      </c>
      <c r="U201" s="60">
        <v>7</v>
      </c>
      <c r="V201" s="60">
        <v>7</v>
      </c>
      <c r="W201" s="60">
        <v>6</v>
      </c>
      <c r="X201" s="60">
        <v>5</v>
      </c>
      <c r="Y201" s="60">
        <v>4</v>
      </c>
      <c r="Z201" s="60">
        <v>4</v>
      </c>
    </row>
    <row r="202" spans="1:26">
      <c r="A202" s="60">
        <v>5</v>
      </c>
      <c r="B202" s="60">
        <v>6</v>
      </c>
      <c r="C202" s="60">
        <v>3</v>
      </c>
      <c r="D202" s="60">
        <v>1</v>
      </c>
      <c r="E202" s="60">
        <v>3</v>
      </c>
      <c r="F202" s="60">
        <v>6</v>
      </c>
      <c r="G202" s="60">
        <v>5</v>
      </c>
      <c r="H202" s="60">
        <v>6</v>
      </c>
      <c r="I202" s="60">
        <v>3</v>
      </c>
      <c r="J202" s="60">
        <v>4</v>
      </c>
      <c r="K202" s="60">
        <v>5</v>
      </c>
      <c r="L202" s="60">
        <v>2</v>
      </c>
      <c r="M202" s="60">
        <v>6</v>
      </c>
      <c r="N202" s="60">
        <v>6</v>
      </c>
      <c r="O202" s="60">
        <v>5</v>
      </c>
      <c r="P202" s="60">
        <v>6</v>
      </c>
      <c r="Q202" s="60">
        <v>3</v>
      </c>
      <c r="R202" s="60">
        <v>3</v>
      </c>
      <c r="S202" s="60">
        <v>2</v>
      </c>
      <c r="T202" s="60">
        <v>6</v>
      </c>
      <c r="U202" s="60">
        <v>2</v>
      </c>
      <c r="V202" s="60">
        <v>6</v>
      </c>
      <c r="W202" s="60">
        <v>4</v>
      </c>
      <c r="X202" s="60">
        <v>3</v>
      </c>
      <c r="Y202" s="60">
        <v>2</v>
      </c>
      <c r="Z202" s="60">
        <v>3</v>
      </c>
    </row>
    <row r="203" spans="1:26">
      <c r="A203" s="60">
        <v>6</v>
      </c>
      <c r="B203" s="60">
        <v>6</v>
      </c>
      <c r="C203" s="60">
        <v>4</v>
      </c>
      <c r="D203" s="60">
        <v>5</v>
      </c>
      <c r="E203" s="60">
        <v>6</v>
      </c>
      <c r="F203" s="60">
        <v>6</v>
      </c>
      <c r="G203" s="60">
        <v>6</v>
      </c>
      <c r="H203" s="60">
        <v>6</v>
      </c>
      <c r="I203" s="60">
        <v>3</v>
      </c>
      <c r="J203" s="60">
        <v>3</v>
      </c>
      <c r="K203" s="60">
        <v>5</v>
      </c>
      <c r="L203" s="60">
        <v>2</v>
      </c>
      <c r="M203" s="60">
        <v>4</v>
      </c>
      <c r="N203" s="60">
        <v>5</v>
      </c>
      <c r="O203" s="60">
        <v>6</v>
      </c>
      <c r="P203" s="60">
        <v>5</v>
      </c>
      <c r="Q203" s="60">
        <v>3</v>
      </c>
      <c r="R203" s="60">
        <v>4</v>
      </c>
      <c r="S203" s="60">
        <v>6</v>
      </c>
      <c r="T203" s="60">
        <v>6</v>
      </c>
      <c r="U203" s="60">
        <v>3</v>
      </c>
      <c r="V203" s="60">
        <v>6</v>
      </c>
      <c r="W203" s="60">
        <v>6</v>
      </c>
      <c r="X203" s="60">
        <v>3</v>
      </c>
      <c r="Y203" s="60">
        <v>4</v>
      </c>
      <c r="Z203" s="60">
        <v>6</v>
      </c>
    </row>
    <row r="204" spans="1:26">
      <c r="A204" s="60">
        <v>5</v>
      </c>
      <c r="B204" s="60">
        <v>6</v>
      </c>
      <c r="C204" s="60">
        <v>4</v>
      </c>
      <c r="D204" s="60">
        <v>2</v>
      </c>
      <c r="E204" s="60">
        <v>2</v>
      </c>
      <c r="F204" s="60">
        <v>4</v>
      </c>
      <c r="G204" s="60">
        <v>5</v>
      </c>
      <c r="H204" s="60">
        <v>6</v>
      </c>
      <c r="I204" s="60">
        <v>2</v>
      </c>
      <c r="J204" s="60">
        <v>4</v>
      </c>
      <c r="K204" s="60">
        <v>5</v>
      </c>
      <c r="L204" s="60">
        <v>2</v>
      </c>
      <c r="M204" s="60">
        <v>6</v>
      </c>
      <c r="N204" s="60">
        <v>6</v>
      </c>
      <c r="O204" s="60">
        <v>4</v>
      </c>
      <c r="P204" s="60">
        <v>6</v>
      </c>
      <c r="Q204" s="60">
        <v>2</v>
      </c>
      <c r="R204" s="60">
        <v>3</v>
      </c>
      <c r="S204" s="60">
        <v>2</v>
      </c>
      <c r="T204" s="60">
        <v>6</v>
      </c>
      <c r="U204" s="60">
        <v>3</v>
      </c>
      <c r="V204" s="60">
        <v>6</v>
      </c>
      <c r="W204" s="60">
        <v>2</v>
      </c>
      <c r="X204" s="60">
        <v>4</v>
      </c>
      <c r="Y204" s="60">
        <v>3</v>
      </c>
      <c r="Z204" s="60">
        <v>2</v>
      </c>
    </row>
    <row r="205" spans="1:26">
      <c r="A205" s="60">
        <v>2</v>
      </c>
      <c r="B205" s="60">
        <v>2</v>
      </c>
      <c r="C205" s="60">
        <v>5</v>
      </c>
      <c r="D205" s="60">
        <v>5</v>
      </c>
      <c r="E205" s="60">
        <v>6</v>
      </c>
      <c r="F205" s="60">
        <v>3</v>
      </c>
      <c r="G205" s="60">
        <v>3</v>
      </c>
      <c r="H205" s="60">
        <v>3</v>
      </c>
      <c r="I205" s="60">
        <v>5</v>
      </c>
      <c r="J205" s="60">
        <v>5</v>
      </c>
      <c r="K205" s="60">
        <v>3</v>
      </c>
      <c r="L205" s="60">
        <v>5</v>
      </c>
      <c r="M205" s="60">
        <v>2</v>
      </c>
      <c r="N205" s="60">
        <v>2</v>
      </c>
      <c r="O205" s="60">
        <v>3</v>
      </c>
      <c r="P205" s="60">
        <v>2</v>
      </c>
      <c r="Q205" s="60">
        <v>5</v>
      </c>
      <c r="R205" s="60">
        <v>1</v>
      </c>
      <c r="S205" s="60">
        <v>5</v>
      </c>
      <c r="T205" s="60">
        <v>2</v>
      </c>
      <c r="U205" s="60">
        <v>2</v>
      </c>
      <c r="V205" s="60">
        <v>2</v>
      </c>
      <c r="W205" s="60">
        <v>5</v>
      </c>
      <c r="X205" s="60">
        <v>4</v>
      </c>
      <c r="Y205" s="60">
        <v>3</v>
      </c>
      <c r="Z205" s="60">
        <v>3</v>
      </c>
    </row>
    <row r="206" spans="1:26">
      <c r="A206" s="60">
        <v>3</v>
      </c>
      <c r="B206" s="60">
        <v>5</v>
      </c>
      <c r="C206" s="60">
        <v>2</v>
      </c>
      <c r="D206" s="60">
        <v>2</v>
      </c>
      <c r="E206" s="60">
        <v>2</v>
      </c>
      <c r="F206" s="60">
        <v>5</v>
      </c>
      <c r="G206" s="60">
        <v>3</v>
      </c>
      <c r="H206" s="60">
        <v>5</v>
      </c>
      <c r="I206" s="60">
        <v>2</v>
      </c>
      <c r="J206" s="60">
        <v>4</v>
      </c>
      <c r="K206" s="60">
        <v>4</v>
      </c>
      <c r="L206" s="60">
        <v>3</v>
      </c>
      <c r="M206" s="60">
        <v>5</v>
      </c>
      <c r="N206" s="60">
        <v>5</v>
      </c>
      <c r="O206" s="60">
        <v>5</v>
      </c>
      <c r="P206" s="60">
        <v>5</v>
      </c>
      <c r="Q206" s="60">
        <v>2</v>
      </c>
      <c r="R206" s="60">
        <v>4</v>
      </c>
      <c r="S206" s="60">
        <v>2</v>
      </c>
      <c r="T206" s="60">
        <v>5</v>
      </c>
      <c r="U206" s="60">
        <v>5</v>
      </c>
      <c r="V206" s="60">
        <v>5</v>
      </c>
      <c r="W206" s="60">
        <v>3</v>
      </c>
      <c r="X206" s="60">
        <v>3</v>
      </c>
      <c r="Y206" s="60">
        <v>3</v>
      </c>
      <c r="Z206" s="60">
        <v>5</v>
      </c>
    </row>
    <row r="207" spans="1:26">
      <c r="A207" s="60">
        <v>6</v>
      </c>
      <c r="B207" s="60">
        <v>6</v>
      </c>
      <c r="C207" s="60">
        <v>4</v>
      </c>
      <c r="D207" s="60">
        <v>2</v>
      </c>
      <c r="E207" s="60">
        <v>1</v>
      </c>
      <c r="F207" s="60">
        <v>4</v>
      </c>
      <c r="G207" s="60">
        <v>4</v>
      </c>
      <c r="H207" s="60">
        <v>6</v>
      </c>
      <c r="I207" s="60">
        <v>2</v>
      </c>
      <c r="J207" s="60">
        <v>3</v>
      </c>
      <c r="K207" s="60">
        <v>4</v>
      </c>
      <c r="L207" s="60">
        <v>1</v>
      </c>
      <c r="M207" s="60">
        <v>6</v>
      </c>
      <c r="N207" s="60">
        <v>6</v>
      </c>
      <c r="O207" s="60">
        <v>5</v>
      </c>
      <c r="P207" s="60">
        <v>6</v>
      </c>
      <c r="Q207" s="60">
        <v>2</v>
      </c>
      <c r="R207" s="60">
        <v>4</v>
      </c>
      <c r="S207" s="60">
        <v>1</v>
      </c>
      <c r="T207" s="60">
        <v>7</v>
      </c>
      <c r="U207" s="60">
        <v>2</v>
      </c>
      <c r="V207" s="60">
        <v>7</v>
      </c>
      <c r="W207" s="60">
        <v>3</v>
      </c>
      <c r="X207" s="60">
        <v>4</v>
      </c>
      <c r="Y207" s="60">
        <v>2</v>
      </c>
      <c r="Z207" s="60">
        <v>5</v>
      </c>
    </row>
    <row r="208" spans="1:26">
      <c r="A208" s="60">
        <v>6</v>
      </c>
      <c r="B208" s="60">
        <v>6</v>
      </c>
      <c r="C208" s="60">
        <v>3</v>
      </c>
      <c r="D208" s="60">
        <v>2</v>
      </c>
      <c r="E208" s="60">
        <v>2</v>
      </c>
      <c r="F208" s="60">
        <v>4</v>
      </c>
      <c r="G208" s="60">
        <v>4</v>
      </c>
      <c r="H208" s="60">
        <v>6</v>
      </c>
      <c r="I208" s="60">
        <v>3</v>
      </c>
      <c r="J208" s="60">
        <v>4</v>
      </c>
      <c r="K208" s="60">
        <v>5</v>
      </c>
      <c r="L208" s="60">
        <v>2</v>
      </c>
      <c r="M208" s="60">
        <v>6</v>
      </c>
      <c r="N208" s="60">
        <v>6</v>
      </c>
      <c r="O208" s="60">
        <v>5</v>
      </c>
      <c r="P208" s="60">
        <v>4</v>
      </c>
      <c r="Q208" s="60">
        <v>3</v>
      </c>
      <c r="R208" s="60">
        <v>3</v>
      </c>
      <c r="S208" s="60">
        <v>2</v>
      </c>
      <c r="T208" s="60">
        <v>5</v>
      </c>
      <c r="U208" s="60">
        <v>3</v>
      </c>
      <c r="V208" s="60">
        <v>6</v>
      </c>
      <c r="W208" s="60">
        <v>5</v>
      </c>
      <c r="X208" s="60">
        <v>2</v>
      </c>
      <c r="Y208" s="60">
        <v>2</v>
      </c>
      <c r="Z208" s="60">
        <v>4</v>
      </c>
    </row>
    <row r="209" spans="1:26">
      <c r="A209" s="60">
        <v>4</v>
      </c>
      <c r="B209" s="60">
        <v>6</v>
      </c>
      <c r="C209" s="60">
        <v>5</v>
      </c>
      <c r="D209" s="60">
        <v>6</v>
      </c>
      <c r="E209" s="60">
        <v>5</v>
      </c>
      <c r="F209" s="60">
        <v>4</v>
      </c>
      <c r="G209" s="60">
        <v>5</v>
      </c>
      <c r="H209" s="60">
        <v>5</v>
      </c>
      <c r="I209" s="60">
        <v>5</v>
      </c>
      <c r="J209" s="60">
        <v>4</v>
      </c>
      <c r="K209" s="60">
        <v>5</v>
      </c>
      <c r="L209" s="60">
        <v>2</v>
      </c>
      <c r="M209" s="60">
        <v>6</v>
      </c>
      <c r="N209" s="60">
        <v>5</v>
      </c>
      <c r="O209" s="60">
        <v>5</v>
      </c>
      <c r="P209" s="60">
        <v>5</v>
      </c>
      <c r="Q209" s="60">
        <v>2</v>
      </c>
      <c r="R209" s="60">
        <v>4</v>
      </c>
      <c r="S209" s="60">
        <v>2</v>
      </c>
      <c r="T209" s="60">
        <v>5</v>
      </c>
      <c r="U209" s="60">
        <v>2</v>
      </c>
      <c r="V209" s="60">
        <v>5</v>
      </c>
      <c r="W209" s="60">
        <v>2</v>
      </c>
      <c r="X209" s="60">
        <v>3</v>
      </c>
      <c r="Y209" s="60">
        <v>2</v>
      </c>
      <c r="Z209" s="60">
        <v>4</v>
      </c>
    </row>
    <row r="210" spans="1:26">
      <c r="A210" s="60">
        <v>6</v>
      </c>
      <c r="B210" s="60">
        <v>6</v>
      </c>
      <c r="C210" s="60">
        <v>3</v>
      </c>
      <c r="D210" s="60">
        <v>2</v>
      </c>
      <c r="E210" s="60">
        <v>1</v>
      </c>
      <c r="F210" s="60">
        <v>5</v>
      </c>
      <c r="G210" s="60">
        <v>5</v>
      </c>
      <c r="H210" s="60">
        <v>4</v>
      </c>
      <c r="I210" s="60">
        <v>2</v>
      </c>
      <c r="J210" s="60">
        <v>2</v>
      </c>
      <c r="K210" s="60">
        <v>7</v>
      </c>
      <c r="L210" s="60">
        <v>5</v>
      </c>
      <c r="M210" s="60">
        <v>6</v>
      </c>
      <c r="N210" s="60">
        <v>5</v>
      </c>
      <c r="O210" s="60">
        <v>6</v>
      </c>
      <c r="P210" s="60">
        <v>6</v>
      </c>
      <c r="Q210" s="60">
        <v>6</v>
      </c>
      <c r="R210" s="60">
        <v>5</v>
      </c>
      <c r="S210" s="60">
        <v>2</v>
      </c>
      <c r="T210" s="60">
        <v>7</v>
      </c>
      <c r="U210" s="60">
        <v>6</v>
      </c>
      <c r="V210" s="60">
        <v>5</v>
      </c>
      <c r="W210" s="60">
        <v>2</v>
      </c>
      <c r="X210" s="60">
        <v>3</v>
      </c>
      <c r="Y210" s="60">
        <v>2</v>
      </c>
      <c r="Z210" s="60">
        <v>6</v>
      </c>
    </row>
    <row r="211" spans="1:26">
      <c r="A211" s="60">
        <v>5</v>
      </c>
      <c r="B211" s="60">
        <v>3</v>
      </c>
      <c r="C211" s="60">
        <v>5</v>
      </c>
      <c r="D211" s="60">
        <v>3</v>
      </c>
      <c r="E211" s="60">
        <v>4</v>
      </c>
      <c r="F211" s="60">
        <v>4</v>
      </c>
      <c r="G211" s="60">
        <v>4</v>
      </c>
      <c r="H211" s="60">
        <v>3</v>
      </c>
      <c r="I211" s="60">
        <v>5</v>
      </c>
      <c r="J211" s="60">
        <v>5</v>
      </c>
      <c r="K211" s="60">
        <v>3</v>
      </c>
      <c r="L211" s="60">
        <v>4</v>
      </c>
      <c r="M211" s="60">
        <v>5</v>
      </c>
      <c r="N211" s="60">
        <v>5</v>
      </c>
      <c r="O211" s="60">
        <v>3</v>
      </c>
      <c r="P211" s="60">
        <v>4</v>
      </c>
      <c r="Q211" s="60">
        <v>5</v>
      </c>
      <c r="R211" s="60">
        <v>5</v>
      </c>
      <c r="S211" s="60">
        <v>5</v>
      </c>
      <c r="T211" s="60">
        <v>3</v>
      </c>
      <c r="U211" s="60">
        <v>5</v>
      </c>
      <c r="V211" s="60">
        <v>4</v>
      </c>
      <c r="W211" s="60">
        <v>7</v>
      </c>
      <c r="X211" s="60">
        <v>5</v>
      </c>
      <c r="Y211" s="60">
        <v>6</v>
      </c>
      <c r="Z211" s="60">
        <v>3</v>
      </c>
    </row>
    <row r="212" spans="1:26">
      <c r="A212" s="60">
        <v>5</v>
      </c>
      <c r="B212" s="60">
        <v>5</v>
      </c>
      <c r="C212" s="60">
        <v>6</v>
      </c>
      <c r="D212" s="60">
        <v>5</v>
      </c>
      <c r="E212" s="60">
        <v>5</v>
      </c>
      <c r="F212" s="60">
        <v>4</v>
      </c>
      <c r="G212" s="60">
        <v>4</v>
      </c>
      <c r="H212" s="60">
        <v>4</v>
      </c>
      <c r="I212" s="60">
        <v>5</v>
      </c>
      <c r="J212" s="60">
        <v>5</v>
      </c>
      <c r="K212" s="60">
        <v>4</v>
      </c>
      <c r="L212" s="60">
        <v>4</v>
      </c>
      <c r="M212" s="60">
        <v>4</v>
      </c>
      <c r="N212" s="60">
        <v>4</v>
      </c>
      <c r="O212" s="60">
        <v>4</v>
      </c>
      <c r="P212" s="60">
        <v>3</v>
      </c>
      <c r="Q212" s="60">
        <v>6</v>
      </c>
      <c r="R212" s="60">
        <v>4</v>
      </c>
      <c r="S212" s="60">
        <v>4</v>
      </c>
      <c r="T212" s="60">
        <v>4</v>
      </c>
      <c r="U212" s="60">
        <v>3</v>
      </c>
      <c r="V212" s="60">
        <v>5</v>
      </c>
      <c r="W212" s="60">
        <v>5</v>
      </c>
      <c r="X212" s="60">
        <v>4</v>
      </c>
      <c r="Y212" s="60">
        <v>4</v>
      </c>
      <c r="Z212" s="60">
        <v>5</v>
      </c>
    </row>
    <row r="213" spans="1:26">
      <c r="A213" s="60">
        <v>6</v>
      </c>
      <c r="B213" s="60">
        <v>6</v>
      </c>
      <c r="C213" s="60">
        <v>1</v>
      </c>
      <c r="D213" s="60">
        <v>1</v>
      </c>
      <c r="E213" s="60">
        <v>1</v>
      </c>
      <c r="F213" s="60">
        <v>7</v>
      </c>
      <c r="G213" s="60">
        <v>6</v>
      </c>
      <c r="H213" s="60">
        <v>3</v>
      </c>
      <c r="I213" s="60">
        <v>2</v>
      </c>
      <c r="J213" s="60">
        <v>1</v>
      </c>
      <c r="K213" s="60">
        <v>6</v>
      </c>
      <c r="L213" s="60">
        <v>1</v>
      </c>
      <c r="M213" s="60">
        <v>6</v>
      </c>
      <c r="N213" s="60">
        <v>6</v>
      </c>
      <c r="O213" s="60">
        <v>6</v>
      </c>
      <c r="P213" s="60">
        <v>6</v>
      </c>
      <c r="Q213" s="60">
        <v>2</v>
      </c>
      <c r="R213" s="60">
        <v>1</v>
      </c>
      <c r="S213" s="60">
        <v>1</v>
      </c>
      <c r="T213" s="60">
        <v>6</v>
      </c>
      <c r="U213" s="60">
        <v>1</v>
      </c>
      <c r="V213" s="60">
        <v>6</v>
      </c>
      <c r="W213" s="60">
        <v>1</v>
      </c>
      <c r="X213" s="60">
        <v>1</v>
      </c>
      <c r="Y213" s="60">
        <v>1</v>
      </c>
      <c r="Z213" s="60">
        <v>7</v>
      </c>
    </row>
    <row r="214" spans="1:26">
      <c r="A214" s="60">
        <v>6</v>
      </c>
      <c r="B214" s="60">
        <v>6</v>
      </c>
      <c r="C214" s="60">
        <v>4</v>
      </c>
      <c r="D214" s="60">
        <v>2</v>
      </c>
      <c r="E214" s="60">
        <v>3</v>
      </c>
      <c r="F214" s="60">
        <v>5</v>
      </c>
      <c r="G214" s="60">
        <v>5</v>
      </c>
      <c r="H214" s="60">
        <v>4</v>
      </c>
      <c r="I214" s="60">
        <v>2</v>
      </c>
      <c r="J214" s="60">
        <v>3</v>
      </c>
      <c r="K214" s="60">
        <v>5</v>
      </c>
      <c r="L214" s="60">
        <v>2</v>
      </c>
      <c r="M214" s="60">
        <v>6</v>
      </c>
      <c r="N214" s="60">
        <v>6</v>
      </c>
      <c r="O214" s="60">
        <v>5</v>
      </c>
      <c r="P214" s="60">
        <v>5</v>
      </c>
      <c r="Q214" s="60">
        <v>3</v>
      </c>
      <c r="R214" s="60">
        <v>3</v>
      </c>
      <c r="S214" s="60">
        <v>3</v>
      </c>
      <c r="T214" s="60">
        <v>6</v>
      </c>
      <c r="U214" s="60">
        <v>3</v>
      </c>
      <c r="V214" s="60">
        <v>6</v>
      </c>
      <c r="W214" s="60">
        <v>2</v>
      </c>
      <c r="X214" s="60">
        <v>3</v>
      </c>
      <c r="Y214" s="60">
        <v>3</v>
      </c>
      <c r="Z214" s="60">
        <v>6</v>
      </c>
    </row>
    <row r="215" spans="1:26">
      <c r="A215" s="60">
        <v>3</v>
      </c>
      <c r="B215" s="60">
        <v>6</v>
      </c>
      <c r="C215" s="60">
        <v>3</v>
      </c>
      <c r="D215" s="60">
        <v>3</v>
      </c>
      <c r="E215" s="60">
        <v>3</v>
      </c>
      <c r="F215" s="60">
        <v>4</v>
      </c>
      <c r="G215" s="60">
        <v>5</v>
      </c>
      <c r="H215" s="60">
        <v>5</v>
      </c>
      <c r="I215" s="60">
        <v>3</v>
      </c>
      <c r="J215" s="60">
        <v>3</v>
      </c>
      <c r="K215" s="60">
        <v>6</v>
      </c>
      <c r="L215" s="60">
        <v>2</v>
      </c>
      <c r="M215" s="60">
        <v>3</v>
      </c>
      <c r="N215" s="60">
        <v>5</v>
      </c>
      <c r="O215" s="60">
        <v>4</v>
      </c>
      <c r="P215" s="60">
        <v>5</v>
      </c>
      <c r="Q215" s="60">
        <v>3</v>
      </c>
      <c r="R215" s="60">
        <v>4</v>
      </c>
      <c r="S215" s="60">
        <v>3</v>
      </c>
      <c r="T215" s="60">
        <v>3</v>
      </c>
      <c r="U215" s="60">
        <v>4</v>
      </c>
      <c r="V215" s="60">
        <v>3</v>
      </c>
      <c r="W215" s="60">
        <v>3</v>
      </c>
      <c r="X215" s="60">
        <v>3</v>
      </c>
      <c r="Y215" s="60">
        <v>2</v>
      </c>
      <c r="Z215" s="60">
        <v>2</v>
      </c>
    </row>
    <row r="216" spans="1:26">
      <c r="A216" s="60">
        <v>6</v>
      </c>
      <c r="B216" s="60">
        <v>7</v>
      </c>
      <c r="C216" s="60">
        <v>2</v>
      </c>
      <c r="D216" s="60">
        <v>1</v>
      </c>
      <c r="E216" s="60">
        <v>1</v>
      </c>
      <c r="F216" s="60">
        <v>6</v>
      </c>
      <c r="G216" s="60">
        <v>6</v>
      </c>
      <c r="H216" s="60">
        <v>4</v>
      </c>
      <c r="I216" s="60">
        <v>1</v>
      </c>
      <c r="J216" s="60">
        <v>2</v>
      </c>
      <c r="K216" s="60">
        <v>6</v>
      </c>
      <c r="L216" s="60">
        <v>2</v>
      </c>
      <c r="M216" s="60">
        <v>6</v>
      </c>
      <c r="N216" s="60">
        <v>6</v>
      </c>
      <c r="O216" s="60">
        <v>6</v>
      </c>
      <c r="P216" s="60">
        <v>6</v>
      </c>
      <c r="Q216" s="60">
        <v>2</v>
      </c>
      <c r="R216" s="60">
        <v>3</v>
      </c>
      <c r="S216" s="60">
        <v>2</v>
      </c>
      <c r="T216" s="60">
        <v>6</v>
      </c>
      <c r="U216" s="60">
        <v>2</v>
      </c>
      <c r="V216" s="60">
        <v>6</v>
      </c>
      <c r="W216" s="60">
        <v>2</v>
      </c>
      <c r="X216" s="60">
        <v>1</v>
      </c>
      <c r="Y216" s="60">
        <v>2</v>
      </c>
      <c r="Z216" s="60">
        <v>6</v>
      </c>
    </row>
    <row r="217" spans="1:26">
      <c r="A217" s="60">
        <v>6</v>
      </c>
      <c r="B217" s="60">
        <v>6</v>
      </c>
      <c r="C217" s="60">
        <v>2</v>
      </c>
      <c r="D217" s="60">
        <v>2</v>
      </c>
      <c r="E217" s="60">
        <v>2</v>
      </c>
      <c r="F217" s="60">
        <v>6</v>
      </c>
      <c r="G217" s="60">
        <v>6</v>
      </c>
      <c r="H217" s="60">
        <v>2</v>
      </c>
      <c r="I217" s="60">
        <v>2</v>
      </c>
      <c r="J217" s="60">
        <v>2</v>
      </c>
      <c r="K217" s="60">
        <v>6</v>
      </c>
      <c r="L217" s="60">
        <v>2</v>
      </c>
      <c r="M217" s="60">
        <v>6</v>
      </c>
      <c r="N217" s="60">
        <v>6</v>
      </c>
      <c r="O217" s="60">
        <v>6</v>
      </c>
      <c r="P217" s="60">
        <v>6</v>
      </c>
      <c r="Q217" s="60">
        <v>2</v>
      </c>
      <c r="R217" s="60">
        <v>2</v>
      </c>
      <c r="S217" s="60">
        <v>2</v>
      </c>
      <c r="T217" s="60">
        <v>6</v>
      </c>
      <c r="U217" s="60">
        <v>3</v>
      </c>
      <c r="V217" s="60">
        <v>6</v>
      </c>
      <c r="W217" s="60">
        <v>2</v>
      </c>
      <c r="X217" s="60">
        <v>2</v>
      </c>
      <c r="Y217" s="60">
        <v>2</v>
      </c>
      <c r="Z217" s="60">
        <v>4</v>
      </c>
    </row>
    <row r="218" spans="1:26">
      <c r="A218" s="60">
        <v>6</v>
      </c>
      <c r="B218" s="60">
        <v>7</v>
      </c>
      <c r="C218" s="60">
        <v>2</v>
      </c>
      <c r="D218" s="60">
        <v>2</v>
      </c>
      <c r="E218" s="60">
        <v>2</v>
      </c>
      <c r="F218" s="60">
        <v>6</v>
      </c>
      <c r="G218" s="60">
        <v>6</v>
      </c>
      <c r="H218" s="60">
        <v>4</v>
      </c>
      <c r="I218" s="60">
        <v>2</v>
      </c>
      <c r="J218" s="60">
        <v>2</v>
      </c>
      <c r="K218" s="60">
        <v>6</v>
      </c>
      <c r="L218" s="60">
        <v>1</v>
      </c>
      <c r="M218" s="60">
        <v>6</v>
      </c>
      <c r="N218" s="60">
        <v>6</v>
      </c>
      <c r="O218" s="60">
        <v>6</v>
      </c>
      <c r="P218" s="60">
        <v>6</v>
      </c>
      <c r="Q218" s="60">
        <v>2</v>
      </c>
      <c r="R218" s="60">
        <v>2</v>
      </c>
      <c r="S218" s="60">
        <v>2</v>
      </c>
      <c r="T218" s="60">
        <v>6</v>
      </c>
      <c r="U218" s="60">
        <v>2</v>
      </c>
      <c r="V218" s="60">
        <v>6</v>
      </c>
      <c r="W218" s="60">
        <v>4</v>
      </c>
      <c r="X218" s="60">
        <v>2</v>
      </c>
      <c r="Y218" s="60">
        <v>2</v>
      </c>
      <c r="Z218" s="60">
        <v>6</v>
      </c>
    </row>
    <row r="219" spans="1:26">
      <c r="A219" s="60">
        <v>5</v>
      </c>
      <c r="B219" s="60">
        <v>6</v>
      </c>
      <c r="C219" s="60">
        <v>2</v>
      </c>
      <c r="D219" s="60">
        <v>2</v>
      </c>
      <c r="E219" s="60">
        <v>2</v>
      </c>
      <c r="F219" s="60">
        <v>5</v>
      </c>
      <c r="G219" s="60">
        <v>6</v>
      </c>
      <c r="H219" s="60">
        <v>3</v>
      </c>
      <c r="I219" s="60">
        <v>3</v>
      </c>
      <c r="J219" s="60">
        <v>2</v>
      </c>
      <c r="K219" s="60">
        <v>4</v>
      </c>
      <c r="L219" s="60">
        <v>3</v>
      </c>
      <c r="M219" s="60">
        <v>2</v>
      </c>
      <c r="N219" s="60">
        <v>5</v>
      </c>
      <c r="O219" s="60">
        <v>7</v>
      </c>
      <c r="P219" s="60">
        <v>5</v>
      </c>
      <c r="Q219" s="60">
        <v>3</v>
      </c>
      <c r="R219" s="60">
        <v>2</v>
      </c>
      <c r="S219" s="60">
        <v>2</v>
      </c>
      <c r="T219" s="60">
        <v>6</v>
      </c>
      <c r="U219" s="60">
        <v>2</v>
      </c>
      <c r="V219" s="60">
        <v>6</v>
      </c>
      <c r="W219" s="60">
        <v>3</v>
      </c>
      <c r="X219" s="60">
        <v>3</v>
      </c>
      <c r="Y219" s="60">
        <v>3</v>
      </c>
      <c r="Z219" s="60">
        <v>7</v>
      </c>
    </row>
    <row r="220" spans="1:26">
      <c r="A220" s="60">
        <v>7</v>
      </c>
      <c r="B220" s="60">
        <v>6</v>
      </c>
      <c r="C220" s="60">
        <v>2</v>
      </c>
      <c r="D220" s="60">
        <v>2</v>
      </c>
      <c r="E220" s="60">
        <v>2</v>
      </c>
      <c r="F220" s="60">
        <v>6</v>
      </c>
      <c r="G220" s="60">
        <v>6</v>
      </c>
      <c r="H220" s="60">
        <v>3</v>
      </c>
      <c r="I220" s="60">
        <v>2</v>
      </c>
      <c r="J220" s="60">
        <v>2</v>
      </c>
      <c r="K220" s="60">
        <v>5</v>
      </c>
      <c r="L220" s="60">
        <v>2</v>
      </c>
      <c r="M220" s="60">
        <v>5</v>
      </c>
      <c r="N220" s="60">
        <v>6</v>
      </c>
      <c r="O220" s="60">
        <v>6</v>
      </c>
      <c r="P220" s="60">
        <v>6</v>
      </c>
      <c r="Q220" s="60">
        <v>1</v>
      </c>
      <c r="R220" s="60">
        <v>3</v>
      </c>
      <c r="S220" s="60">
        <v>2</v>
      </c>
      <c r="T220" s="60">
        <v>6</v>
      </c>
      <c r="U220" s="60">
        <v>2</v>
      </c>
      <c r="V220" s="60">
        <v>6</v>
      </c>
      <c r="W220" s="60">
        <v>1</v>
      </c>
      <c r="X220" s="60">
        <v>3</v>
      </c>
      <c r="Y220" s="60">
        <v>2</v>
      </c>
      <c r="Z220" s="60">
        <v>6</v>
      </c>
    </row>
    <row r="221" spans="1:26">
      <c r="A221" s="60">
        <v>5</v>
      </c>
      <c r="B221" s="60">
        <v>7</v>
      </c>
      <c r="C221" s="60">
        <v>4</v>
      </c>
      <c r="D221" s="60">
        <v>1</v>
      </c>
      <c r="E221" s="60">
        <v>2</v>
      </c>
      <c r="F221" s="60">
        <v>3</v>
      </c>
      <c r="G221" s="60">
        <v>5</v>
      </c>
      <c r="H221" s="60">
        <v>6</v>
      </c>
      <c r="I221" s="60">
        <v>1</v>
      </c>
      <c r="J221" s="60">
        <v>4</v>
      </c>
      <c r="K221" s="60">
        <v>6</v>
      </c>
      <c r="L221" s="60">
        <v>1</v>
      </c>
      <c r="M221" s="60">
        <v>6</v>
      </c>
      <c r="N221" s="60">
        <v>6</v>
      </c>
      <c r="O221" s="60">
        <v>1</v>
      </c>
      <c r="P221" s="60">
        <v>6</v>
      </c>
      <c r="Q221" s="60">
        <v>2</v>
      </c>
      <c r="R221" s="60">
        <v>3</v>
      </c>
      <c r="S221" s="60">
        <v>1</v>
      </c>
      <c r="T221" s="60">
        <v>7</v>
      </c>
      <c r="U221" s="60">
        <v>2</v>
      </c>
      <c r="V221" s="60">
        <v>7</v>
      </c>
      <c r="W221" s="60">
        <v>3</v>
      </c>
      <c r="X221" s="60">
        <v>5</v>
      </c>
      <c r="Y221" s="60">
        <v>3</v>
      </c>
      <c r="Z221" s="60">
        <v>4</v>
      </c>
    </row>
    <row r="222" spans="1:26">
      <c r="A222" s="60">
        <v>7</v>
      </c>
      <c r="B222" s="60">
        <v>7</v>
      </c>
      <c r="C222" s="60">
        <v>4</v>
      </c>
      <c r="D222" s="60">
        <v>3</v>
      </c>
      <c r="E222" s="60">
        <v>1</v>
      </c>
      <c r="F222" s="60">
        <v>6</v>
      </c>
      <c r="G222" s="60">
        <v>6</v>
      </c>
      <c r="H222" s="60">
        <v>6</v>
      </c>
      <c r="I222" s="60">
        <v>2</v>
      </c>
      <c r="J222" s="60">
        <v>2</v>
      </c>
      <c r="K222" s="60">
        <v>7</v>
      </c>
      <c r="L222" s="60">
        <v>1</v>
      </c>
      <c r="M222" s="60">
        <v>6</v>
      </c>
      <c r="N222" s="60">
        <v>7</v>
      </c>
      <c r="O222" s="60">
        <v>6</v>
      </c>
      <c r="P222" s="60">
        <v>7</v>
      </c>
      <c r="Q222" s="60">
        <v>1</v>
      </c>
      <c r="R222" s="60">
        <v>2</v>
      </c>
      <c r="S222" s="60">
        <v>1</v>
      </c>
      <c r="T222" s="60">
        <v>7</v>
      </c>
      <c r="U222" s="60">
        <v>1</v>
      </c>
      <c r="V222" s="60">
        <v>7</v>
      </c>
      <c r="W222" s="60">
        <v>2</v>
      </c>
      <c r="X222" s="60">
        <v>2</v>
      </c>
      <c r="Y222" s="60">
        <v>1</v>
      </c>
      <c r="Z222" s="60">
        <v>5</v>
      </c>
    </row>
    <row r="223" spans="1:26">
      <c r="A223" s="60">
        <v>7</v>
      </c>
      <c r="B223" s="60">
        <v>1</v>
      </c>
      <c r="C223" s="60">
        <v>5</v>
      </c>
      <c r="D223" s="60">
        <v>5</v>
      </c>
      <c r="E223" s="60">
        <v>6</v>
      </c>
      <c r="F223" s="60">
        <v>2</v>
      </c>
      <c r="G223" s="60">
        <v>2</v>
      </c>
      <c r="H223" s="60">
        <v>4</v>
      </c>
      <c r="I223" s="60">
        <v>5</v>
      </c>
      <c r="J223" s="60">
        <v>5</v>
      </c>
      <c r="K223" s="60">
        <v>3</v>
      </c>
      <c r="L223" s="60">
        <v>5</v>
      </c>
      <c r="M223" s="60">
        <v>2</v>
      </c>
      <c r="N223" s="60">
        <v>2</v>
      </c>
      <c r="O223" s="60">
        <v>6</v>
      </c>
      <c r="P223" s="60">
        <v>2</v>
      </c>
      <c r="Q223" s="60">
        <v>5</v>
      </c>
      <c r="R223" s="60">
        <v>4</v>
      </c>
      <c r="S223" s="60">
        <v>6</v>
      </c>
      <c r="T223" s="60">
        <v>2</v>
      </c>
      <c r="U223" s="60">
        <v>5</v>
      </c>
      <c r="V223" s="60">
        <v>4</v>
      </c>
      <c r="W223" s="60">
        <v>5</v>
      </c>
      <c r="X223" s="60">
        <v>3</v>
      </c>
      <c r="Y223" s="60">
        <v>4</v>
      </c>
      <c r="Z223" s="60">
        <v>2</v>
      </c>
    </row>
    <row r="224" spans="1:26">
      <c r="A224" s="60">
        <v>7</v>
      </c>
      <c r="B224" s="60">
        <v>7</v>
      </c>
      <c r="C224" s="60">
        <v>1</v>
      </c>
      <c r="D224" s="60">
        <v>1</v>
      </c>
      <c r="E224" s="60">
        <v>1</v>
      </c>
      <c r="F224" s="60">
        <v>7</v>
      </c>
      <c r="G224" s="60">
        <v>7</v>
      </c>
      <c r="H224" s="60">
        <v>7</v>
      </c>
      <c r="I224" s="60">
        <v>1</v>
      </c>
      <c r="J224" s="60">
        <v>4</v>
      </c>
      <c r="K224" s="60">
        <v>4</v>
      </c>
      <c r="L224" s="60">
        <v>1</v>
      </c>
      <c r="M224" s="60">
        <v>7</v>
      </c>
      <c r="N224" s="60">
        <v>7</v>
      </c>
      <c r="O224" s="60">
        <v>1</v>
      </c>
      <c r="P224" s="60">
        <v>7</v>
      </c>
      <c r="Q224" s="60">
        <v>1</v>
      </c>
      <c r="R224" s="60">
        <v>2</v>
      </c>
      <c r="S224" s="60">
        <v>2</v>
      </c>
      <c r="T224" s="60">
        <v>6</v>
      </c>
      <c r="U224" s="60">
        <v>1</v>
      </c>
      <c r="V224" s="60">
        <v>7</v>
      </c>
      <c r="W224" s="60">
        <v>1</v>
      </c>
      <c r="X224" s="60">
        <v>1</v>
      </c>
      <c r="Y224" s="60">
        <v>1</v>
      </c>
      <c r="Z224" s="60">
        <v>1</v>
      </c>
    </row>
    <row r="225" spans="1:26">
      <c r="A225" s="60">
        <v>5</v>
      </c>
      <c r="B225" s="60">
        <v>5</v>
      </c>
      <c r="C225" s="60">
        <v>3</v>
      </c>
      <c r="D225" s="60">
        <v>2</v>
      </c>
      <c r="E225" s="60">
        <v>1</v>
      </c>
      <c r="F225" s="60">
        <v>5</v>
      </c>
      <c r="G225" s="60">
        <v>5</v>
      </c>
      <c r="H225" s="60">
        <v>6</v>
      </c>
      <c r="I225" s="60">
        <v>3</v>
      </c>
      <c r="J225" s="60">
        <v>4</v>
      </c>
      <c r="K225" s="60">
        <v>6</v>
      </c>
      <c r="L225" s="60">
        <v>2</v>
      </c>
      <c r="M225" s="60">
        <v>5</v>
      </c>
      <c r="N225" s="60">
        <v>6</v>
      </c>
      <c r="O225" s="60">
        <v>6</v>
      </c>
      <c r="P225" s="60">
        <v>6</v>
      </c>
      <c r="Q225" s="60">
        <v>2</v>
      </c>
      <c r="R225" s="60">
        <v>3</v>
      </c>
      <c r="S225" s="60">
        <v>3</v>
      </c>
      <c r="T225" s="60">
        <v>5</v>
      </c>
      <c r="U225" s="60">
        <v>3</v>
      </c>
      <c r="V225" s="60">
        <v>6</v>
      </c>
      <c r="W225" s="60">
        <v>2</v>
      </c>
      <c r="X225" s="60">
        <v>2</v>
      </c>
      <c r="Y225" s="60">
        <v>2</v>
      </c>
      <c r="Z225" s="60">
        <v>6</v>
      </c>
    </row>
    <row r="226" spans="1:26">
      <c r="A226" s="60">
        <v>6</v>
      </c>
      <c r="B226" s="60">
        <v>7</v>
      </c>
      <c r="C226" s="60">
        <v>4</v>
      </c>
      <c r="D226" s="60">
        <v>2</v>
      </c>
      <c r="E226" s="60">
        <v>2</v>
      </c>
      <c r="F226" s="60">
        <v>4</v>
      </c>
      <c r="G226" s="60">
        <v>6</v>
      </c>
      <c r="H226" s="60">
        <v>6</v>
      </c>
      <c r="I226" s="60">
        <v>1</v>
      </c>
      <c r="J226" s="60">
        <v>6</v>
      </c>
      <c r="K226" s="60">
        <v>4</v>
      </c>
      <c r="L226" s="60">
        <v>3</v>
      </c>
      <c r="M226" s="60">
        <v>6</v>
      </c>
      <c r="N226" s="60">
        <v>6</v>
      </c>
      <c r="O226" s="60">
        <v>6</v>
      </c>
      <c r="P226" s="60">
        <v>4</v>
      </c>
      <c r="Q226" s="60">
        <v>3</v>
      </c>
      <c r="R226" s="60">
        <v>4</v>
      </c>
      <c r="S226" s="60">
        <v>1</v>
      </c>
      <c r="T226" s="60">
        <v>7</v>
      </c>
      <c r="U226" s="60">
        <v>2</v>
      </c>
      <c r="V226" s="60">
        <v>6</v>
      </c>
      <c r="W226" s="60">
        <v>2</v>
      </c>
      <c r="X226" s="60">
        <v>2</v>
      </c>
      <c r="Y226" s="60">
        <v>4</v>
      </c>
      <c r="Z226" s="60">
        <v>4</v>
      </c>
    </row>
    <row r="227" spans="1:26">
      <c r="A227" s="60">
        <v>3</v>
      </c>
      <c r="B227" s="60">
        <v>2</v>
      </c>
      <c r="C227" s="60">
        <v>6</v>
      </c>
      <c r="D227" s="60">
        <v>3</v>
      </c>
      <c r="E227" s="60">
        <v>6</v>
      </c>
      <c r="F227" s="60">
        <v>1</v>
      </c>
      <c r="G227" s="60">
        <v>1</v>
      </c>
      <c r="H227" s="60">
        <v>2</v>
      </c>
      <c r="I227" s="60">
        <v>2</v>
      </c>
      <c r="J227" s="60">
        <v>5</v>
      </c>
      <c r="K227" s="60">
        <v>4</v>
      </c>
      <c r="L227" s="60">
        <v>4</v>
      </c>
      <c r="M227" s="60">
        <v>4</v>
      </c>
      <c r="N227" s="60">
        <v>1</v>
      </c>
      <c r="O227" s="60">
        <v>2</v>
      </c>
      <c r="P227" s="60">
        <v>2</v>
      </c>
      <c r="Q227" s="60">
        <v>1</v>
      </c>
      <c r="R227" s="60">
        <v>6</v>
      </c>
      <c r="S227" s="60">
        <v>6</v>
      </c>
      <c r="T227" s="60">
        <v>3</v>
      </c>
      <c r="U227" s="60">
        <v>6</v>
      </c>
      <c r="V227" s="60">
        <v>2</v>
      </c>
      <c r="W227" s="60">
        <v>6</v>
      </c>
      <c r="X227" s="60">
        <v>6</v>
      </c>
      <c r="Y227" s="60">
        <v>6</v>
      </c>
      <c r="Z227" s="60">
        <v>4</v>
      </c>
    </row>
    <row r="228" spans="1:26">
      <c r="A228" s="60">
        <v>7</v>
      </c>
      <c r="B228" s="60">
        <v>7</v>
      </c>
      <c r="C228" s="60">
        <v>1</v>
      </c>
      <c r="D228" s="60">
        <v>1</v>
      </c>
      <c r="E228" s="60">
        <v>1</v>
      </c>
      <c r="F228" s="60">
        <v>7</v>
      </c>
      <c r="G228" s="60">
        <v>7</v>
      </c>
      <c r="H228" s="60">
        <v>4</v>
      </c>
      <c r="I228" s="60">
        <v>2</v>
      </c>
      <c r="J228" s="60">
        <v>2</v>
      </c>
      <c r="K228" s="60">
        <v>1</v>
      </c>
      <c r="L228" s="60">
        <v>1</v>
      </c>
      <c r="M228" s="60">
        <v>7</v>
      </c>
      <c r="N228" s="60">
        <v>7</v>
      </c>
      <c r="O228" s="60">
        <v>7</v>
      </c>
      <c r="P228" s="60">
        <v>7</v>
      </c>
      <c r="Q228" s="60">
        <v>1</v>
      </c>
      <c r="R228" s="60">
        <v>1</v>
      </c>
      <c r="S228" s="60">
        <v>1</v>
      </c>
      <c r="T228" s="60">
        <v>7</v>
      </c>
      <c r="U228" s="60">
        <v>1</v>
      </c>
      <c r="V228" s="60">
        <v>6</v>
      </c>
      <c r="W228" s="60">
        <v>2</v>
      </c>
      <c r="X228" s="60">
        <v>1</v>
      </c>
      <c r="Y228" s="60">
        <v>1</v>
      </c>
      <c r="Z228" s="60">
        <v>1</v>
      </c>
    </row>
    <row r="229" spans="1:26">
      <c r="A229" s="60">
        <v>6</v>
      </c>
      <c r="B229" s="60">
        <v>7</v>
      </c>
      <c r="C229" s="60">
        <v>3</v>
      </c>
      <c r="D229" s="60">
        <v>1</v>
      </c>
      <c r="E229" s="60">
        <v>1</v>
      </c>
      <c r="F229" s="60">
        <v>6</v>
      </c>
      <c r="G229" s="60">
        <v>6</v>
      </c>
      <c r="H229" s="60">
        <v>4</v>
      </c>
      <c r="I229" s="60">
        <v>3</v>
      </c>
      <c r="J229" s="60">
        <v>3</v>
      </c>
      <c r="K229" s="60">
        <v>5</v>
      </c>
      <c r="L229" s="60">
        <v>2</v>
      </c>
      <c r="M229" s="60">
        <v>7</v>
      </c>
      <c r="N229" s="60">
        <v>5</v>
      </c>
      <c r="O229" s="60">
        <v>5</v>
      </c>
      <c r="P229" s="60">
        <v>6</v>
      </c>
      <c r="Q229" s="60">
        <v>2</v>
      </c>
      <c r="R229" s="60">
        <v>3</v>
      </c>
      <c r="S229" s="60">
        <v>3</v>
      </c>
      <c r="T229" s="60">
        <v>5</v>
      </c>
      <c r="U229" s="60">
        <v>3</v>
      </c>
      <c r="V229" s="60">
        <v>5</v>
      </c>
      <c r="W229" s="60">
        <v>3</v>
      </c>
      <c r="X229" s="60">
        <v>3</v>
      </c>
      <c r="Y229" s="60">
        <v>3</v>
      </c>
      <c r="Z229" s="60">
        <v>5</v>
      </c>
    </row>
    <row r="230" spans="1:26">
      <c r="A230" s="60">
        <v>7</v>
      </c>
      <c r="B230" s="60">
        <v>7</v>
      </c>
      <c r="C230" s="60">
        <v>1</v>
      </c>
      <c r="D230" s="60">
        <v>1</v>
      </c>
      <c r="E230" s="60">
        <v>1</v>
      </c>
      <c r="F230" s="60">
        <v>4</v>
      </c>
      <c r="G230" s="60">
        <v>7</v>
      </c>
      <c r="H230" s="60">
        <v>4</v>
      </c>
      <c r="I230" s="60">
        <v>4</v>
      </c>
      <c r="J230" s="60">
        <v>2</v>
      </c>
      <c r="K230" s="60">
        <v>6</v>
      </c>
      <c r="L230" s="60">
        <v>1</v>
      </c>
      <c r="M230" s="60">
        <v>7</v>
      </c>
      <c r="N230" s="60">
        <v>7</v>
      </c>
      <c r="O230" s="60">
        <v>6</v>
      </c>
      <c r="P230" s="60">
        <v>7</v>
      </c>
      <c r="Q230" s="60">
        <v>1</v>
      </c>
      <c r="R230" s="60">
        <v>4</v>
      </c>
      <c r="S230" s="60">
        <v>1</v>
      </c>
      <c r="T230" s="60">
        <v>6</v>
      </c>
      <c r="U230" s="60">
        <v>1</v>
      </c>
      <c r="V230" s="60">
        <v>7</v>
      </c>
      <c r="W230" s="60">
        <v>1</v>
      </c>
      <c r="X230" s="60">
        <v>1</v>
      </c>
      <c r="Y230" s="60">
        <v>1</v>
      </c>
      <c r="Z230" s="60">
        <v>7</v>
      </c>
    </row>
    <row r="231" spans="1:26">
      <c r="A231" s="60">
        <v>7</v>
      </c>
      <c r="B231" s="60">
        <v>7</v>
      </c>
      <c r="C231" s="60">
        <v>1</v>
      </c>
      <c r="D231" s="60">
        <v>1</v>
      </c>
      <c r="E231" s="60">
        <v>1</v>
      </c>
      <c r="F231" s="60">
        <v>5</v>
      </c>
      <c r="G231" s="60">
        <v>7</v>
      </c>
      <c r="H231" s="60">
        <v>7</v>
      </c>
      <c r="I231" s="60">
        <v>1</v>
      </c>
      <c r="J231" s="60">
        <v>1</v>
      </c>
      <c r="K231" s="60">
        <v>7</v>
      </c>
      <c r="L231" s="60">
        <v>1</v>
      </c>
      <c r="M231" s="60">
        <v>7</v>
      </c>
      <c r="N231" s="60">
        <v>7</v>
      </c>
      <c r="O231" s="60">
        <v>7</v>
      </c>
      <c r="P231" s="60">
        <v>7</v>
      </c>
      <c r="Q231" s="60">
        <v>1</v>
      </c>
      <c r="R231" s="60">
        <v>3</v>
      </c>
      <c r="S231" s="60">
        <v>1</v>
      </c>
      <c r="T231" s="60">
        <v>7</v>
      </c>
      <c r="U231" s="60">
        <v>1</v>
      </c>
      <c r="V231" s="60">
        <v>7</v>
      </c>
      <c r="W231" s="60">
        <v>1</v>
      </c>
      <c r="X231" s="60">
        <v>2</v>
      </c>
      <c r="Y231" s="60">
        <v>1</v>
      </c>
      <c r="Z231" s="60">
        <v>6</v>
      </c>
    </row>
    <row r="232" spans="1:26">
      <c r="A232" s="60">
        <v>5</v>
      </c>
      <c r="B232" s="60">
        <v>4</v>
      </c>
      <c r="C232" s="60">
        <v>5</v>
      </c>
      <c r="D232" s="60">
        <v>5</v>
      </c>
      <c r="E232" s="60">
        <v>5</v>
      </c>
      <c r="F232" s="60">
        <v>4</v>
      </c>
      <c r="G232" s="60">
        <v>4</v>
      </c>
      <c r="H232" s="60">
        <v>5</v>
      </c>
      <c r="I232" s="60">
        <v>5</v>
      </c>
      <c r="J232" s="60">
        <v>4</v>
      </c>
      <c r="K232" s="60">
        <v>4</v>
      </c>
      <c r="L232" s="60">
        <v>5</v>
      </c>
      <c r="M232" s="60">
        <v>5</v>
      </c>
      <c r="N232" s="60">
        <v>5</v>
      </c>
      <c r="O232" s="60">
        <v>5</v>
      </c>
      <c r="P232" s="60">
        <v>5</v>
      </c>
      <c r="Q232" s="60">
        <v>4</v>
      </c>
      <c r="R232" s="60">
        <v>4</v>
      </c>
      <c r="S232" s="60">
        <v>3</v>
      </c>
      <c r="T232" s="60">
        <v>2</v>
      </c>
      <c r="U232" s="60">
        <v>3</v>
      </c>
      <c r="V232" s="60">
        <v>4</v>
      </c>
      <c r="W232" s="60">
        <v>4</v>
      </c>
      <c r="X232" s="60">
        <v>5</v>
      </c>
      <c r="Y232" s="60">
        <v>5</v>
      </c>
      <c r="Z232" s="60">
        <v>5</v>
      </c>
    </row>
    <row r="233" spans="1:26">
      <c r="A233" s="60">
        <v>7</v>
      </c>
      <c r="B233" s="60">
        <v>7</v>
      </c>
      <c r="C233" s="60">
        <v>3</v>
      </c>
      <c r="D233" s="60">
        <v>1</v>
      </c>
      <c r="E233" s="60">
        <v>2</v>
      </c>
      <c r="F233" s="60">
        <v>5</v>
      </c>
      <c r="G233" s="60">
        <v>6</v>
      </c>
      <c r="H233" s="60">
        <v>5</v>
      </c>
      <c r="I233" s="60">
        <v>3</v>
      </c>
      <c r="J233" s="60">
        <v>4</v>
      </c>
      <c r="K233" s="60">
        <v>6</v>
      </c>
      <c r="L233" s="60">
        <v>1</v>
      </c>
      <c r="M233" s="60">
        <v>6</v>
      </c>
      <c r="N233" s="60">
        <v>6</v>
      </c>
      <c r="O233" s="60">
        <v>6</v>
      </c>
      <c r="P233" s="60">
        <v>6</v>
      </c>
      <c r="Q233" s="60">
        <v>2</v>
      </c>
      <c r="R233" s="60">
        <v>3</v>
      </c>
      <c r="S233" s="60">
        <v>1</v>
      </c>
      <c r="T233" s="60">
        <v>7</v>
      </c>
      <c r="U233" s="60">
        <v>2</v>
      </c>
      <c r="V233" s="60">
        <v>6</v>
      </c>
      <c r="W233" s="60">
        <v>3</v>
      </c>
      <c r="X233" s="60">
        <v>4</v>
      </c>
      <c r="Y233" s="60">
        <v>2</v>
      </c>
      <c r="Z233" s="60">
        <v>6</v>
      </c>
    </row>
    <row r="234" spans="1:26">
      <c r="A234" s="60">
        <v>5</v>
      </c>
      <c r="B234" s="60">
        <v>6</v>
      </c>
      <c r="C234" s="60">
        <v>4</v>
      </c>
      <c r="D234" s="60">
        <v>5</v>
      </c>
      <c r="E234" s="60">
        <v>6</v>
      </c>
      <c r="F234" s="60">
        <v>5</v>
      </c>
      <c r="G234" s="60">
        <v>5</v>
      </c>
      <c r="H234" s="60">
        <v>3</v>
      </c>
      <c r="I234" s="60">
        <v>3</v>
      </c>
      <c r="J234" s="60">
        <v>5</v>
      </c>
      <c r="K234" s="60">
        <v>5</v>
      </c>
      <c r="L234" s="60">
        <v>5</v>
      </c>
      <c r="M234" s="60">
        <v>3</v>
      </c>
      <c r="N234" s="60">
        <v>5</v>
      </c>
      <c r="O234" s="60">
        <v>4</v>
      </c>
      <c r="P234" s="60">
        <v>3</v>
      </c>
      <c r="Q234" s="60">
        <v>3</v>
      </c>
      <c r="R234" s="60">
        <v>5</v>
      </c>
      <c r="S234" s="60">
        <v>3</v>
      </c>
      <c r="T234" s="60">
        <v>6</v>
      </c>
      <c r="U234" s="60">
        <v>2</v>
      </c>
      <c r="V234" s="60">
        <v>6</v>
      </c>
      <c r="W234" s="60">
        <v>2</v>
      </c>
      <c r="X234" s="60">
        <v>4</v>
      </c>
      <c r="Y234" s="60">
        <v>2</v>
      </c>
      <c r="Z234" s="60">
        <v>5</v>
      </c>
    </row>
    <row r="235" spans="1:26">
      <c r="A235" s="60">
        <v>6</v>
      </c>
      <c r="B235" s="60">
        <v>6</v>
      </c>
      <c r="C235" s="60">
        <v>7</v>
      </c>
      <c r="D235" s="60">
        <v>5</v>
      </c>
      <c r="E235" s="60">
        <v>5</v>
      </c>
      <c r="F235" s="60">
        <v>5</v>
      </c>
      <c r="G235" s="60">
        <v>6</v>
      </c>
      <c r="H235" s="60">
        <v>4</v>
      </c>
      <c r="I235" s="60">
        <v>5</v>
      </c>
      <c r="J235" s="60">
        <v>5</v>
      </c>
      <c r="K235" s="60">
        <v>5</v>
      </c>
      <c r="L235" s="60">
        <v>6</v>
      </c>
      <c r="M235" s="60">
        <v>5</v>
      </c>
      <c r="N235" s="60">
        <v>5</v>
      </c>
      <c r="O235" s="60">
        <v>6</v>
      </c>
      <c r="P235" s="60">
        <v>5</v>
      </c>
      <c r="Q235" s="60">
        <v>5</v>
      </c>
      <c r="R235" s="60">
        <v>6</v>
      </c>
      <c r="S235" s="60">
        <v>5</v>
      </c>
      <c r="T235" s="60">
        <v>5</v>
      </c>
      <c r="U235" s="60">
        <v>5</v>
      </c>
      <c r="V235" s="60">
        <v>6</v>
      </c>
      <c r="W235" s="60">
        <v>5</v>
      </c>
      <c r="X235" s="60">
        <v>5</v>
      </c>
      <c r="Y235" s="60">
        <v>6</v>
      </c>
      <c r="Z235" s="60">
        <v>6</v>
      </c>
    </row>
    <row r="236" spans="1:26">
      <c r="A236" s="60">
        <v>2</v>
      </c>
      <c r="B236" s="60">
        <v>7</v>
      </c>
      <c r="C236" s="60">
        <v>4</v>
      </c>
      <c r="D236" s="60">
        <v>1</v>
      </c>
      <c r="E236" s="60">
        <v>1</v>
      </c>
      <c r="F236" s="60">
        <v>4</v>
      </c>
      <c r="G236" s="60">
        <v>4</v>
      </c>
      <c r="H236" s="60">
        <v>7</v>
      </c>
      <c r="I236" s="60">
        <v>1</v>
      </c>
      <c r="J236" s="60">
        <v>5</v>
      </c>
      <c r="K236" s="60">
        <v>4</v>
      </c>
      <c r="L236" s="60">
        <v>2</v>
      </c>
      <c r="M236" s="60">
        <v>7</v>
      </c>
      <c r="N236" s="60">
        <v>5</v>
      </c>
      <c r="O236" s="60">
        <v>2</v>
      </c>
      <c r="P236" s="60">
        <v>5</v>
      </c>
      <c r="Q236" s="60">
        <v>2</v>
      </c>
      <c r="R236" s="60">
        <v>4</v>
      </c>
      <c r="S236" s="60">
        <v>2</v>
      </c>
      <c r="T236" s="60">
        <v>7</v>
      </c>
      <c r="U236" s="60">
        <v>2</v>
      </c>
      <c r="V236" s="60">
        <v>7</v>
      </c>
      <c r="W236" s="60">
        <v>2</v>
      </c>
      <c r="X236" s="60">
        <v>4</v>
      </c>
      <c r="Y236" s="60">
        <v>4</v>
      </c>
      <c r="Z236" s="60">
        <v>5</v>
      </c>
    </row>
    <row r="237" spans="1:26">
      <c r="A237" s="60">
        <v>6</v>
      </c>
      <c r="B237" s="60">
        <v>6</v>
      </c>
      <c r="C237" s="60">
        <v>2</v>
      </c>
      <c r="D237" s="60">
        <v>2</v>
      </c>
      <c r="E237" s="60">
        <v>2</v>
      </c>
      <c r="F237" s="60">
        <v>5</v>
      </c>
      <c r="G237" s="60">
        <v>6</v>
      </c>
      <c r="H237" s="60">
        <v>5</v>
      </c>
      <c r="I237" s="60">
        <v>3</v>
      </c>
      <c r="J237" s="60">
        <v>2</v>
      </c>
      <c r="K237" s="60">
        <v>6</v>
      </c>
      <c r="L237" s="60">
        <v>2</v>
      </c>
      <c r="M237" s="60">
        <v>6</v>
      </c>
      <c r="N237" s="60">
        <v>6</v>
      </c>
      <c r="O237" s="60">
        <v>6</v>
      </c>
      <c r="P237" s="60">
        <v>6</v>
      </c>
      <c r="Q237" s="60">
        <v>4</v>
      </c>
      <c r="R237" s="60">
        <v>2</v>
      </c>
      <c r="S237" s="60">
        <v>2</v>
      </c>
      <c r="T237" s="60">
        <v>6</v>
      </c>
      <c r="U237" s="60">
        <v>2</v>
      </c>
      <c r="V237" s="60">
        <v>6</v>
      </c>
      <c r="W237" s="60">
        <v>2</v>
      </c>
      <c r="X237" s="60">
        <v>3</v>
      </c>
      <c r="Y237" s="60">
        <v>2</v>
      </c>
      <c r="Z237" s="60">
        <v>6</v>
      </c>
    </row>
    <row r="238" spans="1:26">
      <c r="A238" s="60">
        <v>6</v>
      </c>
      <c r="B238" s="60">
        <v>7</v>
      </c>
      <c r="C238" s="60">
        <v>2</v>
      </c>
      <c r="D238" s="60">
        <v>2</v>
      </c>
      <c r="E238" s="60">
        <v>1</v>
      </c>
      <c r="F238" s="60">
        <v>6</v>
      </c>
      <c r="G238" s="60">
        <v>6</v>
      </c>
      <c r="H238" s="60">
        <v>4</v>
      </c>
      <c r="I238" s="60">
        <v>3</v>
      </c>
      <c r="J238" s="60">
        <v>5</v>
      </c>
      <c r="K238" s="60">
        <v>6</v>
      </c>
      <c r="L238" s="60">
        <v>2</v>
      </c>
      <c r="M238" s="60">
        <v>6</v>
      </c>
      <c r="N238" s="60">
        <v>6</v>
      </c>
      <c r="O238" s="60">
        <v>6</v>
      </c>
      <c r="P238" s="60">
        <v>7</v>
      </c>
      <c r="Q238" s="60">
        <v>2</v>
      </c>
      <c r="R238" s="60">
        <v>1</v>
      </c>
      <c r="S238" s="60">
        <v>2</v>
      </c>
      <c r="T238" s="60">
        <v>7</v>
      </c>
      <c r="U238" s="60">
        <v>2</v>
      </c>
      <c r="V238" s="60">
        <v>7</v>
      </c>
      <c r="W238" s="60">
        <v>1</v>
      </c>
      <c r="X238" s="60">
        <v>1</v>
      </c>
      <c r="Y238" s="60">
        <v>2</v>
      </c>
      <c r="Z238" s="60">
        <v>6</v>
      </c>
    </row>
    <row r="239" spans="1:26">
      <c r="A239" s="60">
        <v>6</v>
      </c>
      <c r="B239" s="60">
        <v>7</v>
      </c>
      <c r="C239" s="60">
        <v>4</v>
      </c>
      <c r="D239" s="60">
        <v>2</v>
      </c>
      <c r="E239" s="60">
        <v>2</v>
      </c>
      <c r="F239" s="60">
        <v>4</v>
      </c>
      <c r="G239" s="60">
        <v>5</v>
      </c>
      <c r="H239" s="60">
        <v>4</v>
      </c>
      <c r="I239" s="60">
        <v>2</v>
      </c>
      <c r="J239" s="60">
        <v>3</v>
      </c>
      <c r="K239" s="60">
        <v>4</v>
      </c>
      <c r="L239" s="60">
        <v>1</v>
      </c>
      <c r="M239" s="60">
        <v>6</v>
      </c>
      <c r="N239" s="60">
        <v>5</v>
      </c>
      <c r="O239" s="60">
        <v>4</v>
      </c>
      <c r="P239" s="60">
        <v>6</v>
      </c>
      <c r="Q239" s="60">
        <v>1</v>
      </c>
      <c r="R239" s="60">
        <v>3</v>
      </c>
      <c r="S239" s="60">
        <v>2</v>
      </c>
      <c r="T239" s="60">
        <v>6</v>
      </c>
      <c r="U239" s="60">
        <v>1</v>
      </c>
      <c r="V239" s="60">
        <v>7</v>
      </c>
      <c r="W239" s="60">
        <v>2</v>
      </c>
      <c r="X239" s="60">
        <v>1</v>
      </c>
      <c r="Y239" s="60">
        <v>1</v>
      </c>
      <c r="Z239" s="60">
        <v>5</v>
      </c>
    </row>
    <row r="240" spans="1:26">
      <c r="A240" s="60">
        <v>4</v>
      </c>
      <c r="B240" s="60">
        <v>5</v>
      </c>
      <c r="C240" s="60">
        <v>4</v>
      </c>
      <c r="D240" s="60">
        <v>2</v>
      </c>
      <c r="E240" s="60">
        <v>3</v>
      </c>
      <c r="F240" s="60">
        <v>4</v>
      </c>
      <c r="G240" s="60">
        <v>3</v>
      </c>
      <c r="H240" s="60">
        <v>5</v>
      </c>
      <c r="I240" s="60">
        <v>3</v>
      </c>
      <c r="J240" s="60">
        <v>3</v>
      </c>
      <c r="K240" s="60">
        <v>4</v>
      </c>
      <c r="L240" s="60">
        <v>3</v>
      </c>
      <c r="M240" s="60">
        <v>5</v>
      </c>
      <c r="N240" s="60">
        <v>5</v>
      </c>
      <c r="O240" s="60">
        <v>5</v>
      </c>
      <c r="P240" s="60">
        <v>5</v>
      </c>
      <c r="Q240" s="60">
        <v>2</v>
      </c>
      <c r="R240" s="60">
        <v>5</v>
      </c>
      <c r="S240" s="60">
        <v>3</v>
      </c>
      <c r="T240" s="60">
        <v>6</v>
      </c>
      <c r="U240" s="60">
        <v>5</v>
      </c>
      <c r="V240" s="60">
        <v>6</v>
      </c>
      <c r="W240" s="60">
        <v>5</v>
      </c>
      <c r="X240" s="60">
        <v>3</v>
      </c>
      <c r="Y240" s="60">
        <v>3</v>
      </c>
      <c r="Z240" s="60">
        <v>5</v>
      </c>
    </row>
    <row r="241" spans="1:26">
      <c r="A241" s="60">
        <v>5</v>
      </c>
      <c r="B241" s="60">
        <v>6</v>
      </c>
      <c r="C241" s="60">
        <v>4</v>
      </c>
      <c r="D241" s="60">
        <v>4</v>
      </c>
      <c r="E241" s="60">
        <v>5</v>
      </c>
      <c r="F241" s="60">
        <v>3</v>
      </c>
      <c r="G241" s="60">
        <v>3</v>
      </c>
      <c r="H241" s="60">
        <v>6</v>
      </c>
      <c r="I241" s="60">
        <v>5</v>
      </c>
      <c r="J241" s="60">
        <v>5</v>
      </c>
      <c r="K241" s="60">
        <v>4</v>
      </c>
      <c r="L241" s="60">
        <v>5</v>
      </c>
      <c r="M241" s="60">
        <v>4</v>
      </c>
      <c r="N241" s="60">
        <v>3</v>
      </c>
      <c r="O241" s="60">
        <v>4</v>
      </c>
      <c r="P241" s="60">
        <v>4</v>
      </c>
      <c r="Q241" s="60">
        <v>5</v>
      </c>
      <c r="R241" s="60">
        <v>5</v>
      </c>
      <c r="S241" s="60">
        <v>4</v>
      </c>
      <c r="T241" s="60">
        <v>3</v>
      </c>
      <c r="U241" s="60">
        <v>4</v>
      </c>
      <c r="V241" s="60">
        <v>4</v>
      </c>
      <c r="W241" s="60">
        <v>5</v>
      </c>
      <c r="X241" s="60">
        <v>5</v>
      </c>
      <c r="Y241" s="60">
        <v>5</v>
      </c>
      <c r="Z241" s="60">
        <v>5</v>
      </c>
    </row>
    <row r="242" spans="1:26">
      <c r="A242" s="60">
        <v>5</v>
      </c>
      <c r="B242" s="60">
        <v>6</v>
      </c>
      <c r="C242" s="60">
        <v>5</v>
      </c>
      <c r="D242" s="60">
        <v>6</v>
      </c>
      <c r="E242" s="60">
        <v>6</v>
      </c>
      <c r="F242" s="60">
        <v>4</v>
      </c>
      <c r="G242" s="60">
        <v>4</v>
      </c>
      <c r="H242" s="60">
        <v>4</v>
      </c>
      <c r="I242" s="60">
        <v>2</v>
      </c>
      <c r="J242" s="60">
        <v>3</v>
      </c>
      <c r="K242" s="60">
        <v>5</v>
      </c>
      <c r="L242" s="60">
        <v>2</v>
      </c>
      <c r="M242" s="60">
        <v>6</v>
      </c>
      <c r="N242" s="60">
        <v>5</v>
      </c>
      <c r="O242" s="60">
        <v>5</v>
      </c>
      <c r="P242" s="60">
        <v>6</v>
      </c>
      <c r="Q242" s="60">
        <v>2</v>
      </c>
      <c r="R242" s="60">
        <v>3</v>
      </c>
      <c r="S242" s="60">
        <v>2</v>
      </c>
      <c r="T242" s="60">
        <v>6</v>
      </c>
      <c r="U242" s="60">
        <v>1</v>
      </c>
      <c r="V242" s="60">
        <v>7</v>
      </c>
      <c r="W242" s="60">
        <v>1</v>
      </c>
      <c r="X242" s="60">
        <v>2</v>
      </c>
      <c r="Y242" s="60">
        <v>2</v>
      </c>
      <c r="Z242" s="60">
        <v>4</v>
      </c>
    </row>
    <row r="243" spans="1:26">
      <c r="A243" s="60">
        <v>6</v>
      </c>
      <c r="B243" s="60">
        <v>7</v>
      </c>
      <c r="C243" s="60">
        <v>7</v>
      </c>
      <c r="D243" s="60">
        <v>2</v>
      </c>
      <c r="E243" s="60">
        <v>3</v>
      </c>
      <c r="F243" s="60">
        <v>4</v>
      </c>
      <c r="G243" s="60">
        <v>5</v>
      </c>
      <c r="H243" s="60">
        <v>3</v>
      </c>
      <c r="I243" s="60">
        <v>1</v>
      </c>
      <c r="J243" s="60">
        <v>5</v>
      </c>
      <c r="K243" s="60">
        <v>7</v>
      </c>
      <c r="L243" s="60">
        <v>1</v>
      </c>
      <c r="M243" s="60">
        <v>3</v>
      </c>
      <c r="N243" s="60">
        <v>6</v>
      </c>
      <c r="O243" s="60">
        <v>5</v>
      </c>
      <c r="P243" s="60">
        <v>4</v>
      </c>
      <c r="Q243" s="60">
        <v>1</v>
      </c>
      <c r="R243" s="60">
        <v>2</v>
      </c>
      <c r="S243" s="60">
        <v>1</v>
      </c>
      <c r="T243" s="60">
        <v>6</v>
      </c>
      <c r="U243" s="60">
        <v>1</v>
      </c>
      <c r="V243" s="60">
        <v>4</v>
      </c>
      <c r="W243" s="60">
        <v>1</v>
      </c>
      <c r="X243" s="60">
        <v>1</v>
      </c>
      <c r="Y243" s="60">
        <v>5</v>
      </c>
      <c r="Z243" s="60">
        <v>6</v>
      </c>
    </row>
    <row r="244" spans="1:26">
      <c r="A244" s="60">
        <v>5</v>
      </c>
      <c r="B244" s="60">
        <v>5</v>
      </c>
      <c r="C244" s="60">
        <v>3</v>
      </c>
      <c r="D244" s="60">
        <v>1</v>
      </c>
      <c r="E244" s="60">
        <v>2</v>
      </c>
      <c r="F244" s="60">
        <v>4</v>
      </c>
      <c r="G244" s="60">
        <v>5</v>
      </c>
      <c r="H244" s="60">
        <v>5</v>
      </c>
      <c r="I244" s="60">
        <v>3</v>
      </c>
      <c r="J244" s="60">
        <v>2</v>
      </c>
      <c r="K244" s="60">
        <v>7</v>
      </c>
      <c r="L244" s="60">
        <v>2</v>
      </c>
      <c r="M244" s="60">
        <v>6</v>
      </c>
      <c r="N244" s="60">
        <v>6</v>
      </c>
      <c r="O244" s="60">
        <v>5</v>
      </c>
      <c r="P244" s="60">
        <v>5</v>
      </c>
      <c r="Q244" s="60">
        <v>3</v>
      </c>
      <c r="R244" s="60">
        <v>3</v>
      </c>
      <c r="S244" s="60">
        <v>3</v>
      </c>
      <c r="T244" s="60">
        <v>6</v>
      </c>
      <c r="U244" s="60">
        <v>2</v>
      </c>
      <c r="V244" s="60">
        <v>6</v>
      </c>
      <c r="W244" s="60">
        <v>2</v>
      </c>
      <c r="X244" s="60">
        <v>1</v>
      </c>
      <c r="Y244" s="60">
        <v>2</v>
      </c>
      <c r="Z244" s="60">
        <v>6</v>
      </c>
    </row>
    <row r="245" spans="1:26">
      <c r="A245" s="60">
        <v>5</v>
      </c>
      <c r="B245" s="60">
        <v>5</v>
      </c>
      <c r="C245" s="60">
        <v>4</v>
      </c>
      <c r="D245" s="60">
        <v>2</v>
      </c>
      <c r="E245" s="60">
        <v>4</v>
      </c>
      <c r="F245" s="60">
        <v>4</v>
      </c>
      <c r="G245" s="60">
        <v>5</v>
      </c>
      <c r="H245" s="60">
        <v>5</v>
      </c>
      <c r="I245" s="60">
        <v>2</v>
      </c>
      <c r="J245" s="60">
        <v>3</v>
      </c>
      <c r="K245" s="60">
        <v>5</v>
      </c>
      <c r="L245" s="60">
        <v>6</v>
      </c>
      <c r="M245" s="60">
        <v>7</v>
      </c>
      <c r="N245" s="60">
        <v>2</v>
      </c>
      <c r="O245" s="60">
        <v>3</v>
      </c>
      <c r="P245" s="60">
        <v>3</v>
      </c>
      <c r="Q245" s="60">
        <v>2</v>
      </c>
      <c r="R245" s="60">
        <v>4</v>
      </c>
      <c r="S245" s="60">
        <v>3</v>
      </c>
      <c r="T245" s="60">
        <v>6</v>
      </c>
      <c r="U245" s="60">
        <v>2</v>
      </c>
      <c r="V245" s="60">
        <v>5</v>
      </c>
      <c r="W245" s="60">
        <v>5</v>
      </c>
      <c r="X245" s="60">
        <v>3</v>
      </c>
      <c r="Y245" s="60">
        <v>4</v>
      </c>
      <c r="Z245" s="60">
        <v>2</v>
      </c>
    </row>
    <row r="246" spans="1:26">
      <c r="A246" s="60">
        <v>7</v>
      </c>
      <c r="B246" s="60">
        <v>3</v>
      </c>
      <c r="C246" s="60">
        <v>2</v>
      </c>
      <c r="D246" s="60">
        <v>5</v>
      </c>
      <c r="E246" s="60">
        <v>3</v>
      </c>
      <c r="F246" s="60">
        <v>5</v>
      </c>
      <c r="G246" s="60">
        <v>5</v>
      </c>
      <c r="H246" s="60">
        <v>4</v>
      </c>
      <c r="I246" s="60">
        <v>2</v>
      </c>
      <c r="J246" s="60">
        <v>4</v>
      </c>
      <c r="K246" s="60">
        <v>4</v>
      </c>
      <c r="L246" s="60">
        <v>2</v>
      </c>
      <c r="M246" s="60">
        <v>3</v>
      </c>
      <c r="N246" s="60">
        <v>5</v>
      </c>
      <c r="O246" s="60">
        <v>4</v>
      </c>
      <c r="P246" s="60">
        <v>5</v>
      </c>
      <c r="Q246" s="60">
        <v>2</v>
      </c>
      <c r="R246" s="60">
        <v>4</v>
      </c>
      <c r="S246" s="60">
        <v>2</v>
      </c>
      <c r="T246" s="60">
        <v>6</v>
      </c>
      <c r="U246" s="60">
        <v>5</v>
      </c>
      <c r="V246" s="60">
        <v>6</v>
      </c>
      <c r="W246" s="60">
        <v>2</v>
      </c>
      <c r="X246" s="60">
        <v>2</v>
      </c>
      <c r="Y246" s="60">
        <v>2</v>
      </c>
      <c r="Z246" s="60">
        <v>4</v>
      </c>
    </row>
    <row r="247" spans="1:26">
      <c r="A247" s="60">
        <v>6</v>
      </c>
      <c r="B247" s="60">
        <v>6</v>
      </c>
      <c r="C247" s="60">
        <v>7</v>
      </c>
      <c r="D247" s="60">
        <v>2</v>
      </c>
      <c r="E247" s="60">
        <v>2</v>
      </c>
      <c r="F247" s="60">
        <v>2</v>
      </c>
      <c r="G247" s="60">
        <v>2</v>
      </c>
      <c r="H247" s="60">
        <v>7</v>
      </c>
      <c r="I247" s="60">
        <v>2</v>
      </c>
      <c r="J247" s="60">
        <v>4</v>
      </c>
      <c r="K247" s="60">
        <v>6</v>
      </c>
      <c r="L247" s="60">
        <v>2</v>
      </c>
      <c r="M247" s="60">
        <v>6</v>
      </c>
      <c r="N247" s="60">
        <v>2</v>
      </c>
      <c r="O247" s="60">
        <v>2</v>
      </c>
      <c r="P247" s="60">
        <v>5</v>
      </c>
      <c r="Q247" s="60">
        <v>1</v>
      </c>
      <c r="R247" s="60">
        <v>6</v>
      </c>
      <c r="S247" s="60">
        <v>6</v>
      </c>
      <c r="T247" s="60">
        <v>6</v>
      </c>
      <c r="U247" s="60">
        <v>2</v>
      </c>
      <c r="V247" s="60">
        <v>6</v>
      </c>
      <c r="W247" s="60">
        <v>2</v>
      </c>
      <c r="X247" s="60">
        <v>5</v>
      </c>
      <c r="Y247" s="60">
        <v>5</v>
      </c>
      <c r="Z247" s="60">
        <v>1</v>
      </c>
    </row>
    <row r="248" spans="1:26">
      <c r="A248" s="60">
        <v>5</v>
      </c>
      <c r="B248" s="60">
        <v>7</v>
      </c>
      <c r="C248" s="60">
        <v>4</v>
      </c>
      <c r="D248" s="60">
        <v>1</v>
      </c>
      <c r="E248" s="60">
        <v>2</v>
      </c>
      <c r="F248" s="60">
        <v>4</v>
      </c>
      <c r="G248" s="60">
        <v>5</v>
      </c>
      <c r="H248" s="60">
        <v>6</v>
      </c>
      <c r="I248" s="60">
        <v>1</v>
      </c>
      <c r="J248" s="60">
        <v>2</v>
      </c>
      <c r="K248" s="60">
        <v>4</v>
      </c>
      <c r="L248" s="60">
        <v>2</v>
      </c>
      <c r="M248" s="60">
        <v>7</v>
      </c>
      <c r="N248" s="60">
        <v>5</v>
      </c>
      <c r="O248" s="60">
        <v>4</v>
      </c>
      <c r="P248" s="60">
        <v>5</v>
      </c>
      <c r="Q248" s="60">
        <v>1</v>
      </c>
      <c r="R248" s="60">
        <v>3</v>
      </c>
      <c r="S248" s="60">
        <v>2</v>
      </c>
      <c r="T248" s="60">
        <v>7</v>
      </c>
      <c r="U248" s="60">
        <v>1</v>
      </c>
      <c r="V248" s="60">
        <v>7</v>
      </c>
      <c r="W248" s="60">
        <v>1</v>
      </c>
      <c r="X248" s="60">
        <v>4</v>
      </c>
      <c r="Y248" s="60">
        <v>4</v>
      </c>
      <c r="Z248" s="60">
        <v>5</v>
      </c>
    </row>
    <row r="249" spans="1:26">
      <c r="A249" s="60">
        <v>2</v>
      </c>
      <c r="B249" s="60">
        <v>5</v>
      </c>
      <c r="C249" s="60">
        <v>4</v>
      </c>
      <c r="D249" s="60">
        <v>3</v>
      </c>
      <c r="E249" s="60">
        <v>3</v>
      </c>
      <c r="F249" s="60">
        <v>5</v>
      </c>
      <c r="G249" s="60">
        <v>4</v>
      </c>
      <c r="H249" s="60">
        <v>6</v>
      </c>
      <c r="I249" s="60">
        <v>4</v>
      </c>
      <c r="J249" s="60">
        <v>3</v>
      </c>
      <c r="K249" s="60">
        <v>4</v>
      </c>
      <c r="L249" s="60">
        <v>3</v>
      </c>
      <c r="M249" s="60">
        <v>5</v>
      </c>
      <c r="N249" s="60">
        <v>5</v>
      </c>
      <c r="O249" s="60">
        <v>5</v>
      </c>
      <c r="P249" s="60">
        <v>5</v>
      </c>
      <c r="Q249" s="60">
        <v>4</v>
      </c>
      <c r="R249" s="60">
        <v>4</v>
      </c>
      <c r="S249" s="60">
        <v>2</v>
      </c>
      <c r="T249" s="60">
        <v>5</v>
      </c>
      <c r="U249" s="60">
        <v>4</v>
      </c>
      <c r="V249" s="60">
        <v>5</v>
      </c>
      <c r="W249" s="60">
        <v>5</v>
      </c>
      <c r="X249" s="60">
        <v>5</v>
      </c>
      <c r="Y249" s="60">
        <v>4</v>
      </c>
      <c r="Z249" s="60">
        <v>5</v>
      </c>
    </row>
    <row r="250" spans="1:26">
      <c r="A250" s="60">
        <v>5</v>
      </c>
      <c r="B250" s="60">
        <v>6</v>
      </c>
      <c r="C250" s="60">
        <v>4</v>
      </c>
      <c r="D250" s="60">
        <v>2</v>
      </c>
      <c r="E250" s="60">
        <v>2</v>
      </c>
      <c r="F250" s="60">
        <v>4</v>
      </c>
      <c r="G250" s="60">
        <v>6</v>
      </c>
      <c r="H250" s="60">
        <v>6</v>
      </c>
      <c r="I250" s="60">
        <v>2</v>
      </c>
      <c r="J250" s="60">
        <v>3</v>
      </c>
      <c r="K250" s="60">
        <v>4</v>
      </c>
      <c r="L250" s="60">
        <v>2</v>
      </c>
      <c r="M250" s="60">
        <v>7</v>
      </c>
      <c r="N250" s="60">
        <v>5</v>
      </c>
      <c r="O250" s="60">
        <v>2</v>
      </c>
      <c r="P250" s="60">
        <v>4</v>
      </c>
      <c r="Q250" s="60">
        <v>7</v>
      </c>
      <c r="R250" s="60">
        <v>6</v>
      </c>
      <c r="S250" s="60">
        <v>4</v>
      </c>
      <c r="T250" s="60">
        <v>5</v>
      </c>
      <c r="U250" s="60">
        <v>3</v>
      </c>
      <c r="V250" s="60">
        <v>5</v>
      </c>
      <c r="W250" s="60">
        <v>5</v>
      </c>
      <c r="X250" s="60">
        <v>3</v>
      </c>
      <c r="Y250" s="60">
        <v>3</v>
      </c>
      <c r="Z250" s="60">
        <v>4</v>
      </c>
    </row>
    <row r="251" spans="1:26">
      <c r="A251" s="60">
        <v>4</v>
      </c>
      <c r="B251" s="60">
        <v>5</v>
      </c>
      <c r="C251" s="60">
        <v>5</v>
      </c>
      <c r="D251" s="60">
        <v>4</v>
      </c>
      <c r="E251" s="60">
        <v>4</v>
      </c>
      <c r="F251" s="60">
        <v>5</v>
      </c>
      <c r="G251" s="60">
        <v>4</v>
      </c>
      <c r="H251" s="60">
        <v>3</v>
      </c>
      <c r="I251" s="60">
        <v>5</v>
      </c>
      <c r="J251" s="60">
        <v>4</v>
      </c>
      <c r="K251" s="60">
        <v>5</v>
      </c>
      <c r="L251" s="60">
        <v>4</v>
      </c>
      <c r="M251" s="60">
        <v>5</v>
      </c>
      <c r="N251" s="60">
        <v>6</v>
      </c>
      <c r="O251" s="60">
        <v>5</v>
      </c>
      <c r="P251" s="60">
        <v>4</v>
      </c>
      <c r="Q251" s="60">
        <v>6</v>
      </c>
      <c r="R251" s="60">
        <v>4</v>
      </c>
      <c r="S251" s="60">
        <v>4</v>
      </c>
      <c r="T251" s="60">
        <v>4</v>
      </c>
      <c r="U251" s="60">
        <v>3</v>
      </c>
      <c r="V251" s="60">
        <v>5</v>
      </c>
      <c r="W251" s="60">
        <v>4</v>
      </c>
      <c r="X251" s="60">
        <v>3</v>
      </c>
      <c r="Y251" s="60">
        <v>3</v>
      </c>
      <c r="Z251" s="60">
        <v>3</v>
      </c>
    </row>
    <row r="252" spans="1:26">
      <c r="A252" s="60">
        <v>7</v>
      </c>
      <c r="B252" s="60">
        <v>6</v>
      </c>
      <c r="C252" s="60">
        <v>2</v>
      </c>
      <c r="D252" s="60">
        <v>1</v>
      </c>
      <c r="E252" s="60">
        <v>1</v>
      </c>
      <c r="F252" s="60">
        <v>7</v>
      </c>
      <c r="G252" s="60">
        <v>7</v>
      </c>
      <c r="H252" s="60">
        <v>5</v>
      </c>
      <c r="I252" s="60">
        <v>1</v>
      </c>
      <c r="J252" s="60">
        <v>3</v>
      </c>
      <c r="K252" s="60">
        <v>7</v>
      </c>
      <c r="L252" s="60">
        <v>1</v>
      </c>
      <c r="M252" s="60">
        <v>7</v>
      </c>
      <c r="N252" s="60">
        <v>7</v>
      </c>
      <c r="O252" s="60">
        <v>5</v>
      </c>
      <c r="P252" s="60">
        <v>7</v>
      </c>
      <c r="Q252" s="60">
        <v>1</v>
      </c>
      <c r="R252" s="60">
        <v>2</v>
      </c>
      <c r="S252" s="60">
        <v>1</v>
      </c>
      <c r="T252" s="60">
        <v>7</v>
      </c>
      <c r="U252" s="60">
        <v>1</v>
      </c>
      <c r="V252" s="60">
        <v>7</v>
      </c>
      <c r="W252" s="60">
        <v>1</v>
      </c>
      <c r="X252" s="60">
        <v>1</v>
      </c>
      <c r="Y252" s="60">
        <v>1</v>
      </c>
      <c r="Z252" s="60">
        <v>3</v>
      </c>
    </row>
    <row r="253" spans="1:26">
      <c r="A253" s="60">
        <v>5</v>
      </c>
      <c r="B253" s="60">
        <v>5</v>
      </c>
      <c r="C253" s="60">
        <v>5</v>
      </c>
      <c r="D253" s="60">
        <v>2</v>
      </c>
      <c r="E253" s="60">
        <v>3</v>
      </c>
      <c r="F253" s="60">
        <v>4</v>
      </c>
      <c r="G253" s="60">
        <v>5</v>
      </c>
      <c r="H253" s="60">
        <v>5</v>
      </c>
      <c r="I253" s="60">
        <v>2</v>
      </c>
      <c r="J253" s="60">
        <v>3</v>
      </c>
      <c r="K253" s="60">
        <v>5</v>
      </c>
      <c r="L253" s="60">
        <v>2</v>
      </c>
      <c r="M253" s="60">
        <v>5</v>
      </c>
      <c r="N253" s="60">
        <v>3</v>
      </c>
      <c r="O253" s="60">
        <v>3</v>
      </c>
      <c r="P253" s="60">
        <v>5</v>
      </c>
      <c r="Q253" s="60">
        <v>6</v>
      </c>
      <c r="R253" s="60">
        <v>5</v>
      </c>
      <c r="S253" s="60">
        <v>6</v>
      </c>
      <c r="T253" s="60">
        <v>5</v>
      </c>
      <c r="U253" s="60">
        <v>5</v>
      </c>
      <c r="V253" s="60">
        <v>6</v>
      </c>
      <c r="W253" s="60">
        <v>5</v>
      </c>
      <c r="X253" s="60">
        <v>3</v>
      </c>
      <c r="Y253" s="60">
        <v>4</v>
      </c>
      <c r="Z253" s="60">
        <v>5</v>
      </c>
    </row>
    <row r="254" spans="1:26">
      <c r="A254" s="60">
        <v>6</v>
      </c>
      <c r="B254" s="60">
        <v>7</v>
      </c>
      <c r="C254" s="60">
        <v>2</v>
      </c>
      <c r="D254" s="60">
        <v>1</v>
      </c>
      <c r="E254" s="60">
        <v>1</v>
      </c>
      <c r="F254" s="60">
        <v>6</v>
      </c>
      <c r="G254" s="60">
        <v>6</v>
      </c>
      <c r="H254" s="60">
        <v>4</v>
      </c>
      <c r="I254" s="60">
        <v>2</v>
      </c>
      <c r="J254" s="60">
        <v>1</v>
      </c>
      <c r="K254" s="60">
        <v>5</v>
      </c>
      <c r="L254" s="60">
        <v>2</v>
      </c>
      <c r="M254" s="60">
        <v>5</v>
      </c>
      <c r="N254" s="60">
        <v>6</v>
      </c>
      <c r="O254" s="60">
        <v>7</v>
      </c>
      <c r="P254" s="60">
        <v>6</v>
      </c>
      <c r="Q254" s="60">
        <v>1</v>
      </c>
      <c r="R254" s="60">
        <v>3</v>
      </c>
      <c r="S254" s="60">
        <v>1</v>
      </c>
      <c r="T254" s="60">
        <v>6</v>
      </c>
      <c r="U254" s="60">
        <v>1</v>
      </c>
      <c r="V254" s="60">
        <v>6</v>
      </c>
      <c r="W254" s="60">
        <v>1</v>
      </c>
      <c r="X254" s="60">
        <v>2</v>
      </c>
      <c r="Y254" s="60">
        <v>2</v>
      </c>
      <c r="Z254" s="60">
        <v>7</v>
      </c>
    </row>
    <row r="255" spans="1:26">
      <c r="A255" s="60">
        <v>6</v>
      </c>
      <c r="B255" s="60">
        <v>6</v>
      </c>
      <c r="C255" s="60">
        <v>3</v>
      </c>
      <c r="D255" s="60">
        <v>2</v>
      </c>
      <c r="E255" s="60">
        <v>2</v>
      </c>
      <c r="F255" s="60">
        <v>5</v>
      </c>
      <c r="G255" s="60">
        <v>6</v>
      </c>
      <c r="H255" s="60">
        <v>4</v>
      </c>
      <c r="I255" s="60">
        <v>3</v>
      </c>
      <c r="J255" s="60">
        <v>3</v>
      </c>
      <c r="K255" s="60">
        <v>6</v>
      </c>
      <c r="L255" s="60">
        <v>3</v>
      </c>
      <c r="M255" s="60">
        <v>4</v>
      </c>
      <c r="N255" s="60">
        <v>5</v>
      </c>
      <c r="O255" s="60">
        <v>5</v>
      </c>
      <c r="P255" s="60">
        <v>6</v>
      </c>
      <c r="Q255" s="60">
        <v>2</v>
      </c>
      <c r="R255" s="60">
        <v>4</v>
      </c>
      <c r="S255" s="60">
        <v>2</v>
      </c>
      <c r="T255" s="60">
        <v>6</v>
      </c>
      <c r="U255" s="60">
        <v>2</v>
      </c>
      <c r="V255" s="60">
        <v>7</v>
      </c>
      <c r="W255" s="60">
        <v>4</v>
      </c>
      <c r="X255" s="60">
        <v>4</v>
      </c>
      <c r="Y255" s="60">
        <v>3</v>
      </c>
      <c r="Z255" s="60">
        <v>5</v>
      </c>
    </row>
    <row r="256" spans="1:26">
      <c r="A256" s="60">
        <v>6</v>
      </c>
      <c r="B256" s="60">
        <v>6</v>
      </c>
      <c r="C256" s="60">
        <v>5</v>
      </c>
      <c r="D256" s="60">
        <v>5</v>
      </c>
      <c r="E256" s="60">
        <v>7</v>
      </c>
      <c r="F256" s="60">
        <v>7</v>
      </c>
      <c r="G256" s="60">
        <v>7</v>
      </c>
      <c r="H256" s="60">
        <v>5</v>
      </c>
      <c r="I256" s="60">
        <v>6</v>
      </c>
      <c r="J256" s="60">
        <v>5</v>
      </c>
      <c r="K256" s="60">
        <v>5</v>
      </c>
      <c r="L256" s="60">
        <v>6</v>
      </c>
      <c r="M256" s="60">
        <v>3</v>
      </c>
      <c r="N256" s="60">
        <v>3</v>
      </c>
      <c r="O256" s="60">
        <v>6</v>
      </c>
      <c r="P256" s="60">
        <v>3</v>
      </c>
      <c r="Q256" s="60">
        <v>6</v>
      </c>
      <c r="R256" s="60">
        <v>6</v>
      </c>
      <c r="S256" s="60">
        <v>7</v>
      </c>
      <c r="T256" s="60">
        <v>2</v>
      </c>
      <c r="U256" s="60">
        <v>6</v>
      </c>
      <c r="V256" s="60">
        <v>7</v>
      </c>
      <c r="W256" s="60">
        <v>1</v>
      </c>
      <c r="X256" s="60">
        <v>3</v>
      </c>
      <c r="Y256" s="60">
        <v>4</v>
      </c>
      <c r="Z256" s="60">
        <v>4</v>
      </c>
    </row>
    <row r="257" spans="1:26">
      <c r="A257" s="60">
        <v>7</v>
      </c>
      <c r="B257" s="60">
        <v>6</v>
      </c>
      <c r="C257" s="60">
        <v>4</v>
      </c>
      <c r="D257" s="60">
        <v>1</v>
      </c>
      <c r="E257" s="60">
        <v>2</v>
      </c>
      <c r="F257" s="60">
        <v>4</v>
      </c>
      <c r="G257" s="60">
        <v>4</v>
      </c>
      <c r="H257" s="60">
        <v>7</v>
      </c>
      <c r="I257" s="60">
        <v>2</v>
      </c>
      <c r="J257" s="60">
        <v>3</v>
      </c>
      <c r="K257" s="60">
        <v>4</v>
      </c>
      <c r="L257" s="60">
        <v>2</v>
      </c>
      <c r="M257" s="60">
        <v>7</v>
      </c>
      <c r="N257" s="60">
        <v>7</v>
      </c>
      <c r="O257" s="60">
        <v>5</v>
      </c>
      <c r="P257" s="60">
        <v>6</v>
      </c>
      <c r="Q257" s="60">
        <v>2</v>
      </c>
      <c r="R257" s="60">
        <v>2</v>
      </c>
      <c r="S257" s="60">
        <v>1</v>
      </c>
      <c r="T257" s="60">
        <v>7</v>
      </c>
      <c r="U257" s="60">
        <v>1</v>
      </c>
      <c r="V257" s="60">
        <v>7</v>
      </c>
      <c r="W257" s="60">
        <v>2</v>
      </c>
      <c r="X257" s="60">
        <v>2</v>
      </c>
      <c r="Y257" s="60">
        <v>1</v>
      </c>
      <c r="Z257" s="60">
        <v>5</v>
      </c>
    </row>
    <row r="258" spans="1:26">
      <c r="A258" s="60">
        <v>7</v>
      </c>
      <c r="B258" s="60">
        <v>5</v>
      </c>
      <c r="C258" s="60">
        <v>3</v>
      </c>
      <c r="D258" s="60">
        <v>3</v>
      </c>
      <c r="E258" s="60">
        <v>1</v>
      </c>
      <c r="F258" s="60">
        <v>6</v>
      </c>
      <c r="G258" s="60">
        <v>6</v>
      </c>
      <c r="H258" s="60">
        <v>4</v>
      </c>
      <c r="I258" s="60">
        <v>3</v>
      </c>
      <c r="J258" s="60">
        <v>2</v>
      </c>
      <c r="K258" s="60">
        <v>4</v>
      </c>
      <c r="L258" s="60">
        <v>1</v>
      </c>
      <c r="M258" s="60">
        <v>6</v>
      </c>
      <c r="N258" s="60">
        <v>6</v>
      </c>
      <c r="O258" s="60">
        <v>2</v>
      </c>
      <c r="P258" s="60">
        <v>6</v>
      </c>
      <c r="Q258" s="60">
        <v>6</v>
      </c>
      <c r="R258" s="60">
        <v>1</v>
      </c>
      <c r="S258" s="60">
        <v>2</v>
      </c>
      <c r="T258" s="60">
        <v>7</v>
      </c>
      <c r="U258" s="60">
        <v>1</v>
      </c>
      <c r="V258" s="60">
        <v>4</v>
      </c>
      <c r="W258" s="60">
        <v>2</v>
      </c>
      <c r="X258" s="60">
        <v>2</v>
      </c>
      <c r="Y258" s="60">
        <v>2</v>
      </c>
      <c r="Z258" s="60">
        <v>2</v>
      </c>
    </row>
    <row r="1005" s="15" customFormat="1"/>
    <row r="1006" s="15" customFormat="1"/>
    <row r="1007" s="15" customFormat="1"/>
    <row r="1008" s="15" customFormat="1"/>
    <row r="1009" s="15" customFormat="1"/>
    <row r="1010" s="15" customFormat="1"/>
    <row r="1011" s="15" customFormat="1"/>
    <row r="1012" s="15" customFormat="1"/>
    <row r="1013" s="15" customFormat="1"/>
    <row r="1014" s="15" customFormat="1"/>
    <row r="1015" s="15" customFormat="1"/>
    <row r="1016" s="15" customFormat="1"/>
    <row r="1017" s="15" customFormat="1"/>
    <row r="1018" s="15" customFormat="1"/>
    <row r="1019" s="15" customFormat="1"/>
    <row r="1020" s="15" customFormat="1"/>
    <row r="1021" s="15" customFormat="1"/>
    <row r="1022" s="15" customFormat="1"/>
    <row r="1023" s="15" customFormat="1"/>
    <row r="1024" s="15" customFormat="1"/>
    <row r="1025" s="15" customFormat="1"/>
    <row r="1026" s="15" customFormat="1"/>
    <row r="1027" s="15" customFormat="1"/>
    <row r="1028" s="15" customFormat="1"/>
    <row r="1029" s="15" customFormat="1"/>
    <row r="1030" s="15" customFormat="1"/>
    <row r="1031" s="15" customFormat="1"/>
    <row r="1032" s="15" customFormat="1"/>
    <row r="1033" s="15" customFormat="1"/>
    <row r="1034" s="15" customFormat="1"/>
    <row r="1035" s="15" customFormat="1"/>
    <row r="1036" s="15" customFormat="1"/>
    <row r="1037" s="15" customFormat="1"/>
    <row r="1038" s="15" customFormat="1"/>
    <row r="1039" s="15" customFormat="1"/>
    <row r="1040" s="15" customFormat="1"/>
    <row r="1041" s="15" customFormat="1"/>
    <row r="1042" s="15" customFormat="1"/>
    <row r="1043" s="15" customFormat="1"/>
    <row r="1044" s="15" customFormat="1"/>
    <row r="1045" s="15" customFormat="1"/>
    <row r="1046" s="15" customFormat="1"/>
    <row r="1047" s="15" customFormat="1"/>
    <row r="1048" s="15" customFormat="1"/>
    <row r="1049" s="15" customFormat="1"/>
    <row r="1050" s="15" customFormat="1"/>
    <row r="1051" s="15" customFormat="1"/>
    <row r="1052" s="15" customFormat="1"/>
    <row r="1053" s="15" customFormat="1"/>
    <row r="1054" s="15" customFormat="1"/>
    <row r="1055" s="15" customFormat="1"/>
    <row r="1056" s="15" customFormat="1"/>
    <row r="1057" s="15" customFormat="1"/>
    <row r="1058" s="15" customFormat="1"/>
    <row r="1059" s="15" customFormat="1"/>
    <row r="1060" s="15" customFormat="1"/>
    <row r="1061" s="15" customFormat="1"/>
    <row r="1062" s="15" customFormat="1"/>
    <row r="1063" s="15" customFormat="1"/>
    <row r="1064" s="15" customFormat="1"/>
    <row r="1065" s="15" customFormat="1"/>
    <row r="1066" s="15" customFormat="1"/>
    <row r="1067" s="15" customFormat="1"/>
    <row r="1068" s="15" customFormat="1"/>
    <row r="1069" s="15" customFormat="1"/>
    <row r="1070" s="15" customFormat="1"/>
    <row r="1071" s="15" customFormat="1"/>
    <row r="1072" s="15" customFormat="1"/>
    <row r="1073" s="15" customFormat="1"/>
    <row r="1074" s="15" customFormat="1"/>
    <row r="1075" s="15" customFormat="1"/>
    <row r="1076" s="15" customFormat="1"/>
    <row r="1077" s="15" customFormat="1"/>
    <row r="1078" s="15" customFormat="1"/>
    <row r="1079" s="15" customFormat="1"/>
    <row r="1080" s="15" customFormat="1"/>
    <row r="1081" s="15" customFormat="1"/>
    <row r="1082" s="15" customFormat="1"/>
    <row r="1083" s="15" customFormat="1"/>
    <row r="1084" s="15" customFormat="1"/>
    <row r="1085" s="15" customFormat="1"/>
    <row r="1086" s="15" customFormat="1"/>
    <row r="1087" s="15" customFormat="1"/>
    <row r="1088" s="15" customFormat="1"/>
    <row r="1089" s="15" customFormat="1"/>
    <row r="1090" s="15" customFormat="1"/>
    <row r="1091" s="15" customFormat="1"/>
    <row r="1092" s="15" customFormat="1"/>
    <row r="1093" s="15" customFormat="1"/>
    <row r="1094" s="15" customFormat="1"/>
    <row r="1095" s="15" customFormat="1"/>
    <row r="1096" s="15" customFormat="1"/>
    <row r="1097" s="15" customFormat="1"/>
    <row r="1098" s="15" customFormat="1"/>
    <row r="1099" s="15" customFormat="1"/>
    <row r="1100" s="15" customFormat="1"/>
    <row r="1101" s="15" customFormat="1"/>
    <row r="1102" s="15" customFormat="1"/>
    <row r="1103" s="15" customFormat="1"/>
    <row r="1104" s="15" customFormat="1"/>
    <row r="1105" s="15" customFormat="1"/>
    <row r="1106" s="15" customFormat="1"/>
    <row r="1107" s="15" customFormat="1"/>
    <row r="1108" s="15" customFormat="1"/>
    <row r="1109" s="15" customFormat="1"/>
    <row r="1110" s="15" customFormat="1"/>
    <row r="1111" s="15" customFormat="1"/>
    <row r="1112" s="15" customFormat="1"/>
    <row r="1113" s="15" customFormat="1"/>
    <row r="1114" s="15" customFormat="1"/>
    <row r="1115" s="15" customFormat="1"/>
    <row r="1116" s="15" customFormat="1"/>
    <row r="1117" s="15" customFormat="1"/>
    <row r="1118" s="15" customFormat="1"/>
    <row r="1119" s="15" customFormat="1"/>
    <row r="1120" s="15" customFormat="1"/>
    <row r="1121" s="15" customFormat="1"/>
    <row r="1122" s="15" customFormat="1"/>
    <row r="1123" s="15" customFormat="1"/>
    <row r="1124" s="15" customFormat="1"/>
    <row r="1125" s="15" customFormat="1"/>
    <row r="1126" s="15" customFormat="1"/>
    <row r="1127" s="15" customFormat="1"/>
    <row r="1128" s="15" customFormat="1"/>
    <row r="1129" s="15" customFormat="1"/>
    <row r="1130" s="15" customFormat="1"/>
    <row r="1131" s="15" customFormat="1"/>
    <row r="1132" s="15" customFormat="1"/>
    <row r="1133" s="15" customFormat="1"/>
    <row r="1134" s="15" customFormat="1"/>
    <row r="1135" s="15" customFormat="1"/>
    <row r="1136" s="15" customFormat="1"/>
    <row r="1137" s="15" customFormat="1"/>
    <row r="1138" s="15" customFormat="1"/>
    <row r="1139" s="15" customFormat="1"/>
    <row r="1140" s="15" customFormat="1"/>
    <row r="1141" s="15" customFormat="1"/>
    <row r="1142" s="15" customFormat="1"/>
    <row r="1143" s="15" customFormat="1"/>
    <row r="1144" s="15" customFormat="1"/>
    <row r="1145" s="15" customFormat="1"/>
    <row r="1146" s="15" customFormat="1"/>
    <row r="1147" s="15" customFormat="1"/>
    <row r="1148" s="15" customFormat="1"/>
    <row r="1149" s="15" customFormat="1"/>
    <row r="1150" s="15" customFormat="1"/>
    <row r="1151" s="15" customFormat="1"/>
    <row r="1152" s="15" customFormat="1"/>
    <row r="1153" s="15" customFormat="1"/>
    <row r="1154" s="15" customFormat="1"/>
    <row r="1155" s="15" customFormat="1"/>
    <row r="1156" s="15" customFormat="1"/>
    <row r="1157" s="15" customFormat="1"/>
    <row r="1158" s="15" customFormat="1"/>
    <row r="1159" s="15" customFormat="1"/>
    <row r="1160" s="15" customFormat="1"/>
    <row r="1161" s="15" customFormat="1"/>
    <row r="1162" s="15" customFormat="1"/>
    <row r="1163" s="15" customFormat="1"/>
    <row r="1164" s="15" customFormat="1"/>
    <row r="1165" s="15" customFormat="1"/>
    <row r="1166" s="15" customFormat="1"/>
    <row r="1167" s="15" customFormat="1"/>
    <row r="1168" s="15" customFormat="1"/>
    <row r="1169" s="15" customFormat="1"/>
    <row r="1170" s="15" customFormat="1"/>
    <row r="1171" s="15" customFormat="1"/>
    <row r="1172" s="15" customFormat="1"/>
    <row r="1173" s="15" customFormat="1"/>
    <row r="1174" s="15" customFormat="1"/>
    <row r="1175" s="15" customFormat="1"/>
    <row r="1176" s="15" customFormat="1"/>
    <row r="1177" s="15" customFormat="1"/>
    <row r="1178" s="15" customFormat="1"/>
    <row r="1179" s="15" customFormat="1"/>
    <row r="1180" s="15" customFormat="1"/>
    <row r="1181" s="15" customFormat="1"/>
    <row r="1182" s="15" customFormat="1"/>
    <row r="1183" s="15" customFormat="1"/>
    <row r="1184" s="15" customFormat="1"/>
    <row r="1185" s="15" customFormat="1"/>
    <row r="1186" s="15" customFormat="1"/>
    <row r="1187" s="15" customFormat="1"/>
    <row r="1188" s="15" customFormat="1"/>
    <row r="1189" s="15" customFormat="1"/>
    <row r="1190" s="15" customFormat="1"/>
    <row r="1191" s="15" customFormat="1"/>
    <row r="1192" s="15" customFormat="1"/>
    <row r="1193" s="15" customFormat="1"/>
    <row r="1194" s="15" customFormat="1"/>
    <row r="1195" s="15" customFormat="1"/>
    <row r="1196" s="15" customFormat="1"/>
    <row r="1197" s="15" customFormat="1"/>
    <row r="1198" s="15" customFormat="1"/>
    <row r="1199" s="15" customFormat="1"/>
    <row r="1200" s="15" customFormat="1"/>
    <row r="1201" s="15" customFormat="1"/>
    <row r="1202" s="15" customFormat="1"/>
    <row r="1203" s="15" customFormat="1"/>
    <row r="1204" s="15" customFormat="1"/>
    <row r="1205" s="15" customFormat="1"/>
    <row r="1206" s="15" customFormat="1"/>
    <row r="1207" s="15" customFormat="1"/>
    <row r="1208" s="15" customFormat="1"/>
    <row r="1209" s="15" customFormat="1"/>
    <row r="1210" s="15" customFormat="1"/>
    <row r="1211" s="15" customFormat="1"/>
    <row r="1212" s="15" customFormat="1"/>
    <row r="1213" s="15" customFormat="1"/>
    <row r="1214" s="15" customFormat="1"/>
    <row r="1215" s="15" customFormat="1"/>
    <row r="1216" s="15" customFormat="1"/>
    <row r="1217" s="15" customFormat="1"/>
    <row r="1218" s="15" customFormat="1"/>
    <row r="1219" s="15" customFormat="1"/>
    <row r="1220" s="15" customFormat="1"/>
    <row r="1221" s="15" customFormat="1"/>
    <row r="1222" s="15" customFormat="1"/>
    <row r="1223" s="15" customFormat="1"/>
    <row r="1224" s="15" customFormat="1"/>
    <row r="1225" s="15" customFormat="1"/>
    <row r="1226" s="15" customFormat="1"/>
    <row r="1227" s="15" customFormat="1"/>
    <row r="1228" s="15" customFormat="1"/>
    <row r="1229" s="15" customFormat="1"/>
    <row r="1230" s="15" customFormat="1"/>
    <row r="1231" s="15" customFormat="1"/>
    <row r="1232" s="15" customFormat="1"/>
    <row r="1233" s="15" customFormat="1"/>
    <row r="1234" s="15" customFormat="1"/>
    <row r="1235" s="15" customFormat="1"/>
    <row r="1236" s="15" customFormat="1"/>
    <row r="1237" s="15" customFormat="1"/>
    <row r="1238" s="15" customFormat="1"/>
    <row r="1239" s="15" customFormat="1"/>
    <row r="1240" s="15" customFormat="1"/>
    <row r="1241" s="15" customFormat="1"/>
    <row r="1242" s="15" customFormat="1"/>
    <row r="1243" s="15" customFormat="1"/>
    <row r="1244" s="15" customFormat="1"/>
    <row r="1245" s="15" customFormat="1"/>
    <row r="1246" s="15" customFormat="1"/>
    <row r="1247" s="15" customFormat="1"/>
    <row r="1248" s="15" customFormat="1"/>
    <row r="1249" s="15" customFormat="1"/>
    <row r="1250" s="15" customFormat="1"/>
    <row r="1251" s="15" customFormat="1"/>
    <row r="1252" s="15" customFormat="1"/>
    <row r="1253" s="15" customFormat="1"/>
    <row r="1254" s="15" customFormat="1"/>
    <row r="1255" s="15" customFormat="1"/>
    <row r="1256" s="15" customFormat="1"/>
    <row r="1257" s="15" customFormat="1"/>
    <row r="1258" s="15" customFormat="1"/>
    <row r="1259" s="15" customFormat="1"/>
    <row r="1260" s="15" customFormat="1"/>
    <row r="1261" s="15" customFormat="1"/>
    <row r="1262" s="15" customFormat="1"/>
    <row r="1263" s="15" customFormat="1"/>
    <row r="1264" s="15" customFormat="1"/>
    <row r="1265" s="15" customFormat="1"/>
    <row r="1266" s="15" customFormat="1"/>
    <row r="1267" s="15" customFormat="1"/>
    <row r="1268" s="15" customFormat="1"/>
    <row r="1269" s="15" customFormat="1"/>
    <row r="1270" s="15" customFormat="1"/>
    <row r="1271" s="15" customFormat="1"/>
    <row r="1272" s="15" customFormat="1"/>
    <row r="1273" s="15" customFormat="1"/>
    <row r="1274" s="15" customFormat="1"/>
    <row r="1275" s="15" customFormat="1"/>
    <row r="1276" s="15" customFormat="1"/>
    <row r="1277" s="15" customFormat="1"/>
    <row r="1278" s="15" customFormat="1"/>
    <row r="1279" s="15" customFormat="1"/>
    <row r="1280" s="15" customFormat="1"/>
    <row r="1281" s="15" customFormat="1"/>
    <row r="1282" s="15" customFormat="1"/>
    <row r="1283" s="15" customFormat="1"/>
    <row r="1284" s="15" customFormat="1"/>
    <row r="1285" s="15" customFormat="1"/>
    <row r="1286" s="15" customFormat="1"/>
    <row r="1287" s="15" customFormat="1"/>
    <row r="1288" s="15" customFormat="1"/>
    <row r="1289" s="15" customFormat="1"/>
    <row r="1290" s="15" customFormat="1"/>
    <row r="1291" s="15" customFormat="1"/>
    <row r="1292" s="15" customFormat="1"/>
    <row r="1293" s="15" customFormat="1"/>
    <row r="1294" s="15" customFormat="1"/>
    <row r="1295" s="15" customFormat="1"/>
    <row r="1296" s="15" customFormat="1"/>
    <row r="1297" s="15" customFormat="1"/>
    <row r="1298" s="15" customFormat="1"/>
    <row r="1299" s="15" customFormat="1"/>
    <row r="1300" s="15" customFormat="1"/>
    <row r="1301" s="15" customFormat="1"/>
    <row r="1302" s="15" customFormat="1"/>
    <row r="1303" s="15" customFormat="1"/>
    <row r="1304" s="15" customFormat="1"/>
    <row r="1305" s="15" customFormat="1"/>
    <row r="1306" s="15" customFormat="1"/>
    <row r="1307" s="15" customFormat="1"/>
    <row r="1308" s="15" customFormat="1"/>
    <row r="1309" s="15" customFormat="1"/>
    <row r="1310" s="15" customFormat="1"/>
    <row r="1311" s="15" customFormat="1"/>
    <row r="1312" s="15" customFormat="1"/>
    <row r="1313" s="15" customFormat="1"/>
    <row r="1314" s="15" customFormat="1"/>
    <row r="1315" s="15" customFormat="1"/>
    <row r="1316" s="15" customFormat="1"/>
    <row r="1317" s="15" customFormat="1"/>
    <row r="1318" s="15" customFormat="1"/>
    <row r="1319" s="15" customFormat="1"/>
    <row r="1320" s="15" customFormat="1"/>
    <row r="1321" s="15" customFormat="1"/>
    <row r="1322" s="15" customFormat="1"/>
    <row r="1323" s="15" customFormat="1"/>
    <row r="1324" s="15" customFormat="1"/>
    <row r="1325" s="15" customFormat="1"/>
    <row r="1326" s="15" customFormat="1"/>
    <row r="1327" s="15" customFormat="1"/>
    <row r="1328" s="15" customFormat="1"/>
    <row r="1329" s="15" customFormat="1"/>
    <row r="1330" s="15" customFormat="1"/>
    <row r="1331" s="15" customFormat="1"/>
    <row r="1332" s="15" customFormat="1"/>
    <row r="1333" s="15" customFormat="1"/>
    <row r="1334" s="15" customFormat="1"/>
    <row r="1335" s="15" customFormat="1"/>
    <row r="1336" s="15" customFormat="1"/>
    <row r="1337" s="15" customFormat="1"/>
    <row r="1338" s="15" customFormat="1"/>
    <row r="1339" s="15" customFormat="1"/>
    <row r="1340" s="15" customFormat="1"/>
    <row r="1341" s="15" customFormat="1"/>
    <row r="1342" s="15" customFormat="1"/>
    <row r="1343" s="15" customFormat="1"/>
    <row r="1344" s="15" customFormat="1"/>
    <row r="1345" s="15" customFormat="1"/>
    <row r="1346" s="15" customFormat="1"/>
    <row r="1347" s="15" customFormat="1"/>
    <row r="1348" s="15" customFormat="1"/>
    <row r="1349" s="15" customFormat="1"/>
    <row r="1350" s="15" customFormat="1"/>
    <row r="1351" s="15" customFormat="1"/>
    <row r="1352" s="15" customFormat="1"/>
    <row r="1353" s="15" customFormat="1"/>
    <row r="1354" s="15" customFormat="1"/>
    <row r="1355" s="15" customFormat="1"/>
    <row r="1356" s="15" customFormat="1"/>
    <row r="1357" s="15" customFormat="1"/>
    <row r="1358" s="15" customFormat="1"/>
    <row r="1359" s="15" customFormat="1"/>
    <row r="1360" s="15" customFormat="1"/>
    <row r="1361" s="15" customFormat="1"/>
    <row r="1362" s="15" customFormat="1"/>
    <row r="1363" s="15" customFormat="1"/>
    <row r="1364" s="15" customFormat="1"/>
    <row r="1365" s="15" customFormat="1"/>
    <row r="1366" s="15" customFormat="1"/>
    <row r="1367" s="15" customFormat="1"/>
    <row r="1368" s="15" customFormat="1"/>
    <row r="1369" s="15" customFormat="1"/>
    <row r="1370" s="15" customFormat="1"/>
    <row r="1371" s="15" customFormat="1"/>
    <row r="1372" s="15" customFormat="1"/>
    <row r="1373" s="15" customFormat="1"/>
    <row r="1374" s="15" customFormat="1"/>
    <row r="1375" s="15" customFormat="1"/>
    <row r="1376" s="15" customFormat="1"/>
    <row r="1377" s="15" customFormat="1"/>
    <row r="1378" s="15" customFormat="1"/>
    <row r="1379" s="15" customFormat="1"/>
    <row r="1380" s="15" customFormat="1"/>
    <row r="1381" s="15" customFormat="1"/>
    <row r="1382" s="15" customFormat="1"/>
    <row r="1383" s="15" customFormat="1"/>
    <row r="1384" s="15" customFormat="1"/>
    <row r="1385" s="15" customFormat="1"/>
    <row r="1386" s="15" customFormat="1"/>
    <row r="1387" s="15" customFormat="1"/>
    <row r="1388" s="15" customFormat="1"/>
    <row r="1389" s="15" customFormat="1"/>
    <row r="1390" s="15" customFormat="1"/>
    <row r="1391" s="15" customFormat="1"/>
    <row r="1392" s="15" customFormat="1"/>
    <row r="1393" s="15" customFormat="1"/>
    <row r="1394" s="15" customFormat="1"/>
    <row r="1395" s="15" customFormat="1"/>
    <row r="1396" s="15" customFormat="1"/>
    <row r="1397" s="15" customFormat="1"/>
    <row r="1398" s="15" customFormat="1"/>
    <row r="1399" s="15" customFormat="1"/>
    <row r="1400" s="15" customFormat="1"/>
    <row r="1401" s="15" customFormat="1"/>
    <row r="1402" s="15" customFormat="1"/>
    <row r="1403" s="15" customFormat="1"/>
    <row r="1404" s="15" customFormat="1"/>
    <row r="1405" s="15" customFormat="1"/>
    <row r="1406" s="15" customFormat="1"/>
    <row r="1407" s="15" customFormat="1"/>
    <row r="1408" s="15" customFormat="1"/>
    <row r="1409" s="15" customFormat="1"/>
    <row r="1410" s="15" customFormat="1"/>
    <row r="1411" s="15" customFormat="1"/>
    <row r="1412" s="15" customFormat="1"/>
    <row r="1413" s="15" customFormat="1"/>
    <row r="1414" s="15" customFormat="1"/>
    <row r="1415" s="15" customFormat="1"/>
    <row r="1416" s="15" customFormat="1"/>
    <row r="1417" s="15" customFormat="1"/>
    <row r="1418" s="15" customFormat="1"/>
    <row r="1419" s="15" customFormat="1"/>
    <row r="1420" s="15" customFormat="1"/>
    <row r="1421" s="15" customFormat="1"/>
    <row r="1422" s="15" customFormat="1"/>
    <row r="1423" s="15" customFormat="1"/>
    <row r="1424" s="15" customFormat="1"/>
    <row r="1425" s="15" customFormat="1"/>
    <row r="1426" s="15" customFormat="1"/>
    <row r="1427" s="15" customFormat="1"/>
    <row r="1428" s="15" customFormat="1"/>
    <row r="1429" s="15" customFormat="1"/>
    <row r="1430" s="15" customFormat="1"/>
    <row r="1431" s="15" customFormat="1"/>
    <row r="1432" s="15" customFormat="1"/>
    <row r="1433" s="15" customFormat="1"/>
    <row r="1434" s="15" customFormat="1"/>
    <row r="1435" s="15" customFormat="1"/>
    <row r="1436" s="15" customFormat="1"/>
    <row r="1437" s="15" customFormat="1"/>
    <row r="1438" s="15" customFormat="1"/>
    <row r="1439" s="15" customFormat="1"/>
    <row r="1440" s="15" customFormat="1"/>
    <row r="1441" s="15" customFormat="1"/>
    <row r="1442" s="15" customFormat="1"/>
    <row r="1443" s="15" customFormat="1"/>
    <row r="1444" s="15" customFormat="1"/>
    <row r="1445" s="15" customFormat="1"/>
    <row r="1446" s="15" customFormat="1"/>
    <row r="1447" s="15" customFormat="1"/>
    <row r="1448" s="15" customFormat="1"/>
    <row r="1449" s="15" customFormat="1"/>
    <row r="1450" s="15" customFormat="1"/>
    <row r="1451" s="15" customFormat="1"/>
    <row r="1452" s="15" customFormat="1"/>
    <row r="1453" s="15" customFormat="1"/>
    <row r="1454" s="15" customFormat="1"/>
    <row r="1455" s="15" customFormat="1"/>
    <row r="1456" s="15" customFormat="1"/>
    <row r="1457" s="15" customFormat="1"/>
    <row r="1458" s="15" customFormat="1"/>
    <row r="1459" s="15" customFormat="1"/>
    <row r="1460" s="15" customFormat="1"/>
    <row r="1461" s="15" customFormat="1"/>
    <row r="1462" s="15" customFormat="1"/>
    <row r="1463" s="15" customFormat="1"/>
    <row r="1464" s="15" customFormat="1"/>
    <row r="1465" s="15" customFormat="1"/>
    <row r="1466" s="15" customFormat="1"/>
    <row r="1467" s="15" customFormat="1"/>
    <row r="1468" s="15" customFormat="1"/>
    <row r="1469" s="15" customFormat="1"/>
    <row r="1470" s="15" customFormat="1"/>
    <row r="1471" s="15" customFormat="1"/>
    <row r="1472" s="15" customFormat="1"/>
    <row r="1473" s="15" customFormat="1"/>
    <row r="1474" s="15" customFormat="1"/>
    <row r="1475" s="15" customFormat="1"/>
    <row r="1476" s="15" customFormat="1"/>
    <row r="1477" s="15" customFormat="1"/>
    <row r="1478" s="15" customFormat="1"/>
    <row r="1479" s="15" customFormat="1"/>
    <row r="1480" s="15" customFormat="1"/>
    <row r="1481" s="15" customFormat="1"/>
    <row r="1482" s="15" customFormat="1"/>
    <row r="1483" s="15" customFormat="1"/>
    <row r="1484" s="15" customFormat="1"/>
    <row r="1485" s="15" customFormat="1"/>
    <row r="1486" s="15" customFormat="1"/>
    <row r="1487" s="15" customFormat="1"/>
    <row r="1488" s="15" customFormat="1"/>
    <row r="1489" s="15" customFormat="1"/>
    <row r="1490" s="15" customFormat="1"/>
    <row r="1491" s="15" customFormat="1"/>
    <row r="1492" s="15" customFormat="1"/>
    <row r="1493" s="15" customFormat="1"/>
    <row r="1494" s="15" customFormat="1"/>
    <row r="1495" s="15" customFormat="1"/>
    <row r="1496" s="15" customFormat="1"/>
    <row r="1497" s="15" customFormat="1"/>
    <row r="1498" s="15" customFormat="1"/>
    <row r="1499" s="15" customFormat="1"/>
    <row r="1500" s="15" customFormat="1"/>
    <row r="1501" s="15" customFormat="1"/>
    <row r="1502" s="15" customFormat="1"/>
    <row r="1503" s="15" customFormat="1"/>
    <row r="1504" s="15" customFormat="1"/>
    <row r="1505" s="15" customFormat="1"/>
    <row r="1506" s="15" customFormat="1"/>
    <row r="1507" s="15" customFormat="1"/>
    <row r="1508" s="15" customFormat="1"/>
    <row r="1509" s="15" customFormat="1"/>
    <row r="1510" s="15" customFormat="1"/>
    <row r="1511" s="15" customFormat="1"/>
    <row r="1512" s="15" customFormat="1"/>
    <row r="1513" s="15" customFormat="1"/>
    <row r="1514" s="15" customFormat="1"/>
    <row r="1515" s="15" customFormat="1"/>
    <row r="1516" s="15" customFormat="1"/>
    <row r="1517" s="15" customFormat="1"/>
    <row r="1518" s="15" customFormat="1"/>
    <row r="1519" s="15" customFormat="1"/>
    <row r="1520" s="15" customFormat="1"/>
    <row r="1521" s="15" customFormat="1"/>
    <row r="1522" s="15" customFormat="1"/>
    <row r="1523" s="15" customFormat="1"/>
    <row r="1524" s="15" customFormat="1"/>
    <row r="1525" s="15" customFormat="1"/>
    <row r="1526" s="15" customFormat="1"/>
    <row r="1527" s="15" customFormat="1"/>
    <row r="1528" s="15" customFormat="1"/>
    <row r="1529" s="15" customFormat="1"/>
    <row r="1530" s="15" customFormat="1"/>
    <row r="1531" s="15" customFormat="1"/>
    <row r="1532" s="15" customFormat="1"/>
    <row r="1533" s="15" customFormat="1"/>
    <row r="1534" s="15" customFormat="1"/>
    <row r="1535" s="15" customFormat="1"/>
    <row r="1536" s="15" customFormat="1"/>
    <row r="1537" s="15" customFormat="1"/>
    <row r="1538" s="15" customFormat="1"/>
    <row r="1539" s="15" customFormat="1"/>
    <row r="1540" s="15" customFormat="1"/>
    <row r="1541" s="15" customFormat="1"/>
    <row r="1542" s="15" customFormat="1"/>
    <row r="1543" s="15" customFormat="1"/>
    <row r="1544" s="15" customFormat="1"/>
    <row r="1545" s="15" customFormat="1"/>
    <row r="1546" s="15" customFormat="1"/>
    <row r="1547" s="15" customFormat="1"/>
    <row r="1548" s="15" customFormat="1"/>
    <row r="1549" s="15" customFormat="1"/>
    <row r="1550" s="15" customFormat="1"/>
    <row r="1551" s="15" customFormat="1"/>
    <row r="1552" s="15" customFormat="1"/>
    <row r="1553" s="15" customFormat="1"/>
    <row r="1554" s="15" customFormat="1"/>
    <row r="1555" s="15" customFormat="1"/>
    <row r="1556" s="15" customFormat="1"/>
    <row r="1557" s="15" customFormat="1"/>
    <row r="1558" s="15" customFormat="1"/>
    <row r="1559" s="15" customFormat="1"/>
    <row r="1560" s="15" customFormat="1"/>
    <row r="1561" s="15" customFormat="1"/>
    <row r="1562" s="15" customFormat="1"/>
    <row r="1563" s="15" customFormat="1"/>
    <row r="1564" s="15" customFormat="1"/>
    <row r="1565" s="15" customFormat="1"/>
    <row r="1566" s="15" customFormat="1"/>
    <row r="1567" s="15" customFormat="1"/>
    <row r="1568" s="15" customFormat="1"/>
    <row r="1569" s="15" customFormat="1"/>
    <row r="1570" s="15" customFormat="1"/>
    <row r="1571" s="15" customFormat="1"/>
    <row r="1572" s="15" customFormat="1"/>
    <row r="1573" s="15" customFormat="1"/>
    <row r="1574" s="15" customFormat="1"/>
    <row r="1575" s="15" customFormat="1"/>
    <row r="1576" s="15" customFormat="1"/>
    <row r="1577" s="15" customFormat="1"/>
    <row r="1578" s="15" customFormat="1"/>
    <row r="1579" s="15" customFormat="1"/>
    <row r="1580" s="15" customFormat="1"/>
    <row r="1581" s="15" customFormat="1"/>
    <row r="1582" s="15" customFormat="1"/>
    <row r="1583" s="15" customFormat="1"/>
    <row r="1584" s="15" customFormat="1"/>
    <row r="1585" s="15" customFormat="1"/>
    <row r="1586" s="15" customFormat="1"/>
    <row r="1587" s="15" customFormat="1"/>
    <row r="1588" s="15" customFormat="1"/>
    <row r="1589" s="15" customFormat="1"/>
    <row r="1590" s="15" customFormat="1"/>
    <row r="1591" s="15" customFormat="1"/>
    <row r="1592" s="15" customFormat="1"/>
    <row r="1593" s="15" customFormat="1"/>
    <row r="1594" s="15" customFormat="1"/>
    <row r="1595" s="15" customFormat="1"/>
    <row r="1596" s="15" customFormat="1"/>
    <row r="1597" s="15" customFormat="1"/>
    <row r="1598" s="15" customFormat="1"/>
    <row r="1599" s="15" customFormat="1"/>
    <row r="1600" s="15" customFormat="1"/>
    <row r="1601" s="15" customFormat="1"/>
    <row r="1602" s="15" customFormat="1"/>
    <row r="1603" s="15" customFormat="1"/>
    <row r="1604" s="15" customFormat="1"/>
    <row r="1605" s="15" customFormat="1"/>
    <row r="1606" s="15" customFormat="1"/>
    <row r="1607" s="15" customFormat="1"/>
    <row r="1608" s="15" customFormat="1"/>
    <row r="1609" s="15" customFormat="1"/>
    <row r="1610" s="15" customFormat="1"/>
    <row r="1611" s="15" customFormat="1"/>
    <row r="1612" s="15" customFormat="1"/>
    <row r="1613" s="15" customFormat="1"/>
    <row r="1614" s="15" customFormat="1"/>
    <row r="1615" s="15" customFormat="1"/>
    <row r="1616" s="15" customFormat="1"/>
    <row r="1617" s="15" customFormat="1"/>
    <row r="1618" s="15" customFormat="1"/>
    <row r="1619" s="15" customFormat="1"/>
    <row r="1620" s="15" customFormat="1"/>
    <row r="1621" s="15" customFormat="1"/>
    <row r="1622" s="15" customFormat="1"/>
    <row r="1623" s="15" customFormat="1"/>
    <row r="1624" s="15" customFormat="1"/>
    <row r="1625" s="15" customFormat="1"/>
    <row r="1626" s="15" customFormat="1"/>
    <row r="1627" s="15" customFormat="1"/>
    <row r="1628" s="15" customFormat="1"/>
    <row r="1629" s="15" customFormat="1"/>
    <row r="1630" s="15" customFormat="1"/>
    <row r="1631" s="15" customFormat="1"/>
    <row r="1632" s="15" customFormat="1"/>
    <row r="1633" s="15" customFormat="1"/>
    <row r="1634" s="15" customFormat="1"/>
    <row r="1635" s="15" customFormat="1"/>
    <row r="1636" s="15" customFormat="1"/>
    <row r="1637" s="15" customFormat="1"/>
    <row r="1638" s="15" customFormat="1"/>
    <row r="1639" s="15" customFormat="1"/>
    <row r="1640" s="15" customFormat="1"/>
    <row r="1641" s="15" customFormat="1"/>
    <row r="1642" s="15" customFormat="1"/>
    <row r="1643" s="15" customFormat="1"/>
    <row r="1644" s="15" customFormat="1"/>
    <row r="1645" s="15" customFormat="1"/>
    <row r="1646" s="15" customFormat="1"/>
    <row r="1647" s="15" customFormat="1"/>
    <row r="1648" s="15" customFormat="1"/>
    <row r="1649" s="15" customFormat="1"/>
    <row r="1650" s="15" customFormat="1"/>
    <row r="1651" s="15" customFormat="1"/>
    <row r="1652" s="15" customFormat="1"/>
    <row r="1653" s="15" customFormat="1"/>
    <row r="1654" s="15" customFormat="1"/>
    <row r="1655" s="15" customFormat="1"/>
    <row r="1656" s="15" customFormat="1"/>
    <row r="1657" s="15" customFormat="1"/>
    <row r="1658" s="15" customFormat="1"/>
    <row r="1659" s="15" customFormat="1"/>
    <row r="1660" s="15" customFormat="1"/>
    <row r="1661" s="15" customFormat="1"/>
    <row r="1662" s="15" customFormat="1"/>
    <row r="1663" s="15" customFormat="1"/>
    <row r="1664" s="15" customFormat="1"/>
    <row r="1665" s="15" customFormat="1"/>
    <row r="1666" s="15" customFormat="1"/>
    <row r="1667" s="15" customFormat="1"/>
    <row r="1668" s="15" customFormat="1"/>
    <row r="1669" s="15" customFormat="1"/>
    <row r="1670" s="15" customFormat="1"/>
    <row r="1671" s="15" customFormat="1"/>
    <row r="1672" s="15" customFormat="1"/>
    <row r="1673" s="15" customFormat="1"/>
    <row r="1674" s="15" customFormat="1"/>
    <row r="1675" s="15" customFormat="1"/>
    <row r="1676" s="15" customFormat="1"/>
    <row r="1677" s="15" customFormat="1"/>
    <row r="1678" s="15" customFormat="1"/>
    <row r="1679" s="15" customFormat="1"/>
    <row r="1680" s="15" customFormat="1"/>
    <row r="1681" s="15" customFormat="1"/>
    <row r="1682" s="15" customFormat="1"/>
    <row r="1683" s="15" customFormat="1"/>
    <row r="1684" s="15" customFormat="1"/>
    <row r="1685" s="15" customFormat="1"/>
    <row r="1686" s="15" customFormat="1"/>
    <row r="1687" s="15" customFormat="1"/>
    <row r="1688" s="15" customFormat="1"/>
    <row r="1689" s="15" customFormat="1"/>
    <row r="1690" s="15" customFormat="1"/>
    <row r="1691" s="15" customFormat="1"/>
    <row r="1692" s="15" customFormat="1"/>
    <row r="1693" s="15" customFormat="1"/>
    <row r="1694" s="15" customFormat="1"/>
    <row r="1695" s="15" customFormat="1"/>
    <row r="1696" s="15" customFormat="1"/>
    <row r="1697" s="15" customFormat="1"/>
    <row r="1698" s="15" customFormat="1"/>
    <row r="1699" s="15" customFormat="1"/>
    <row r="1700" s="15" customFormat="1"/>
    <row r="1701" s="15" customFormat="1"/>
    <row r="1702" s="15" customFormat="1"/>
    <row r="1703" s="15" customFormat="1"/>
    <row r="1704" s="15" customFormat="1"/>
    <row r="1705" s="15" customFormat="1"/>
    <row r="1706" s="15" customFormat="1"/>
    <row r="1707" s="15" customFormat="1"/>
    <row r="1708" s="15" customFormat="1"/>
    <row r="1709" s="15" customFormat="1"/>
    <row r="1710" s="15" customFormat="1"/>
    <row r="1711" s="15" customFormat="1"/>
    <row r="1712" s="15" customFormat="1"/>
    <row r="1713" s="15" customFormat="1"/>
    <row r="1714" s="15" customFormat="1"/>
    <row r="1715" s="15" customFormat="1"/>
    <row r="1716" s="15" customFormat="1"/>
    <row r="1717" s="15" customFormat="1"/>
    <row r="1718" s="15" customFormat="1"/>
    <row r="1719" s="15" customFormat="1"/>
    <row r="1720" s="15" customFormat="1"/>
    <row r="1721" s="15" customFormat="1"/>
    <row r="1722" s="15" customFormat="1"/>
    <row r="1723" s="15" customFormat="1"/>
    <row r="1724" s="15" customFormat="1"/>
    <row r="1725" s="15" customFormat="1"/>
    <row r="1726" s="15" customFormat="1"/>
    <row r="1727" s="15" customFormat="1"/>
    <row r="1728" s="15" customFormat="1"/>
    <row r="1729" s="15" customFormat="1"/>
    <row r="1730" s="15" customFormat="1"/>
    <row r="1731" s="15" customFormat="1"/>
    <row r="1732" s="15" customFormat="1"/>
    <row r="1733" s="15" customFormat="1"/>
    <row r="1734" s="15" customFormat="1"/>
    <row r="1735" s="15" customFormat="1"/>
    <row r="1736" s="15" customFormat="1"/>
    <row r="1737" s="15" customFormat="1"/>
    <row r="1738" s="15" customFormat="1"/>
    <row r="1739" s="15" customFormat="1"/>
    <row r="1740" s="15" customFormat="1"/>
    <row r="1741" s="15" customFormat="1"/>
    <row r="1742" s="15" customFormat="1"/>
    <row r="1743" s="15" customFormat="1"/>
    <row r="1744" s="15" customFormat="1"/>
    <row r="1745" s="15" customFormat="1"/>
    <row r="1746" s="15" customFormat="1"/>
    <row r="1747" s="15" customFormat="1"/>
    <row r="1748" s="15" customFormat="1"/>
    <row r="1749" s="15" customFormat="1"/>
    <row r="1750" s="15" customFormat="1"/>
    <row r="1751" s="15" customFormat="1"/>
    <row r="1752" s="15" customFormat="1"/>
    <row r="1753" s="15" customFormat="1"/>
    <row r="1754" s="15" customFormat="1"/>
    <row r="1755" s="15" customFormat="1"/>
    <row r="1756" s="15" customFormat="1"/>
    <row r="1757" s="15" customFormat="1"/>
    <row r="1758" s="15" customFormat="1"/>
    <row r="1759" s="15" customFormat="1"/>
    <row r="1760" s="15" customFormat="1"/>
    <row r="1761" s="15" customFormat="1"/>
    <row r="1762" s="15" customFormat="1"/>
    <row r="1763" s="15" customFormat="1"/>
    <row r="1764" s="15" customFormat="1"/>
    <row r="1765" s="15" customFormat="1"/>
    <row r="1766" s="15" customFormat="1"/>
    <row r="1767" s="15" customFormat="1"/>
    <row r="1768" s="15" customFormat="1"/>
    <row r="1769" s="15" customFormat="1"/>
    <row r="1770" s="15" customFormat="1"/>
    <row r="1771" s="15" customFormat="1"/>
    <row r="1772" s="15" customFormat="1"/>
    <row r="1773" s="15" customFormat="1"/>
    <row r="1774" s="15" customFormat="1"/>
    <row r="1775" s="15" customFormat="1"/>
    <row r="1776" s="15" customFormat="1"/>
    <row r="1777" s="15" customFormat="1"/>
    <row r="1778" s="15" customFormat="1"/>
    <row r="1779" s="15" customFormat="1"/>
    <row r="1780" s="15" customFormat="1"/>
    <row r="1781" s="15" customFormat="1"/>
    <row r="1782" s="15" customFormat="1"/>
    <row r="1783" s="15" customFormat="1"/>
    <row r="1784" s="15" customFormat="1"/>
    <row r="1785" s="15" customFormat="1"/>
    <row r="1786" s="15" customFormat="1"/>
    <row r="1787" s="15" customFormat="1"/>
    <row r="1788" s="15" customFormat="1"/>
    <row r="1789" s="15" customFormat="1"/>
    <row r="1790" s="15" customFormat="1"/>
    <row r="1791" s="15" customFormat="1"/>
    <row r="1792" s="15" customFormat="1"/>
    <row r="1793" s="15" customFormat="1"/>
    <row r="1794" s="15" customFormat="1"/>
    <row r="1795" s="15" customFormat="1"/>
    <row r="1796" s="15" customFormat="1"/>
    <row r="1797" s="15" customFormat="1"/>
    <row r="1798" s="15" customFormat="1"/>
    <row r="1799" s="15" customFormat="1"/>
    <row r="1800" s="15" customFormat="1"/>
    <row r="1801" s="15" customFormat="1"/>
    <row r="1802" s="15" customFormat="1"/>
    <row r="1803" s="15" customFormat="1"/>
    <row r="1804" s="15" customFormat="1"/>
    <row r="1805" s="15" customFormat="1"/>
    <row r="1806" s="15" customFormat="1"/>
    <row r="1807" s="15" customFormat="1"/>
    <row r="1808" s="15" customFormat="1"/>
    <row r="1809" s="15" customFormat="1"/>
    <row r="1810" s="15" customFormat="1"/>
    <row r="1811" s="15" customFormat="1"/>
    <row r="1812" s="15" customFormat="1"/>
    <row r="1813" s="15" customFormat="1"/>
    <row r="1814" s="15" customFormat="1"/>
    <row r="1815" s="15" customFormat="1"/>
    <row r="1816" s="15" customFormat="1"/>
    <row r="1817" s="15" customFormat="1"/>
    <row r="1818" s="15" customFormat="1"/>
    <row r="1819" s="15" customFormat="1"/>
    <row r="1820" s="15" customFormat="1"/>
    <row r="1821" s="15" customFormat="1"/>
    <row r="1822" s="15" customFormat="1"/>
    <row r="1823" s="15" customFormat="1"/>
    <row r="1824" s="15" customFormat="1"/>
    <row r="1825" s="15" customFormat="1"/>
    <row r="1826" s="15" customFormat="1"/>
    <row r="1827" s="15" customFormat="1"/>
    <row r="1828" s="15" customFormat="1"/>
    <row r="1829" s="15" customFormat="1"/>
    <row r="1830" s="15" customFormat="1"/>
    <row r="1831" s="15" customFormat="1"/>
    <row r="1832" s="15" customFormat="1"/>
    <row r="1833" s="15" customFormat="1"/>
    <row r="1834" s="15" customFormat="1"/>
    <row r="1835" s="15" customFormat="1"/>
    <row r="1836" s="15" customFormat="1"/>
    <row r="1837" s="15" customFormat="1"/>
    <row r="1838" s="15" customFormat="1"/>
    <row r="1839" s="15" customFormat="1"/>
    <row r="1840" s="15" customFormat="1"/>
    <row r="1841" s="15" customFormat="1"/>
    <row r="1842" s="15" customFormat="1"/>
    <row r="1843" s="15" customFormat="1"/>
    <row r="1844" s="15" customFormat="1"/>
    <row r="1845" s="15" customFormat="1"/>
    <row r="1846" s="15" customFormat="1"/>
    <row r="1847" s="15" customFormat="1"/>
    <row r="1848" s="15" customFormat="1"/>
    <row r="1849" s="15" customFormat="1"/>
    <row r="1850" s="15" customFormat="1"/>
    <row r="1851" s="15" customFormat="1"/>
    <row r="1852" s="15" customFormat="1"/>
    <row r="1853" s="15" customFormat="1"/>
    <row r="1854" s="15" customFormat="1"/>
    <row r="1855" s="15" customFormat="1"/>
    <row r="1856" s="15" customFormat="1"/>
    <row r="1857" s="15" customFormat="1"/>
    <row r="1858" s="15" customFormat="1"/>
    <row r="1859" s="15" customFormat="1"/>
    <row r="1860" s="15" customFormat="1"/>
    <row r="1861" s="15" customFormat="1"/>
    <row r="1862" s="15" customFormat="1"/>
    <row r="1863" s="15" customFormat="1"/>
    <row r="1864" s="15" customFormat="1"/>
    <row r="1865" s="15" customFormat="1"/>
    <row r="1866" s="15" customFormat="1"/>
    <row r="1867" s="15" customFormat="1"/>
    <row r="1868" s="15" customFormat="1"/>
    <row r="1869" s="15" customFormat="1"/>
    <row r="1870" s="15" customFormat="1"/>
    <row r="1871" s="15" customFormat="1"/>
    <row r="1872" s="15" customFormat="1"/>
    <row r="1873" s="15" customFormat="1"/>
    <row r="1874" s="15" customFormat="1"/>
    <row r="1875" s="15" customFormat="1"/>
    <row r="1876" s="15" customFormat="1"/>
    <row r="1877" s="15" customFormat="1"/>
    <row r="1878" s="15" customFormat="1"/>
    <row r="1879" s="15" customFormat="1"/>
    <row r="1880" s="15" customFormat="1"/>
    <row r="1881" s="15" customFormat="1"/>
    <row r="1882" s="15" customFormat="1"/>
    <row r="1883" s="15" customFormat="1"/>
    <row r="1884" s="15" customFormat="1"/>
    <row r="1885" s="15" customFormat="1"/>
    <row r="1886" s="15" customFormat="1"/>
    <row r="1887" s="15" customFormat="1"/>
    <row r="1888" s="15" customFormat="1"/>
    <row r="1889" s="15" customFormat="1"/>
    <row r="1890" s="15" customFormat="1"/>
    <row r="1891" s="15" customFormat="1"/>
    <row r="1892" s="15" customFormat="1"/>
    <row r="1893" s="15" customFormat="1"/>
    <row r="1894" s="15" customFormat="1"/>
    <row r="1895" s="15" customFormat="1"/>
    <row r="1896" s="15" customFormat="1"/>
    <row r="1897" s="15" customFormat="1"/>
    <row r="1898" s="15" customFormat="1"/>
    <row r="1899" s="15" customFormat="1"/>
    <row r="1900" s="15" customFormat="1"/>
    <row r="1901" s="15" customFormat="1"/>
    <row r="1902" s="15" customFormat="1"/>
    <row r="1903" s="15" customFormat="1"/>
    <row r="1904" s="15" customFormat="1"/>
    <row r="1905" s="15" customFormat="1"/>
    <row r="1906" s="15" customFormat="1"/>
    <row r="1907" s="15" customFormat="1"/>
    <row r="1908" s="15" customFormat="1"/>
    <row r="1909" s="15" customFormat="1"/>
    <row r="1910" s="15" customFormat="1"/>
    <row r="1911" s="15" customFormat="1"/>
    <row r="1912" s="15" customFormat="1"/>
    <row r="1913" s="15" customFormat="1"/>
    <row r="1914" s="15" customFormat="1"/>
    <row r="1915" s="15" customFormat="1"/>
    <row r="1916" s="15" customFormat="1"/>
    <row r="1917" s="15" customFormat="1"/>
    <row r="1918" s="15" customFormat="1"/>
    <row r="1919" s="15" customFormat="1"/>
    <row r="1920" s="15" customFormat="1"/>
    <row r="1921" s="15" customFormat="1"/>
    <row r="1922" s="15" customFormat="1"/>
    <row r="1923" s="15" customFormat="1"/>
    <row r="1924" s="15" customFormat="1"/>
    <row r="1925" s="15" customFormat="1"/>
    <row r="1926" s="15" customFormat="1"/>
    <row r="1927" s="15" customFormat="1"/>
    <row r="1928" s="15" customFormat="1"/>
    <row r="1929" s="15" customFormat="1"/>
    <row r="1930" s="15" customFormat="1"/>
    <row r="1931" s="15" customFormat="1"/>
    <row r="1932" s="15" customFormat="1"/>
    <row r="1933" s="15" customFormat="1"/>
    <row r="1934" s="15" customFormat="1"/>
    <row r="1935" s="15" customFormat="1"/>
    <row r="1936" s="15" customFormat="1"/>
    <row r="1937" s="15" customFormat="1"/>
    <row r="1938" s="15" customFormat="1"/>
    <row r="1939" s="15" customFormat="1"/>
    <row r="1940" s="15" customFormat="1"/>
    <row r="1941" s="15" customFormat="1"/>
    <row r="1942" s="15" customFormat="1"/>
    <row r="1943" s="15" customFormat="1"/>
    <row r="1944" s="15" customFormat="1"/>
    <row r="1945" s="15" customFormat="1"/>
    <row r="1946" s="15" customFormat="1"/>
    <row r="1947" s="15" customFormat="1"/>
    <row r="1948" s="15" customFormat="1"/>
    <row r="1949" s="15" customFormat="1"/>
    <row r="1950" s="15" customFormat="1"/>
    <row r="1951" s="15" customFormat="1"/>
    <row r="1952" s="15" customFormat="1"/>
    <row r="1953" s="15" customFormat="1"/>
    <row r="1954" s="15" customFormat="1"/>
    <row r="1955" s="15" customFormat="1"/>
    <row r="1956" s="15" customFormat="1"/>
    <row r="1957" s="15" customFormat="1"/>
    <row r="1958" s="15" customFormat="1"/>
    <row r="1959" s="15" customFormat="1"/>
    <row r="1960" s="15" customFormat="1"/>
    <row r="1961" s="15" customFormat="1"/>
    <row r="1962" s="15" customFormat="1"/>
    <row r="1963" s="15" customFormat="1"/>
    <row r="1964" s="15" customFormat="1"/>
    <row r="1965" s="15" customFormat="1"/>
    <row r="1966" s="15" customFormat="1"/>
    <row r="1967" s="15" customFormat="1"/>
    <row r="1968" s="15" customFormat="1"/>
    <row r="1969" s="15" customFormat="1"/>
    <row r="1970" s="15" customFormat="1"/>
    <row r="1971" s="15" customFormat="1"/>
    <row r="1972" s="15" customFormat="1"/>
    <row r="1973" s="15" customFormat="1"/>
    <row r="1974" s="15" customFormat="1"/>
    <row r="1975" s="15" customFormat="1"/>
    <row r="1976" s="15" customFormat="1"/>
    <row r="1977" s="15" customFormat="1"/>
    <row r="1978" s="15" customFormat="1"/>
    <row r="1979" s="15" customFormat="1"/>
    <row r="1980" s="15" customFormat="1"/>
    <row r="1981" s="15" customFormat="1"/>
    <row r="1982" s="15" customFormat="1"/>
    <row r="1983" s="15" customFormat="1"/>
    <row r="1984" s="15" customFormat="1"/>
    <row r="1985" s="15" customFormat="1"/>
    <row r="1986" s="15" customFormat="1"/>
    <row r="1987" s="15" customFormat="1"/>
    <row r="1988" s="15" customFormat="1"/>
    <row r="1989" s="15" customFormat="1"/>
    <row r="1990" s="15" customFormat="1"/>
    <row r="1991" s="15" customFormat="1"/>
    <row r="1992" s="15" customFormat="1"/>
    <row r="1993" s="15" customFormat="1"/>
    <row r="1994" s="15" customFormat="1"/>
    <row r="1995" s="15" customFormat="1"/>
    <row r="1996" s="15" customFormat="1"/>
    <row r="1997" s="15" customFormat="1"/>
    <row r="1998" s="15" customFormat="1"/>
    <row r="1999" s="15" customFormat="1"/>
    <row r="2000" s="15" customFormat="1"/>
    <row r="2001" s="15" customFormat="1"/>
    <row r="2002" s="15" customFormat="1"/>
    <row r="2003" s="15" customFormat="1"/>
    <row r="2004" s="15" customFormat="1"/>
    <row r="2005" s="15" customFormat="1"/>
    <row r="2006" s="15" customFormat="1"/>
    <row r="2007" s="15" customFormat="1"/>
    <row r="2008" s="15" customFormat="1"/>
    <row r="2009" s="15" customFormat="1"/>
    <row r="2010" s="15" customFormat="1"/>
    <row r="2011" s="15" customFormat="1"/>
    <row r="2012" s="15" customFormat="1"/>
    <row r="2013" s="15" customFormat="1"/>
    <row r="2014" s="15" customFormat="1"/>
    <row r="2015" s="15" customFormat="1"/>
    <row r="2016" s="15" customFormat="1"/>
    <row r="2017" s="15" customFormat="1"/>
    <row r="2018" s="15" customFormat="1"/>
    <row r="2019" s="15" customFormat="1"/>
    <row r="2020" s="15" customFormat="1"/>
    <row r="2021" s="15" customFormat="1"/>
    <row r="2022" s="15" customFormat="1"/>
    <row r="2023" s="15" customFormat="1"/>
    <row r="2024" s="15" customFormat="1"/>
    <row r="2025" s="15" customFormat="1"/>
    <row r="2026" s="15" customFormat="1"/>
    <row r="2027" s="15" customFormat="1"/>
    <row r="2028" s="15" customFormat="1"/>
    <row r="2029" s="15" customFormat="1"/>
    <row r="2030" s="15" customFormat="1"/>
    <row r="2031" s="15" customFormat="1"/>
    <row r="2032" s="15" customFormat="1"/>
    <row r="2033" s="15" customFormat="1"/>
    <row r="2034" s="15" customFormat="1"/>
    <row r="2035" s="15" customFormat="1"/>
    <row r="2036" s="15" customFormat="1"/>
    <row r="2037" s="15" customFormat="1"/>
    <row r="2038" s="15" customFormat="1"/>
    <row r="2039" s="15" customFormat="1"/>
    <row r="2040" s="15" customFormat="1"/>
    <row r="2041" s="15" customFormat="1"/>
    <row r="2042" s="15" customFormat="1"/>
    <row r="2043" s="15" customFormat="1"/>
    <row r="2044" s="15" customFormat="1"/>
    <row r="2045" s="15" customFormat="1"/>
    <row r="2046" s="15" customFormat="1"/>
    <row r="2047" s="15" customFormat="1"/>
    <row r="2048" s="15" customFormat="1"/>
    <row r="2049" s="15" customFormat="1"/>
    <row r="2050" s="15" customFormat="1"/>
    <row r="2051" s="15" customFormat="1"/>
    <row r="2052" s="15" customFormat="1"/>
    <row r="2053" s="15" customFormat="1"/>
    <row r="2054" s="15" customFormat="1"/>
    <row r="2055" s="15" customFormat="1"/>
    <row r="2056" s="15" customFormat="1"/>
    <row r="2057" s="15" customFormat="1"/>
    <row r="2058" s="15" customFormat="1"/>
    <row r="2059" s="15" customFormat="1"/>
    <row r="2060" s="15" customFormat="1"/>
    <row r="2061" s="15" customFormat="1"/>
    <row r="2062" s="15" customFormat="1"/>
    <row r="2063" s="15" customFormat="1"/>
    <row r="2064" s="15" customFormat="1"/>
    <row r="2065" s="15" customFormat="1"/>
    <row r="2066" s="15" customFormat="1"/>
    <row r="2067" s="15" customFormat="1"/>
    <row r="2068" s="15" customFormat="1"/>
    <row r="2069" s="15" customFormat="1"/>
    <row r="2070" s="15" customFormat="1"/>
    <row r="2071" s="15" customFormat="1"/>
    <row r="2072" s="15" customFormat="1"/>
    <row r="2073" s="15" customFormat="1"/>
    <row r="2074" s="15" customFormat="1"/>
    <row r="2075" s="15" customFormat="1"/>
    <row r="2076" s="15" customFormat="1"/>
    <row r="2077" s="15" customFormat="1"/>
    <row r="2078" s="15" customFormat="1"/>
    <row r="2079" s="15" customFormat="1"/>
    <row r="2080" s="15" customFormat="1"/>
    <row r="2081" s="15" customFormat="1"/>
    <row r="2082" s="15" customFormat="1"/>
    <row r="2083" s="15" customFormat="1"/>
    <row r="2084" s="15" customFormat="1"/>
    <row r="2085" s="15" customFormat="1"/>
    <row r="2086" s="15" customFormat="1"/>
    <row r="2087" s="15" customFormat="1"/>
    <row r="2088" s="15" customFormat="1"/>
    <row r="2089" s="15" customFormat="1"/>
    <row r="2090" s="15" customFormat="1"/>
    <row r="2091" s="15" customFormat="1"/>
    <row r="2092" s="15" customFormat="1"/>
    <row r="2093" s="15" customFormat="1"/>
    <row r="2094" s="15" customFormat="1"/>
    <row r="2095" s="15" customFormat="1"/>
    <row r="2096" s="15" customFormat="1"/>
    <row r="2097" s="15" customFormat="1"/>
    <row r="2098" s="15" customFormat="1"/>
    <row r="2099" s="15" customFormat="1"/>
    <row r="2100" s="15" customFormat="1"/>
    <row r="2101" s="15" customFormat="1"/>
    <row r="2102" s="15" customFormat="1"/>
    <row r="2103" s="15" customFormat="1"/>
    <row r="2104" s="15" customFormat="1"/>
    <row r="2105" s="15" customFormat="1"/>
    <row r="2106" s="15" customFormat="1"/>
    <row r="2107" s="15" customFormat="1"/>
    <row r="2108" s="15" customFormat="1"/>
    <row r="2109" s="15" customFormat="1"/>
    <row r="2110" s="15" customFormat="1"/>
    <row r="2111" s="15" customFormat="1"/>
    <row r="2112" s="15" customFormat="1"/>
    <row r="2113" s="15" customFormat="1"/>
    <row r="2114" s="15" customFormat="1"/>
    <row r="2115" s="15" customFormat="1"/>
    <row r="2116" s="15" customFormat="1"/>
    <row r="2117" s="15" customFormat="1"/>
    <row r="2118" s="15" customFormat="1"/>
    <row r="2119" s="15" customFormat="1"/>
    <row r="2120" s="15" customFormat="1"/>
    <row r="2121" s="15" customFormat="1"/>
    <row r="2122" s="15" customFormat="1"/>
    <row r="2123" s="15" customFormat="1"/>
    <row r="2124" s="15" customFormat="1"/>
    <row r="2125" s="15" customFormat="1"/>
    <row r="2126" s="15" customFormat="1"/>
    <row r="2127" s="15" customFormat="1"/>
    <row r="2128" s="15" customFormat="1"/>
    <row r="2129" s="15" customFormat="1"/>
    <row r="2130" s="15" customFormat="1"/>
    <row r="2131" s="15" customFormat="1"/>
    <row r="2132" s="15" customFormat="1"/>
    <row r="2133" s="15" customFormat="1"/>
    <row r="2134" s="15" customFormat="1"/>
    <row r="2135" s="15" customFormat="1"/>
    <row r="2136" s="15" customFormat="1"/>
    <row r="2137" s="15" customFormat="1"/>
    <row r="2138" s="15" customFormat="1"/>
    <row r="2139" s="15" customFormat="1"/>
    <row r="2140" s="15" customFormat="1"/>
    <row r="2141" s="15" customFormat="1"/>
    <row r="2142" s="15" customFormat="1"/>
    <row r="2143" s="15" customFormat="1"/>
    <row r="2144" s="15" customFormat="1"/>
    <row r="2145" s="15" customFormat="1"/>
    <row r="2146" s="15" customFormat="1"/>
    <row r="2147" s="15" customFormat="1"/>
    <row r="2148" s="15" customFormat="1"/>
    <row r="2149" s="15" customFormat="1"/>
    <row r="2150" s="15" customFormat="1"/>
    <row r="2151" s="15" customFormat="1"/>
    <row r="2152" s="15" customFormat="1"/>
    <row r="2153" s="15" customFormat="1"/>
    <row r="2154" s="15" customFormat="1"/>
    <row r="2155" s="15" customFormat="1"/>
    <row r="2156" s="15" customFormat="1"/>
    <row r="2157" s="15" customFormat="1"/>
    <row r="2158" s="15" customFormat="1"/>
    <row r="2159" s="15" customFormat="1"/>
    <row r="2160" s="15" customFormat="1"/>
    <row r="2161" s="15" customFormat="1"/>
    <row r="2162" s="15" customFormat="1"/>
    <row r="2163" s="15" customFormat="1"/>
    <row r="2164" s="15" customFormat="1"/>
    <row r="2165" s="15" customFormat="1"/>
    <row r="2166" s="15" customFormat="1"/>
    <row r="2167" s="15" customFormat="1"/>
    <row r="2168" s="15" customFormat="1"/>
    <row r="2169" s="15" customFormat="1"/>
    <row r="2170" s="15" customFormat="1"/>
    <row r="2171" s="15" customFormat="1"/>
    <row r="2172" s="15" customFormat="1"/>
    <row r="2173" s="15" customFormat="1"/>
    <row r="2174" s="15" customFormat="1"/>
    <row r="2175" s="15" customFormat="1"/>
    <row r="2176" s="15" customFormat="1"/>
    <row r="2177" s="15" customFormat="1"/>
    <row r="2178" s="15" customFormat="1"/>
    <row r="2179" s="15" customFormat="1"/>
    <row r="2180" s="15" customFormat="1"/>
    <row r="2181" s="15" customFormat="1"/>
    <row r="2182" s="15" customFormat="1"/>
    <row r="2183" s="15" customFormat="1"/>
    <row r="2184" s="15" customFormat="1"/>
    <row r="2185" s="15" customFormat="1"/>
    <row r="2186" s="15" customFormat="1"/>
    <row r="2187" s="15" customFormat="1"/>
    <row r="2188" s="15" customFormat="1"/>
    <row r="2189" s="15" customFormat="1"/>
    <row r="2190" s="15" customFormat="1"/>
    <row r="2191" s="15" customFormat="1"/>
    <row r="2192" s="15" customFormat="1"/>
    <row r="2193" s="15" customFormat="1"/>
    <row r="2194" s="15" customFormat="1"/>
    <row r="2195" s="15" customFormat="1"/>
    <row r="2196" s="15" customFormat="1"/>
    <row r="2197" s="15" customFormat="1"/>
    <row r="2198" s="15" customFormat="1"/>
    <row r="2199" s="15" customFormat="1"/>
    <row r="2200" s="15" customFormat="1"/>
    <row r="2201" s="15" customFormat="1"/>
    <row r="2202" s="15" customFormat="1"/>
    <row r="2203" s="15" customFormat="1"/>
    <row r="2204" s="15" customFormat="1"/>
    <row r="2205" s="15" customFormat="1"/>
    <row r="2206" s="15" customFormat="1"/>
    <row r="2207" s="15" customFormat="1"/>
    <row r="2208" s="15" customFormat="1"/>
    <row r="2209" s="15" customFormat="1"/>
    <row r="2210" s="15" customFormat="1"/>
    <row r="2211" s="15" customFormat="1"/>
    <row r="2212" s="15" customFormat="1"/>
    <row r="2213" s="15" customFormat="1"/>
    <row r="2214" s="15" customFormat="1"/>
    <row r="2215" s="15" customFormat="1"/>
    <row r="2216" s="15" customFormat="1"/>
    <row r="2217" s="15" customFormat="1"/>
    <row r="2218" s="15" customFormat="1"/>
    <row r="2219" s="15" customFormat="1"/>
    <row r="2220" s="15" customFormat="1"/>
    <row r="2221" s="15" customFormat="1"/>
    <row r="2222" s="15" customFormat="1"/>
    <row r="2223" s="15" customFormat="1"/>
    <row r="2224" s="15" customFormat="1"/>
    <row r="2225" s="15" customFormat="1"/>
    <row r="2226" s="15" customFormat="1"/>
    <row r="2227" s="15" customFormat="1"/>
    <row r="2228" s="15" customFormat="1"/>
    <row r="2229" s="15" customFormat="1"/>
    <row r="2230" s="15" customFormat="1"/>
    <row r="2231" s="15" customFormat="1"/>
    <row r="2232" s="15" customFormat="1"/>
    <row r="2233" s="15" customFormat="1"/>
    <row r="2234" s="15" customFormat="1"/>
    <row r="2235" s="15" customFormat="1"/>
    <row r="2236" s="15" customFormat="1"/>
    <row r="2237" s="15" customFormat="1"/>
    <row r="2238" s="15" customFormat="1"/>
    <row r="2239" s="15" customFormat="1"/>
    <row r="2240" s="15" customFormat="1"/>
    <row r="2241" s="15" customFormat="1"/>
    <row r="2242" s="15" customFormat="1"/>
    <row r="2243" s="15" customFormat="1"/>
    <row r="2244" s="15" customFormat="1"/>
    <row r="2245" s="15" customFormat="1"/>
    <row r="2246" s="15" customFormat="1"/>
  </sheetData>
  <mergeCells count="2">
    <mergeCell ref="A1:Z1"/>
    <mergeCell ref="A2:Z2"/>
  </mergeCells>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174"/>
  <sheetViews>
    <sheetView topLeftCell="G1" workbookViewId="0">
      <selection activeCell="G1004" sqref="G1004"/>
    </sheetView>
  </sheetViews>
  <sheetFormatPr defaultColWidth="9.109375" defaultRowHeight="14.4"/>
  <cols>
    <col min="1" max="26" width="3.6640625" style="1" customWidth="1"/>
    <col min="27" max="28" width="4.44140625" customWidth="1"/>
    <col min="29" max="34" width="13.77734375" style="1" customWidth="1"/>
  </cols>
  <sheetData>
    <row r="1" spans="1:34" ht="96" customHeight="1">
      <c r="A1" s="169" t="s">
        <v>819</v>
      </c>
      <c r="B1" s="170"/>
      <c r="C1" s="170"/>
      <c r="D1" s="170"/>
      <c r="E1" s="170"/>
      <c r="F1" s="170"/>
      <c r="G1" s="170"/>
      <c r="H1" s="170"/>
      <c r="I1" s="170"/>
      <c r="J1" s="170"/>
      <c r="K1" s="170"/>
      <c r="L1" s="170"/>
      <c r="M1" s="170"/>
      <c r="N1" s="170"/>
      <c r="O1" s="170"/>
      <c r="P1" s="170"/>
      <c r="Q1" s="170"/>
      <c r="R1" s="170"/>
      <c r="S1" s="170"/>
      <c r="T1" s="170"/>
      <c r="U1" s="170"/>
      <c r="V1" s="170"/>
      <c r="W1" s="170"/>
      <c r="X1" s="170"/>
      <c r="Y1" s="170"/>
      <c r="Z1" s="171"/>
      <c r="AA1" s="15"/>
      <c r="AB1" s="15"/>
      <c r="AC1" s="174"/>
      <c r="AD1" s="174"/>
      <c r="AE1" s="174"/>
      <c r="AF1" s="174"/>
      <c r="AG1" s="174"/>
      <c r="AH1" s="174"/>
    </row>
    <row r="2" spans="1:34">
      <c r="A2" s="172" t="s">
        <v>0</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C2" s="173" t="s">
        <v>1265</v>
      </c>
      <c r="AD2" s="173"/>
      <c r="AE2" s="173"/>
      <c r="AF2" s="173"/>
      <c r="AG2" s="173"/>
      <c r="AH2" s="173"/>
    </row>
    <row r="3" spans="1:34">
      <c r="A3" s="106">
        <v>1</v>
      </c>
      <c r="B3" s="106">
        <v>2</v>
      </c>
      <c r="C3" s="106">
        <v>3</v>
      </c>
      <c r="D3" s="106">
        <v>4</v>
      </c>
      <c r="E3" s="106">
        <v>5</v>
      </c>
      <c r="F3" s="106">
        <v>6</v>
      </c>
      <c r="G3" s="106">
        <v>7</v>
      </c>
      <c r="H3" s="106">
        <v>8</v>
      </c>
      <c r="I3" s="106">
        <v>9</v>
      </c>
      <c r="J3" s="106">
        <v>10</v>
      </c>
      <c r="K3" s="106">
        <v>11</v>
      </c>
      <c r="L3" s="107">
        <v>12</v>
      </c>
      <c r="M3" s="108">
        <v>13</v>
      </c>
      <c r="N3" s="106">
        <v>14</v>
      </c>
      <c r="O3" s="107">
        <v>15</v>
      </c>
      <c r="P3" s="107">
        <v>16</v>
      </c>
      <c r="Q3" s="107">
        <v>17</v>
      </c>
      <c r="R3" s="107">
        <v>18</v>
      </c>
      <c r="S3" s="108">
        <v>19</v>
      </c>
      <c r="T3" s="107">
        <v>20</v>
      </c>
      <c r="U3" s="108">
        <v>21</v>
      </c>
      <c r="V3" s="106">
        <v>22</v>
      </c>
      <c r="W3" s="107">
        <v>23</v>
      </c>
      <c r="X3" s="107">
        <v>24</v>
      </c>
      <c r="Y3" s="107">
        <v>25</v>
      </c>
      <c r="Z3" s="110">
        <v>26</v>
      </c>
      <c r="AA3" s="66"/>
      <c r="AC3" s="111" t="str">
        <f>VLOOKUP(Read_First!B5,Items!A1:BI50,54,FALSE)</f>
        <v>Attractiveness</v>
      </c>
      <c r="AD3" s="112" t="str">
        <f>VLOOKUP(Read_First!B5,Items!A1:BI50,55,FALSE)</f>
        <v>Perspicuity</v>
      </c>
      <c r="AE3" s="113" t="str">
        <f>VLOOKUP(Read_First!B5,Items!A1:BI50,56,FALSE)</f>
        <v>Efficiency</v>
      </c>
      <c r="AF3" s="112" t="str">
        <f>VLOOKUP(Read_First!B5,Items!A1:BI50,57,FALSE)</f>
        <v>Dependability</v>
      </c>
      <c r="AG3" s="113" t="str">
        <f>VLOOKUP(Read_First!B5,Items!A1:BI50,58,FALSE)</f>
        <v>Stimulation</v>
      </c>
      <c r="AH3" s="114" t="str">
        <f>VLOOKUP(Read_First!B5,Items!A1:BI50,59,FALSE)</f>
        <v>Novelty</v>
      </c>
    </row>
    <row r="4" spans="1:34">
      <c r="A4" s="67">
        <f>IF(Data!A4&gt;0,Data!A4-4,"")</f>
        <v>2</v>
      </c>
      <c r="B4" s="67">
        <f>IF(Data!B4&gt;0,Data!B4-4,"")</f>
        <v>3</v>
      </c>
      <c r="C4" s="67">
        <f>IF(Data!C4&gt;0,4-Data!C4,"")</f>
        <v>2</v>
      </c>
      <c r="D4" s="67">
        <f>IF(Data!D4&gt;0,4-Data!D4,"")</f>
        <v>3</v>
      </c>
      <c r="E4" s="67">
        <f>IF(Data!E4&gt;0,4-Data!E4,"")</f>
        <v>2</v>
      </c>
      <c r="F4" s="67">
        <f>IF(Data!F4&gt;0,Data!F4-4,"")</f>
        <v>2</v>
      </c>
      <c r="G4" s="67">
        <f>IF(Data!G4&gt;0,Data!G4-4,"")</f>
        <v>2</v>
      </c>
      <c r="H4" s="67">
        <f>IF(Data!H4&gt;0,Data!H4-4,"")</f>
        <v>2</v>
      </c>
      <c r="I4" s="67">
        <f>IF(Data!I4&gt;0,4-Data!I4,"")</f>
        <v>2</v>
      </c>
      <c r="J4" s="67">
        <f>IF(Data!J4&gt;0,4-Data!J4,"")</f>
        <v>1</v>
      </c>
      <c r="K4" s="67">
        <f>IF(Data!K4&gt;0,Data!K4-4,"")</f>
        <v>2</v>
      </c>
      <c r="L4" s="67">
        <f>IF(Data!L4&gt;0,4-Data!L4,"")</f>
        <v>2</v>
      </c>
      <c r="M4" s="67">
        <f>IF(Data!M4&gt;0,Data!M4-4,"")</f>
        <v>1</v>
      </c>
      <c r="N4" s="67">
        <f>IF(Data!N4&gt;0,Data!N4-4,"")</f>
        <v>2</v>
      </c>
      <c r="O4" s="67">
        <f>IF(Data!O4&gt;0,Data!O4-4,"")</f>
        <v>1</v>
      </c>
      <c r="P4" s="67">
        <f>IF(Data!P4&gt;0,Data!P4-4,"")</f>
        <v>1</v>
      </c>
      <c r="Q4" s="67">
        <f>IF(Data!Q4&gt;0,4-Data!Q4,"")</f>
        <v>2</v>
      </c>
      <c r="R4" s="67">
        <f>IF(Data!R4&gt;0,4-Data!R4,"")</f>
        <v>2</v>
      </c>
      <c r="S4" s="67">
        <f>IF(Data!S4&gt;0,4-Data!S4,"")</f>
        <v>2</v>
      </c>
      <c r="T4" s="67">
        <f>IF(Data!T4&gt;0,Data!T4-4,"")</f>
        <v>2</v>
      </c>
      <c r="U4" s="67">
        <f>IF(Data!U4&gt;0,4-Data!U4,"")</f>
        <v>2</v>
      </c>
      <c r="V4" s="67">
        <f>IF(Data!V4&gt;0,Data!V4-4,"")</f>
        <v>2</v>
      </c>
      <c r="W4" s="67">
        <f>IF(Data!W4&gt;0,4-Data!W4,"")</f>
        <v>2</v>
      </c>
      <c r="X4" s="67">
        <f>IF(Data!X4&gt;0,4-Data!X4,"")</f>
        <v>2</v>
      </c>
      <c r="Y4" s="67">
        <f>IF(Data!Y4&gt;0,4-Data!Y4,"")</f>
        <v>2</v>
      </c>
      <c r="Z4" s="67">
        <f>IF(Data!Z4&gt;0,Data!Z4-4,"")</f>
        <v>2</v>
      </c>
      <c r="AC4" s="68">
        <f t="shared" ref="AC4:AC68" si="0">IF(COUNT(A4,L4,N4,P4,X4,Y4)&gt;0,AVERAGE(A4,L4,N4,P4,X4,Y4),"")</f>
        <v>1.8333333333333333</v>
      </c>
      <c r="AD4" s="68">
        <f>IF(COUNT(B4,D4,M4,U4)&gt;0,AVERAGE(B4,D4,M4,U4),"")</f>
        <v>2.25</v>
      </c>
      <c r="AE4" s="68">
        <f>IF(COUNT(I4,T4,V4,W4)&gt;0,AVERAGE(I4,T4,V4,W4),"")</f>
        <v>2</v>
      </c>
      <c r="AF4" s="68">
        <f>IF(COUNT(H4,K4,Q4,S4)&gt;0,AVERAGE(H4,K4,Q4,S4),"")</f>
        <v>2</v>
      </c>
      <c r="AG4" s="68">
        <f>IF(COUNT(E4,F4,G4,R4)&gt;0,AVERAGE(E4,F4,G4,R4),"")</f>
        <v>2</v>
      </c>
      <c r="AH4" s="68">
        <f>IF(COUNT(C4,J4,O4,Z4)&gt;0,AVERAGE(C4,J4,O4,Z4),"")</f>
        <v>1.5</v>
      </c>
    </row>
    <row r="5" spans="1:34">
      <c r="A5" s="1">
        <f>IF(Data!A5&gt;0,Data!A5-4,"")</f>
        <v>3</v>
      </c>
      <c r="B5" s="1">
        <f>IF(Data!B5&gt;0,Data!B5-4,"")</f>
        <v>3</v>
      </c>
      <c r="C5" s="1">
        <f>IF(Data!C5&gt;0,4-Data!C5,"")</f>
        <v>3</v>
      </c>
      <c r="D5" s="1">
        <f>IF(Data!D5&gt;0,4-Data!D5,"")</f>
        <v>3</v>
      </c>
      <c r="E5" s="1">
        <f>IF(Data!E5&gt;0,4-Data!E5,"")</f>
        <v>3</v>
      </c>
      <c r="F5" s="1">
        <f>IF(Data!F5&gt;0,Data!F5-4,"")</f>
        <v>3</v>
      </c>
      <c r="G5" s="1">
        <f>IF(Data!G5&gt;0,Data!G5-4,"")</f>
        <v>3</v>
      </c>
      <c r="H5" s="1">
        <f>IF(Data!H5&gt;0,Data!H5-4,"")</f>
        <v>3</v>
      </c>
      <c r="I5" s="1">
        <f>IF(Data!I5&gt;0,4-Data!I5,"")</f>
        <v>3</v>
      </c>
      <c r="J5" s="1">
        <f>IF(Data!J5&gt;0,4-Data!J5,"")</f>
        <v>3</v>
      </c>
      <c r="K5" s="1">
        <f>IF(Data!K5&gt;0,Data!K5-4,"")</f>
        <v>3</v>
      </c>
      <c r="L5" s="1">
        <f>IF(Data!L5&gt;0,4-Data!L5,"")</f>
        <v>3</v>
      </c>
      <c r="M5" s="1">
        <f>IF(Data!M5&gt;0,Data!M5-4,"")</f>
        <v>3</v>
      </c>
      <c r="N5" s="1">
        <f>IF(Data!N5&gt;0,Data!N5-4,"")</f>
        <v>3</v>
      </c>
      <c r="O5" s="1">
        <f>IF(Data!O5&gt;0,Data!O5-4,"")</f>
        <v>-3</v>
      </c>
      <c r="P5" s="1">
        <f>IF(Data!P5&gt;0,Data!P5-4,"")</f>
        <v>3</v>
      </c>
      <c r="Q5" s="1">
        <f>IF(Data!Q5&gt;0,4-Data!Q5,"")</f>
        <v>3</v>
      </c>
      <c r="R5" s="1">
        <f>IF(Data!R5&gt;0,4-Data!R5,"")</f>
        <v>3</v>
      </c>
      <c r="S5" s="1">
        <f>IF(Data!S5&gt;0,4-Data!S5,"")</f>
        <v>3</v>
      </c>
      <c r="T5" s="1">
        <f>IF(Data!T5&gt;0,Data!T5-4,"")</f>
        <v>3</v>
      </c>
      <c r="U5" s="1">
        <f>IF(Data!U5&gt;0,4-Data!U5,"")</f>
        <v>3</v>
      </c>
      <c r="V5" s="1">
        <f>IF(Data!V5&gt;0,Data!V5-4,"")</f>
        <v>3</v>
      </c>
      <c r="W5" s="1">
        <f>IF(Data!W5&gt;0,4-Data!W5,"")</f>
        <v>3</v>
      </c>
      <c r="X5" s="1">
        <f>IF(Data!X5&gt;0,4-Data!X5,"")</f>
        <v>3</v>
      </c>
      <c r="Y5" s="1">
        <f>IF(Data!Y5&gt;0,4-Data!Y5,"")</f>
        <v>3</v>
      </c>
      <c r="Z5" s="1">
        <f>IF(Data!Z5&gt;0,Data!Z5-4,"")</f>
        <v>-3</v>
      </c>
      <c r="AC5" s="7">
        <f t="shared" si="0"/>
        <v>3</v>
      </c>
      <c r="AD5" s="7">
        <f t="shared" ref="AD5:AD68" si="1">IF(COUNT(B5,D5,M5,U5)&gt;0,AVERAGE(B5,D5,M5,U5),"")</f>
        <v>3</v>
      </c>
      <c r="AE5" s="7">
        <f t="shared" ref="AE5:AE68" si="2">IF(COUNT(I5,T5,V5,W5)&gt;0,AVERAGE(I5,T5,V5,W5),"")</f>
        <v>3</v>
      </c>
      <c r="AF5" s="7">
        <f t="shared" ref="AF5:AF68" si="3">IF(COUNT(H5,K5,Q5,S5)&gt;0,AVERAGE(H5,K5,Q5,S5),"")</f>
        <v>3</v>
      </c>
      <c r="AG5" s="7">
        <f t="shared" ref="AG5:AG68" si="4">IF(COUNT(E5,F5,G5,R5)&gt;0,AVERAGE(E5,F5,G5,R5),"")</f>
        <v>3</v>
      </c>
      <c r="AH5" s="7">
        <f t="shared" ref="AH5:AH68" si="5">IF(COUNT(C5,J5,O5,Z5)&gt;0,AVERAGE(C5,J5,O5,Z5),"")</f>
        <v>0</v>
      </c>
    </row>
    <row r="6" spans="1:34">
      <c r="A6" s="1">
        <f>IF(Data!A6&gt;0,Data!A6-4,"")</f>
        <v>3</v>
      </c>
      <c r="B6" s="1">
        <f>IF(Data!B6&gt;0,Data!B6-4,"")</f>
        <v>3</v>
      </c>
      <c r="C6" s="1">
        <f>IF(Data!C6&gt;0,4-Data!C6,"")</f>
        <v>2</v>
      </c>
      <c r="D6" s="1">
        <f>IF(Data!D6&gt;0,4-Data!D6,"")</f>
        <v>3</v>
      </c>
      <c r="E6" s="1">
        <f>IF(Data!E6&gt;0,4-Data!E6,"")</f>
        <v>3</v>
      </c>
      <c r="F6" s="1">
        <f>IF(Data!F6&gt;0,Data!F6-4,"")</f>
        <v>1</v>
      </c>
      <c r="G6" s="1">
        <f>IF(Data!G6&gt;0,Data!G6-4,"")</f>
        <v>2</v>
      </c>
      <c r="H6" s="1">
        <f>IF(Data!H6&gt;0,Data!H6-4,"")</f>
        <v>-2</v>
      </c>
      <c r="I6" s="1">
        <f>IF(Data!I6&gt;0,4-Data!I6,"")</f>
        <v>2</v>
      </c>
      <c r="J6" s="1">
        <f>IF(Data!J6&gt;0,4-Data!J6,"")</f>
        <v>2</v>
      </c>
      <c r="K6" s="1">
        <f>IF(Data!K6&gt;0,Data!K6-4,"")</f>
        <v>1</v>
      </c>
      <c r="L6" s="1">
        <f>IF(Data!L6&gt;0,4-Data!L6,"")</f>
        <v>3</v>
      </c>
      <c r="M6" s="1">
        <f>IF(Data!M6&gt;0,Data!M6-4,"")</f>
        <v>1</v>
      </c>
      <c r="N6" s="1">
        <f>IF(Data!N6&gt;0,Data!N6-4,"")</f>
        <v>2</v>
      </c>
      <c r="O6" s="1">
        <f>IF(Data!O6&gt;0,Data!O6-4,"")</f>
        <v>2</v>
      </c>
      <c r="P6" s="1">
        <f>IF(Data!P6&gt;0,Data!P6-4,"")</f>
        <v>2</v>
      </c>
      <c r="Q6" s="1">
        <f>IF(Data!Q6&gt;0,4-Data!Q6,"")</f>
        <v>2</v>
      </c>
      <c r="R6" s="1">
        <f>IF(Data!R6&gt;0,4-Data!R6,"")</f>
        <v>1</v>
      </c>
      <c r="S6" s="1">
        <f>IF(Data!S6&gt;0,4-Data!S6,"")</f>
        <v>2</v>
      </c>
      <c r="T6" s="1">
        <f>IF(Data!T6&gt;0,Data!T6-4,"")</f>
        <v>2</v>
      </c>
      <c r="U6" s="1">
        <f>IF(Data!U6&gt;0,4-Data!U6,"")</f>
        <v>1</v>
      </c>
      <c r="V6" s="1">
        <f>IF(Data!V6&gt;0,Data!V6-4,"")</f>
        <v>2</v>
      </c>
      <c r="W6" s="1">
        <f>IF(Data!W6&gt;0,4-Data!W6,"")</f>
        <v>2</v>
      </c>
      <c r="X6" s="1">
        <f>IF(Data!X6&gt;0,4-Data!X6,"")</f>
        <v>1</v>
      </c>
      <c r="Y6" s="1">
        <f>IF(Data!Y6&gt;0,4-Data!Y6,"")</f>
        <v>1</v>
      </c>
      <c r="Z6" s="1">
        <f>IF(Data!Z6&gt;0,Data!Z6-4,"")</f>
        <v>2</v>
      </c>
      <c r="AC6" s="7">
        <f t="shared" si="0"/>
        <v>2</v>
      </c>
      <c r="AD6" s="7">
        <f t="shared" si="1"/>
        <v>2</v>
      </c>
      <c r="AE6" s="7">
        <f t="shared" si="2"/>
        <v>2</v>
      </c>
      <c r="AF6" s="7">
        <f t="shared" si="3"/>
        <v>0.75</v>
      </c>
      <c r="AG6" s="7">
        <f t="shared" si="4"/>
        <v>1.75</v>
      </c>
      <c r="AH6" s="7">
        <f t="shared" si="5"/>
        <v>2</v>
      </c>
    </row>
    <row r="7" spans="1:34">
      <c r="A7" s="1">
        <f>IF(Data!A7&gt;0,Data!A7-4,"")</f>
        <v>2</v>
      </c>
      <c r="B7" s="1">
        <f>IF(Data!B7&gt;0,Data!B7-4,"")</f>
        <v>2</v>
      </c>
      <c r="C7" s="1">
        <f>IF(Data!C7&gt;0,4-Data!C7,"")</f>
        <v>0</v>
      </c>
      <c r="D7" s="1">
        <f>IF(Data!D7&gt;0,4-Data!D7,"")</f>
        <v>2</v>
      </c>
      <c r="E7" s="1">
        <f>IF(Data!E7&gt;0,4-Data!E7,"")</f>
        <v>1</v>
      </c>
      <c r="F7" s="1">
        <f>IF(Data!F7&gt;0,Data!F7-4,"")</f>
        <v>0</v>
      </c>
      <c r="G7" s="1">
        <f>IF(Data!G7&gt;0,Data!G7-4,"")</f>
        <v>0</v>
      </c>
      <c r="H7" s="1">
        <f>IF(Data!H7&gt;0,Data!H7-4,"")</f>
        <v>2</v>
      </c>
      <c r="I7" s="1">
        <f>IF(Data!I7&gt;0,4-Data!I7,"")</f>
        <v>2</v>
      </c>
      <c r="J7" s="1">
        <f>IF(Data!J7&gt;0,4-Data!J7,"")</f>
        <v>1</v>
      </c>
      <c r="K7" s="1">
        <f>IF(Data!K7&gt;0,Data!K7-4,"")</f>
        <v>1</v>
      </c>
      <c r="L7" s="1">
        <f>IF(Data!L7&gt;0,4-Data!L7,"")</f>
        <v>3</v>
      </c>
      <c r="M7" s="1">
        <f>IF(Data!M7&gt;0,Data!M7-4,"")</f>
        <v>3</v>
      </c>
      <c r="N7" s="1">
        <f>IF(Data!N7&gt;0,Data!N7-4,"")</f>
        <v>1</v>
      </c>
      <c r="O7" s="1">
        <f>IF(Data!O7&gt;0,Data!O7-4,"")</f>
        <v>2</v>
      </c>
      <c r="P7" s="1">
        <f>IF(Data!P7&gt;0,Data!P7-4,"")</f>
        <v>2</v>
      </c>
      <c r="Q7" s="1">
        <f>IF(Data!Q7&gt;0,4-Data!Q7,"")</f>
        <v>3</v>
      </c>
      <c r="R7" s="1">
        <f>IF(Data!R7&gt;0,4-Data!R7,"")</f>
        <v>0</v>
      </c>
      <c r="S7" s="1">
        <f>IF(Data!S7&gt;0,4-Data!S7,"")</f>
        <v>3</v>
      </c>
      <c r="T7" s="1">
        <f>IF(Data!T7&gt;0,Data!T7-4,"")</f>
        <v>3</v>
      </c>
      <c r="U7" s="1">
        <f>IF(Data!U7&gt;0,4-Data!U7,"")</f>
        <v>3</v>
      </c>
      <c r="V7" s="1">
        <f>IF(Data!V7&gt;0,Data!V7-4,"")</f>
        <v>2</v>
      </c>
      <c r="W7" s="1">
        <f>IF(Data!W7&gt;0,4-Data!W7,"")</f>
        <v>2</v>
      </c>
      <c r="X7" s="1">
        <f>IF(Data!X7&gt;0,4-Data!X7,"")</f>
        <v>0</v>
      </c>
      <c r="Y7" s="1">
        <f>IF(Data!Y7&gt;0,4-Data!Y7,"")</f>
        <v>1</v>
      </c>
      <c r="Z7" s="1">
        <f>IF(Data!Z7&gt;0,Data!Z7-4,"")</f>
        <v>0</v>
      </c>
      <c r="AC7" s="7">
        <f t="shared" si="0"/>
        <v>1.5</v>
      </c>
      <c r="AD7" s="7">
        <f t="shared" si="1"/>
        <v>2.5</v>
      </c>
      <c r="AE7" s="7">
        <f t="shared" si="2"/>
        <v>2.25</v>
      </c>
      <c r="AF7" s="7">
        <f t="shared" si="3"/>
        <v>2.25</v>
      </c>
      <c r="AG7" s="7">
        <f t="shared" si="4"/>
        <v>0.25</v>
      </c>
      <c r="AH7" s="7">
        <f t="shared" si="5"/>
        <v>0.75</v>
      </c>
    </row>
    <row r="8" spans="1:34">
      <c r="A8" s="1">
        <f>IF(Data!A8&gt;0,Data!A8-4,"")</f>
        <v>2</v>
      </c>
      <c r="B8" s="1">
        <f>IF(Data!B8&gt;0,Data!B8-4,"")</f>
        <v>-1</v>
      </c>
      <c r="C8" s="1">
        <f>IF(Data!C8&gt;0,4-Data!C8,"")</f>
        <v>0</v>
      </c>
      <c r="D8" s="1">
        <f>IF(Data!D8&gt;0,4-Data!D8,"")</f>
        <v>-1</v>
      </c>
      <c r="E8" s="1">
        <f>IF(Data!E8&gt;0,4-Data!E8,"")</f>
        <v>2</v>
      </c>
      <c r="F8" s="1">
        <f>IF(Data!F8&gt;0,Data!F8-4,"")</f>
        <v>0</v>
      </c>
      <c r="G8" s="1">
        <f>IF(Data!G8&gt;0,Data!G8-4,"")</f>
        <v>1</v>
      </c>
      <c r="H8" s="1">
        <f>IF(Data!H8&gt;0,Data!H8-4,"")</f>
        <v>1</v>
      </c>
      <c r="I8" s="1">
        <f>IF(Data!I8&gt;0,4-Data!I8,"")</f>
        <v>2</v>
      </c>
      <c r="J8" s="1">
        <f>IF(Data!J8&gt;0,4-Data!J8,"")</f>
        <v>0</v>
      </c>
      <c r="K8" s="1">
        <f>IF(Data!K8&gt;0,Data!K8-4,"")</f>
        <v>1</v>
      </c>
      <c r="L8" s="1">
        <f>IF(Data!L8&gt;0,4-Data!L8,"")</f>
        <v>2</v>
      </c>
      <c r="M8" s="1">
        <f>IF(Data!M8&gt;0,Data!M8-4,"")</f>
        <v>1</v>
      </c>
      <c r="N8" s="1">
        <f>IF(Data!N8&gt;0,Data!N8-4,"")</f>
        <v>1</v>
      </c>
      <c r="O8" s="1">
        <f>IF(Data!O8&gt;0,Data!O8-4,"")</f>
        <v>0</v>
      </c>
      <c r="P8" s="1">
        <f>IF(Data!P8&gt;0,Data!P8-4,"")</f>
        <v>1</v>
      </c>
      <c r="Q8" s="1">
        <f>IF(Data!Q8&gt;0,4-Data!Q8,"")</f>
        <v>2</v>
      </c>
      <c r="R8" s="1">
        <f>IF(Data!R8&gt;0,4-Data!R8,"")</f>
        <v>1</v>
      </c>
      <c r="S8" s="1">
        <f>IF(Data!S8&gt;0,4-Data!S8,"")</f>
        <v>2</v>
      </c>
      <c r="T8" s="1">
        <f>IF(Data!T8&gt;0,Data!T8-4,"")</f>
        <v>2</v>
      </c>
      <c r="U8" s="1">
        <f>IF(Data!U8&gt;0,4-Data!U8,"")</f>
        <v>1</v>
      </c>
      <c r="V8" s="1">
        <f>IF(Data!V8&gt;0,Data!V8-4,"")</f>
        <v>2</v>
      </c>
      <c r="W8" s="1">
        <f>IF(Data!W8&gt;0,4-Data!W8,"")</f>
        <v>2</v>
      </c>
      <c r="X8" s="1">
        <f>IF(Data!X8&gt;0,4-Data!X8,"")</f>
        <v>1</v>
      </c>
      <c r="Y8" s="1">
        <f>IF(Data!Y8&gt;0,4-Data!Y8,"")</f>
        <v>1</v>
      </c>
      <c r="Z8" s="1">
        <f>IF(Data!Z8&gt;0,Data!Z8-4,"")</f>
        <v>0</v>
      </c>
      <c r="AC8" s="7">
        <f t="shared" si="0"/>
        <v>1.3333333333333333</v>
      </c>
      <c r="AD8" s="7">
        <f t="shared" si="1"/>
        <v>0</v>
      </c>
      <c r="AE8" s="7">
        <f t="shared" si="2"/>
        <v>2</v>
      </c>
      <c r="AF8" s="7">
        <f t="shared" si="3"/>
        <v>1.5</v>
      </c>
      <c r="AG8" s="7">
        <f t="shared" si="4"/>
        <v>1</v>
      </c>
      <c r="AH8" s="7">
        <f t="shared" si="5"/>
        <v>0</v>
      </c>
    </row>
    <row r="9" spans="1:34">
      <c r="A9" s="1">
        <f>IF(Data!A9&gt;0,Data!A9-4,"")</f>
        <v>-1</v>
      </c>
      <c r="B9" s="1">
        <f>IF(Data!B9&gt;0,Data!B9-4,"")</f>
        <v>2</v>
      </c>
      <c r="C9" s="1">
        <f>IF(Data!C9&gt;0,4-Data!C9,"")</f>
        <v>2</v>
      </c>
      <c r="D9" s="1">
        <f>IF(Data!D9&gt;0,4-Data!D9,"")</f>
        <v>-3</v>
      </c>
      <c r="E9" s="1">
        <f>IF(Data!E9&gt;0,4-Data!E9,"")</f>
        <v>0</v>
      </c>
      <c r="F9" s="1">
        <f>IF(Data!F9&gt;0,Data!F9-4,"")</f>
        <v>0</v>
      </c>
      <c r="G9" s="1">
        <f>IF(Data!G9&gt;0,Data!G9-4,"")</f>
        <v>0</v>
      </c>
      <c r="H9" s="1">
        <f>IF(Data!H9&gt;0,Data!H9-4,"")</f>
        <v>2</v>
      </c>
      <c r="I9" s="1">
        <f>IF(Data!I9&gt;0,4-Data!I9,"")</f>
        <v>2</v>
      </c>
      <c r="J9" s="1">
        <f>IF(Data!J9&gt;0,4-Data!J9,"")</f>
        <v>0</v>
      </c>
      <c r="K9" s="1">
        <f>IF(Data!K9&gt;0,Data!K9-4,"")</f>
        <v>0</v>
      </c>
      <c r="L9" s="1">
        <f>IF(Data!L9&gt;0,4-Data!L9,"")</f>
        <v>0</v>
      </c>
      <c r="M9" s="1">
        <f>IF(Data!M9&gt;0,Data!M9-4,"")</f>
        <v>0</v>
      </c>
      <c r="N9" s="1">
        <f>IF(Data!N9&gt;0,Data!N9-4,"")</f>
        <v>-1</v>
      </c>
      <c r="O9" s="1">
        <f>IF(Data!O9&gt;0,Data!O9-4,"")</f>
        <v>0</v>
      </c>
      <c r="P9" s="1">
        <f>IF(Data!P9&gt;0,Data!P9-4,"")</f>
        <v>-1</v>
      </c>
      <c r="Q9" s="1">
        <f>IF(Data!Q9&gt;0,4-Data!Q9,"")</f>
        <v>-1</v>
      </c>
      <c r="R9" s="1">
        <f>IF(Data!R9&gt;0,4-Data!R9,"")</f>
        <v>-1</v>
      </c>
      <c r="S9" s="1">
        <f>IF(Data!S9&gt;0,4-Data!S9,"")</f>
        <v>0</v>
      </c>
      <c r="T9" s="1">
        <f>IF(Data!T9&gt;0,Data!T9-4,"")</f>
        <v>0</v>
      </c>
      <c r="U9" s="1">
        <f>IF(Data!U9&gt;0,4-Data!U9,"")</f>
        <v>2</v>
      </c>
      <c r="V9" s="1">
        <f>IF(Data!V9&gt;0,Data!V9-4,"")</f>
        <v>2</v>
      </c>
      <c r="W9" s="1">
        <f>IF(Data!W9&gt;0,4-Data!W9,"")</f>
        <v>2</v>
      </c>
      <c r="X9" s="1">
        <f>IF(Data!X9&gt;0,4-Data!X9,"")</f>
        <v>0</v>
      </c>
      <c r="Y9" s="1">
        <f>IF(Data!Y9&gt;0,4-Data!Y9,"")</f>
        <v>1</v>
      </c>
      <c r="Z9" s="1">
        <f>IF(Data!Z9&gt;0,Data!Z9-4,"")</f>
        <v>2</v>
      </c>
      <c r="AC9" s="7">
        <f t="shared" si="0"/>
        <v>-0.33333333333333331</v>
      </c>
      <c r="AD9" s="7">
        <f t="shared" si="1"/>
        <v>0.25</v>
      </c>
      <c r="AE9" s="7">
        <f t="shared" si="2"/>
        <v>1.5</v>
      </c>
      <c r="AF9" s="7">
        <f t="shared" si="3"/>
        <v>0.25</v>
      </c>
      <c r="AG9" s="7">
        <f t="shared" si="4"/>
        <v>-0.25</v>
      </c>
      <c r="AH9" s="7">
        <f t="shared" si="5"/>
        <v>1</v>
      </c>
    </row>
    <row r="10" spans="1:34">
      <c r="A10" s="1">
        <f>IF(Data!A10&gt;0,Data!A10-4,"")</f>
        <v>3</v>
      </c>
      <c r="B10" s="1">
        <f>IF(Data!B10&gt;0,Data!B10-4,"")</f>
        <v>1</v>
      </c>
      <c r="C10" s="1">
        <f>IF(Data!C10&gt;0,4-Data!C10,"")</f>
        <v>0</v>
      </c>
      <c r="D10" s="1">
        <f>IF(Data!D10&gt;0,4-Data!D10,"")</f>
        <v>-1</v>
      </c>
      <c r="E10" s="1">
        <f>IF(Data!E10&gt;0,4-Data!E10,"")</f>
        <v>3</v>
      </c>
      <c r="F10" s="1">
        <f>IF(Data!F10&gt;0,Data!F10-4,"")</f>
        <v>0</v>
      </c>
      <c r="G10" s="1">
        <f>IF(Data!G10&gt;0,Data!G10-4,"")</f>
        <v>1</v>
      </c>
      <c r="H10" s="1">
        <f>IF(Data!H10&gt;0,Data!H10-4,"")</f>
        <v>0</v>
      </c>
      <c r="I10" s="1">
        <f>IF(Data!I10&gt;0,4-Data!I10,"")</f>
        <v>1</v>
      </c>
      <c r="J10" s="1">
        <f>IF(Data!J10&gt;0,4-Data!J10,"")</f>
        <v>1</v>
      </c>
      <c r="K10" s="1">
        <f>IF(Data!K10&gt;0,Data!K10-4,"")</f>
        <v>2</v>
      </c>
      <c r="L10" s="1">
        <f>IF(Data!L10&gt;0,4-Data!L10,"")</f>
        <v>3</v>
      </c>
      <c r="M10" s="1">
        <f>IF(Data!M10&gt;0,Data!M10-4,"")</f>
        <v>2</v>
      </c>
      <c r="N10" s="1">
        <f>IF(Data!N10&gt;0,Data!N10-4,"")</f>
        <v>3</v>
      </c>
      <c r="O10" s="1">
        <f>IF(Data!O10&gt;0,Data!O10-4,"")</f>
        <v>0</v>
      </c>
      <c r="P10" s="1">
        <f>IF(Data!P10&gt;0,Data!P10-4,"")</f>
        <v>3</v>
      </c>
      <c r="Q10" s="1">
        <f>IF(Data!Q10&gt;0,4-Data!Q10,"")</f>
        <v>3</v>
      </c>
      <c r="R10" s="1">
        <f>IF(Data!R10&gt;0,4-Data!R10,"")</f>
        <v>1</v>
      </c>
      <c r="S10" s="1">
        <f>IF(Data!S10&gt;0,4-Data!S10,"")</f>
        <v>3</v>
      </c>
      <c r="T10" s="1">
        <f>IF(Data!T10&gt;0,Data!T10-4,"")</f>
        <v>3</v>
      </c>
      <c r="U10" s="1">
        <f>IF(Data!U10&gt;0,4-Data!U10,"")</f>
        <v>2</v>
      </c>
      <c r="V10" s="1">
        <f>IF(Data!V10&gt;0,Data!V10-4,"")</f>
        <v>2</v>
      </c>
      <c r="W10" s="1">
        <f>IF(Data!W10&gt;0,4-Data!W10,"")</f>
        <v>2</v>
      </c>
      <c r="X10" s="1">
        <f>IF(Data!X10&gt;0,4-Data!X10,"")</f>
        <v>0</v>
      </c>
      <c r="Y10" s="1">
        <f>IF(Data!Y10&gt;0,4-Data!Y10,"")</f>
        <v>3</v>
      </c>
      <c r="Z10" s="1">
        <f>IF(Data!Z10&gt;0,Data!Z10-4,"")</f>
        <v>2</v>
      </c>
      <c r="AC10" s="7">
        <f t="shared" si="0"/>
        <v>2.5</v>
      </c>
      <c r="AD10" s="7">
        <f t="shared" si="1"/>
        <v>1</v>
      </c>
      <c r="AE10" s="7">
        <f t="shared" si="2"/>
        <v>2</v>
      </c>
      <c r="AF10" s="7">
        <f t="shared" si="3"/>
        <v>2</v>
      </c>
      <c r="AG10" s="7">
        <f t="shared" si="4"/>
        <v>1.25</v>
      </c>
      <c r="AH10" s="7">
        <f t="shared" si="5"/>
        <v>0.75</v>
      </c>
    </row>
    <row r="11" spans="1:34">
      <c r="A11" s="1">
        <f>IF(Data!A11&gt;0,Data!A11-4,"")</f>
        <v>1</v>
      </c>
      <c r="B11" s="1">
        <f>IF(Data!B11&gt;0,Data!B11-4,"")</f>
        <v>2</v>
      </c>
      <c r="C11" s="1">
        <f>IF(Data!C11&gt;0,4-Data!C11,"")</f>
        <v>0</v>
      </c>
      <c r="D11" s="1">
        <f>IF(Data!D11&gt;0,4-Data!D11,"")</f>
        <v>1</v>
      </c>
      <c r="E11" s="1">
        <f>IF(Data!E11&gt;0,4-Data!E11,"")</f>
        <v>3</v>
      </c>
      <c r="F11" s="1">
        <f>IF(Data!F11&gt;0,Data!F11-4,"")</f>
        <v>0</v>
      </c>
      <c r="G11" s="1">
        <f>IF(Data!G11&gt;0,Data!G11-4,"")</f>
        <v>0</v>
      </c>
      <c r="H11" s="1">
        <f>IF(Data!H11&gt;0,Data!H11-4,"")</f>
        <v>2</v>
      </c>
      <c r="I11" s="1">
        <f>IF(Data!I11&gt;0,4-Data!I11,"")</f>
        <v>1</v>
      </c>
      <c r="J11" s="1">
        <f>IF(Data!J11&gt;0,4-Data!J11,"")</f>
        <v>2</v>
      </c>
      <c r="K11" s="1">
        <f>IF(Data!K11&gt;0,Data!K11-4,"")</f>
        <v>0</v>
      </c>
      <c r="L11" s="1">
        <f>IF(Data!L11&gt;0,4-Data!L11,"")</f>
        <v>1</v>
      </c>
      <c r="M11" s="1">
        <f>IF(Data!M11&gt;0,Data!M11-4,"")</f>
        <v>2</v>
      </c>
      <c r="N11" s="1">
        <f>IF(Data!N11&gt;0,Data!N11-4,"")</f>
        <v>0</v>
      </c>
      <c r="O11" s="1">
        <f>IF(Data!O11&gt;0,Data!O11-4,"")</f>
        <v>2</v>
      </c>
      <c r="P11" s="1">
        <f>IF(Data!P11&gt;0,Data!P11-4,"")</f>
        <v>1</v>
      </c>
      <c r="Q11" s="1">
        <f>IF(Data!Q11&gt;0,4-Data!Q11,"")</f>
        <v>3</v>
      </c>
      <c r="R11" s="1">
        <f>IF(Data!R11&gt;0,4-Data!R11,"")</f>
        <v>0</v>
      </c>
      <c r="S11" s="1">
        <f>IF(Data!S11&gt;0,4-Data!S11,"")</f>
        <v>2</v>
      </c>
      <c r="T11" s="1">
        <f>IF(Data!T11&gt;0,Data!T11-4,"")</f>
        <v>1</v>
      </c>
      <c r="U11" s="1">
        <f>IF(Data!U11&gt;0,4-Data!U11,"")</f>
        <v>3</v>
      </c>
      <c r="V11" s="1">
        <f>IF(Data!V11&gt;0,Data!V11-4,"")</f>
        <v>3</v>
      </c>
      <c r="W11" s="1">
        <f>IF(Data!W11&gt;0,4-Data!W11,"")</f>
        <v>1</v>
      </c>
      <c r="X11" s="1">
        <f>IF(Data!X11&gt;0,4-Data!X11,"")</f>
        <v>0</v>
      </c>
      <c r="Y11" s="1">
        <f>IF(Data!Y11&gt;0,4-Data!Y11,"")</f>
        <v>0</v>
      </c>
      <c r="Z11" s="1">
        <f>IF(Data!Z11&gt;0,Data!Z11-4,"")</f>
        <v>1</v>
      </c>
      <c r="AC11" s="7">
        <f t="shared" si="0"/>
        <v>0.5</v>
      </c>
      <c r="AD11" s="7">
        <f t="shared" si="1"/>
        <v>2</v>
      </c>
      <c r="AE11" s="7">
        <f t="shared" si="2"/>
        <v>1.5</v>
      </c>
      <c r="AF11" s="7">
        <f t="shared" si="3"/>
        <v>1.75</v>
      </c>
      <c r="AG11" s="7">
        <f t="shared" si="4"/>
        <v>0.75</v>
      </c>
      <c r="AH11" s="7">
        <f t="shared" si="5"/>
        <v>1.25</v>
      </c>
    </row>
    <row r="12" spans="1:34">
      <c r="A12" s="1">
        <f>IF(Data!A12&gt;0,Data!A12-4,"")</f>
        <v>3</v>
      </c>
      <c r="B12" s="1">
        <f>IF(Data!B12&gt;0,Data!B12-4,"")</f>
        <v>3</v>
      </c>
      <c r="C12" s="1">
        <f>IF(Data!C12&gt;0,4-Data!C12,"")</f>
        <v>3</v>
      </c>
      <c r="D12" s="1">
        <f>IF(Data!D12&gt;0,4-Data!D12,"")</f>
        <v>3</v>
      </c>
      <c r="E12" s="1">
        <f>IF(Data!E12&gt;0,4-Data!E12,"")</f>
        <v>3</v>
      </c>
      <c r="F12" s="1">
        <f>IF(Data!F12&gt;0,Data!F12-4,"")</f>
        <v>1</v>
      </c>
      <c r="G12" s="1">
        <f>IF(Data!G12&gt;0,Data!G12-4,"")</f>
        <v>2</v>
      </c>
      <c r="H12" s="1">
        <f>IF(Data!H12&gt;0,Data!H12-4,"")</f>
        <v>0</v>
      </c>
      <c r="I12" s="1">
        <f>IF(Data!I12&gt;0,4-Data!I12,"")</f>
        <v>3</v>
      </c>
      <c r="J12" s="1">
        <f>IF(Data!J12&gt;0,4-Data!J12,"")</f>
        <v>0</v>
      </c>
      <c r="K12" s="1">
        <f>IF(Data!K12&gt;0,Data!K12-4,"")</f>
        <v>0</v>
      </c>
      <c r="L12" s="1">
        <f>IF(Data!L12&gt;0,4-Data!L12,"")</f>
        <v>3</v>
      </c>
      <c r="M12" s="1">
        <f>IF(Data!M12&gt;0,Data!M12-4,"")</f>
        <v>3</v>
      </c>
      <c r="N12" s="1">
        <f>IF(Data!N12&gt;0,Data!N12-4,"")</f>
        <v>3</v>
      </c>
      <c r="O12" s="1">
        <f>IF(Data!O12&gt;0,Data!O12-4,"")</f>
        <v>3</v>
      </c>
      <c r="P12" s="1">
        <f>IF(Data!P12&gt;0,Data!P12-4,"")</f>
        <v>3</v>
      </c>
      <c r="Q12" s="1">
        <f>IF(Data!Q12&gt;0,4-Data!Q12,"")</f>
        <v>2</v>
      </c>
      <c r="R12" s="1">
        <f>IF(Data!R12&gt;0,4-Data!R12,"")</f>
        <v>0</v>
      </c>
      <c r="S12" s="1">
        <f>IF(Data!S12&gt;0,4-Data!S12,"")</f>
        <v>3</v>
      </c>
      <c r="T12" s="1">
        <f>IF(Data!T12&gt;0,Data!T12-4,"")</f>
        <v>3</v>
      </c>
      <c r="U12" s="1">
        <f>IF(Data!U12&gt;0,4-Data!U12,"")</f>
        <v>2</v>
      </c>
      <c r="V12" s="1">
        <f>IF(Data!V12&gt;0,Data!V12-4,"")</f>
        <v>3</v>
      </c>
      <c r="W12" s="1">
        <f>IF(Data!W12&gt;0,4-Data!W12,"")</f>
        <v>1</v>
      </c>
      <c r="X12" s="1">
        <f>IF(Data!X12&gt;0,4-Data!X12,"")</f>
        <v>3</v>
      </c>
      <c r="Y12" s="1">
        <f>IF(Data!Y12&gt;0,4-Data!Y12,"")</f>
        <v>3</v>
      </c>
      <c r="Z12" s="1">
        <f>IF(Data!Z12&gt;0,Data!Z12-4,"")</f>
        <v>0</v>
      </c>
      <c r="AC12" s="7">
        <f t="shared" si="0"/>
        <v>3</v>
      </c>
      <c r="AD12" s="7">
        <f t="shared" si="1"/>
        <v>2.75</v>
      </c>
      <c r="AE12" s="7">
        <f t="shared" si="2"/>
        <v>2.5</v>
      </c>
      <c r="AF12" s="7">
        <f t="shared" si="3"/>
        <v>1.25</v>
      </c>
      <c r="AG12" s="7">
        <f t="shared" si="4"/>
        <v>1.5</v>
      </c>
      <c r="AH12" s="7">
        <f t="shared" si="5"/>
        <v>1.5</v>
      </c>
    </row>
    <row r="13" spans="1:34">
      <c r="A13" s="1">
        <f>IF(Data!A13&gt;0,Data!A13-4,"")</f>
        <v>2</v>
      </c>
      <c r="B13" s="1">
        <f>IF(Data!B13&gt;0,Data!B13-4,"")</f>
        <v>3</v>
      </c>
      <c r="C13" s="1">
        <f>IF(Data!C13&gt;0,4-Data!C13,"")</f>
        <v>-2</v>
      </c>
      <c r="D13" s="1">
        <f>IF(Data!D13&gt;0,4-Data!D13,"")</f>
        <v>-2</v>
      </c>
      <c r="E13" s="1">
        <f>IF(Data!E13&gt;0,4-Data!E13,"")</f>
        <v>-1</v>
      </c>
      <c r="F13" s="1">
        <f>IF(Data!F13&gt;0,Data!F13-4,"")</f>
        <v>1</v>
      </c>
      <c r="G13" s="1">
        <f>IF(Data!G13&gt;0,Data!G13-4,"")</f>
        <v>1</v>
      </c>
      <c r="H13" s="1">
        <f>IF(Data!H13&gt;0,Data!H13-4,"")</f>
        <v>-1</v>
      </c>
      <c r="I13" s="1">
        <f>IF(Data!I13&gt;0,4-Data!I13,"")</f>
        <v>-1</v>
      </c>
      <c r="J13" s="1">
        <f>IF(Data!J13&gt;0,4-Data!J13,"")</f>
        <v>-2</v>
      </c>
      <c r="K13" s="1">
        <f>IF(Data!K13&gt;0,Data!K13-4,"")</f>
        <v>2</v>
      </c>
      <c r="L13" s="1">
        <f>IF(Data!L13&gt;0,4-Data!L13,"")</f>
        <v>3</v>
      </c>
      <c r="M13" s="1">
        <f>IF(Data!M13&gt;0,Data!M13-4,"")</f>
        <v>3</v>
      </c>
      <c r="N13" s="1">
        <f>IF(Data!N13&gt;0,Data!N13-4,"")</f>
        <v>2</v>
      </c>
      <c r="O13" s="1">
        <f>IF(Data!O13&gt;0,Data!O13-4,"")</f>
        <v>1</v>
      </c>
      <c r="P13" s="1">
        <f>IF(Data!P13&gt;0,Data!P13-4,"")</f>
        <v>2</v>
      </c>
      <c r="Q13" s="1">
        <f>IF(Data!Q13&gt;0,4-Data!Q13,"")</f>
        <v>2</v>
      </c>
      <c r="R13" s="1">
        <f>IF(Data!R13&gt;0,4-Data!R13,"")</f>
        <v>2</v>
      </c>
      <c r="S13" s="1">
        <f>IF(Data!S13&gt;0,4-Data!S13,"")</f>
        <v>2</v>
      </c>
      <c r="T13" s="1">
        <f>IF(Data!T13&gt;0,Data!T13-4,"")</f>
        <v>2</v>
      </c>
      <c r="U13" s="1">
        <f>IF(Data!U13&gt;0,4-Data!U13,"")</f>
        <v>3</v>
      </c>
      <c r="V13" s="1">
        <f>IF(Data!V13&gt;0,Data!V13-4,"")</f>
        <v>3</v>
      </c>
      <c r="W13" s="1">
        <f>IF(Data!W13&gt;0,4-Data!W13,"")</f>
        <v>3</v>
      </c>
      <c r="X13" s="1">
        <f>IF(Data!X13&gt;0,4-Data!X13,"")</f>
        <v>2</v>
      </c>
      <c r="Y13" s="1">
        <f>IF(Data!Y13&gt;0,4-Data!Y13,"")</f>
        <v>3</v>
      </c>
      <c r="Z13" s="1">
        <f>IF(Data!Z13&gt;0,Data!Z13-4,"")</f>
        <v>-3</v>
      </c>
      <c r="AC13" s="7">
        <f t="shared" si="0"/>
        <v>2.3333333333333335</v>
      </c>
      <c r="AD13" s="7">
        <f t="shared" si="1"/>
        <v>1.75</v>
      </c>
      <c r="AE13" s="7">
        <f t="shared" si="2"/>
        <v>1.75</v>
      </c>
      <c r="AF13" s="7">
        <f t="shared" si="3"/>
        <v>1.25</v>
      </c>
      <c r="AG13" s="7">
        <f t="shared" si="4"/>
        <v>0.75</v>
      </c>
      <c r="AH13" s="7">
        <f t="shared" si="5"/>
        <v>-1.5</v>
      </c>
    </row>
    <row r="14" spans="1:34">
      <c r="A14" s="1">
        <f>IF(Data!A14&gt;0,Data!A14-4,"")</f>
        <v>1</v>
      </c>
      <c r="B14" s="1">
        <f>IF(Data!B14&gt;0,Data!B14-4,"")</f>
        <v>1</v>
      </c>
      <c r="C14" s="1">
        <f>IF(Data!C14&gt;0,4-Data!C14,"")</f>
        <v>-2</v>
      </c>
      <c r="D14" s="1">
        <f>IF(Data!D14&gt;0,4-Data!D14,"")</f>
        <v>-2</v>
      </c>
      <c r="E14" s="1">
        <f>IF(Data!E14&gt;0,4-Data!E14,"")</f>
        <v>2</v>
      </c>
      <c r="F14" s="1">
        <f>IF(Data!F14&gt;0,Data!F14-4,"")</f>
        <v>0</v>
      </c>
      <c r="G14" s="1">
        <f>IF(Data!G14&gt;0,Data!G14-4,"")</f>
        <v>1</v>
      </c>
      <c r="H14" s="1">
        <f>IF(Data!H14&gt;0,Data!H14-4,"")</f>
        <v>-1</v>
      </c>
      <c r="I14" s="1">
        <f>IF(Data!I14&gt;0,4-Data!I14,"")</f>
        <v>0</v>
      </c>
      <c r="J14" s="1">
        <f>IF(Data!J14&gt;0,4-Data!J14,"")</f>
        <v>2</v>
      </c>
      <c r="K14" s="1">
        <f>IF(Data!K14&gt;0,Data!K14-4,"")</f>
        <v>1</v>
      </c>
      <c r="L14" s="1">
        <f>IF(Data!L14&gt;0,4-Data!L14,"")</f>
        <v>1</v>
      </c>
      <c r="M14" s="1">
        <f>IF(Data!M14&gt;0,Data!M14-4,"")</f>
        <v>1</v>
      </c>
      <c r="N14" s="1">
        <f>IF(Data!N14&gt;0,Data!N14-4,"")</f>
        <v>1</v>
      </c>
      <c r="O14" s="1">
        <f>IF(Data!O14&gt;0,Data!O14-4,"")</f>
        <v>1</v>
      </c>
      <c r="P14" s="1">
        <f>IF(Data!P14&gt;0,Data!P14-4,"")</f>
        <v>1</v>
      </c>
      <c r="Q14" s="1">
        <f>IF(Data!Q14&gt;0,4-Data!Q14,"")</f>
        <v>3</v>
      </c>
      <c r="R14" s="1">
        <f>IF(Data!R14&gt;0,4-Data!R14,"")</f>
        <v>0</v>
      </c>
      <c r="S14" s="1">
        <f>IF(Data!S14&gt;0,4-Data!S14,"")</f>
        <v>2</v>
      </c>
      <c r="T14" s="1">
        <f>IF(Data!T14&gt;0,Data!T14-4,"")</f>
        <v>1</v>
      </c>
      <c r="U14" s="1">
        <f>IF(Data!U14&gt;0,4-Data!U14,"")</f>
        <v>1</v>
      </c>
      <c r="V14" s="1">
        <f>IF(Data!V14&gt;0,Data!V14-4,"")</f>
        <v>1</v>
      </c>
      <c r="W14" s="1">
        <f>IF(Data!W14&gt;0,4-Data!W14,"")</f>
        <v>-2</v>
      </c>
      <c r="X14" s="1">
        <f>IF(Data!X14&gt;0,4-Data!X14,"")</f>
        <v>2</v>
      </c>
      <c r="Y14" s="1">
        <f>IF(Data!Y14&gt;0,4-Data!Y14,"")</f>
        <v>2</v>
      </c>
      <c r="Z14" s="1">
        <f>IF(Data!Z14&gt;0,Data!Z14-4,"")</f>
        <v>2</v>
      </c>
      <c r="AC14" s="7">
        <f t="shared" si="0"/>
        <v>1.3333333333333333</v>
      </c>
      <c r="AD14" s="7">
        <f t="shared" si="1"/>
        <v>0.25</v>
      </c>
      <c r="AE14" s="7">
        <f t="shared" si="2"/>
        <v>0</v>
      </c>
      <c r="AF14" s="7">
        <f t="shared" si="3"/>
        <v>1.25</v>
      </c>
      <c r="AG14" s="7">
        <f t="shared" si="4"/>
        <v>0.75</v>
      </c>
      <c r="AH14" s="7">
        <f t="shared" si="5"/>
        <v>0.75</v>
      </c>
    </row>
    <row r="15" spans="1:34">
      <c r="A15" s="1">
        <f>IF(Data!A15&gt;0,Data!A15-4,"")</f>
        <v>2</v>
      </c>
      <c r="B15" s="1">
        <f>IF(Data!B15&gt;0,Data!B15-4,"")</f>
        <v>2</v>
      </c>
      <c r="C15" s="1">
        <f>IF(Data!C15&gt;0,4-Data!C15,"")</f>
        <v>0</v>
      </c>
      <c r="D15" s="1">
        <f>IF(Data!D15&gt;0,4-Data!D15,"")</f>
        <v>2</v>
      </c>
      <c r="E15" s="1">
        <f>IF(Data!E15&gt;0,4-Data!E15,"")</f>
        <v>2</v>
      </c>
      <c r="F15" s="1">
        <f>IF(Data!F15&gt;0,Data!F15-4,"")</f>
        <v>1</v>
      </c>
      <c r="G15" s="1">
        <f>IF(Data!G15&gt;0,Data!G15-4,"")</f>
        <v>1</v>
      </c>
      <c r="H15" s="1">
        <f>IF(Data!H15&gt;0,Data!H15-4,"")</f>
        <v>1</v>
      </c>
      <c r="I15" s="1">
        <f>IF(Data!I15&gt;0,4-Data!I15,"")</f>
        <v>0</v>
      </c>
      <c r="J15" s="1">
        <f>IF(Data!J15&gt;0,4-Data!J15,"")</f>
        <v>1</v>
      </c>
      <c r="K15" s="1">
        <f>IF(Data!K15&gt;0,Data!K15-4,"")</f>
        <v>0</v>
      </c>
      <c r="L15" s="1">
        <f>IF(Data!L15&gt;0,4-Data!L15,"")</f>
        <v>2</v>
      </c>
      <c r="M15" s="1">
        <f>IF(Data!M15&gt;0,Data!M15-4,"")</f>
        <v>1</v>
      </c>
      <c r="N15" s="1">
        <f>IF(Data!N15&gt;0,Data!N15-4,"")</f>
        <v>0</v>
      </c>
      <c r="O15" s="1">
        <f>IF(Data!O15&gt;0,Data!O15-4,"")</f>
        <v>0</v>
      </c>
      <c r="P15" s="1">
        <f>IF(Data!P15&gt;0,Data!P15-4,"")</f>
        <v>1</v>
      </c>
      <c r="Q15" s="1">
        <f>IF(Data!Q15&gt;0,4-Data!Q15,"")</f>
        <v>1</v>
      </c>
      <c r="R15" s="1">
        <f>IF(Data!R15&gt;0,4-Data!R15,"")</f>
        <v>0</v>
      </c>
      <c r="S15" s="1">
        <f>IF(Data!S15&gt;0,4-Data!S15,"")</f>
        <v>2</v>
      </c>
      <c r="T15" s="1">
        <f>IF(Data!T15&gt;0,Data!T15-4,"")</f>
        <v>1</v>
      </c>
      <c r="U15" s="1">
        <f>IF(Data!U15&gt;0,4-Data!U15,"")</f>
        <v>2</v>
      </c>
      <c r="V15" s="1">
        <f>IF(Data!V15&gt;0,Data!V15-4,"")</f>
        <v>0</v>
      </c>
      <c r="W15" s="1">
        <f>IF(Data!W15&gt;0,4-Data!W15,"")</f>
        <v>1</v>
      </c>
      <c r="X15" s="1">
        <f>IF(Data!X15&gt;0,4-Data!X15,"")</f>
        <v>1</v>
      </c>
      <c r="Y15" s="1">
        <f>IF(Data!Y15&gt;0,4-Data!Y15,"")</f>
        <v>1</v>
      </c>
      <c r="Z15" s="1">
        <f>IF(Data!Z15&gt;0,Data!Z15-4,"")</f>
        <v>0</v>
      </c>
      <c r="AC15" s="7">
        <f t="shared" si="0"/>
        <v>1.1666666666666667</v>
      </c>
      <c r="AD15" s="7">
        <f t="shared" si="1"/>
        <v>1.75</v>
      </c>
      <c r="AE15" s="7">
        <f t="shared" si="2"/>
        <v>0.5</v>
      </c>
      <c r="AF15" s="7">
        <f t="shared" si="3"/>
        <v>1</v>
      </c>
      <c r="AG15" s="7">
        <f t="shared" si="4"/>
        <v>1</v>
      </c>
      <c r="AH15" s="7">
        <f t="shared" si="5"/>
        <v>0.25</v>
      </c>
    </row>
    <row r="16" spans="1:34">
      <c r="A16" s="1">
        <f>IF(Data!A16&gt;0,Data!A16-4,"")</f>
        <v>1</v>
      </c>
      <c r="B16" s="1">
        <f>IF(Data!B16&gt;0,Data!B16-4,"")</f>
        <v>0</v>
      </c>
      <c r="C16" s="1">
        <f>IF(Data!C16&gt;0,4-Data!C16,"")</f>
        <v>1</v>
      </c>
      <c r="D16" s="1">
        <f>IF(Data!D16&gt;0,4-Data!D16,"")</f>
        <v>2</v>
      </c>
      <c r="E16" s="1">
        <f>IF(Data!E16&gt;0,4-Data!E16,"")</f>
        <v>1</v>
      </c>
      <c r="F16" s="1">
        <f>IF(Data!F16&gt;0,Data!F16-4,"")</f>
        <v>2</v>
      </c>
      <c r="G16" s="1">
        <f>IF(Data!G16&gt;0,Data!G16-4,"")</f>
        <v>2</v>
      </c>
      <c r="H16" s="1">
        <f>IF(Data!H16&gt;0,Data!H16-4,"")</f>
        <v>1</v>
      </c>
      <c r="I16" s="1">
        <f>IF(Data!I16&gt;0,4-Data!I16,"")</f>
        <v>2</v>
      </c>
      <c r="J16" s="1">
        <f>IF(Data!J16&gt;0,4-Data!J16,"")</f>
        <v>1</v>
      </c>
      <c r="K16" s="1">
        <f>IF(Data!K16&gt;0,Data!K16-4,"")</f>
        <v>1</v>
      </c>
      <c r="L16" s="1">
        <f>IF(Data!L16&gt;0,4-Data!L16,"")</f>
        <v>2</v>
      </c>
      <c r="M16" s="1">
        <f>IF(Data!M16&gt;0,Data!M16-4,"")</f>
        <v>1</v>
      </c>
      <c r="N16" s="1">
        <f>IF(Data!N16&gt;0,Data!N16-4,"")</f>
        <v>1</v>
      </c>
      <c r="O16" s="1">
        <f>IF(Data!O16&gt;0,Data!O16-4,"")</f>
        <v>0</v>
      </c>
      <c r="P16" s="1">
        <f>IF(Data!P16&gt;0,Data!P16-4,"")</f>
        <v>2</v>
      </c>
      <c r="Q16" s="1">
        <f>IF(Data!Q16&gt;0,4-Data!Q16,"")</f>
        <v>2</v>
      </c>
      <c r="R16" s="1">
        <f>IF(Data!R16&gt;0,4-Data!R16,"")</f>
        <v>1</v>
      </c>
      <c r="S16" s="1">
        <f>IF(Data!S16&gt;0,4-Data!S16,"")</f>
        <v>1</v>
      </c>
      <c r="T16" s="1">
        <f>IF(Data!T16&gt;0,Data!T16-4,"")</f>
        <v>2</v>
      </c>
      <c r="U16" s="1">
        <f>IF(Data!U16&gt;0,4-Data!U16,"")</f>
        <v>2</v>
      </c>
      <c r="V16" s="1">
        <f>IF(Data!V16&gt;0,Data!V16-4,"")</f>
        <v>2</v>
      </c>
      <c r="W16" s="1">
        <f>IF(Data!W16&gt;0,4-Data!W16,"")</f>
        <v>0</v>
      </c>
      <c r="X16" s="1">
        <f>IF(Data!X16&gt;0,4-Data!X16,"")</f>
        <v>-2</v>
      </c>
      <c r="Y16" s="1">
        <f>IF(Data!Y16&gt;0,4-Data!Y16,"")</f>
        <v>1</v>
      </c>
      <c r="Z16" s="1">
        <f>IF(Data!Z16&gt;0,Data!Z16-4,"")</f>
        <v>0</v>
      </c>
      <c r="AC16" s="7">
        <f t="shared" si="0"/>
        <v>0.83333333333333337</v>
      </c>
      <c r="AD16" s="7">
        <f t="shared" si="1"/>
        <v>1.25</v>
      </c>
      <c r="AE16" s="7">
        <f t="shared" si="2"/>
        <v>1.5</v>
      </c>
      <c r="AF16" s="7">
        <f t="shared" si="3"/>
        <v>1.25</v>
      </c>
      <c r="AG16" s="7">
        <f t="shared" si="4"/>
        <v>1.5</v>
      </c>
      <c r="AH16" s="7">
        <f t="shared" si="5"/>
        <v>0.5</v>
      </c>
    </row>
    <row r="17" spans="1:34">
      <c r="A17" s="1">
        <f>IF(Data!A17&gt;0,Data!A17-4,"")</f>
        <v>2</v>
      </c>
      <c r="B17" s="1">
        <f>IF(Data!B17&gt;0,Data!B17-4,"")</f>
        <v>2</v>
      </c>
      <c r="C17" s="1">
        <f>IF(Data!C17&gt;0,4-Data!C17,"")</f>
        <v>2</v>
      </c>
      <c r="D17" s="1">
        <f>IF(Data!D17&gt;0,4-Data!D17,"")</f>
        <v>2</v>
      </c>
      <c r="E17" s="1">
        <f>IF(Data!E17&gt;0,4-Data!E17,"")</f>
        <v>1</v>
      </c>
      <c r="F17" s="1">
        <f>IF(Data!F17&gt;0,Data!F17-4,"")</f>
        <v>2</v>
      </c>
      <c r="G17" s="1">
        <f>IF(Data!G17&gt;0,Data!G17-4,"")</f>
        <v>2</v>
      </c>
      <c r="H17" s="1">
        <f>IF(Data!H17&gt;0,Data!H17-4,"")</f>
        <v>2</v>
      </c>
      <c r="I17" s="1">
        <f>IF(Data!I17&gt;0,4-Data!I17,"")</f>
        <v>2</v>
      </c>
      <c r="J17" s="1">
        <f>IF(Data!J17&gt;0,4-Data!J17,"")</f>
        <v>2</v>
      </c>
      <c r="K17" s="1">
        <f>IF(Data!K17&gt;0,Data!K17-4,"")</f>
        <v>2</v>
      </c>
      <c r="L17" s="1">
        <f>IF(Data!L17&gt;0,4-Data!L17,"")</f>
        <v>2</v>
      </c>
      <c r="M17" s="1">
        <f>IF(Data!M17&gt;0,Data!M17-4,"")</f>
        <v>2</v>
      </c>
      <c r="N17" s="1">
        <f>IF(Data!N17&gt;0,Data!N17-4,"")</f>
        <v>2</v>
      </c>
      <c r="O17" s="1">
        <f>IF(Data!O17&gt;0,Data!O17-4,"")</f>
        <v>-1</v>
      </c>
      <c r="P17" s="1">
        <f>IF(Data!P17&gt;0,Data!P17-4,"")</f>
        <v>2</v>
      </c>
      <c r="Q17" s="1">
        <f>IF(Data!Q17&gt;0,4-Data!Q17,"")</f>
        <v>2</v>
      </c>
      <c r="R17" s="1">
        <f>IF(Data!R17&gt;0,4-Data!R17,"")</f>
        <v>1</v>
      </c>
      <c r="S17" s="1">
        <f>IF(Data!S17&gt;0,4-Data!S17,"")</f>
        <v>2</v>
      </c>
      <c r="T17" s="1">
        <f>IF(Data!T17&gt;0,Data!T17-4,"")</f>
        <v>2</v>
      </c>
      <c r="U17" s="1">
        <f>IF(Data!U17&gt;0,4-Data!U17,"")</f>
        <v>2</v>
      </c>
      <c r="V17" s="1">
        <f>IF(Data!V17&gt;0,Data!V17-4,"")</f>
        <v>2</v>
      </c>
      <c r="W17" s="1">
        <f>IF(Data!W17&gt;0,4-Data!W17,"")</f>
        <v>2</v>
      </c>
      <c r="X17" s="1">
        <f>IF(Data!X17&gt;0,4-Data!X17,"")</f>
        <v>2</v>
      </c>
      <c r="Y17" s="1">
        <f>IF(Data!Y17&gt;0,4-Data!Y17,"")</f>
        <v>2</v>
      </c>
      <c r="Z17" s="1">
        <f>IF(Data!Z17&gt;0,Data!Z17-4,"")</f>
        <v>-1</v>
      </c>
      <c r="AC17" s="7">
        <f t="shared" si="0"/>
        <v>2</v>
      </c>
      <c r="AD17" s="7">
        <f t="shared" si="1"/>
        <v>2</v>
      </c>
      <c r="AE17" s="7">
        <f t="shared" si="2"/>
        <v>2</v>
      </c>
      <c r="AF17" s="7">
        <f t="shared" si="3"/>
        <v>2</v>
      </c>
      <c r="AG17" s="7">
        <f t="shared" si="4"/>
        <v>1.5</v>
      </c>
      <c r="AH17" s="7">
        <f t="shared" si="5"/>
        <v>0.5</v>
      </c>
    </row>
    <row r="18" spans="1:34">
      <c r="A18" s="1">
        <f>IF(Data!A18&gt;0,Data!A18-4,"")</f>
        <v>3</v>
      </c>
      <c r="B18" s="1">
        <f>IF(Data!B18&gt;0,Data!B18-4,"")</f>
        <v>3</v>
      </c>
      <c r="C18" s="1">
        <f>IF(Data!C18&gt;0,4-Data!C18,"")</f>
        <v>0</v>
      </c>
      <c r="D18" s="1">
        <f>IF(Data!D18&gt;0,4-Data!D18,"")</f>
        <v>3</v>
      </c>
      <c r="E18" s="1">
        <f>IF(Data!E18&gt;0,4-Data!E18,"")</f>
        <v>1</v>
      </c>
      <c r="F18" s="1">
        <f>IF(Data!F18&gt;0,Data!F18-4,"")</f>
        <v>1</v>
      </c>
      <c r="G18" s="1">
        <f>IF(Data!G18&gt;0,Data!G18-4,"")</f>
        <v>3</v>
      </c>
      <c r="H18" s="1">
        <f>IF(Data!H18&gt;0,Data!H18-4,"")</f>
        <v>1</v>
      </c>
      <c r="I18" s="1">
        <f>IF(Data!I18&gt;0,4-Data!I18,"")</f>
        <v>3</v>
      </c>
      <c r="J18" s="1">
        <f>IF(Data!J18&gt;0,4-Data!J18,"")</f>
        <v>0</v>
      </c>
      <c r="K18" s="1">
        <f>IF(Data!K18&gt;0,Data!K18-4,"")</f>
        <v>3</v>
      </c>
      <c r="L18" s="1">
        <f>IF(Data!L18&gt;0,4-Data!L18,"")</f>
        <v>3</v>
      </c>
      <c r="M18" s="1">
        <f>IF(Data!M18&gt;0,Data!M18-4,"")</f>
        <v>3</v>
      </c>
      <c r="N18" s="1">
        <f>IF(Data!N18&gt;0,Data!N18-4,"")</f>
        <v>3</v>
      </c>
      <c r="O18" s="1">
        <f>IF(Data!O18&gt;0,Data!O18-4,"")</f>
        <v>3</v>
      </c>
      <c r="P18" s="1">
        <f>IF(Data!P18&gt;0,Data!P18-4,"")</f>
        <v>3</v>
      </c>
      <c r="Q18" s="1">
        <f>IF(Data!Q18&gt;0,4-Data!Q18,"")</f>
        <v>3</v>
      </c>
      <c r="R18" s="1">
        <f>IF(Data!R18&gt;0,4-Data!R18,"")</f>
        <v>1</v>
      </c>
      <c r="S18" s="1">
        <f>IF(Data!S18&gt;0,4-Data!S18,"")</f>
        <v>3</v>
      </c>
      <c r="T18" s="1">
        <f>IF(Data!T18&gt;0,Data!T18-4,"")</f>
        <v>3</v>
      </c>
      <c r="U18" s="1">
        <f>IF(Data!U18&gt;0,4-Data!U18,"")</f>
        <v>3</v>
      </c>
      <c r="V18" s="1">
        <f>IF(Data!V18&gt;0,Data!V18-4,"")</f>
        <v>3</v>
      </c>
      <c r="W18" s="1">
        <f>IF(Data!W18&gt;0,4-Data!W18,"")</f>
        <v>3</v>
      </c>
      <c r="X18" s="1">
        <f>IF(Data!X18&gt;0,4-Data!X18,"")</f>
        <v>3</v>
      </c>
      <c r="Y18" s="1">
        <f>IF(Data!Y18&gt;0,4-Data!Y18,"")</f>
        <v>3</v>
      </c>
      <c r="Z18" s="1">
        <f>IF(Data!Z18&gt;0,Data!Z18-4,"")</f>
        <v>-3</v>
      </c>
      <c r="AC18" s="7">
        <f t="shared" si="0"/>
        <v>3</v>
      </c>
      <c r="AD18" s="7">
        <f t="shared" si="1"/>
        <v>3</v>
      </c>
      <c r="AE18" s="7">
        <f t="shared" si="2"/>
        <v>3</v>
      </c>
      <c r="AF18" s="7">
        <f t="shared" si="3"/>
        <v>2.5</v>
      </c>
      <c r="AG18" s="7">
        <f t="shared" si="4"/>
        <v>1.5</v>
      </c>
      <c r="AH18" s="7">
        <f t="shared" si="5"/>
        <v>0</v>
      </c>
    </row>
    <row r="19" spans="1:34">
      <c r="A19" s="1">
        <f>IF(Data!A19&gt;0,Data!A19-4,"")</f>
        <v>3</v>
      </c>
      <c r="B19" s="1">
        <f>IF(Data!B19&gt;0,Data!B19-4,"")</f>
        <v>3</v>
      </c>
      <c r="C19" s="1">
        <f>IF(Data!C19&gt;0,4-Data!C19,"")</f>
        <v>3</v>
      </c>
      <c r="D19" s="1">
        <f>IF(Data!D19&gt;0,4-Data!D19,"")</f>
        <v>3</v>
      </c>
      <c r="E19" s="1">
        <f>IF(Data!E19&gt;0,4-Data!E19,"")</f>
        <v>3</v>
      </c>
      <c r="F19" s="1">
        <f>IF(Data!F19&gt;0,Data!F19-4,"")</f>
        <v>2</v>
      </c>
      <c r="G19" s="1">
        <f>IF(Data!G19&gt;0,Data!G19-4,"")</f>
        <v>2</v>
      </c>
      <c r="H19" s="1">
        <f>IF(Data!H19&gt;0,Data!H19-4,"")</f>
        <v>0</v>
      </c>
      <c r="I19" s="1">
        <f>IF(Data!I19&gt;0,4-Data!I19,"")</f>
        <v>1</v>
      </c>
      <c r="J19" s="1">
        <f>IF(Data!J19&gt;0,4-Data!J19,"")</f>
        <v>1</v>
      </c>
      <c r="K19" s="1">
        <f>IF(Data!K19&gt;0,Data!K19-4,"")</f>
        <v>2</v>
      </c>
      <c r="L19" s="1">
        <f>IF(Data!L19&gt;0,4-Data!L19,"")</f>
        <v>2</v>
      </c>
      <c r="M19" s="1">
        <f>IF(Data!M19&gt;0,Data!M19-4,"")</f>
        <v>3</v>
      </c>
      <c r="N19" s="1">
        <f>IF(Data!N19&gt;0,Data!N19-4,"")</f>
        <v>3</v>
      </c>
      <c r="O19" s="1">
        <f>IF(Data!O19&gt;0,Data!O19-4,"")</f>
        <v>3</v>
      </c>
      <c r="P19" s="1">
        <f>IF(Data!P19&gt;0,Data!P19-4,"")</f>
        <v>3</v>
      </c>
      <c r="Q19" s="1">
        <f>IF(Data!Q19&gt;0,4-Data!Q19,"")</f>
        <v>3</v>
      </c>
      <c r="R19" s="1">
        <f>IF(Data!R19&gt;0,4-Data!R19,"")</f>
        <v>3</v>
      </c>
      <c r="S19" s="1">
        <f>IF(Data!S19&gt;0,4-Data!S19,"")</f>
        <v>3</v>
      </c>
      <c r="T19" s="1">
        <f>IF(Data!T19&gt;0,Data!T19-4,"")</f>
        <v>1</v>
      </c>
      <c r="U19" s="1">
        <f>IF(Data!U19&gt;0,4-Data!U19,"")</f>
        <v>2</v>
      </c>
      <c r="V19" s="1">
        <f>IF(Data!V19&gt;0,Data!V19-4,"")</f>
        <v>3</v>
      </c>
      <c r="W19" s="1">
        <f>IF(Data!W19&gt;0,4-Data!W19,"")</f>
        <v>3</v>
      </c>
      <c r="X19" s="1">
        <f>IF(Data!X19&gt;0,4-Data!X19,"")</f>
        <v>3</v>
      </c>
      <c r="Y19" s="1">
        <f>IF(Data!Y19&gt;0,4-Data!Y19,"")</f>
        <v>3</v>
      </c>
      <c r="Z19" s="1">
        <f>IF(Data!Z19&gt;0,Data!Z19-4,"")</f>
        <v>3</v>
      </c>
      <c r="AC19" s="7">
        <f t="shared" si="0"/>
        <v>2.8333333333333335</v>
      </c>
      <c r="AD19" s="7">
        <f t="shared" si="1"/>
        <v>2.75</v>
      </c>
      <c r="AE19" s="7">
        <f t="shared" si="2"/>
        <v>2</v>
      </c>
      <c r="AF19" s="7">
        <f t="shared" si="3"/>
        <v>2</v>
      </c>
      <c r="AG19" s="7">
        <f t="shared" si="4"/>
        <v>2.5</v>
      </c>
      <c r="AH19" s="7">
        <f t="shared" si="5"/>
        <v>2.5</v>
      </c>
    </row>
    <row r="20" spans="1:34">
      <c r="A20" s="1">
        <f>IF(Data!A20&gt;0,Data!A20-4,"")</f>
        <v>-2</v>
      </c>
      <c r="B20" s="1">
        <f>IF(Data!B20&gt;0,Data!B20-4,"")</f>
        <v>2</v>
      </c>
      <c r="C20" s="1">
        <f>IF(Data!C20&gt;0,4-Data!C20,"")</f>
        <v>1</v>
      </c>
      <c r="D20" s="1">
        <f>IF(Data!D20&gt;0,4-Data!D20,"")</f>
        <v>1</v>
      </c>
      <c r="E20" s="1">
        <f>IF(Data!E20&gt;0,4-Data!E20,"")</f>
        <v>0</v>
      </c>
      <c r="F20" s="1">
        <f>IF(Data!F20&gt;0,Data!F20-4,"")</f>
        <v>-1</v>
      </c>
      <c r="G20" s="1">
        <f>IF(Data!G20&gt;0,Data!G20-4,"")</f>
        <v>-2</v>
      </c>
      <c r="H20" s="1">
        <f>IF(Data!H20&gt;0,Data!H20-4,"")</f>
        <v>2</v>
      </c>
      <c r="I20" s="1">
        <f>IF(Data!I20&gt;0,4-Data!I20,"")</f>
        <v>-2</v>
      </c>
      <c r="J20" s="1">
        <f>IF(Data!J20&gt;0,4-Data!J20,"")</f>
        <v>-1</v>
      </c>
      <c r="K20" s="1">
        <f>IF(Data!K20&gt;0,Data!K20-4,"")</f>
        <v>-2</v>
      </c>
      <c r="L20" s="1">
        <f>IF(Data!L20&gt;0,4-Data!L20,"")</f>
        <v>-3</v>
      </c>
      <c r="M20" s="1">
        <f>IF(Data!M20&gt;0,Data!M20-4,"")</f>
        <v>0</v>
      </c>
      <c r="N20" s="1">
        <f>IF(Data!N20&gt;0,Data!N20-4,"")</f>
        <v>-3</v>
      </c>
      <c r="O20" s="1">
        <f>IF(Data!O20&gt;0,Data!O20-4,"")</f>
        <v>1</v>
      </c>
      <c r="P20" s="1">
        <f>IF(Data!P20&gt;0,Data!P20-4,"")</f>
        <v>-3</v>
      </c>
      <c r="Q20" s="1">
        <f>IF(Data!Q20&gt;0,4-Data!Q20,"")</f>
        <v>2</v>
      </c>
      <c r="R20" s="1">
        <f>IF(Data!R20&gt;0,4-Data!R20,"")</f>
        <v>-2</v>
      </c>
      <c r="S20" s="1">
        <f>IF(Data!S20&gt;0,4-Data!S20,"")</f>
        <v>2</v>
      </c>
      <c r="T20" s="1">
        <f>IF(Data!T20&gt;0,Data!T20-4,"")</f>
        <v>3</v>
      </c>
      <c r="U20" s="1">
        <f>IF(Data!U20&gt;0,4-Data!U20,"")</f>
        <v>1</v>
      </c>
      <c r="V20" s="1">
        <f>IF(Data!V20&gt;0,Data!V20-4,"")</f>
        <v>2</v>
      </c>
      <c r="W20" s="1">
        <f>IF(Data!W20&gt;0,4-Data!W20,"")</f>
        <v>3</v>
      </c>
      <c r="X20" s="1">
        <f>IF(Data!X20&gt;0,4-Data!X20,"")</f>
        <v>0</v>
      </c>
      <c r="Y20" s="1">
        <f>IF(Data!Y20&gt;0,4-Data!Y20,"")</f>
        <v>0</v>
      </c>
      <c r="Z20" s="1">
        <f>IF(Data!Z20&gt;0,Data!Z20-4,"")</f>
        <v>1</v>
      </c>
      <c r="AC20" s="7">
        <f t="shared" si="0"/>
        <v>-1.8333333333333333</v>
      </c>
      <c r="AD20" s="7">
        <f t="shared" si="1"/>
        <v>1</v>
      </c>
      <c r="AE20" s="7">
        <f t="shared" si="2"/>
        <v>1.5</v>
      </c>
      <c r="AF20" s="7">
        <f t="shared" si="3"/>
        <v>1</v>
      </c>
      <c r="AG20" s="7">
        <f t="shared" si="4"/>
        <v>-1.25</v>
      </c>
      <c r="AH20" s="7">
        <f t="shared" si="5"/>
        <v>0.5</v>
      </c>
    </row>
    <row r="21" spans="1:34">
      <c r="A21" s="1">
        <f>IF(Data!A21&gt;0,Data!A21-4,"")</f>
        <v>1</v>
      </c>
      <c r="B21" s="1">
        <f>IF(Data!B21&gt;0,Data!B21-4,"")</f>
        <v>3</v>
      </c>
      <c r="C21" s="1">
        <f>IF(Data!C21&gt;0,4-Data!C21,"")</f>
        <v>0</v>
      </c>
      <c r="D21" s="1">
        <f>IF(Data!D21&gt;0,4-Data!D21,"")</f>
        <v>2</v>
      </c>
      <c r="E21" s="1">
        <f>IF(Data!E21&gt;0,4-Data!E21,"")</f>
        <v>0</v>
      </c>
      <c r="F21" s="1">
        <f>IF(Data!F21&gt;0,Data!F21-4,"")</f>
        <v>2</v>
      </c>
      <c r="G21" s="1">
        <f>IF(Data!G21&gt;0,Data!G21-4,"")</f>
        <v>2</v>
      </c>
      <c r="H21" s="1">
        <f>IF(Data!H21&gt;0,Data!H21-4,"")</f>
        <v>-1</v>
      </c>
      <c r="I21" s="1">
        <f>IF(Data!I21&gt;0,4-Data!I21,"")</f>
        <v>0</v>
      </c>
      <c r="J21" s="1">
        <f>IF(Data!J21&gt;0,4-Data!J21,"")</f>
        <v>1</v>
      </c>
      <c r="K21" s="1">
        <f>IF(Data!K21&gt;0,Data!K21-4,"")</f>
        <v>1</v>
      </c>
      <c r="L21" s="1">
        <f>IF(Data!L21&gt;0,4-Data!L21,"")</f>
        <v>2</v>
      </c>
      <c r="M21" s="1">
        <f>IF(Data!M21&gt;0,Data!M21-4,"")</f>
        <v>1</v>
      </c>
      <c r="N21" s="1">
        <f>IF(Data!N21&gt;0,Data!N21-4,"")</f>
        <v>2</v>
      </c>
      <c r="O21" s="1">
        <f>IF(Data!O21&gt;0,Data!O21-4,"")</f>
        <v>1</v>
      </c>
      <c r="P21" s="1">
        <f>IF(Data!P21&gt;0,Data!P21-4,"")</f>
        <v>3</v>
      </c>
      <c r="Q21" s="1">
        <f>IF(Data!Q21&gt;0,4-Data!Q21,"")</f>
        <v>1</v>
      </c>
      <c r="R21" s="1">
        <f>IF(Data!R21&gt;0,4-Data!R21,"")</f>
        <v>-1</v>
      </c>
      <c r="S21" s="1">
        <f>IF(Data!S21&gt;0,4-Data!S21,"")</f>
        <v>1</v>
      </c>
      <c r="T21" s="1">
        <f>IF(Data!T21&gt;0,Data!T21-4,"")</f>
        <v>3</v>
      </c>
      <c r="U21" s="1">
        <f>IF(Data!U21&gt;0,4-Data!U21,"")</f>
        <v>1</v>
      </c>
      <c r="V21" s="1">
        <f>IF(Data!V21&gt;0,Data!V21-4,"")</f>
        <v>2</v>
      </c>
      <c r="W21" s="1">
        <f>IF(Data!W21&gt;0,4-Data!W21,"")</f>
        <v>3</v>
      </c>
      <c r="X21" s="1">
        <f>IF(Data!X21&gt;0,4-Data!X21,"")</f>
        <v>3</v>
      </c>
      <c r="Y21" s="1">
        <f>IF(Data!Y21&gt;0,4-Data!Y21,"")</f>
        <v>3</v>
      </c>
      <c r="Z21" s="1">
        <f>IF(Data!Z21&gt;0,Data!Z21-4,"")</f>
        <v>0</v>
      </c>
      <c r="AC21" s="7">
        <f t="shared" si="0"/>
        <v>2.3333333333333335</v>
      </c>
      <c r="AD21" s="7">
        <f t="shared" si="1"/>
        <v>1.75</v>
      </c>
      <c r="AE21" s="7">
        <f t="shared" si="2"/>
        <v>2</v>
      </c>
      <c r="AF21" s="7">
        <f t="shared" si="3"/>
        <v>0.5</v>
      </c>
      <c r="AG21" s="7">
        <f t="shared" si="4"/>
        <v>0.75</v>
      </c>
      <c r="AH21" s="7">
        <f t="shared" si="5"/>
        <v>0.5</v>
      </c>
    </row>
    <row r="22" spans="1:34">
      <c r="A22" s="1">
        <f>IF(Data!A22&gt;0,Data!A22-4,"")</f>
        <v>2</v>
      </c>
      <c r="B22" s="1">
        <f>IF(Data!B22&gt;0,Data!B22-4,"")</f>
        <v>3</v>
      </c>
      <c r="C22" s="1">
        <f>IF(Data!C22&gt;0,4-Data!C22,"")</f>
        <v>2</v>
      </c>
      <c r="D22" s="1">
        <f>IF(Data!D22&gt;0,4-Data!D22,"")</f>
        <v>2</v>
      </c>
      <c r="E22" s="1">
        <f>IF(Data!E22&gt;0,4-Data!E22,"")</f>
        <v>2</v>
      </c>
      <c r="F22" s="1">
        <f>IF(Data!F22&gt;0,Data!F22-4,"")</f>
        <v>0</v>
      </c>
      <c r="G22" s="1">
        <f>IF(Data!G22&gt;0,Data!G22-4,"")</f>
        <v>1</v>
      </c>
      <c r="H22" s="1">
        <f>IF(Data!H22&gt;0,Data!H22-4,"")</f>
        <v>2</v>
      </c>
      <c r="I22" s="1">
        <f>IF(Data!I22&gt;0,4-Data!I22,"")</f>
        <v>2</v>
      </c>
      <c r="J22" s="1">
        <f>IF(Data!J22&gt;0,4-Data!J22,"")</f>
        <v>1</v>
      </c>
      <c r="K22" s="1">
        <f>IF(Data!K22&gt;0,Data!K22-4,"")</f>
        <v>1</v>
      </c>
      <c r="L22" s="1">
        <f>IF(Data!L22&gt;0,4-Data!L22,"")</f>
        <v>3</v>
      </c>
      <c r="M22" s="1">
        <f>IF(Data!M22&gt;0,Data!M22-4,"")</f>
        <v>3</v>
      </c>
      <c r="N22" s="1">
        <f>IF(Data!N22&gt;0,Data!N22-4,"")</f>
        <v>2</v>
      </c>
      <c r="O22" s="1">
        <f>IF(Data!O22&gt;0,Data!O22-4,"")</f>
        <v>1</v>
      </c>
      <c r="P22" s="1">
        <f>IF(Data!P22&gt;0,Data!P22-4,"")</f>
        <v>2</v>
      </c>
      <c r="Q22" s="1">
        <f>IF(Data!Q22&gt;0,4-Data!Q22,"")</f>
        <v>2</v>
      </c>
      <c r="R22" s="1">
        <f>IF(Data!R22&gt;0,4-Data!R22,"")</f>
        <v>2</v>
      </c>
      <c r="S22" s="1">
        <f>IF(Data!S22&gt;0,4-Data!S22,"")</f>
        <v>2</v>
      </c>
      <c r="T22" s="1">
        <f>IF(Data!T22&gt;0,Data!T22-4,"")</f>
        <v>2</v>
      </c>
      <c r="U22" s="1">
        <f>IF(Data!U22&gt;0,4-Data!U22,"")</f>
        <v>2</v>
      </c>
      <c r="V22" s="1">
        <f>IF(Data!V22&gt;0,Data!V22-4,"")</f>
        <v>3</v>
      </c>
      <c r="W22" s="1">
        <f>IF(Data!W22&gt;0,4-Data!W22,"")</f>
        <v>3</v>
      </c>
      <c r="X22" s="1">
        <f>IF(Data!X22&gt;0,4-Data!X22,"")</f>
        <v>2</v>
      </c>
      <c r="Y22" s="1">
        <f>IF(Data!Y22&gt;0,4-Data!Y22,"")</f>
        <v>3</v>
      </c>
      <c r="Z22" s="1">
        <f>IF(Data!Z22&gt;0,Data!Z22-4,"")</f>
        <v>2</v>
      </c>
      <c r="AC22" s="7">
        <f t="shared" si="0"/>
        <v>2.3333333333333335</v>
      </c>
      <c r="AD22" s="7">
        <f t="shared" si="1"/>
        <v>2.5</v>
      </c>
      <c r="AE22" s="7">
        <f t="shared" si="2"/>
        <v>2.5</v>
      </c>
      <c r="AF22" s="7">
        <f t="shared" si="3"/>
        <v>1.75</v>
      </c>
      <c r="AG22" s="7">
        <f t="shared" si="4"/>
        <v>1.25</v>
      </c>
      <c r="AH22" s="7">
        <f t="shared" si="5"/>
        <v>1.5</v>
      </c>
    </row>
    <row r="23" spans="1:34">
      <c r="A23" s="1">
        <f>IF(Data!A23&gt;0,Data!A23-4,"")</f>
        <v>2</v>
      </c>
      <c r="B23" s="1">
        <f>IF(Data!B23&gt;0,Data!B23-4,"")</f>
        <v>2</v>
      </c>
      <c r="C23" s="1">
        <f>IF(Data!C23&gt;0,4-Data!C23,"")</f>
        <v>2</v>
      </c>
      <c r="D23" s="1">
        <f>IF(Data!D23&gt;0,4-Data!D23,"")</f>
        <v>2</v>
      </c>
      <c r="E23" s="1">
        <f>IF(Data!E23&gt;0,4-Data!E23,"")</f>
        <v>2</v>
      </c>
      <c r="F23" s="1">
        <f>IF(Data!F23&gt;0,Data!F23-4,"")</f>
        <v>2</v>
      </c>
      <c r="G23" s="1">
        <f>IF(Data!G23&gt;0,Data!G23-4,"")</f>
        <v>2</v>
      </c>
      <c r="H23" s="1">
        <f>IF(Data!H23&gt;0,Data!H23-4,"")</f>
        <v>1</v>
      </c>
      <c r="I23" s="1">
        <f>IF(Data!I23&gt;0,4-Data!I23,"")</f>
        <v>2</v>
      </c>
      <c r="J23" s="1">
        <f>IF(Data!J23&gt;0,4-Data!J23,"")</f>
        <v>3</v>
      </c>
      <c r="K23" s="1">
        <f>IF(Data!K23&gt;0,Data!K23-4,"")</f>
        <v>2</v>
      </c>
      <c r="L23" s="1">
        <f>IF(Data!L23&gt;0,4-Data!L23,"")</f>
        <v>2</v>
      </c>
      <c r="M23" s="1">
        <f>IF(Data!M23&gt;0,Data!M23-4,"")</f>
        <v>1</v>
      </c>
      <c r="N23" s="1">
        <f>IF(Data!N23&gt;0,Data!N23-4,"")</f>
        <v>2</v>
      </c>
      <c r="O23" s="1">
        <f>IF(Data!O23&gt;0,Data!O23-4,"")</f>
        <v>3</v>
      </c>
      <c r="P23" s="1">
        <f>IF(Data!P23&gt;0,Data!P23-4,"")</f>
        <v>2</v>
      </c>
      <c r="Q23" s="1">
        <f>IF(Data!Q23&gt;0,4-Data!Q23,"")</f>
        <v>2</v>
      </c>
      <c r="R23" s="1">
        <f>IF(Data!R23&gt;0,4-Data!R23,"")</f>
        <v>1</v>
      </c>
      <c r="S23" s="1">
        <f>IF(Data!S23&gt;0,4-Data!S23,"")</f>
        <v>3</v>
      </c>
      <c r="T23" s="1">
        <f>IF(Data!T23&gt;0,Data!T23-4,"")</f>
        <v>3</v>
      </c>
      <c r="U23" s="1">
        <f>IF(Data!U23&gt;0,4-Data!U23,"")</f>
        <v>2</v>
      </c>
      <c r="V23" s="1">
        <f>IF(Data!V23&gt;0,Data!V23-4,"")</f>
        <v>2</v>
      </c>
      <c r="W23" s="1">
        <f>IF(Data!W23&gt;0,4-Data!W23,"")</f>
        <v>2</v>
      </c>
      <c r="X23" s="1">
        <f>IF(Data!X23&gt;0,4-Data!X23,"")</f>
        <v>2</v>
      </c>
      <c r="Y23" s="1">
        <f>IF(Data!Y23&gt;0,4-Data!Y23,"")</f>
        <v>2</v>
      </c>
      <c r="Z23" s="1">
        <f>IF(Data!Z23&gt;0,Data!Z23-4,"")</f>
        <v>3</v>
      </c>
      <c r="AC23" s="7">
        <f t="shared" si="0"/>
        <v>2</v>
      </c>
      <c r="AD23" s="7">
        <f t="shared" si="1"/>
        <v>1.75</v>
      </c>
      <c r="AE23" s="7">
        <f t="shared" si="2"/>
        <v>2.25</v>
      </c>
      <c r="AF23" s="7">
        <f t="shared" si="3"/>
        <v>2</v>
      </c>
      <c r="AG23" s="7">
        <f t="shared" si="4"/>
        <v>1.75</v>
      </c>
      <c r="AH23" s="7">
        <f t="shared" si="5"/>
        <v>2.75</v>
      </c>
    </row>
    <row r="24" spans="1:34">
      <c r="A24" s="1">
        <f>IF(Data!A24&gt;0,Data!A24-4,"")</f>
        <v>2</v>
      </c>
      <c r="B24" s="1">
        <f>IF(Data!B24&gt;0,Data!B24-4,"")</f>
        <v>1</v>
      </c>
      <c r="C24" s="1">
        <f>IF(Data!C24&gt;0,4-Data!C24,"")</f>
        <v>2</v>
      </c>
      <c r="D24" s="1">
        <f>IF(Data!D24&gt;0,4-Data!D24,"")</f>
        <v>2</v>
      </c>
      <c r="E24" s="1">
        <f>IF(Data!E24&gt;0,4-Data!E24,"")</f>
        <v>2</v>
      </c>
      <c r="F24" s="1">
        <f>IF(Data!F24&gt;0,Data!F24-4,"")</f>
        <v>2</v>
      </c>
      <c r="G24" s="1">
        <f>IF(Data!G24&gt;0,Data!G24-4,"")</f>
        <v>2</v>
      </c>
      <c r="H24" s="1">
        <f>IF(Data!H24&gt;0,Data!H24-4,"")</f>
        <v>-1</v>
      </c>
      <c r="I24" s="1">
        <f>IF(Data!I24&gt;0,4-Data!I24,"")</f>
        <v>2</v>
      </c>
      <c r="J24" s="1">
        <f>IF(Data!J24&gt;0,4-Data!J24,"")</f>
        <v>3</v>
      </c>
      <c r="K24" s="1">
        <f>IF(Data!K24&gt;0,Data!K24-4,"")</f>
        <v>2</v>
      </c>
      <c r="L24" s="1">
        <f>IF(Data!L24&gt;0,4-Data!L24,"")</f>
        <v>3</v>
      </c>
      <c r="M24" s="1">
        <f>IF(Data!M24&gt;0,Data!M24-4,"")</f>
        <v>1</v>
      </c>
      <c r="N24" s="1">
        <f>IF(Data!N24&gt;0,Data!N24-4,"")</f>
        <v>3</v>
      </c>
      <c r="O24" s="1">
        <f>IF(Data!O24&gt;0,Data!O24-4,"")</f>
        <v>1</v>
      </c>
      <c r="P24" s="1">
        <f>IF(Data!P24&gt;0,Data!P24-4,"")</f>
        <v>2</v>
      </c>
      <c r="Q24" s="1">
        <f>IF(Data!Q24&gt;0,4-Data!Q24,"")</f>
        <v>2</v>
      </c>
      <c r="R24" s="1">
        <f>IF(Data!R24&gt;0,4-Data!R24,"")</f>
        <v>1</v>
      </c>
      <c r="S24" s="1">
        <f>IF(Data!S24&gt;0,4-Data!S24,"")</f>
        <v>3</v>
      </c>
      <c r="T24" s="1">
        <f>IF(Data!T24&gt;0,Data!T24-4,"")</f>
        <v>3</v>
      </c>
      <c r="U24" s="1">
        <f>IF(Data!U24&gt;0,4-Data!U24,"")</f>
        <v>2</v>
      </c>
      <c r="V24" s="1">
        <f>IF(Data!V24&gt;0,Data!V24-4,"")</f>
        <v>2</v>
      </c>
      <c r="W24" s="1">
        <f>IF(Data!W24&gt;0,4-Data!W24,"")</f>
        <v>1</v>
      </c>
      <c r="X24" s="1">
        <f>IF(Data!X24&gt;0,4-Data!X24,"")</f>
        <v>0</v>
      </c>
      <c r="Y24" s="1">
        <f>IF(Data!Y24&gt;0,4-Data!Y24,"")</f>
        <v>2</v>
      </c>
      <c r="Z24" s="1">
        <f>IF(Data!Z24&gt;0,Data!Z24-4,"")</f>
        <v>2</v>
      </c>
      <c r="AC24" s="7">
        <f t="shared" si="0"/>
        <v>2</v>
      </c>
      <c r="AD24" s="7">
        <f t="shared" si="1"/>
        <v>1.5</v>
      </c>
      <c r="AE24" s="7">
        <f t="shared" si="2"/>
        <v>2</v>
      </c>
      <c r="AF24" s="7">
        <f t="shared" si="3"/>
        <v>1.5</v>
      </c>
      <c r="AG24" s="7">
        <f t="shared" si="4"/>
        <v>1.75</v>
      </c>
      <c r="AH24" s="7">
        <f t="shared" si="5"/>
        <v>2</v>
      </c>
    </row>
    <row r="25" spans="1:34">
      <c r="A25" s="1">
        <f>IF(Data!A25&gt;0,Data!A25-4,"")</f>
        <v>3</v>
      </c>
      <c r="B25" s="1">
        <f>IF(Data!B25&gt;0,Data!B25-4,"")</f>
        <v>3</v>
      </c>
      <c r="C25" s="1">
        <f>IF(Data!C25&gt;0,4-Data!C25,"")</f>
        <v>3</v>
      </c>
      <c r="D25" s="1">
        <f>IF(Data!D25&gt;0,4-Data!D25,"")</f>
        <v>3</v>
      </c>
      <c r="E25" s="1">
        <f>IF(Data!E25&gt;0,4-Data!E25,"")</f>
        <v>3</v>
      </c>
      <c r="F25" s="1">
        <f>IF(Data!F25&gt;0,Data!F25-4,"")</f>
        <v>3</v>
      </c>
      <c r="G25" s="1">
        <f>IF(Data!G25&gt;0,Data!G25-4,"")</f>
        <v>3</v>
      </c>
      <c r="H25" s="1">
        <f>IF(Data!H25&gt;0,Data!H25-4,"")</f>
        <v>2</v>
      </c>
      <c r="I25" s="1">
        <f>IF(Data!I25&gt;0,4-Data!I25,"")</f>
        <v>2</v>
      </c>
      <c r="J25" s="1">
        <f>IF(Data!J25&gt;0,4-Data!J25,"")</f>
        <v>2</v>
      </c>
      <c r="K25" s="1">
        <f>IF(Data!K25&gt;0,Data!K25-4,"")</f>
        <v>0</v>
      </c>
      <c r="L25" s="1">
        <f>IF(Data!L25&gt;0,4-Data!L25,"")</f>
        <v>1</v>
      </c>
      <c r="M25" s="1">
        <f>IF(Data!M25&gt;0,Data!M25-4,"")</f>
        <v>1</v>
      </c>
      <c r="N25" s="1">
        <f>IF(Data!N25&gt;0,Data!N25-4,"")</f>
        <v>1</v>
      </c>
      <c r="O25" s="1">
        <f>IF(Data!O25&gt;0,Data!O25-4,"")</f>
        <v>2</v>
      </c>
      <c r="P25" s="1">
        <f>IF(Data!P25&gt;0,Data!P25-4,"")</f>
        <v>2</v>
      </c>
      <c r="Q25" s="1">
        <f>IF(Data!Q25&gt;0,4-Data!Q25,"")</f>
        <v>2</v>
      </c>
      <c r="R25" s="1">
        <f>IF(Data!R25&gt;0,4-Data!R25,"")</f>
        <v>2</v>
      </c>
      <c r="S25" s="1">
        <f>IF(Data!S25&gt;0,4-Data!S25,"")</f>
        <v>2</v>
      </c>
      <c r="T25" s="1">
        <f>IF(Data!T25&gt;0,Data!T25-4,"")</f>
        <v>3</v>
      </c>
      <c r="U25" s="1">
        <f>IF(Data!U25&gt;0,4-Data!U25,"")</f>
        <v>2</v>
      </c>
      <c r="V25" s="1">
        <f>IF(Data!V25&gt;0,Data!V25-4,"")</f>
        <v>2</v>
      </c>
      <c r="W25" s="1">
        <f>IF(Data!W25&gt;0,4-Data!W25,"")</f>
        <v>2</v>
      </c>
      <c r="X25" s="1">
        <f>IF(Data!X25&gt;0,4-Data!X25,"")</f>
        <v>2</v>
      </c>
      <c r="Y25" s="1">
        <f>IF(Data!Y25&gt;0,4-Data!Y25,"")</f>
        <v>2</v>
      </c>
      <c r="Z25" s="1">
        <f>IF(Data!Z25&gt;0,Data!Z25-4,"")</f>
        <v>2</v>
      </c>
      <c r="AC25" s="7">
        <f t="shared" si="0"/>
        <v>1.8333333333333333</v>
      </c>
      <c r="AD25" s="7">
        <f t="shared" si="1"/>
        <v>2.25</v>
      </c>
      <c r="AE25" s="7">
        <f t="shared" si="2"/>
        <v>2.25</v>
      </c>
      <c r="AF25" s="7">
        <f t="shared" si="3"/>
        <v>1.5</v>
      </c>
      <c r="AG25" s="7">
        <f t="shared" si="4"/>
        <v>2.75</v>
      </c>
      <c r="AH25" s="7">
        <f t="shared" si="5"/>
        <v>2.25</v>
      </c>
    </row>
    <row r="26" spans="1:34">
      <c r="A26" s="1">
        <f>IF(Data!A26&gt;0,Data!A26-4,"")</f>
        <v>3</v>
      </c>
      <c r="B26" s="1">
        <f>IF(Data!B26&gt;0,Data!B26-4,"")</f>
        <v>2</v>
      </c>
      <c r="C26" s="1">
        <f>IF(Data!C26&gt;0,4-Data!C26,"")</f>
        <v>3</v>
      </c>
      <c r="D26" s="1">
        <f>IF(Data!D26&gt;0,4-Data!D26,"")</f>
        <v>3</v>
      </c>
      <c r="E26" s="1">
        <f>IF(Data!E26&gt;0,4-Data!E26,"")</f>
        <v>3</v>
      </c>
      <c r="F26" s="1">
        <f>IF(Data!F26&gt;0,Data!F26-4,"")</f>
        <v>2</v>
      </c>
      <c r="G26" s="1">
        <f>IF(Data!G26&gt;0,Data!G26-4,"")</f>
        <v>2</v>
      </c>
      <c r="H26" s="1">
        <f>IF(Data!H26&gt;0,Data!H26-4,"")</f>
        <v>0</v>
      </c>
      <c r="I26" s="1">
        <f>IF(Data!I26&gt;0,4-Data!I26,"")</f>
        <v>3</v>
      </c>
      <c r="J26" s="1">
        <f>IF(Data!J26&gt;0,4-Data!J26,"")</f>
        <v>-2</v>
      </c>
      <c r="K26" s="1">
        <f>IF(Data!K26&gt;0,Data!K26-4,"")</f>
        <v>2</v>
      </c>
      <c r="L26" s="1">
        <f>IF(Data!L26&gt;0,4-Data!L26,"")</f>
        <v>3</v>
      </c>
      <c r="M26" s="1">
        <f>IF(Data!M26&gt;0,Data!M26-4,"")</f>
        <v>3</v>
      </c>
      <c r="N26" s="1">
        <f>IF(Data!N26&gt;0,Data!N26-4,"")</f>
        <v>2</v>
      </c>
      <c r="O26" s="1">
        <f>IF(Data!O26&gt;0,Data!O26-4,"")</f>
        <v>3</v>
      </c>
      <c r="P26" s="1">
        <f>IF(Data!P26&gt;0,Data!P26-4,"")</f>
        <v>2</v>
      </c>
      <c r="Q26" s="1">
        <f>IF(Data!Q26&gt;0,4-Data!Q26,"")</f>
        <v>3</v>
      </c>
      <c r="R26" s="1">
        <f>IF(Data!R26&gt;0,4-Data!R26,"")</f>
        <v>3</v>
      </c>
      <c r="S26" s="1">
        <f>IF(Data!S26&gt;0,4-Data!S26,"")</f>
        <v>2</v>
      </c>
      <c r="T26" s="1">
        <f>IF(Data!T26&gt;0,Data!T26-4,"")</f>
        <v>3</v>
      </c>
      <c r="U26" s="1">
        <f>IF(Data!U26&gt;0,4-Data!U26,"")</f>
        <v>3</v>
      </c>
      <c r="V26" s="1">
        <f>IF(Data!V26&gt;0,Data!V26-4,"")</f>
        <v>2</v>
      </c>
      <c r="W26" s="1">
        <f>IF(Data!W26&gt;0,4-Data!W26,"")</f>
        <v>2</v>
      </c>
      <c r="X26" s="1">
        <f>IF(Data!X26&gt;0,4-Data!X26,"")</f>
        <v>2</v>
      </c>
      <c r="Y26" s="1">
        <f>IF(Data!Y26&gt;0,4-Data!Y26,"")</f>
        <v>2</v>
      </c>
      <c r="Z26" s="1">
        <f>IF(Data!Z26&gt;0,Data!Z26-4,"")</f>
        <v>-2</v>
      </c>
      <c r="AC26" s="7">
        <f t="shared" si="0"/>
        <v>2.3333333333333335</v>
      </c>
      <c r="AD26" s="7">
        <f t="shared" si="1"/>
        <v>2.75</v>
      </c>
      <c r="AE26" s="7">
        <f t="shared" si="2"/>
        <v>2.5</v>
      </c>
      <c r="AF26" s="7">
        <f t="shared" si="3"/>
        <v>1.75</v>
      </c>
      <c r="AG26" s="7">
        <f t="shared" si="4"/>
        <v>2.5</v>
      </c>
      <c r="AH26" s="7">
        <f t="shared" si="5"/>
        <v>0.5</v>
      </c>
    </row>
    <row r="27" spans="1:34">
      <c r="A27" s="1">
        <f>IF(Data!A27&gt;0,Data!A27-4,"")</f>
        <v>1</v>
      </c>
      <c r="B27" s="1">
        <f>IF(Data!B27&gt;0,Data!B27-4,"")</f>
        <v>3</v>
      </c>
      <c r="C27" s="1">
        <f>IF(Data!C27&gt;0,4-Data!C27,"")</f>
        <v>0</v>
      </c>
      <c r="D27" s="1">
        <f>IF(Data!D27&gt;0,4-Data!D27,"")</f>
        <v>3</v>
      </c>
      <c r="E27" s="1">
        <f>IF(Data!E27&gt;0,4-Data!E27,"")</f>
        <v>3</v>
      </c>
      <c r="F27" s="1">
        <f>IF(Data!F27&gt;0,Data!F27-4,"")</f>
        <v>0</v>
      </c>
      <c r="G27" s="1">
        <f>IF(Data!G27&gt;0,Data!G27-4,"")</f>
        <v>1</v>
      </c>
      <c r="H27" s="1">
        <f>IF(Data!H27&gt;0,Data!H27-4,"")</f>
        <v>2</v>
      </c>
      <c r="I27" s="1">
        <f>IF(Data!I27&gt;0,4-Data!I27,"")</f>
        <v>2</v>
      </c>
      <c r="J27" s="1">
        <f>IF(Data!J27&gt;0,4-Data!J27,"")</f>
        <v>-2</v>
      </c>
      <c r="K27" s="1">
        <f>IF(Data!K27&gt;0,Data!K27-4,"")</f>
        <v>2</v>
      </c>
      <c r="L27" s="1">
        <f>IF(Data!L27&gt;0,4-Data!L27,"")</f>
        <v>3</v>
      </c>
      <c r="M27" s="1">
        <f>IF(Data!M27&gt;0,Data!M27-4,"")</f>
        <v>3</v>
      </c>
      <c r="N27" s="1">
        <f>IF(Data!N27&gt;0,Data!N27-4,"")</f>
        <v>2</v>
      </c>
      <c r="O27" s="1">
        <f>IF(Data!O27&gt;0,Data!O27-4,"")</f>
        <v>-2</v>
      </c>
      <c r="P27" s="1">
        <f>IF(Data!P27&gt;0,Data!P27-4,"")</f>
        <v>2</v>
      </c>
      <c r="Q27" s="1">
        <f>IF(Data!Q27&gt;0,4-Data!Q27,"")</f>
        <v>2</v>
      </c>
      <c r="R27" s="1">
        <f>IF(Data!R27&gt;0,4-Data!R27,"")</f>
        <v>0</v>
      </c>
      <c r="S27" s="1">
        <f>IF(Data!S27&gt;0,4-Data!S27,"")</f>
        <v>2</v>
      </c>
      <c r="T27" s="1">
        <f>IF(Data!T27&gt;0,Data!T27-4,"")</f>
        <v>3</v>
      </c>
      <c r="U27" s="1">
        <f>IF(Data!U27&gt;0,4-Data!U27,"")</f>
        <v>3</v>
      </c>
      <c r="V27" s="1">
        <f>IF(Data!V27&gt;0,Data!V27-4,"")</f>
        <v>3</v>
      </c>
      <c r="W27" s="1">
        <f>IF(Data!W27&gt;0,4-Data!W27,"")</f>
        <v>3</v>
      </c>
      <c r="X27" s="1">
        <f>IF(Data!X27&gt;0,4-Data!X27,"")</f>
        <v>1</v>
      </c>
      <c r="Y27" s="1">
        <f>IF(Data!Y27&gt;0,4-Data!Y27,"")</f>
        <v>3</v>
      </c>
      <c r="Z27" s="1">
        <f>IF(Data!Z27&gt;0,Data!Z27-4,"")</f>
        <v>0</v>
      </c>
      <c r="AC27" s="7">
        <f t="shared" si="0"/>
        <v>2</v>
      </c>
      <c r="AD27" s="7">
        <f t="shared" si="1"/>
        <v>3</v>
      </c>
      <c r="AE27" s="7">
        <f t="shared" si="2"/>
        <v>2.75</v>
      </c>
      <c r="AF27" s="7">
        <f t="shared" si="3"/>
        <v>2</v>
      </c>
      <c r="AG27" s="7">
        <f t="shared" si="4"/>
        <v>1</v>
      </c>
      <c r="AH27" s="7">
        <f t="shared" si="5"/>
        <v>-1</v>
      </c>
    </row>
    <row r="28" spans="1:34">
      <c r="A28" s="1">
        <f>IF(Data!A28&gt;0,Data!A28-4,"")</f>
        <v>1</v>
      </c>
      <c r="B28" s="1">
        <f>IF(Data!B28&gt;0,Data!B28-4,"")</f>
        <v>3</v>
      </c>
      <c r="C28" s="1">
        <f>IF(Data!C28&gt;0,4-Data!C28,"")</f>
        <v>0</v>
      </c>
      <c r="D28" s="1">
        <f>IF(Data!D28&gt;0,4-Data!D28,"")</f>
        <v>2</v>
      </c>
      <c r="E28" s="1">
        <f>IF(Data!E28&gt;0,4-Data!E28,"")</f>
        <v>0</v>
      </c>
      <c r="F28" s="1">
        <f>IF(Data!F28&gt;0,Data!F28-4,"")</f>
        <v>0</v>
      </c>
      <c r="G28" s="1">
        <f>IF(Data!G28&gt;0,Data!G28-4,"")</f>
        <v>0</v>
      </c>
      <c r="H28" s="1">
        <f>IF(Data!H28&gt;0,Data!H28-4,"")</f>
        <v>2</v>
      </c>
      <c r="I28" s="1">
        <f>IF(Data!I28&gt;0,4-Data!I28,"")</f>
        <v>1</v>
      </c>
      <c r="J28" s="1">
        <f>IF(Data!J28&gt;0,4-Data!J28,"")</f>
        <v>0</v>
      </c>
      <c r="K28" s="1">
        <f>IF(Data!K28&gt;0,Data!K28-4,"")</f>
        <v>0</v>
      </c>
      <c r="L28" s="1">
        <f>IF(Data!L28&gt;0,4-Data!L28,"")</f>
        <v>1</v>
      </c>
      <c r="M28" s="1">
        <f>IF(Data!M28&gt;0,Data!M28-4,"")</f>
        <v>2</v>
      </c>
      <c r="N28" s="1">
        <f>IF(Data!N28&gt;0,Data!N28-4,"")</f>
        <v>-1</v>
      </c>
      <c r="O28" s="1">
        <f>IF(Data!O28&gt;0,Data!O28-4,"")</f>
        <v>0</v>
      </c>
      <c r="P28" s="1">
        <f>IF(Data!P28&gt;0,Data!P28-4,"")</f>
        <v>1</v>
      </c>
      <c r="Q28" s="1">
        <f>IF(Data!Q28&gt;0,4-Data!Q28,"")</f>
        <v>2</v>
      </c>
      <c r="R28" s="1">
        <f>IF(Data!R28&gt;0,4-Data!R28,"")</f>
        <v>1</v>
      </c>
      <c r="S28" s="1">
        <f>IF(Data!S28&gt;0,4-Data!S28,"")</f>
        <v>2</v>
      </c>
      <c r="T28" s="1">
        <f>IF(Data!T28&gt;0,Data!T28-4,"")</f>
        <v>2</v>
      </c>
      <c r="U28" s="1">
        <f>IF(Data!U28&gt;0,4-Data!U28,"")</f>
        <v>2</v>
      </c>
      <c r="V28" s="1">
        <f>IF(Data!V28&gt;0,Data!V28-4,"")</f>
        <v>2</v>
      </c>
      <c r="W28" s="1">
        <f>IF(Data!W28&gt;0,4-Data!W28,"")</f>
        <v>2</v>
      </c>
      <c r="X28" s="1">
        <f>IF(Data!X28&gt;0,4-Data!X28,"")</f>
        <v>1</v>
      </c>
      <c r="Y28" s="1">
        <f>IF(Data!Y28&gt;0,4-Data!Y28,"")</f>
        <v>1</v>
      </c>
      <c r="Z28" s="1">
        <f>IF(Data!Z28&gt;0,Data!Z28-4,"")</f>
        <v>0</v>
      </c>
      <c r="AC28" s="7">
        <f t="shared" si="0"/>
        <v>0.66666666666666663</v>
      </c>
      <c r="AD28" s="7">
        <f t="shared" si="1"/>
        <v>2.25</v>
      </c>
      <c r="AE28" s="7">
        <f t="shared" si="2"/>
        <v>1.75</v>
      </c>
      <c r="AF28" s="7">
        <f t="shared" si="3"/>
        <v>1.5</v>
      </c>
      <c r="AG28" s="7">
        <f t="shared" si="4"/>
        <v>0.25</v>
      </c>
      <c r="AH28" s="7">
        <f t="shared" si="5"/>
        <v>0</v>
      </c>
    </row>
    <row r="29" spans="1:34">
      <c r="A29" s="1">
        <f>IF(Data!A29&gt;0,Data!A29-4,"")</f>
        <v>2</v>
      </c>
      <c r="B29" s="1">
        <f>IF(Data!B29&gt;0,Data!B29-4,"")</f>
        <v>3</v>
      </c>
      <c r="C29" s="1">
        <f>IF(Data!C29&gt;0,4-Data!C29,"")</f>
        <v>2</v>
      </c>
      <c r="D29" s="1">
        <f>IF(Data!D29&gt;0,4-Data!D29,"")</f>
        <v>2</v>
      </c>
      <c r="E29" s="1">
        <f>IF(Data!E29&gt;0,4-Data!E29,"")</f>
        <v>1</v>
      </c>
      <c r="F29" s="1">
        <f>IF(Data!F29&gt;0,Data!F29-4,"")</f>
        <v>1</v>
      </c>
      <c r="G29" s="1">
        <f>IF(Data!G29&gt;0,Data!G29-4,"")</f>
        <v>0</v>
      </c>
      <c r="H29" s="1">
        <f>IF(Data!H29&gt;0,Data!H29-4,"")</f>
        <v>2</v>
      </c>
      <c r="I29" s="1">
        <f>IF(Data!I29&gt;0,4-Data!I29,"")</f>
        <v>3</v>
      </c>
      <c r="J29" s="1">
        <f>IF(Data!J29&gt;0,4-Data!J29,"")</f>
        <v>2</v>
      </c>
      <c r="K29" s="1">
        <f>IF(Data!K29&gt;0,Data!K29-4,"")</f>
        <v>1</v>
      </c>
      <c r="L29" s="1">
        <f>IF(Data!L29&gt;0,4-Data!L29,"")</f>
        <v>2</v>
      </c>
      <c r="M29" s="1">
        <f>IF(Data!M29&gt;0,Data!M29-4,"")</f>
        <v>2</v>
      </c>
      <c r="N29" s="1">
        <f>IF(Data!N29&gt;0,Data!N29-4,"")</f>
        <v>2</v>
      </c>
      <c r="O29" s="1">
        <f>IF(Data!O29&gt;0,Data!O29-4,"")</f>
        <v>2</v>
      </c>
      <c r="P29" s="1">
        <f>IF(Data!P29&gt;0,Data!P29-4,"")</f>
        <v>2</v>
      </c>
      <c r="Q29" s="1">
        <f>IF(Data!Q29&gt;0,4-Data!Q29,"")</f>
        <v>2</v>
      </c>
      <c r="R29" s="1">
        <f>IF(Data!R29&gt;0,4-Data!R29,"")</f>
        <v>2</v>
      </c>
      <c r="S29" s="1">
        <f>IF(Data!S29&gt;0,4-Data!S29,"")</f>
        <v>3</v>
      </c>
      <c r="T29" s="1">
        <f>IF(Data!T29&gt;0,Data!T29-4,"")</f>
        <v>3</v>
      </c>
      <c r="U29" s="1">
        <f>IF(Data!U29&gt;0,4-Data!U29,"")</f>
        <v>3</v>
      </c>
      <c r="V29" s="1">
        <f>IF(Data!V29&gt;0,Data!V29-4,"")</f>
        <v>2</v>
      </c>
      <c r="W29" s="1">
        <f>IF(Data!W29&gt;0,4-Data!W29,"")</f>
        <v>3</v>
      </c>
      <c r="X29" s="1">
        <f>IF(Data!X29&gt;0,4-Data!X29,"")</f>
        <v>2</v>
      </c>
      <c r="Y29" s="1">
        <f>IF(Data!Y29&gt;0,4-Data!Y29,"")</f>
        <v>3</v>
      </c>
      <c r="Z29" s="1">
        <f>IF(Data!Z29&gt;0,Data!Z29-4,"")</f>
        <v>2</v>
      </c>
      <c r="AC29" s="7">
        <f t="shared" si="0"/>
        <v>2.1666666666666665</v>
      </c>
      <c r="AD29" s="7">
        <f t="shared" si="1"/>
        <v>2.5</v>
      </c>
      <c r="AE29" s="7">
        <f t="shared" si="2"/>
        <v>2.75</v>
      </c>
      <c r="AF29" s="7">
        <f t="shared" si="3"/>
        <v>2</v>
      </c>
      <c r="AG29" s="7">
        <f t="shared" si="4"/>
        <v>1</v>
      </c>
      <c r="AH29" s="7">
        <f t="shared" si="5"/>
        <v>2</v>
      </c>
    </row>
    <row r="30" spans="1:34">
      <c r="A30" s="1">
        <f>IF(Data!A30&gt;0,Data!A30-4,"")</f>
        <v>2</v>
      </c>
      <c r="B30" s="1">
        <f>IF(Data!B30&gt;0,Data!B30-4,"")</f>
        <v>1</v>
      </c>
      <c r="C30" s="1">
        <f>IF(Data!C30&gt;0,4-Data!C30,"")</f>
        <v>3</v>
      </c>
      <c r="D30" s="1">
        <f>IF(Data!D30&gt;0,4-Data!D30,"")</f>
        <v>1</v>
      </c>
      <c r="E30" s="1">
        <f>IF(Data!E30&gt;0,4-Data!E30,"")</f>
        <v>2</v>
      </c>
      <c r="F30" s="1">
        <f>IF(Data!F30&gt;0,Data!F30-4,"")</f>
        <v>1</v>
      </c>
      <c r="G30" s="1">
        <f>IF(Data!G30&gt;0,Data!G30-4,"")</f>
        <v>2</v>
      </c>
      <c r="H30" s="1">
        <f>IF(Data!H30&gt;0,Data!H30-4,"")</f>
        <v>1</v>
      </c>
      <c r="I30" s="1">
        <f>IF(Data!I30&gt;0,4-Data!I30,"")</f>
        <v>3</v>
      </c>
      <c r="J30" s="1">
        <f>IF(Data!J30&gt;0,4-Data!J30,"")</f>
        <v>2</v>
      </c>
      <c r="K30" s="1">
        <f>IF(Data!K30&gt;0,Data!K30-4,"")</f>
        <v>2</v>
      </c>
      <c r="L30" s="1">
        <f>IF(Data!L30&gt;0,4-Data!L30,"")</f>
        <v>2</v>
      </c>
      <c r="M30" s="1">
        <f>IF(Data!M30&gt;0,Data!M30-4,"")</f>
        <v>0</v>
      </c>
      <c r="N30" s="1">
        <f>IF(Data!N30&gt;0,Data!N30-4,"")</f>
        <v>2</v>
      </c>
      <c r="O30" s="1">
        <f>IF(Data!O30&gt;0,Data!O30-4,"")</f>
        <v>-1</v>
      </c>
      <c r="P30" s="1">
        <f>IF(Data!P30&gt;0,Data!P30-4,"")</f>
        <v>2</v>
      </c>
      <c r="Q30" s="1">
        <f>IF(Data!Q30&gt;0,4-Data!Q30,"")</f>
        <v>2</v>
      </c>
      <c r="R30" s="1">
        <f>IF(Data!R30&gt;0,4-Data!R30,"")</f>
        <v>2</v>
      </c>
      <c r="S30" s="1">
        <f>IF(Data!S30&gt;0,4-Data!S30,"")</f>
        <v>2</v>
      </c>
      <c r="T30" s="1">
        <f>IF(Data!T30&gt;0,Data!T30-4,"")</f>
        <v>2</v>
      </c>
      <c r="U30" s="1">
        <f>IF(Data!U30&gt;0,4-Data!U30,"")</f>
        <v>2</v>
      </c>
      <c r="V30" s="1">
        <f>IF(Data!V30&gt;0,Data!V30-4,"")</f>
        <v>2</v>
      </c>
      <c r="W30" s="1">
        <f>IF(Data!W30&gt;0,4-Data!W30,"")</f>
        <v>2</v>
      </c>
      <c r="X30" s="1">
        <f>IF(Data!X30&gt;0,4-Data!X30,"")</f>
        <v>3</v>
      </c>
      <c r="Y30" s="1">
        <f>IF(Data!Y30&gt;0,4-Data!Y30,"")</f>
        <v>3</v>
      </c>
      <c r="Z30" s="1">
        <f>IF(Data!Z30&gt;0,Data!Z30-4,"")</f>
        <v>0</v>
      </c>
      <c r="AC30" s="7">
        <f t="shared" si="0"/>
        <v>2.3333333333333335</v>
      </c>
      <c r="AD30" s="7">
        <f t="shared" si="1"/>
        <v>1</v>
      </c>
      <c r="AE30" s="7">
        <f t="shared" si="2"/>
        <v>2.25</v>
      </c>
      <c r="AF30" s="7">
        <f t="shared" si="3"/>
        <v>1.75</v>
      </c>
      <c r="AG30" s="7">
        <f t="shared" si="4"/>
        <v>1.75</v>
      </c>
      <c r="AH30" s="7">
        <f t="shared" si="5"/>
        <v>1</v>
      </c>
    </row>
    <row r="31" spans="1:34">
      <c r="A31" s="1">
        <f>IF(Data!A31&gt;0,Data!A31-4,"")</f>
        <v>-1</v>
      </c>
      <c r="B31" s="1">
        <f>IF(Data!B31&gt;0,Data!B31-4,"")</f>
        <v>-1</v>
      </c>
      <c r="C31" s="1">
        <f>IF(Data!C31&gt;0,4-Data!C31,"")</f>
        <v>-3</v>
      </c>
      <c r="D31" s="1">
        <f>IF(Data!D31&gt;0,4-Data!D31,"")</f>
        <v>-3</v>
      </c>
      <c r="E31" s="1">
        <f>IF(Data!E31&gt;0,4-Data!E31,"")</f>
        <v>0</v>
      </c>
      <c r="F31" s="1">
        <f>IF(Data!F31&gt;0,Data!F31-4,"")</f>
        <v>-3</v>
      </c>
      <c r="G31" s="1">
        <f>IF(Data!G31&gt;0,Data!G31-4,"")</f>
        <v>-3</v>
      </c>
      <c r="H31" s="1">
        <f>IF(Data!H31&gt;0,Data!H31-4,"")</f>
        <v>3</v>
      </c>
      <c r="I31" s="1">
        <f>IF(Data!I31&gt;0,4-Data!I31,"")</f>
        <v>0</v>
      </c>
      <c r="J31" s="1">
        <f>IF(Data!J31&gt;0,4-Data!J31,"")</f>
        <v>0</v>
      </c>
      <c r="K31" s="1">
        <f>IF(Data!K31&gt;0,Data!K31-4,"")</f>
        <v>0</v>
      </c>
      <c r="L31" s="1">
        <f>IF(Data!L31&gt;0,4-Data!L31,"")</f>
        <v>-3</v>
      </c>
      <c r="M31" s="1">
        <f>IF(Data!M31&gt;0,Data!M31-4,"")</f>
        <v>-3</v>
      </c>
      <c r="N31" s="1">
        <f>IF(Data!N31&gt;0,Data!N31-4,"")</f>
        <v>-3</v>
      </c>
      <c r="O31" s="1">
        <f>IF(Data!O31&gt;0,Data!O31-4,"")</f>
        <v>0</v>
      </c>
      <c r="P31" s="1">
        <f>IF(Data!P31&gt;0,Data!P31-4,"")</f>
        <v>0</v>
      </c>
      <c r="Q31" s="1">
        <f>IF(Data!Q31&gt;0,4-Data!Q31,"")</f>
        <v>0</v>
      </c>
      <c r="R31" s="1">
        <f>IF(Data!R31&gt;0,4-Data!R31,"")</f>
        <v>-3</v>
      </c>
      <c r="S31" s="1">
        <f>IF(Data!S31&gt;0,4-Data!S31,"")</f>
        <v>-3</v>
      </c>
      <c r="T31" s="1">
        <f>IF(Data!T31&gt;0,Data!T31-4,"")</f>
        <v>-3</v>
      </c>
      <c r="U31" s="1">
        <f>IF(Data!U31&gt;0,4-Data!U31,"")</f>
        <v>-3</v>
      </c>
      <c r="V31" s="1">
        <f>IF(Data!V31&gt;0,Data!V31-4,"")</f>
        <v>0</v>
      </c>
      <c r="W31" s="1">
        <f>IF(Data!W31&gt;0,4-Data!W31,"")</f>
        <v>-3</v>
      </c>
      <c r="X31" s="1">
        <f>IF(Data!X31&gt;0,4-Data!X31,"")</f>
        <v>-3</v>
      </c>
      <c r="Y31" s="1">
        <f>IF(Data!Y31&gt;0,4-Data!Y31,"")</f>
        <v>0</v>
      </c>
      <c r="Z31" s="1">
        <f>IF(Data!Z31&gt;0,Data!Z31-4,"")</f>
        <v>0</v>
      </c>
      <c r="AC31" s="7">
        <f t="shared" si="0"/>
        <v>-1.6666666666666667</v>
      </c>
      <c r="AD31" s="7">
        <f t="shared" si="1"/>
        <v>-2.5</v>
      </c>
      <c r="AE31" s="7">
        <f t="shared" si="2"/>
        <v>-1.5</v>
      </c>
      <c r="AF31" s="7">
        <f t="shared" si="3"/>
        <v>0</v>
      </c>
      <c r="AG31" s="7">
        <f t="shared" si="4"/>
        <v>-2.25</v>
      </c>
      <c r="AH31" s="7">
        <f t="shared" si="5"/>
        <v>-0.75</v>
      </c>
    </row>
    <row r="32" spans="1:34">
      <c r="A32" s="1">
        <f>IF(Data!A32&gt;0,Data!A32-4,"")</f>
        <v>3</v>
      </c>
      <c r="B32" s="1">
        <f>IF(Data!B32&gt;0,Data!B32-4,"")</f>
        <v>2</v>
      </c>
      <c r="C32" s="1">
        <f>IF(Data!C32&gt;0,4-Data!C32,"")</f>
        <v>3</v>
      </c>
      <c r="D32" s="1">
        <f>IF(Data!D32&gt;0,4-Data!D32,"")</f>
        <v>3</v>
      </c>
      <c r="E32" s="1">
        <f>IF(Data!E32&gt;0,4-Data!E32,"")</f>
        <v>2</v>
      </c>
      <c r="F32" s="1">
        <f>IF(Data!F32&gt;0,Data!F32-4,"")</f>
        <v>3</v>
      </c>
      <c r="G32" s="1">
        <f>IF(Data!G32&gt;0,Data!G32-4,"")</f>
        <v>2</v>
      </c>
      <c r="H32" s="1">
        <f>IF(Data!H32&gt;0,Data!H32-4,"")</f>
        <v>1</v>
      </c>
      <c r="I32" s="1">
        <f>IF(Data!I32&gt;0,4-Data!I32,"")</f>
        <v>2</v>
      </c>
      <c r="J32" s="1">
        <f>IF(Data!J32&gt;0,4-Data!J32,"")</f>
        <v>2</v>
      </c>
      <c r="K32" s="1">
        <f>IF(Data!K32&gt;0,Data!K32-4,"")</f>
        <v>2</v>
      </c>
      <c r="L32" s="1">
        <f>IF(Data!L32&gt;0,4-Data!L32,"")</f>
        <v>3</v>
      </c>
      <c r="M32" s="1">
        <f>IF(Data!M32&gt;0,Data!M32-4,"")</f>
        <v>3</v>
      </c>
      <c r="N32" s="1">
        <f>IF(Data!N32&gt;0,Data!N32-4,"")</f>
        <v>3</v>
      </c>
      <c r="O32" s="1">
        <f>IF(Data!O32&gt;0,Data!O32-4,"")</f>
        <v>2</v>
      </c>
      <c r="P32" s="1">
        <f>IF(Data!P32&gt;0,Data!P32-4,"")</f>
        <v>3</v>
      </c>
      <c r="Q32" s="1">
        <f>IF(Data!Q32&gt;0,4-Data!Q32,"")</f>
        <v>3</v>
      </c>
      <c r="R32" s="1">
        <f>IF(Data!R32&gt;0,4-Data!R32,"")</f>
        <v>2</v>
      </c>
      <c r="S32" s="1">
        <f>IF(Data!S32&gt;0,4-Data!S32,"")</f>
        <v>3</v>
      </c>
      <c r="T32" s="1">
        <f>IF(Data!T32&gt;0,Data!T32-4,"")</f>
        <v>3</v>
      </c>
      <c r="U32" s="1">
        <f>IF(Data!U32&gt;0,4-Data!U32,"")</f>
        <v>3</v>
      </c>
      <c r="V32" s="1">
        <f>IF(Data!V32&gt;0,Data!V32-4,"")</f>
        <v>3</v>
      </c>
      <c r="W32" s="1">
        <f>IF(Data!W32&gt;0,4-Data!W32,"")</f>
        <v>3</v>
      </c>
      <c r="X32" s="1">
        <f>IF(Data!X32&gt;0,4-Data!X32,"")</f>
        <v>3</v>
      </c>
      <c r="Y32" s="1">
        <f>IF(Data!Y32&gt;0,4-Data!Y32,"")</f>
        <v>3</v>
      </c>
      <c r="Z32" s="1">
        <f>IF(Data!Z32&gt;0,Data!Z32-4,"")</f>
        <v>2</v>
      </c>
      <c r="AC32" s="7">
        <f t="shared" si="0"/>
        <v>3</v>
      </c>
      <c r="AD32" s="7">
        <f t="shared" si="1"/>
        <v>2.75</v>
      </c>
      <c r="AE32" s="7">
        <f t="shared" si="2"/>
        <v>2.75</v>
      </c>
      <c r="AF32" s="7">
        <f t="shared" si="3"/>
        <v>2.25</v>
      </c>
      <c r="AG32" s="7">
        <f t="shared" si="4"/>
        <v>2.25</v>
      </c>
      <c r="AH32" s="7">
        <f t="shared" si="5"/>
        <v>2.25</v>
      </c>
    </row>
    <row r="33" spans="1:34">
      <c r="A33" s="1">
        <f>IF(Data!A33&gt;0,Data!A33-4,"")</f>
        <v>-1</v>
      </c>
      <c r="B33" s="1">
        <f>IF(Data!B33&gt;0,Data!B33-4,"")</f>
        <v>1</v>
      </c>
      <c r="C33" s="1">
        <f>IF(Data!C33&gt;0,4-Data!C33,"")</f>
        <v>0</v>
      </c>
      <c r="D33" s="1">
        <f>IF(Data!D33&gt;0,4-Data!D33,"")</f>
        <v>-1</v>
      </c>
      <c r="E33" s="1">
        <f>IF(Data!E33&gt;0,4-Data!E33,"")</f>
        <v>0</v>
      </c>
      <c r="F33" s="1">
        <f>IF(Data!F33&gt;0,Data!F33-4,"")</f>
        <v>0</v>
      </c>
      <c r="G33" s="1">
        <f>IF(Data!G33&gt;0,Data!G33-4,"")</f>
        <v>-1</v>
      </c>
      <c r="H33" s="1">
        <f>IF(Data!H33&gt;0,Data!H33-4,"")</f>
        <v>0</v>
      </c>
      <c r="I33" s="1">
        <f>IF(Data!I33&gt;0,4-Data!I33,"")</f>
        <v>1</v>
      </c>
      <c r="J33" s="1">
        <f>IF(Data!J33&gt;0,4-Data!J33,"")</f>
        <v>1</v>
      </c>
      <c r="K33" s="1">
        <f>IF(Data!K33&gt;0,Data!K33-4,"")</f>
        <v>-1</v>
      </c>
      <c r="L33" s="1">
        <f>IF(Data!L33&gt;0,4-Data!L33,"")</f>
        <v>1</v>
      </c>
      <c r="M33" s="1">
        <f>IF(Data!M33&gt;0,Data!M33-4,"")</f>
        <v>0</v>
      </c>
      <c r="N33" s="1">
        <f>IF(Data!N33&gt;0,Data!N33-4,"")</f>
        <v>1</v>
      </c>
      <c r="O33" s="1">
        <f>IF(Data!O33&gt;0,Data!O33-4,"")</f>
        <v>1</v>
      </c>
      <c r="P33" s="1">
        <f>IF(Data!P33&gt;0,Data!P33-4,"")</f>
        <v>1</v>
      </c>
      <c r="Q33" s="1">
        <f>IF(Data!Q33&gt;0,4-Data!Q33,"")</f>
        <v>-1</v>
      </c>
      <c r="R33" s="1">
        <f>IF(Data!R33&gt;0,4-Data!R33,"")</f>
        <v>0</v>
      </c>
      <c r="S33" s="1">
        <f>IF(Data!S33&gt;0,4-Data!S33,"")</f>
        <v>-1</v>
      </c>
      <c r="T33" s="1">
        <f>IF(Data!T33&gt;0,Data!T33-4,"")</f>
        <v>0</v>
      </c>
      <c r="U33" s="1">
        <f>IF(Data!U33&gt;0,4-Data!U33,"")</f>
        <v>-1</v>
      </c>
      <c r="V33" s="1">
        <f>IF(Data!V33&gt;0,Data!V33-4,"")</f>
        <v>0</v>
      </c>
      <c r="W33" s="1">
        <f>IF(Data!W33&gt;0,4-Data!W33,"")</f>
        <v>1</v>
      </c>
      <c r="X33" s="1">
        <f>IF(Data!X33&gt;0,4-Data!X33,"")</f>
        <v>0</v>
      </c>
      <c r="Y33" s="1">
        <f>IF(Data!Y33&gt;0,4-Data!Y33,"")</f>
        <v>0</v>
      </c>
      <c r="Z33" s="1">
        <f>IF(Data!Z33&gt;0,Data!Z33-4,"")</f>
        <v>0</v>
      </c>
      <c r="AC33" s="7">
        <f t="shared" si="0"/>
        <v>0.33333333333333331</v>
      </c>
      <c r="AD33" s="7">
        <f t="shared" si="1"/>
        <v>-0.25</v>
      </c>
      <c r="AE33" s="7">
        <f t="shared" si="2"/>
        <v>0.5</v>
      </c>
      <c r="AF33" s="7">
        <f t="shared" si="3"/>
        <v>-0.75</v>
      </c>
      <c r="AG33" s="7">
        <f t="shared" si="4"/>
        <v>-0.25</v>
      </c>
      <c r="AH33" s="7">
        <f t="shared" si="5"/>
        <v>0.5</v>
      </c>
    </row>
    <row r="34" spans="1:34">
      <c r="A34" s="1">
        <f>IF(Data!A34&gt;0,Data!A34-4,"")</f>
        <v>2</v>
      </c>
      <c r="B34" s="1">
        <f>IF(Data!B34&gt;0,Data!B34-4,"")</f>
        <v>3</v>
      </c>
      <c r="C34" s="1">
        <f>IF(Data!C34&gt;0,4-Data!C34,"")</f>
        <v>1</v>
      </c>
      <c r="D34" s="1">
        <f>IF(Data!D34&gt;0,4-Data!D34,"")</f>
        <v>2</v>
      </c>
      <c r="E34" s="1">
        <f>IF(Data!E34&gt;0,4-Data!E34,"")</f>
        <v>2</v>
      </c>
      <c r="F34" s="1">
        <f>IF(Data!F34&gt;0,Data!F34-4,"")</f>
        <v>2</v>
      </c>
      <c r="G34" s="1">
        <f>IF(Data!G34&gt;0,Data!G34-4,"")</f>
        <v>2</v>
      </c>
      <c r="H34" s="1">
        <f>IF(Data!H34&gt;0,Data!H34-4,"")</f>
        <v>2</v>
      </c>
      <c r="I34" s="1">
        <f>IF(Data!I34&gt;0,4-Data!I34,"")</f>
        <v>2</v>
      </c>
      <c r="J34" s="1">
        <f>IF(Data!J34&gt;0,4-Data!J34,"")</f>
        <v>2</v>
      </c>
      <c r="K34" s="1">
        <f>IF(Data!K34&gt;0,Data!K34-4,"")</f>
        <v>2</v>
      </c>
      <c r="L34" s="1">
        <f>IF(Data!L34&gt;0,4-Data!L34,"")</f>
        <v>2</v>
      </c>
      <c r="M34" s="1">
        <f>IF(Data!M34&gt;0,Data!M34-4,"")</f>
        <v>2</v>
      </c>
      <c r="N34" s="1">
        <f>IF(Data!N34&gt;0,Data!N34-4,"")</f>
        <v>2</v>
      </c>
      <c r="O34" s="1">
        <f>IF(Data!O34&gt;0,Data!O34-4,"")</f>
        <v>2</v>
      </c>
      <c r="P34" s="1">
        <f>IF(Data!P34&gt;0,Data!P34-4,"")</f>
        <v>2</v>
      </c>
      <c r="Q34" s="1">
        <f>IF(Data!Q34&gt;0,4-Data!Q34,"")</f>
        <v>2</v>
      </c>
      <c r="R34" s="1">
        <f>IF(Data!R34&gt;0,4-Data!R34,"")</f>
        <v>2</v>
      </c>
      <c r="S34" s="1">
        <f>IF(Data!S34&gt;0,4-Data!S34,"")</f>
        <v>2</v>
      </c>
      <c r="T34" s="1">
        <f>IF(Data!T34&gt;0,Data!T34-4,"")</f>
        <v>2</v>
      </c>
      <c r="U34" s="1">
        <f>IF(Data!U34&gt;0,4-Data!U34,"")</f>
        <v>2</v>
      </c>
      <c r="V34" s="1">
        <f>IF(Data!V34&gt;0,Data!V34-4,"")</f>
        <v>2</v>
      </c>
      <c r="W34" s="1">
        <f>IF(Data!W34&gt;0,4-Data!W34,"")</f>
        <v>2</v>
      </c>
      <c r="X34" s="1">
        <f>IF(Data!X34&gt;0,4-Data!X34,"")</f>
        <v>2</v>
      </c>
      <c r="Y34" s="1">
        <f>IF(Data!Y34&gt;0,4-Data!Y34,"")</f>
        <v>2</v>
      </c>
      <c r="Z34" s="1">
        <f>IF(Data!Z34&gt;0,Data!Z34-4,"")</f>
        <v>2</v>
      </c>
      <c r="AC34" s="7">
        <f t="shared" si="0"/>
        <v>2</v>
      </c>
      <c r="AD34" s="7">
        <f t="shared" si="1"/>
        <v>2.25</v>
      </c>
      <c r="AE34" s="7">
        <f t="shared" si="2"/>
        <v>2</v>
      </c>
      <c r="AF34" s="7">
        <f t="shared" si="3"/>
        <v>2</v>
      </c>
      <c r="AG34" s="7">
        <f t="shared" si="4"/>
        <v>2</v>
      </c>
      <c r="AH34" s="7">
        <f t="shared" si="5"/>
        <v>1.75</v>
      </c>
    </row>
    <row r="35" spans="1:34">
      <c r="A35" s="1">
        <f>IF(Data!A35&gt;0,Data!A35-4,"")</f>
        <v>1</v>
      </c>
      <c r="B35" s="1">
        <f>IF(Data!B35&gt;0,Data!B35-4,"")</f>
        <v>1</v>
      </c>
      <c r="C35" s="1">
        <f>IF(Data!C35&gt;0,4-Data!C35,"")</f>
        <v>0</v>
      </c>
      <c r="D35" s="1">
        <f>IF(Data!D35&gt;0,4-Data!D35,"")</f>
        <v>1</v>
      </c>
      <c r="E35" s="1">
        <f>IF(Data!E35&gt;0,4-Data!E35,"")</f>
        <v>1</v>
      </c>
      <c r="F35" s="1">
        <f>IF(Data!F35&gt;0,Data!F35-4,"")</f>
        <v>1</v>
      </c>
      <c r="G35" s="1">
        <f>IF(Data!G35&gt;0,Data!G35-4,"")</f>
        <v>-2</v>
      </c>
      <c r="H35" s="1">
        <f>IF(Data!H35&gt;0,Data!H35-4,"")</f>
        <v>1</v>
      </c>
      <c r="I35" s="1">
        <f>IF(Data!I35&gt;0,4-Data!I35,"")</f>
        <v>1</v>
      </c>
      <c r="J35" s="1">
        <f>IF(Data!J35&gt;0,4-Data!J35,"")</f>
        <v>-1</v>
      </c>
      <c r="K35" s="1">
        <f>IF(Data!K35&gt;0,Data!K35-4,"")</f>
        <v>-2</v>
      </c>
      <c r="L35" s="1">
        <f>IF(Data!L35&gt;0,4-Data!L35,"")</f>
        <v>2</v>
      </c>
      <c r="M35" s="1">
        <f>IF(Data!M35&gt;0,Data!M35-4,"")</f>
        <v>1</v>
      </c>
      <c r="N35" s="1">
        <f>IF(Data!N35&gt;0,Data!N35-4,"")</f>
        <v>-1</v>
      </c>
      <c r="O35" s="1">
        <f>IF(Data!O35&gt;0,Data!O35-4,"")</f>
        <v>1</v>
      </c>
      <c r="P35" s="1">
        <f>IF(Data!P35&gt;0,Data!P35-4,"")</f>
        <v>-1</v>
      </c>
      <c r="Q35" s="1">
        <f>IF(Data!Q35&gt;0,4-Data!Q35,"")</f>
        <v>2</v>
      </c>
      <c r="R35" s="1">
        <f>IF(Data!R35&gt;0,4-Data!R35,"")</f>
        <v>2</v>
      </c>
      <c r="S35" s="1">
        <f>IF(Data!S35&gt;0,4-Data!S35,"")</f>
        <v>1</v>
      </c>
      <c r="T35" s="1">
        <f>IF(Data!T35&gt;0,Data!T35-4,"")</f>
        <v>1</v>
      </c>
      <c r="U35" s="1">
        <f>IF(Data!U35&gt;0,4-Data!U35,"")</f>
        <v>2</v>
      </c>
      <c r="V35" s="1">
        <f>IF(Data!V35&gt;0,Data!V35-4,"")</f>
        <v>0</v>
      </c>
      <c r="W35" s="1">
        <f>IF(Data!W35&gt;0,4-Data!W35,"")</f>
        <v>0</v>
      </c>
      <c r="X35" s="1">
        <f>IF(Data!X35&gt;0,4-Data!X35,"")</f>
        <v>1</v>
      </c>
      <c r="Y35" s="1">
        <f>IF(Data!Y35&gt;0,4-Data!Y35,"")</f>
        <v>2</v>
      </c>
      <c r="Z35" s="1">
        <f>IF(Data!Z35&gt;0,Data!Z35-4,"")</f>
        <v>-1</v>
      </c>
      <c r="AC35" s="7">
        <f t="shared" si="0"/>
        <v>0.66666666666666663</v>
      </c>
      <c r="AD35" s="7">
        <f t="shared" si="1"/>
        <v>1.25</v>
      </c>
      <c r="AE35" s="7">
        <f t="shared" si="2"/>
        <v>0.5</v>
      </c>
      <c r="AF35" s="7">
        <f t="shared" si="3"/>
        <v>0.5</v>
      </c>
      <c r="AG35" s="7">
        <f t="shared" si="4"/>
        <v>0.5</v>
      </c>
      <c r="AH35" s="7">
        <f t="shared" si="5"/>
        <v>-0.25</v>
      </c>
    </row>
    <row r="36" spans="1:34">
      <c r="A36" s="1">
        <f>IF(Data!A36&gt;0,Data!A36-4,"")</f>
        <v>3</v>
      </c>
      <c r="B36" s="1">
        <f>IF(Data!B36&gt;0,Data!B36-4,"")</f>
        <v>3</v>
      </c>
      <c r="C36" s="1">
        <f>IF(Data!C36&gt;0,4-Data!C36,"")</f>
        <v>3</v>
      </c>
      <c r="D36" s="1">
        <f>IF(Data!D36&gt;0,4-Data!D36,"")</f>
        <v>3</v>
      </c>
      <c r="E36" s="1">
        <f>IF(Data!E36&gt;0,4-Data!E36,"")</f>
        <v>3</v>
      </c>
      <c r="F36" s="1">
        <f>IF(Data!F36&gt;0,Data!F36-4,"")</f>
        <v>0</v>
      </c>
      <c r="G36" s="1">
        <f>IF(Data!G36&gt;0,Data!G36-4,"")</f>
        <v>2</v>
      </c>
      <c r="H36" s="1">
        <f>IF(Data!H36&gt;0,Data!H36-4,"")</f>
        <v>0</v>
      </c>
      <c r="I36" s="1">
        <f>IF(Data!I36&gt;0,4-Data!I36,"")</f>
        <v>3</v>
      </c>
      <c r="J36" s="1">
        <f>IF(Data!J36&gt;0,4-Data!J36,"")</f>
        <v>3</v>
      </c>
      <c r="K36" s="1">
        <f>IF(Data!K36&gt;0,Data!K36-4,"")</f>
        <v>3</v>
      </c>
      <c r="L36" s="1">
        <f>IF(Data!L36&gt;0,4-Data!L36,"")</f>
        <v>3</v>
      </c>
      <c r="M36" s="1">
        <f>IF(Data!M36&gt;0,Data!M36-4,"")</f>
        <v>3</v>
      </c>
      <c r="N36" s="1">
        <f>IF(Data!N36&gt;0,Data!N36-4,"")</f>
        <v>3</v>
      </c>
      <c r="O36" s="1">
        <f>IF(Data!O36&gt;0,Data!O36-4,"")</f>
        <v>3</v>
      </c>
      <c r="P36" s="1">
        <f>IF(Data!P36&gt;0,Data!P36-4,"")</f>
        <v>3</v>
      </c>
      <c r="Q36" s="1">
        <f>IF(Data!Q36&gt;0,4-Data!Q36,"")</f>
        <v>3</v>
      </c>
      <c r="R36" s="1">
        <f>IF(Data!R36&gt;0,4-Data!R36,"")</f>
        <v>3</v>
      </c>
      <c r="S36" s="1">
        <f>IF(Data!S36&gt;0,4-Data!S36,"")</f>
        <v>3</v>
      </c>
      <c r="T36" s="1">
        <f>IF(Data!T36&gt;0,Data!T36-4,"")</f>
        <v>3</v>
      </c>
      <c r="U36" s="1">
        <f>IF(Data!U36&gt;0,4-Data!U36,"")</f>
        <v>3</v>
      </c>
      <c r="V36" s="1">
        <f>IF(Data!V36&gt;0,Data!V36-4,"")</f>
        <v>3</v>
      </c>
      <c r="W36" s="1">
        <f>IF(Data!W36&gt;0,4-Data!W36,"")</f>
        <v>3</v>
      </c>
      <c r="X36" s="1">
        <f>IF(Data!X36&gt;0,4-Data!X36,"")</f>
        <v>3</v>
      </c>
      <c r="Y36" s="1">
        <f>IF(Data!Y36&gt;0,4-Data!Y36,"")</f>
        <v>3</v>
      </c>
      <c r="Z36" s="1">
        <f>IF(Data!Z36&gt;0,Data!Z36-4,"")</f>
        <v>3</v>
      </c>
      <c r="AC36" s="7">
        <f t="shared" si="0"/>
        <v>3</v>
      </c>
      <c r="AD36" s="7">
        <f t="shared" si="1"/>
        <v>3</v>
      </c>
      <c r="AE36" s="7">
        <f t="shared" si="2"/>
        <v>3</v>
      </c>
      <c r="AF36" s="7">
        <f t="shared" si="3"/>
        <v>2.25</v>
      </c>
      <c r="AG36" s="7">
        <f t="shared" si="4"/>
        <v>2</v>
      </c>
      <c r="AH36" s="7">
        <f t="shared" si="5"/>
        <v>3</v>
      </c>
    </row>
    <row r="37" spans="1:34">
      <c r="A37" s="1">
        <f>IF(Data!A37&gt;0,Data!A37-4,"")</f>
        <v>1</v>
      </c>
      <c r="B37" s="1">
        <f>IF(Data!B37&gt;0,Data!B37-4,"")</f>
        <v>3</v>
      </c>
      <c r="C37" s="1">
        <f>IF(Data!C37&gt;0,4-Data!C37,"")</f>
        <v>3</v>
      </c>
      <c r="D37" s="1">
        <f>IF(Data!D37&gt;0,4-Data!D37,"")</f>
        <v>2</v>
      </c>
      <c r="E37" s="1">
        <f>IF(Data!E37&gt;0,4-Data!E37,"")</f>
        <v>2</v>
      </c>
      <c r="F37" s="1">
        <f>IF(Data!F37&gt;0,Data!F37-4,"")</f>
        <v>1</v>
      </c>
      <c r="G37" s="1">
        <f>IF(Data!G37&gt;0,Data!G37-4,"")</f>
        <v>2</v>
      </c>
      <c r="H37" s="1">
        <f>IF(Data!H37&gt;0,Data!H37-4,"")</f>
        <v>1</v>
      </c>
      <c r="I37" s="1">
        <f>IF(Data!I37&gt;0,4-Data!I37,"")</f>
        <v>2</v>
      </c>
      <c r="J37" s="1">
        <f>IF(Data!J37&gt;0,4-Data!J37,"")</f>
        <v>3</v>
      </c>
      <c r="K37" s="1">
        <f>IF(Data!K37&gt;0,Data!K37-4,"")</f>
        <v>2</v>
      </c>
      <c r="L37" s="1">
        <f>IF(Data!L37&gt;0,4-Data!L37,"")</f>
        <v>3</v>
      </c>
      <c r="M37" s="1">
        <f>IF(Data!M37&gt;0,Data!M37-4,"")</f>
        <v>2</v>
      </c>
      <c r="N37" s="1">
        <f>IF(Data!N37&gt;0,Data!N37-4,"")</f>
        <v>2</v>
      </c>
      <c r="O37" s="1">
        <f>IF(Data!O37&gt;0,Data!O37-4,"")</f>
        <v>2</v>
      </c>
      <c r="P37" s="1">
        <f>IF(Data!P37&gt;0,Data!P37-4,"")</f>
        <v>2</v>
      </c>
      <c r="Q37" s="1">
        <f>IF(Data!Q37&gt;0,4-Data!Q37,"")</f>
        <v>3</v>
      </c>
      <c r="R37" s="1">
        <f>IF(Data!R37&gt;0,4-Data!R37,"")</f>
        <v>0</v>
      </c>
      <c r="S37" s="1">
        <f>IF(Data!S37&gt;0,4-Data!S37,"")</f>
        <v>2</v>
      </c>
      <c r="T37" s="1">
        <f>IF(Data!T37&gt;0,Data!T37-4,"")</f>
        <v>2</v>
      </c>
      <c r="U37" s="1">
        <f>IF(Data!U37&gt;0,4-Data!U37,"")</f>
        <v>1</v>
      </c>
      <c r="V37" s="1">
        <f>IF(Data!V37&gt;0,Data!V37-4,"")</f>
        <v>3</v>
      </c>
      <c r="W37" s="1">
        <f>IF(Data!W37&gt;0,4-Data!W37,"")</f>
        <v>3</v>
      </c>
      <c r="X37" s="1">
        <f>IF(Data!X37&gt;0,4-Data!X37,"")</f>
        <v>2</v>
      </c>
      <c r="Y37" s="1">
        <f>IF(Data!Y37&gt;0,4-Data!Y37,"")</f>
        <v>2</v>
      </c>
      <c r="Z37" s="1">
        <f>IF(Data!Z37&gt;0,Data!Z37-4,"")</f>
        <v>2</v>
      </c>
      <c r="AC37" s="7">
        <f t="shared" si="0"/>
        <v>2</v>
      </c>
      <c r="AD37" s="7">
        <f t="shared" si="1"/>
        <v>2</v>
      </c>
      <c r="AE37" s="7">
        <f t="shared" si="2"/>
        <v>2.5</v>
      </c>
      <c r="AF37" s="7">
        <f t="shared" si="3"/>
        <v>2</v>
      </c>
      <c r="AG37" s="7">
        <f t="shared" si="4"/>
        <v>1.25</v>
      </c>
      <c r="AH37" s="7">
        <f t="shared" si="5"/>
        <v>2.5</v>
      </c>
    </row>
    <row r="38" spans="1:34">
      <c r="A38" s="1">
        <f>IF(Data!A38&gt;0,Data!A38-4,"")</f>
        <v>1</v>
      </c>
      <c r="B38" s="1">
        <f>IF(Data!B38&gt;0,Data!B38-4,"")</f>
        <v>1</v>
      </c>
      <c r="C38" s="1">
        <f>IF(Data!C38&gt;0,4-Data!C38,"")</f>
        <v>0</v>
      </c>
      <c r="D38" s="1">
        <f>IF(Data!D38&gt;0,4-Data!D38,"")</f>
        <v>2</v>
      </c>
      <c r="E38" s="1">
        <f>IF(Data!E38&gt;0,4-Data!E38,"")</f>
        <v>2</v>
      </c>
      <c r="F38" s="1">
        <f>IF(Data!F38&gt;0,Data!F38-4,"")</f>
        <v>1</v>
      </c>
      <c r="G38" s="1">
        <f>IF(Data!G38&gt;0,Data!G38-4,"")</f>
        <v>1</v>
      </c>
      <c r="H38" s="1">
        <f>IF(Data!H38&gt;0,Data!H38-4,"")</f>
        <v>-1</v>
      </c>
      <c r="I38" s="1">
        <f>IF(Data!I38&gt;0,4-Data!I38,"")</f>
        <v>2</v>
      </c>
      <c r="J38" s="1">
        <f>IF(Data!J38&gt;0,4-Data!J38,"")</f>
        <v>1</v>
      </c>
      <c r="K38" s="1">
        <f>IF(Data!K38&gt;0,Data!K38-4,"")</f>
        <v>1</v>
      </c>
      <c r="L38" s="1">
        <f>IF(Data!L38&gt;0,4-Data!L38,"")</f>
        <v>2</v>
      </c>
      <c r="M38" s="1">
        <f>IF(Data!M38&gt;0,Data!M38-4,"")</f>
        <v>2</v>
      </c>
      <c r="N38" s="1">
        <f>IF(Data!N38&gt;0,Data!N38-4,"")</f>
        <v>2</v>
      </c>
      <c r="O38" s="1">
        <f>IF(Data!O38&gt;0,Data!O38-4,"")</f>
        <v>0</v>
      </c>
      <c r="P38" s="1">
        <f>IF(Data!P38&gt;0,Data!P38-4,"")</f>
        <v>1</v>
      </c>
      <c r="Q38" s="1">
        <f>IF(Data!Q38&gt;0,4-Data!Q38,"")</f>
        <v>2</v>
      </c>
      <c r="R38" s="1">
        <f>IF(Data!R38&gt;0,4-Data!R38,"")</f>
        <v>1</v>
      </c>
      <c r="S38" s="1">
        <f>IF(Data!S38&gt;0,4-Data!S38,"")</f>
        <v>2</v>
      </c>
      <c r="T38" s="1">
        <f>IF(Data!T38&gt;0,Data!T38-4,"")</f>
        <v>2</v>
      </c>
      <c r="U38" s="1">
        <f>IF(Data!U38&gt;0,4-Data!U38,"")</f>
        <v>-2</v>
      </c>
      <c r="V38" s="1">
        <f>IF(Data!V38&gt;0,Data!V38-4,"")</f>
        <v>2</v>
      </c>
      <c r="W38" s="1">
        <f>IF(Data!W38&gt;0,4-Data!W38,"")</f>
        <v>-1</v>
      </c>
      <c r="X38" s="1">
        <f>IF(Data!X38&gt;0,4-Data!X38,"")</f>
        <v>1</v>
      </c>
      <c r="Y38" s="1">
        <f>IF(Data!Y38&gt;0,4-Data!Y38,"")</f>
        <v>1</v>
      </c>
      <c r="Z38" s="1">
        <f>IF(Data!Z38&gt;0,Data!Z38-4,"")</f>
        <v>1</v>
      </c>
      <c r="AC38" s="7">
        <f t="shared" si="0"/>
        <v>1.3333333333333333</v>
      </c>
      <c r="AD38" s="7">
        <f t="shared" si="1"/>
        <v>0.75</v>
      </c>
      <c r="AE38" s="7">
        <f t="shared" si="2"/>
        <v>1.25</v>
      </c>
      <c r="AF38" s="7">
        <f t="shared" si="3"/>
        <v>1</v>
      </c>
      <c r="AG38" s="7">
        <f t="shared" si="4"/>
        <v>1.25</v>
      </c>
      <c r="AH38" s="7">
        <f t="shared" si="5"/>
        <v>0.5</v>
      </c>
    </row>
    <row r="39" spans="1:34">
      <c r="A39" s="1">
        <f>IF(Data!A39&gt;0,Data!A39-4,"")</f>
        <v>3</v>
      </c>
      <c r="B39" s="1">
        <f>IF(Data!B39&gt;0,Data!B39-4,"")</f>
        <v>3</v>
      </c>
      <c r="C39" s="1">
        <f>IF(Data!C39&gt;0,4-Data!C39,"")</f>
        <v>3</v>
      </c>
      <c r="D39" s="1">
        <f>IF(Data!D39&gt;0,4-Data!D39,"")</f>
        <v>3</v>
      </c>
      <c r="E39" s="1">
        <f>IF(Data!E39&gt;0,4-Data!E39,"")</f>
        <v>3</v>
      </c>
      <c r="F39" s="1">
        <f>IF(Data!F39&gt;0,Data!F39-4,"")</f>
        <v>3</v>
      </c>
      <c r="G39" s="1">
        <f>IF(Data!G39&gt;0,Data!G39-4,"")</f>
        <v>3</v>
      </c>
      <c r="H39" s="1">
        <f>IF(Data!H39&gt;0,Data!H39-4,"")</f>
        <v>-3</v>
      </c>
      <c r="I39" s="1">
        <f>IF(Data!I39&gt;0,4-Data!I39,"")</f>
        <v>3</v>
      </c>
      <c r="J39" s="1">
        <f>IF(Data!J39&gt;0,4-Data!J39,"")</f>
        <v>3</v>
      </c>
      <c r="K39" s="1">
        <f>IF(Data!K39&gt;0,Data!K39-4,"")</f>
        <v>3</v>
      </c>
      <c r="L39" s="1">
        <f>IF(Data!L39&gt;0,4-Data!L39,"")</f>
        <v>3</v>
      </c>
      <c r="M39" s="1">
        <f>IF(Data!M39&gt;0,Data!M39-4,"")</f>
        <v>3</v>
      </c>
      <c r="N39" s="1">
        <f>IF(Data!N39&gt;0,Data!N39-4,"")</f>
        <v>3</v>
      </c>
      <c r="O39" s="1">
        <f>IF(Data!O39&gt;0,Data!O39-4,"")</f>
        <v>3</v>
      </c>
      <c r="P39" s="1">
        <f>IF(Data!P39&gt;0,Data!P39-4,"")</f>
        <v>3</v>
      </c>
      <c r="Q39" s="1">
        <f>IF(Data!Q39&gt;0,4-Data!Q39,"")</f>
        <v>3</v>
      </c>
      <c r="R39" s="1">
        <f>IF(Data!R39&gt;0,4-Data!R39,"")</f>
        <v>3</v>
      </c>
      <c r="S39" s="1">
        <f>IF(Data!S39&gt;0,4-Data!S39,"")</f>
        <v>3</v>
      </c>
      <c r="T39" s="1">
        <f>IF(Data!T39&gt;0,Data!T39-4,"")</f>
        <v>3</v>
      </c>
      <c r="U39" s="1">
        <f>IF(Data!U39&gt;0,4-Data!U39,"")</f>
        <v>3</v>
      </c>
      <c r="V39" s="1">
        <f>IF(Data!V39&gt;0,Data!V39-4,"")</f>
        <v>3</v>
      </c>
      <c r="W39" s="1">
        <f>IF(Data!W39&gt;0,4-Data!W39,"")</f>
        <v>3</v>
      </c>
      <c r="X39" s="1">
        <f>IF(Data!X39&gt;0,4-Data!X39,"")</f>
        <v>3</v>
      </c>
      <c r="Y39" s="1">
        <f>IF(Data!Y39&gt;0,4-Data!Y39,"")</f>
        <v>3</v>
      </c>
      <c r="Z39" s="1">
        <f>IF(Data!Z39&gt;0,Data!Z39-4,"")</f>
        <v>3</v>
      </c>
      <c r="AC39" s="7">
        <f t="shared" si="0"/>
        <v>3</v>
      </c>
      <c r="AD39" s="7">
        <f t="shared" si="1"/>
        <v>3</v>
      </c>
      <c r="AE39" s="7">
        <f t="shared" si="2"/>
        <v>3</v>
      </c>
      <c r="AF39" s="7">
        <f t="shared" si="3"/>
        <v>1.5</v>
      </c>
      <c r="AG39" s="7">
        <f t="shared" si="4"/>
        <v>3</v>
      </c>
      <c r="AH39" s="7">
        <f t="shared" si="5"/>
        <v>3</v>
      </c>
    </row>
    <row r="40" spans="1:34">
      <c r="A40" s="1">
        <f>IF(Data!A40&gt;0,Data!A40-4,"")</f>
        <v>2</v>
      </c>
      <c r="B40" s="1">
        <f>IF(Data!B40&gt;0,Data!B40-4,"")</f>
        <v>3</v>
      </c>
      <c r="C40" s="1">
        <f>IF(Data!C40&gt;0,4-Data!C40,"")</f>
        <v>2</v>
      </c>
      <c r="D40" s="1">
        <f>IF(Data!D40&gt;0,4-Data!D40,"")</f>
        <v>3</v>
      </c>
      <c r="E40" s="1">
        <f>IF(Data!E40&gt;0,4-Data!E40,"")</f>
        <v>3</v>
      </c>
      <c r="F40" s="1">
        <f>IF(Data!F40&gt;0,Data!F40-4,"")</f>
        <v>2</v>
      </c>
      <c r="G40" s="1">
        <f>IF(Data!G40&gt;0,Data!G40-4,"")</f>
        <v>2</v>
      </c>
      <c r="H40" s="1">
        <f>IF(Data!H40&gt;0,Data!H40-4,"")</f>
        <v>-1</v>
      </c>
      <c r="I40" s="1">
        <f>IF(Data!I40&gt;0,4-Data!I40,"")</f>
        <v>3</v>
      </c>
      <c r="J40" s="1">
        <f>IF(Data!J40&gt;0,4-Data!J40,"")</f>
        <v>2</v>
      </c>
      <c r="K40" s="1">
        <f>IF(Data!K40&gt;0,Data!K40-4,"")</f>
        <v>3</v>
      </c>
      <c r="L40" s="1">
        <f>IF(Data!L40&gt;0,4-Data!L40,"")</f>
        <v>3</v>
      </c>
      <c r="M40" s="1">
        <f>IF(Data!M40&gt;0,Data!M40-4,"")</f>
        <v>2</v>
      </c>
      <c r="N40" s="1">
        <f>IF(Data!N40&gt;0,Data!N40-4,"")</f>
        <v>3</v>
      </c>
      <c r="O40" s="1">
        <f>IF(Data!O40&gt;0,Data!O40-4,"")</f>
        <v>1</v>
      </c>
      <c r="P40" s="1">
        <f>IF(Data!P40&gt;0,Data!P40-4,"")</f>
        <v>2</v>
      </c>
      <c r="Q40" s="1">
        <f>IF(Data!Q40&gt;0,4-Data!Q40,"")</f>
        <v>3</v>
      </c>
      <c r="R40" s="1">
        <f>IF(Data!R40&gt;0,4-Data!R40,"")</f>
        <v>1</v>
      </c>
      <c r="S40" s="1">
        <f>IF(Data!S40&gt;0,4-Data!S40,"")</f>
        <v>3</v>
      </c>
      <c r="T40" s="1">
        <f>IF(Data!T40&gt;0,Data!T40-4,"")</f>
        <v>2</v>
      </c>
      <c r="U40" s="1">
        <f>IF(Data!U40&gt;0,4-Data!U40,"")</f>
        <v>3</v>
      </c>
      <c r="V40" s="1">
        <f>IF(Data!V40&gt;0,Data!V40-4,"")</f>
        <v>3</v>
      </c>
      <c r="W40" s="1">
        <f>IF(Data!W40&gt;0,4-Data!W40,"")</f>
        <v>3</v>
      </c>
      <c r="X40" s="1">
        <f>IF(Data!X40&gt;0,4-Data!X40,"")</f>
        <v>2</v>
      </c>
      <c r="Y40" s="1">
        <f>IF(Data!Y40&gt;0,4-Data!Y40,"")</f>
        <v>3</v>
      </c>
      <c r="Z40" s="1">
        <f>IF(Data!Z40&gt;0,Data!Z40-4,"")</f>
        <v>2</v>
      </c>
      <c r="AC40" s="7">
        <f t="shared" si="0"/>
        <v>2.5</v>
      </c>
      <c r="AD40" s="7">
        <f t="shared" si="1"/>
        <v>2.75</v>
      </c>
      <c r="AE40" s="7">
        <f t="shared" si="2"/>
        <v>2.75</v>
      </c>
      <c r="AF40" s="7">
        <f t="shared" si="3"/>
        <v>2</v>
      </c>
      <c r="AG40" s="7">
        <f t="shared" si="4"/>
        <v>2</v>
      </c>
      <c r="AH40" s="7">
        <f t="shared" si="5"/>
        <v>1.75</v>
      </c>
    </row>
    <row r="41" spans="1:34">
      <c r="A41" s="1">
        <f>IF(Data!A41&gt;0,Data!A41-4,"")</f>
        <v>2</v>
      </c>
      <c r="B41" s="1">
        <f>IF(Data!B41&gt;0,Data!B41-4,"")</f>
        <v>3</v>
      </c>
      <c r="C41" s="1">
        <f>IF(Data!C41&gt;0,4-Data!C41,"")</f>
        <v>2</v>
      </c>
      <c r="D41" s="1">
        <f>IF(Data!D41&gt;0,4-Data!D41,"")</f>
        <v>3</v>
      </c>
      <c r="E41" s="1">
        <f>IF(Data!E41&gt;0,4-Data!E41,"")</f>
        <v>2</v>
      </c>
      <c r="F41" s="1">
        <f>IF(Data!F41&gt;0,Data!F41-4,"")</f>
        <v>2</v>
      </c>
      <c r="G41" s="1">
        <f>IF(Data!G41&gt;0,Data!G41-4,"")</f>
        <v>2</v>
      </c>
      <c r="H41" s="1">
        <f>IF(Data!H41&gt;0,Data!H41-4,"")</f>
        <v>0</v>
      </c>
      <c r="I41" s="1">
        <f>IF(Data!I41&gt;0,4-Data!I41,"")</f>
        <v>2</v>
      </c>
      <c r="J41" s="1">
        <f>IF(Data!J41&gt;0,4-Data!J41,"")</f>
        <v>3</v>
      </c>
      <c r="K41" s="1">
        <f>IF(Data!K41&gt;0,Data!K41-4,"")</f>
        <v>3</v>
      </c>
      <c r="L41" s="1">
        <f>IF(Data!L41&gt;0,4-Data!L41,"")</f>
        <v>3</v>
      </c>
      <c r="M41" s="1">
        <f>IF(Data!M41&gt;0,Data!M41-4,"")</f>
        <v>3</v>
      </c>
      <c r="N41" s="1">
        <f>IF(Data!N41&gt;0,Data!N41-4,"")</f>
        <v>2</v>
      </c>
      <c r="O41" s="1">
        <f>IF(Data!O41&gt;0,Data!O41-4,"")</f>
        <v>1</v>
      </c>
      <c r="P41" s="1">
        <f>IF(Data!P41&gt;0,Data!P41-4,"")</f>
        <v>3</v>
      </c>
      <c r="Q41" s="1">
        <f>IF(Data!Q41&gt;0,4-Data!Q41,"")</f>
        <v>3</v>
      </c>
      <c r="R41" s="1">
        <f>IF(Data!R41&gt;0,4-Data!R41,"")</f>
        <v>3</v>
      </c>
      <c r="S41" s="1">
        <f>IF(Data!S41&gt;0,4-Data!S41,"")</f>
        <v>3</v>
      </c>
      <c r="T41" s="1">
        <f>IF(Data!T41&gt;0,Data!T41-4,"")</f>
        <v>3</v>
      </c>
      <c r="U41" s="1">
        <f>IF(Data!U41&gt;0,4-Data!U41,"")</f>
        <v>3</v>
      </c>
      <c r="V41" s="1">
        <f>IF(Data!V41&gt;0,Data!V41-4,"")</f>
        <v>3</v>
      </c>
      <c r="W41" s="1">
        <f>IF(Data!W41&gt;0,4-Data!W41,"")</f>
        <v>3</v>
      </c>
      <c r="X41" s="1">
        <f>IF(Data!X41&gt;0,4-Data!X41,"")</f>
        <v>3</v>
      </c>
      <c r="Y41" s="1">
        <f>IF(Data!Y41&gt;0,4-Data!Y41,"")</f>
        <v>3</v>
      </c>
      <c r="Z41" s="1">
        <f>IF(Data!Z41&gt;0,Data!Z41-4,"")</f>
        <v>0</v>
      </c>
      <c r="AC41" s="7">
        <f t="shared" si="0"/>
        <v>2.6666666666666665</v>
      </c>
      <c r="AD41" s="7">
        <f t="shared" si="1"/>
        <v>3</v>
      </c>
      <c r="AE41" s="7">
        <f t="shared" si="2"/>
        <v>2.75</v>
      </c>
      <c r="AF41" s="7">
        <f t="shared" si="3"/>
        <v>2.25</v>
      </c>
      <c r="AG41" s="7">
        <f t="shared" si="4"/>
        <v>2.25</v>
      </c>
      <c r="AH41" s="7">
        <f t="shared" si="5"/>
        <v>1.5</v>
      </c>
    </row>
    <row r="42" spans="1:34">
      <c r="A42" s="1">
        <f>IF(Data!A42&gt;0,Data!A42-4,"")</f>
        <v>3</v>
      </c>
      <c r="B42" s="1">
        <f>IF(Data!B42&gt;0,Data!B42-4,"")</f>
        <v>3</v>
      </c>
      <c r="C42" s="1">
        <f>IF(Data!C42&gt;0,4-Data!C42,"")</f>
        <v>2</v>
      </c>
      <c r="D42" s="1">
        <f>IF(Data!D42&gt;0,4-Data!D42,"")</f>
        <v>3</v>
      </c>
      <c r="E42" s="1">
        <f>IF(Data!E42&gt;0,4-Data!E42,"")</f>
        <v>3</v>
      </c>
      <c r="F42" s="1">
        <f>IF(Data!F42&gt;0,Data!F42-4,"")</f>
        <v>2</v>
      </c>
      <c r="G42" s="1">
        <f>IF(Data!G42&gt;0,Data!G42-4,"")</f>
        <v>2</v>
      </c>
      <c r="H42" s="1">
        <f>IF(Data!H42&gt;0,Data!H42-4,"")</f>
        <v>0</v>
      </c>
      <c r="I42" s="1">
        <f>IF(Data!I42&gt;0,4-Data!I42,"")</f>
        <v>3</v>
      </c>
      <c r="J42" s="1">
        <f>IF(Data!J42&gt;0,4-Data!J42,"")</f>
        <v>0</v>
      </c>
      <c r="K42" s="1">
        <f>IF(Data!K42&gt;0,Data!K42-4,"")</f>
        <v>3</v>
      </c>
      <c r="L42" s="1">
        <f>IF(Data!L42&gt;0,4-Data!L42,"")</f>
        <v>3</v>
      </c>
      <c r="M42" s="1">
        <f>IF(Data!M42&gt;0,Data!M42-4,"")</f>
        <v>3</v>
      </c>
      <c r="N42" s="1">
        <f>IF(Data!N42&gt;0,Data!N42-4,"")</f>
        <v>3</v>
      </c>
      <c r="O42" s="1">
        <f>IF(Data!O42&gt;0,Data!O42-4,"")</f>
        <v>0</v>
      </c>
      <c r="P42" s="1">
        <f>IF(Data!P42&gt;0,Data!P42-4,"")</f>
        <v>3</v>
      </c>
      <c r="Q42" s="1">
        <f>IF(Data!Q42&gt;0,4-Data!Q42,"")</f>
        <v>2</v>
      </c>
      <c r="R42" s="1">
        <f>IF(Data!R42&gt;0,4-Data!R42,"")</f>
        <v>1</v>
      </c>
      <c r="S42" s="1">
        <f>IF(Data!S42&gt;0,4-Data!S42,"")</f>
        <v>3</v>
      </c>
      <c r="T42" s="1">
        <f>IF(Data!T42&gt;0,Data!T42-4,"")</f>
        <v>3</v>
      </c>
      <c r="U42" s="1">
        <f>IF(Data!U42&gt;0,4-Data!U42,"")</f>
        <v>3</v>
      </c>
      <c r="V42" s="1">
        <f>IF(Data!V42&gt;0,Data!V42-4,"")</f>
        <v>3</v>
      </c>
      <c r="W42" s="1">
        <f>IF(Data!W42&gt;0,4-Data!W42,"")</f>
        <v>3</v>
      </c>
      <c r="X42" s="1">
        <f>IF(Data!X42&gt;0,4-Data!X42,"")</f>
        <v>3</v>
      </c>
      <c r="Y42" s="1">
        <f>IF(Data!Y42&gt;0,4-Data!Y42,"")</f>
        <v>3</v>
      </c>
      <c r="Z42" s="1">
        <f>IF(Data!Z42&gt;0,Data!Z42-4,"")</f>
        <v>0</v>
      </c>
      <c r="AC42" s="7">
        <f t="shared" si="0"/>
        <v>3</v>
      </c>
      <c r="AD42" s="7">
        <f t="shared" si="1"/>
        <v>3</v>
      </c>
      <c r="AE42" s="7">
        <f t="shared" si="2"/>
        <v>3</v>
      </c>
      <c r="AF42" s="7">
        <f t="shared" si="3"/>
        <v>2</v>
      </c>
      <c r="AG42" s="7">
        <f t="shared" si="4"/>
        <v>2</v>
      </c>
      <c r="AH42" s="7">
        <f t="shared" si="5"/>
        <v>0.5</v>
      </c>
    </row>
    <row r="43" spans="1:34">
      <c r="A43" s="1">
        <f>IF(Data!A43&gt;0,Data!A43-4,"")</f>
        <v>1</v>
      </c>
      <c r="B43" s="1">
        <f>IF(Data!B43&gt;0,Data!B43-4,"")</f>
        <v>2</v>
      </c>
      <c r="C43" s="1">
        <f>IF(Data!C43&gt;0,4-Data!C43,"")</f>
        <v>0</v>
      </c>
      <c r="D43" s="1">
        <f>IF(Data!D43&gt;0,4-Data!D43,"")</f>
        <v>1</v>
      </c>
      <c r="E43" s="1">
        <f>IF(Data!E43&gt;0,4-Data!E43,"")</f>
        <v>2</v>
      </c>
      <c r="F43" s="1">
        <f>IF(Data!F43&gt;0,Data!F43-4,"")</f>
        <v>2</v>
      </c>
      <c r="G43" s="1">
        <f>IF(Data!G43&gt;0,Data!G43-4,"")</f>
        <v>2</v>
      </c>
      <c r="H43" s="1">
        <f>IF(Data!H43&gt;0,Data!H43-4,"")</f>
        <v>0</v>
      </c>
      <c r="I43" s="1">
        <f>IF(Data!I43&gt;0,4-Data!I43,"")</f>
        <v>1</v>
      </c>
      <c r="J43" s="1">
        <f>IF(Data!J43&gt;0,4-Data!J43,"")</f>
        <v>0</v>
      </c>
      <c r="K43" s="1">
        <f>IF(Data!K43&gt;0,Data!K43-4,"")</f>
        <v>0</v>
      </c>
      <c r="L43" s="1">
        <f>IF(Data!L43&gt;0,4-Data!L43,"")</f>
        <v>2</v>
      </c>
      <c r="M43" s="1">
        <f>IF(Data!M43&gt;0,Data!M43-4,"")</f>
        <v>1</v>
      </c>
      <c r="N43" s="1">
        <f>IF(Data!N43&gt;0,Data!N43-4,"")</f>
        <v>2</v>
      </c>
      <c r="O43" s="1">
        <f>IF(Data!O43&gt;0,Data!O43-4,"")</f>
        <v>1</v>
      </c>
      <c r="P43" s="1">
        <f>IF(Data!P43&gt;0,Data!P43-4,"")</f>
        <v>1</v>
      </c>
      <c r="Q43" s="1">
        <f>IF(Data!Q43&gt;0,4-Data!Q43,"")</f>
        <v>-1</v>
      </c>
      <c r="R43" s="1">
        <f>IF(Data!R43&gt;0,4-Data!R43,"")</f>
        <v>1</v>
      </c>
      <c r="S43" s="1">
        <f>IF(Data!S43&gt;0,4-Data!S43,"")</f>
        <v>1</v>
      </c>
      <c r="T43" s="1">
        <f>IF(Data!T43&gt;0,Data!T43-4,"")</f>
        <v>2</v>
      </c>
      <c r="U43" s="1">
        <f>IF(Data!U43&gt;0,4-Data!U43,"")</f>
        <v>2</v>
      </c>
      <c r="V43" s="1">
        <f>IF(Data!V43&gt;0,Data!V43-4,"")</f>
        <v>2</v>
      </c>
      <c r="W43" s="1">
        <f>IF(Data!W43&gt;0,4-Data!W43,"")</f>
        <v>2</v>
      </c>
      <c r="X43" s="1">
        <f>IF(Data!X43&gt;0,4-Data!X43,"")</f>
        <v>1</v>
      </c>
      <c r="Y43" s="1">
        <f>IF(Data!Y43&gt;0,4-Data!Y43,"")</f>
        <v>0</v>
      </c>
      <c r="Z43" s="1">
        <f>IF(Data!Z43&gt;0,Data!Z43-4,"")</f>
        <v>1</v>
      </c>
      <c r="AC43" s="7">
        <f t="shared" si="0"/>
        <v>1.1666666666666667</v>
      </c>
      <c r="AD43" s="7">
        <f t="shared" si="1"/>
        <v>1.5</v>
      </c>
      <c r="AE43" s="7">
        <f t="shared" si="2"/>
        <v>1.75</v>
      </c>
      <c r="AF43" s="7">
        <f t="shared" si="3"/>
        <v>0</v>
      </c>
      <c r="AG43" s="7">
        <f t="shared" si="4"/>
        <v>1.75</v>
      </c>
      <c r="AH43" s="7">
        <f t="shared" si="5"/>
        <v>0.5</v>
      </c>
    </row>
    <row r="44" spans="1:34">
      <c r="A44" s="1">
        <f>IF(Data!A44&gt;0,Data!A44-4,"")</f>
        <v>0</v>
      </c>
      <c r="B44" s="1">
        <f>IF(Data!B44&gt;0,Data!B44-4,"")</f>
        <v>2</v>
      </c>
      <c r="C44" s="1">
        <f>IF(Data!C44&gt;0,4-Data!C44,"")</f>
        <v>0</v>
      </c>
      <c r="D44" s="1">
        <f>IF(Data!D44&gt;0,4-Data!D44,"")</f>
        <v>1</v>
      </c>
      <c r="E44" s="1">
        <f>IF(Data!E44&gt;0,4-Data!E44,"")</f>
        <v>0</v>
      </c>
      <c r="F44" s="1">
        <f>IF(Data!F44&gt;0,Data!F44-4,"")</f>
        <v>0</v>
      </c>
      <c r="G44" s="1">
        <f>IF(Data!G44&gt;0,Data!G44-4,"")</f>
        <v>0</v>
      </c>
      <c r="H44" s="1">
        <f>IF(Data!H44&gt;0,Data!H44-4,"")</f>
        <v>1</v>
      </c>
      <c r="I44" s="1">
        <f>IF(Data!I44&gt;0,4-Data!I44,"")</f>
        <v>1</v>
      </c>
      <c r="J44" s="1">
        <f>IF(Data!J44&gt;0,4-Data!J44,"")</f>
        <v>0</v>
      </c>
      <c r="K44" s="1">
        <f>IF(Data!K44&gt;0,Data!K44-4,"")</f>
        <v>1</v>
      </c>
      <c r="L44" s="1">
        <f>IF(Data!L44&gt;0,4-Data!L44,"")</f>
        <v>1</v>
      </c>
      <c r="M44" s="1">
        <f>IF(Data!M44&gt;0,Data!M44-4,"")</f>
        <v>1</v>
      </c>
      <c r="N44" s="1">
        <f>IF(Data!N44&gt;0,Data!N44-4,"")</f>
        <v>1</v>
      </c>
      <c r="O44" s="1">
        <f>IF(Data!O44&gt;0,Data!O44-4,"")</f>
        <v>-1</v>
      </c>
      <c r="P44" s="1">
        <f>IF(Data!P44&gt;0,Data!P44-4,"")</f>
        <v>0</v>
      </c>
      <c r="Q44" s="1">
        <f>IF(Data!Q44&gt;0,4-Data!Q44,"")</f>
        <v>2</v>
      </c>
      <c r="R44" s="1">
        <f>IF(Data!R44&gt;0,4-Data!R44,"")</f>
        <v>0</v>
      </c>
      <c r="S44" s="1">
        <f>IF(Data!S44&gt;0,4-Data!S44,"")</f>
        <v>1</v>
      </c>
      <c r="T44" s="1">
        <f>IF(Data!T44&gt;0,Data!T44-4,"")</f>
        <v>1</v>
      </c>
      <c r="U44" s="1">
        <f>IF(Data!U44&gt;0,4-Data!U44,"")</f>
        <v>2</v>
      </c>
      <c r="V44" s="1">
        <f>IF(Data!V44&gt;0,Data!V44-4,"")</f>
        <v>2</v>
      </c>
      <c r="W44" s="1">
        <f>IF(Data!W44&gt;0,4-Data!W44,"")</f>
        <v>1</v>
      </c>
      <c r="X44" s="1">
        <f>IF(Data!X44&gt;0,4-Data!X44,"")</f>
        <v>0</v>
      </c>
      <c r="Y44" s="1">
        <f>IF(Data!Y44&gt;0,4-Data!Y44,"")</f>
        <v>1</v>
      </c>
      <c r="Z44" s="1">
        <f>IF(Data!Z44&gt;0,Data!Z44-4,"")</f>
        <v>-1</v>
      </c>
      <c r="AC44" s="7">
        <f t="shared" si="0"/>
        <v>0.5</v>
      </c>
      <c r="AD44" s="7">
        <f t="shared" si="1"/>
        <v>1.5</v>
      </c>
      <c r="AE44" s="7">
        <f t="shared" si="2"/>
        <v>1.25</v>
      </c>
      <c r="AF44" s="7">
        <f t="shared" si="3"/>
        <v>1.25</v>
      </c>
      <c r="AG44" s="7">
        <f t="shared" si="4"/>
        <v>0</v>
      </c>
      <c r="AH44" s="7">
        <f t="shared" si="5"/>
        <v>-0.5</v>
      </c>
    </row>
    <row r="45" spans="1:34">
      <c r="A45" s="1">
        <f>IF(Data!A45&gt;0,Data!A45-4,"")</f>
        <v>3</v>
      </c>
      <c r="B45" s="1">
        <f>IF(Data!B45&gt;0,Data!B45-4,"")</f>
        <v>2</v>
      </c>
      <c r="C45" s="1">
        <f>IF(Data!C45&gt;0,4-Data!C45,"")</f>
        <v>2</v>
      </c>
      <c r="D45" s="1">
        <f>IF(Data!D45&gt;0,4-Data!D45,"")</f>
        <v>-2</v>
      </c>
      <c r="E45" s="1">
        <f>IF(Data!E45&gt;0,4-Data!E45,"")</f>
        <v>2</v>
      </c>
      <c r="F45" s="1">
        <f>IF(Data!F45&gt;0,Data!F45-4,"")</f>
        <v>2</v>
      </c>
      <c r="G45" s="1">
        <f>IF(Data!G45&gt;0,Data!G45-4,"")</f>
        <v>2</v>
      </c>
      <c r="H45" s="1">
        <f>IF(Data!H45&gt;0,Data!H45-4,"")</f>
        <v>2</v>
      </c>
      <c r="I45" s="1">
        <f>IF(Data!I45&gt;0,4-Data!I45,"")</f>
        <v>2</v>
      </c>
      <c r="J45" s="1">
        <f>IF(Data!J45&gt;0,4-Data!J45,"")</f>
        <v>-1</v>
      </c>
      <c r="K45" s="1">
        <f>IF(Data!K45&gt;0,Data!K45-4,"")</f>
        <v>2</v>
      </c>
      <c r="L45" s="1">
        <f>IF(Data!L45&gt;0,4-Data!L45,"")</f>
        <v>2</v>
      </c>
      <c r="M45" s="1">
        <f>IF(Data!M45&gt;0,Data!M45-4,"")</f>
        <v>2</v>
      </c>
      <c r="N45" s="1">
        <f>IF(Data!N45&gt;0,Data!N45-4,"")</f>
        <v>2</v>
      </c>
      <c r="O45" s="1">
        <f>IF(Data!O45&gt;0,Data!O45-4,"")</f>
        <v>2</v>
      </c>
      <c r="P45" s="1">
        <f>IF(Data!P45&gt;0,Data!P45-4,"")</f>
        <v>2</v>
      </c>
      <c r="Q45" s="1">
        <f>IF(Data!Q45&gt;0,4-Data!Q45,"")</f>
        <v>2</v>
      </c>
      <c r="R45" s="1">
        <f>IF(Data!R45&gt;0,4-Data!R45,"")</f>
        <v>2</v>
      </c>
      <c r="S45" s="1">
        <f>IF(Data!S45&gt;0,4-Data!S45,"")</f>
        <v>2</v>
      </c>
      <c r="T45" s="1">
        <f>IF(Data!T45&gt;0,Data!T45-4,"")</f>
        <v>2</v>
      </c>
      <c r="U45" s="1">
        <f>IF(Data!U45&gt;0,4-Data!U45,"")</f>
        <v>2</v>
      </c>
      <c r="V45" s="1">
        <f>IF(Data!V45&gt;0,Data!V45-4,"")</f>
        <v>2</v>
      </c>
      <c r="W45" s="1">
        <f>IF(Data!W45&gt;0,4-Data!W45,"")</f>
        <v>1</v>
      </c>
      <c r="X45" s="1">
        <f>IF(Data!X45&gt;0,4-Data!X45,"")</f>
        <v>2</v>
      </c>
      <c r="Y45" s="1">
        <f>IF(Data!Y45&gt;0,4-Data!Y45,"")</f>
        <v>3</v>
      </c>
      <c r="Z45" s="1">
        <f>IF(Data!Z45&gt;0,Data!Z45-4,"")</f>
        <v>2</v>
      </c>
      <c r="AC45" s="7">
        <f t="shared" si="0"/>
        <v>2.3333333333333335</v>
      </c>
      <c r="AD45" s="7">
        <f t="shared" si="1"/>
        <v>1</v>
      </c>
      <c r="AE45" s="7">
        <f t="shared" si="2"/>
        <v>1.75</v>
      </c>
      <c r="AF45" s="7">
        <f t="shared" si="3"/>
        <v>2</v>
      </c>
      <c r="AG45" s="7">
        <f t="shared" si="4"/>
        <v>2</v>
      </c>
      <c r="AH45" s="7">
        <f t="shared" si="5"/>
        <v>1.25</v>
      </c>
    </row>
    <row r="46" spans="1:34">
      <c r="A46" s="1">
        <f>IF(Data!A46&gt;0,Data!A46-4,"")</f>
        <v>2</v>
      </c>
      <c r="B46" s="1">
        <f>IF(Data!B46&gt;0,Data!B46-4,"")</f>
        <v>2</v>
      </c>
      <c r="C46" s="1">
        <f>IF(Data!C46&gt;0,4-Data!C46,"")</f>
        <v>1</v>
      </c>
      <c r="D46" s="1">
        <f>IF(Data!D46&gt;0,4-Data!D46,"")</f>
        <v>1</v>
      </c>
      <c r="E46" s="1">
        <f>IF(Data!E46&gt;0,4-Data!E46,"")</f>
        <v>1</v>
      </c>
      <c r="F46" s="1">
        <f>IF(Data!F46&gt;0,Data!F46-4,"")</f>
        <v>1</v>
      </c>
      <c r="G46" s="1">
        <f>IF(Data!G46&gt;0,Data!G46-4,"")</f>
        <v>2</v>
      </c>
      <c r="H46" s="1">
        <f>IF(Data!H46&gt;0,Data!H46-4,"")</f>
        <v>1</v>
      </c>
      <c r="I46" s="1">
        <f>IF(Data!I46&gt;0,4-Data!I46,"")</f>
        <v>2</v>
      </c>
      <c r="J46" s="1">
        <f>IF(Data!J46&gt;0,4-Data!J46,"")</f>
        <v>0</v>
      </c>
      <c r="K46" s="1">
        <f>IF(Data!K46&gt;0,Data!K46-4,"")</f>
        <v>1</v>
      </c>
      <c r="L46" s="1">
        <f>IF(Data!L46&gt;0,4-Data!L46,"")</f>
        <v>2</v>
      </c>
      <c r="M46" s="1">
        <f>IF(Data!M46&gt;0,Data!M46-4,"")</f>
        <v>0</v>
      </c>
      <c r="N46" s="1">
        <f>IF(Data!N46&gt;0,Data!N46-4,"")</f>
        <v>1</v>
      </c>
      <c r="O46" s="1">
        <f>IF(Data!O46&gt;0,Data!O46-4,"")</f>
        <v>2</v>
      </c>
      <c r="P46" s="1">
        <f>IF(Data!P46&gt;0,Data!P46-4,"")</f>
        <v>1</v>
      </c>
      <c r="Q46" s="1">
        <f>IF(Data!Q46&gt;0,4-Data!Q46,"")</f>
        <v>2</v>
      </c>
      <c r="R46" s="1">
        <f>IF(Data!R46&gt;0,4-Data!R46,"")</f>
        <v>1</v>
      </c>
      <c r="S46" s="1">
        <f>IF(Data!S46&gt;0,4-Data!S46,"")</f>
        <v>2</v>
      </c>
      <c r="T46" s="1">
        <f>IF(Data!T46&gt;0,Data!T46-4,"")</f>
        <v>2</v>
      </c>
      <c r="U46" s="1">
        <f>IF(Data!U46&gt;0,4-Data!U46,"")</f>
        <v>2</v>
      </c>
      <c r="V46" s="1">
        <f>IF(Data!V46&gt;0,Data!V46-4,"")</f>
        <v>2</v>
      </c>
      <c r="W46" s="1">
        <f>IF(Data!W46&gt;0,4-Data!W46,"")</f>
        <v>1</v>
      </c>
      <c r="X46" s="1">
        <f>IF(Data!X46&gt;0,4-Data!X46,"")</f>
        <v>2</v>
      </c>
      <c r="Y46" s="1">
        <f>IF(Data!Y46&gt;0,4-Data!Y46,"")</f>
        <v>1</v>
      </c>
      <c r="Z46" s="1">
        <f>IF(Data!Z46&gt;0,Data!Z46-4,"")</f>
        <v>2</v>
      </c>
      <c r="AC46" s="7">
        <f t="shared" si="0"/>
        <v>1.5</v>
      </c>
      <c r="AD46" s="7">
        <f t="shared" si="1"/>
        <v>1.25</v>
      </c>
      <c r="AE46" s="7">
        <f t="shared" si="2"/>
        <v>1.75</v>
      </c>
      <c r="AF46" s="7">
        <f t="shared" si="3"/>
        <v>1.5</v>
      </c>
      <c r="AG46" s="7">
        <f t="shared" si="4"/>
        <v>1.25</v>
      </c>
      <c r="AH46" s="7">
        <f t="shared" si="5"/>
        <v>1.25</v>
      </c>
    </row>
    <row r="47" spans="1:34">
      <c r="A47" s="1">
        <f>IF(Data!A47&gt;0,Data!A47-4,"")</f>
        <v>3</v>
      </c>
      <c r="B47" s="1">
        <f>IF(Data!B47&gt;0,Data!B47-4,"")</f>
        <v>2</v>
      </c>
      <c r="C47" s="1">
        <f>IF(Data!C47&gt;0,4-Data!C47,"")</f>
        <v>3</v>
      </c>
      <c r="D47" s="1">
        <f>IF(Data!D47&gt;0,4-Data!D47,"")</f>
        <v>3</v>
      </c>
      <c r="E47" s="1">
        <f>IF(Data!E47&gt;0,4-Data!E47,"")</f>
        <v>3</v>
      </c>
      <c r="F47" s="1">
        <f>IF(Data!F47&gt;0,Data!F47-4,"")</f>
        <v>3</v>
      </c>
      <c r="G47" s="1">
        <f>IF(Data!G47&gt;0,Data!G47-4,"")</f>
        <v>3</v>
      </c>
      <c r="H47" s="1">
        <f>IF(Data!H47&gt;0,Data!H47-4,"")</f>
        <v>1</v>
      </c>
      <c r="I47" s="1">
        <f>IF(Data!I47&gt;0,4-Data!I47,"")</f>
        <v>3</v>
      </c>
      <c r="J47" s="1">
        <f>IF(Data!J47&gt;0,4-Data!J47,"")</f>
        <v>3</v>
      </c>
      <c r="K47" s="1">
        <f>IF(Data!K47&gt;0,Data!K47-4,"")</f>
        <v>3</v>
      </c>
      <c r="L47" s="1">
        <f>IF(Data!L47&gt;0,4-Data!L47,"")</f>
        <v>3</v>
      </c>
      <c r="M47" s="1">
        <f>IF(Data!M47&gt;0,Data!M47-4,"")</f>
        <v>3</v>
      </c>
      <c r="N47" s="1">
        <f>IF(Data!N47&gt;0,Data!N47-4,"")</f>
        <v>3</v>
      </c>
      <c r="O47" s="1">
        <f>IF(Data!O47&gt;0,Data!O47-4,"")</f>
        <v>2</v>
      </c>
      <c r="P47" s="1">
        <f>IF(Data!P47&gt;0,Data!P47-4,"")</f>
        <v>3</v>
      </c>
      <c r="Q47" s="1">
        <f>IF(Data!Q47&gt;0,4-Data!Q47,"")</f>
        <v>3</v>
      </c>
      <c r="R47" s="1">
        <f>IF(Data!R47&gt;0,4-Data!R47,"")</f>
        <v>2</v>
      </c>
      <c r="S47" s="1">
        <f>IF(Data!S47&gt;0,4-Data!S47,"")</f>
        <v>3</v>
      </c>
      <c r="T47" s="1">
        <f>IF(Data!T47&gt;0,Data!T47-4,"")</f>
        <v>3</v>
      </c>
      <c r="U47" s="1">
        <f>IF(Data!U47&gt;0,4-Data!U47,"")</f>
        <v>3</v>
      </c>
      <c r="V47" s="1">
        <f>IF(Data!V47&gt;0,Data!V47-4,"")</f>
        <v>2</v>
      </c>
      <c r="W47" s="1">
        <f>IF(Data!W47&gt;0,4-Data!W47,"")</f>
        <v>-1</v>
      </c>
      <c r="X47" s="1">
        <f>IF(Data!X47&gt;0,4-Data!X47,"")</f>
        <v>2</v>
      </c>
      <c r="Y47" s="1">
        <f>IF(Data!Y47&gt;0,4-Data!Y47,"")</f>
        <v>3</v>
      </c>
      <c r="Z47" s="1">
        <f>IF(Data!Z47&gt;0,Data!Z47-4,"")</f>
        <v>1</v>
      </c>
      <c r="AC47" s="7">
        <f t="shared" si="0"/>
        <v>2.8333333333333335</v>
      </c>
      <c r="AD47" s="7">
        <f t="shared" si="1"/>
        <v>2.75</v>
      </c>
      <c r="AE47" s="7">
        <f t="shared" si="2"/>
        <v>1.75</v>
      </c>
      <c r="AF47" s="7">
        <f t="shared" si="3"/>
        <v>2.5</v>
      </c>
      <c r="AG47" s="7">
        <f t="shared" si="4"/>
        <v>2.75</v>
      </c>
      <c r="AH47" s="7">
        <f t="shared" si="5"/>
        <v>2.25</v>
      </c>
    </row>
    <row r="48" spans="1:34">
      <c r="A48" s="1">
        <f>IF(Data!A48&gt;0,Data!A48-4,"")</f>
        <v>3</v>
      </c>
      <c r="B48" s="1">
        <f>IF(Data!B48&gt;0,Data!B48-4,"")</f>
        <v>3</v>
      </c>
      <c r="C48" s="1">
        <f>IF(Data!C48&gt;0,4-Data!C48,"")</f>
        <v>3</v>
      </c>
      <c r="D48" s="1">
        <f>IF(Data!D48&gt;0,4-Data!D48,"")</f>
        <v>3</v>
      </c>
      <c r="E48" s="1">
        <f>IF(Data!E48&gt;0,4-Data!E48,"")</f>
        <v>3</v>
      </c>
      <c r="F48" s="1">
        <f>IF(Data!F48&gt;0,Data!F48-4,"")</f>
        <v>3</v>
      </c>
      <c r="G48" s="1">
        <f>IF(Data!G48&gt;0,Data!G48-4,"")</f>
        <v>3</v>
      </c>
      <c r="H48" s="1">
        <f>IF(Data!H48&gt;0,Data!H48-4,"")</f>
        <v>-3</v>
      </c>
      <c r="I48" s="1">
        <f>IF(Data!I48&gt;0,4-Data!I48,"")</f>
        <v>3</v>
      </c>
      <c r="J48" s="1">
        <f>IF(Data!J48&gt;0,4-Data!J48,"")</f>
        <v>3</v>
      </c>
      <c r="K48" s="1">
        <f>IF(Data!K48&gt;0,Data!K48-4,"")</f>
        <v>3</v>
      </c>
      <c r="L48" s="1">
        <f>IF(Data!L48&gt;0,4-Data!L48,"")</f>
        <v>3</v>
      </c>
      <c r="M48" s="1">
        <f>IF(Data!M48&gt;0,Data!M48-4,"")</f>
        <v>3</v>
      </c>
      <c r="N48" s="1">
        <f>IF(Data!N48&gt;0,Data!N48-4,"")</f>
        <v>3</v>
      </c>
      <c r="O48" s="1">
        <f>IF(Data!O48&gt;0,Data!O48-4,"")</f>
        <v>3</v>
      </c>
      <c r="P48" s="1">
        <f>IF(Data!P48&gt;0,Data!P48-4,"")</f>
        <v>3</v>
      </c>
      <c r="Q48" s="1">
        <f>IF(Data!Q48&gt;0,4-Data!Q48,"")</f>
        <v>3</v>
      </c>
      <c r="R48" s="1">
        <f>IF(Data!R48&gt;0,4-Data!R48,"")</f>
        <v>3</v>
      </c>
      <c r="S48" s="1">
        <f>IF(Data!S48&gt;0,4-Data!S48,"")</f>
        <v>3</v>
      </c>
      <c r="T48" s="1">
        <f>IF(Data!T48&gt;0,Data!T48-4,"")</f>
        <v>3</v>
      </c>
      <c r="U48" s="1">
        <f>IF(Data!U48&gt;0,4-Data!U48,"")</f>
        <v>3</v>
      </c>
      <c r="V48" s="1">
        <f>IF(Data!V48&gt;0,Data!V48-4,"")</f>
        <v>3</v>
      </c>
      <c r="W48" s="1">
        <f>IF(Data!W48&gt;0,4-Data!W48,"")</f>
        <v>3</v>
      </c>
      <c r="X48" s="1">
        <f>IF(Data!X48&gt;0,4-Data!X48,"")</f>
        <v>3</v>
      </c>
      <c r="Y48" s="1">
        <f>IF(Data!Y48&gt;0,4-Data!Y48,"")</f>
        <v>3</v>
      </c>
      <c r="Z48" s="1">
        <f>IF(Data!Z48&gt;0,Data!Z48-4,"")</f>
        <v>-3</v>
      </c>
      <c r="AC48" s="7">
        <f t="shared" si="0"/>
        <v>3</v>
      </c>
      <c r="AD48" s="7">
        <f t="shared" si="1"/>
        <v>3</v>
      </c>
      <c r="AE48" s="7">
        <f t="shared" si="2"/>
        <v>3</v>
      </c>
      <c r="AF48" s="7">
        <f t="shared" si="3"/>
        <v>1.5</v>
      </c>
      <c r="AG48" s="7">
        <f t="shared" si="4"/>
        <v>3</v>
      </c>
      <c r="AH48" s="7">
        <f t="shared" si="5"/>
        <v>1.5</v>
      </c>
    </row>
    <row r="49" spans="1:34">
      <c r="A49" s="1">
        <f>IF(Data!A49&gt;0,Data!A49-4,"")</f>
        <v>2</v>
      </c>
      <c r="B49" s="1">
        <f>IF(Data!B49&gt;0,Data!B49-4,"")</f>
        <v>2</v>
      </c>
      <c r="C49" s="1">
        <f>IF(Data!C49&gt;0,4-Data!C49,"")</f>
        <v>2</v>
      </c>
      <c r="D49" s="1">
        <f>IF(Data!D49&gt;0,4-Data!D49,"")</f>
        <v>2</v>
      </c>
      <c r="E49" s="1">
        <f>IF(Data!E49&gt;0,4-Data!E49,"")</f>
        <v>2</v>
      </c>
      <c r="F49" s="1">
        <f>IF(Data!F49&gt;0,Data!F49-4,"")</f>
        <v>0</v>
      </c>
      <c r="G49" s="1">
        <f>IF(Data!G49&gt;0,Data!G49-4,"")</f>
        <v>0</v>
      </c>
      <c r="H49" s="1">
        <f>IF(Data!H49&gt;0,Data!H49-4,"")</f>
        <v>0</v>
      </c>
      <c r="I49" s="1">
        <f>IF(Data!I49&gt;0,4-Data!I49,"")</f>
        <v>2</v>
      </c>
      <c r="J49" s="1">
        <f>IF(Data!J49&gt;0,4-Data!J49,"")</f>
        <v>1</v>
      </c>
      <c r="K49" s="1">
        <f>IF(Data!K49&gt;0,Data!K49-4,"")</f>
        <v>1</v>
      </c>
      <c r="L49" s="1">
        <f>IF(Data!L49&gt;0,4-Data!L49,"")</f>
        <v>1</v>
      </c>
      <c r="M49" s="1">
        <f>IF(Data!M49&gt;0,Data!M49-4,"")</f>
        <v>1</v>
      </c>
      <c r="N49" s="1">
        <f>IF(Data!N49&gt;0,Data!N49-4,"")</f>
        <v>2</v>
      </c>
      <c r="O49" s="1">
        <f>IF(Data!O49&gt;0,Data!O49-4,"")</f>
        <v>1</v>
      </c>
      <c r="P49" s="1">
        <f>IF(Data!P49&gt;0,Data!P49-4,"")</f>
        <v>1</v>
      </c>
      <c r="Q49" s="1">
        <f>IF(Data!Q49&gt;0,4-Data!Q49,"")</f>
        <v>2</v>
      </c>
      <c r="R49" s="1">
        <f>IF(Data!R49&gt;0,4-Data!R49,"")</f>
        <v>1</v>
      </c>
      <c r="S49" s="1">
        <f>IF(Data!S49&gt;0,4-Data!S49,"")</f>
        <v>2</v>
      </c>
      <c r="T49" s="1">
        <f>IF(Data!T49&gt;0,Data!T49-4,"")</f>
        <v>2</v>
      </c>
      <c r="U49" s="1">
        <f>IF(Data!U49&gt;0,4-Data!U49,"")</f>
        <v>2</v>
      </c>
      <c r="V49" s="1">
        <f>IF(Data!V49&gt;0,Data!V49-4,"")</f>
        <v>2</v>
      </c>
      <c r="W49" s="1">
        <f>IF(Data!W49&gt;0,4-Data!W49,"")</f>
        <v>2</v>
      </c>
      <c r="X49" s="1">
        <f>IF(Data!X49&gt;0,4-Data!X49,"")</f>
        <v>1</v>
      </c>
      <c r="Y49" s="1">
        <f>IF(Data!Y49&gt;0,4-Data!Y49,"")</f>
        <v>2</v>
      </c>
      <c r="Z49" s="1">
        <f>IF(Data!Z49&gt;0,Data!Z49-4,"")</f>
        <v>1</v>
      </c>
      <c r="AC49" s="7">
        <f t="shared" si="0"/>
        <v>1.5</v>
      </c>
      <c r="AD49" s="7">
        <f t="shared" si="1"/>
        <v>1.75</v>
      </c>
      <c r="AE49" s="7">
        <f t="shared" si="2"/>
        <v>2</v>
      </c>
      <c r="AF49" s="7">
        <f t="shared" si="3"/>
        <v>1.25</v>
      </c>
      <c r="AG49" s="7">
        <f t="shared" si="4"/>
        <v>0.75</v>
      </c>
      <c r="AH49" s="7">
        <f t="shared" si="5"/>
        <v>1.25</v>
      </c>
    </row>
    <row r="50" spans="1:34">
      <c r="A50" s="1">
        <f>IF(Data!A50&gt;0,Data!A50-4,"")</f>
        <v>2</v>
      </c>
      <c r="B50" s="1">
        <f>IF(Data!B50&gt;0,Data!B50-4,"")</f>
        <v>2</v>
      </c>
      <c r="C50" s="1">
        <f>IF(Data!C50&gt;0,4-Data!C50,"")</f>
        <v>1</v>
      </c>
      <c r="D50" s="1">
        <f>IF(Data!D50&gt;0,4-Data!D50,"")</f>
        <v>2</v>
      </c>
      <c r="E50" s="1">
        <f>IF(Data!E50&gt;0,4-Data!E50,"")</f>
        <v>1</v>
      </c>
      <c r="F50" s="1">
        <f>IF(Data!F50&gt;0,Data!F50-4,"")</f>
        <v>0</v>
      </c>
      <c r="G50" s="1">
        <f>IF(Data!G50&gt;0,Data!G50-4,"")</f>
        <v>0</v>
      </c>
      <c r="H50" s="1">
        <f>IF(Data!H50&gt;0,Data!H50-4,"")</f>
        <v>-1</v>
      </c>
      <c r="I50" s="1">
        <f>IF(Data!I50&gt;0,4-Data!I50,"")</f>
        <v>2</v>
      </c>
      <c r="J50" s="1">
        <f>IF(Data!J50&gt;0,4-Data!J50,"")</f>
        <v>0</v>
      </c>
      <c r="K50" s="1">
        <f>IF(Data!K50&gt;0,Data!K50-4,"")</f>
        <v>1</v>
      </c>
      <c r="L50" s="1">
        <f>IF(Data!L50&gt;0,4-Data!L50,"")</f>
        <v>2</v>
      </c>
      <c r="M50" s="1">
        <f>IF(Data!M50&gt;0,Data!M50-4,"")</f>
        <v>2</v>
      </c>
      <c r="N50" s="1">
        <f>IF(Data!N50&gt;0,Data!N50-4,"")</f>
        <v>2</v>
      </c>
      <c r="O50" s="1">
        <f>IF(Data!O50&gt;0,Data!O50-4,"")</f>
        <v>1</v>
      </c>
      <c r="P50" s="1">
        <f>IF(Data!P50&gt;0,Data!P50-4,"")</f>
        <v>1</v>
      </c>
      <c r="Q50" s="1">
        <f>IF(Data!Q50&gt;0,4-Data!Q50,"")</f>
        <v>2</v>
      </c>
      <c r="R50" s="1">
        <f>IF(Data!R50&gt;0,4-Data!R50,"")</f>
        <v>2</v>
      </c>
      <c r="S50" s="1">
        <f>IF(Data!S50&gt;0,4-Data!S50,"")</f>
        <v>2</v>
      </c>
      <c r="T50" s="1">
        <f>IF(Data!T50&gt;0,Data!T50-4,"")</f>
        <v>2</v>
      </c>
      <c r="U50" s="1">
        <f>IF(Data!U50&gt;0,4-Data!U50,"")</f>
        <v>2</v>
      </c>
      <c r="V50" s="1">
        <f>IF(Data!V50&gt;0,Data!V50-4,"")</f>
        <v>2</v>
      </c>
      <c r="W50" s="1">
        <f>IF(Data!W50&gt;0,4-Data!W50,"")</f>
        <v>3</v>
      </c>
      <c r="X50" s="1">
        <f>IF(Data!X50&gt;0,4-Data!X50,"")</f>
        <v>2</v>
      </c>
      <c r="Y50" s="1">
        <f>IF(Data!Y50&gt;0,4-Data!Y50,"")</f>
        <v>3</v>
      </c>
      <c r="Z50" s="1">
        <f>IF(Data!Z50&gt;0,Data!Z50-4,"")</f>
        <v>1</v>
      </c>
      <c r="AC50" s="7">
        <f t="shared" si="0"/>
        <v>2</v>
      </c>
      <c r="AD50" s="7">
        <f t="shared" si="1"/>
        <v>2</v>
      </c>
      <c r="AE50" s="7">
        <f t="shared" si="2"/>
        <v>2.25</v>
      </c>
      <c r="AF50" s="7">
        <f t="shared" si="3"/>
        <v>1</v>
      </c>
      <c r="AG50" s="7">
        <f t="shared" si="4"/>
        <v>0.75</v>
      </c>
      <c r="AH50" s="7">
        <f t="shared" si="5"/>
        <v>0.75</v>
      </c>
    </row>
    <row r="51" spans="1:34">
      <c r="A51" s="1">
        <f>IF(Data!A51&gt;0,Data!A51-4,"")</f>
        <v>1</v>
      </c>
      <c r="B51" s="1">
        <f>IF(Data!B51&gt;0,Data!B51-4,"")</f>
        <v>1</v>
      </c>
      <c r="C51" s="1">
        <f>IF(Data!C51&gt;0,4-Data!C51,"")</f>
        <v>0</v>
      </c>
      <c r="D51" s="1">
        <f>IF(Data!D51&gt;0,4-Data!D51,"")</f>
        <v>2</v>
      </c>
      <c r="E51" s="1">
        <f>IF(Data!E51&gt;0,4-Data!E51,"")</f>
        <v>2</v>
      </c>
      <c r="F51" s="1">
        <f>IF(Data!F51&gt;0,Data!F51-4,"")</f>
        <v>1</v>
      </c>
      <c r="G51" s="1">
        <f>IF(Data!G51&gt;0,Data!G51-4,"")</f>
        <v>1</v>
      </c>
      <c r="H51" s="1">
        <f>IF(Data!H51&gt;0,Data!H51-4,"")</f>
        <v>-1</v>
      </c>
      <c r="I51" s="1">
        <f>IF(Data!I51&gt;0,4-Data!I51,"")</f>
        <v>2</v>
      </c>
      <c r="J51" s="1">
        <f>IF(Data!J51&gt;0,4-Data!J51,"")</f>
        <v>2</v>
      </c>
      <c r="K51" s="1">
        <f>IF(Data!K51&gt;0,Data!K51-4,"")</f>
        <v>-1</v>
      </c>
      <c r="L51" s="1">
        <f>IF(Data!L51&gt;0,4-Data!L51,"")</f>
        <v>2</v>
      </c>
      <c r="M51" s="1">
        <f>IF(Data!M51&gt;0,Data!M51-4,"")</f>
        <v>1</v>
      </c>
      <c r="N51" s="1">
        <f>IF(Data!N51&gt;0,Data!N51-4,"")</f>
        <v>1</v>
      </c>
      <c r="O51" s="1">
        <f>IF(Data!O51&gt;0,Data!O51-4,"")</f>
        <v>1</v>
      </c>
      <c r="P51" s="1">
        <f>IF(Data!P51&gt;0,Data!P51-4,"")</f>
        <v>1</v>
      </c>
      <c r="Q51" s="1">
        <f>IF(Data!Q51&gt;0,4-Data!Q51,"")</f>
        <v>2</v>
      </c>
      <c r="R51" s="1">
        <f>IF(Data!R51&gt;0,4-Data!R51,"")</f>
        <v>0</v>
      </c>
      <c r="S51" s="1">
        <f>IF(Data!S51&gt;0,4-Data!S51,"")</f>
        <v>1</v>
      </c>
      <c r="T51" s="1">
        <f>IF(Data!T51&gt;0,Data!T51-4,"")</f>
        <v>0</v>
      </c>
      <c r="U51" s="1">
        <f>IF(Data!U51&gt;0,4-Data!U51,"")</f>
        <v>1</v>
      </c>
      <c r="V51" s="1">
        <f>IF(Data!V51&gt;0,Data!V51-4,"")</f>
        <v>1</v>
      </c>
      <c r="W51" s="1">
        <f>IF(Data!W51&gt;0,4-Data!W51,"")</f>
        <v>1</v>
      </c>
      <c r="X51" s="1">
        <f>IF(Data!X51&gt;0,4-Data!X51,"")</f>
        <v>0</v>
      </c>
      <c r="Y51" s="1">
        <f>IF(Data!Y51&gt;0,4-Data!Y51,"")</f>
        <v>0</v>
      </c>
      <c r="Z51" s="1">
        <f>IF(Data!Z51&gt;0,Data!Z51-4,"")</f>
        <v>2</v>
      </c>
      <c r="AC51" s="7">
        <f t="shared" si="0"/>
        <v>0.83333333333333337</v>
      </c>
      <c r="AD51" s="7">
        <f t="shared" si="1"/>
        <v>1.25</v>
      </c>
      <c r="AE51" s="7">
        <f t="shared" si="2"/>
        <v>1</v>
      </c>
      <c r="AF51" s="7">
        <f t="shared" si="3"/>
        <v>0.25</v>
      </c>
      <c r="AG51" s="7">
        <f t="shared" si="4"/>
        <v>1</v>
      </c>
      <c r="AH51" s="7">
        <f t="shared" si="5"/>
        <v>1.25</v>
      </c>
    </row>
    <row r="52" spans="1:34">
      <c r="A52" s="1">
        <f>IF(Data!A52&gt;0,Data!A52-4,"")</f>
        <v>2</v>
      </c>
      <c r="B52" s="1">
        <f>IF(Data!B52&gt;0,Data!B52-4,"")</f>
        <v>2</v>
      </c>
      <c r="C52" s="1">
        <f>IF(Data!C52&gt;0,4-Data!C52,"")</f>
        <v>0</v>
      </c>
      <c r="D52" s="1">
        <f>IF(Data!D52&gt;0,4-Data!D52,"")</f>
        <v>2</v>
      </c>
      <c r="E52" s="1">
        <f>IF(Data!E52&gt;0,4-Data!E52,"")</f>
        <v>2</v>
      </c>
      <c r="F52" s="1">
        <f>IF(Data!F52&gt;0,Data!F52-4,"")</f>
        <v>0</v>
      </c>
      <c r="G52" s="1">
        <f>IF(Data!G52&gt;0,Data!G52-4,"")</f>
        <v>2</v>
      </c>
      <c r="H52" s="1">
        <f>IF(Data!H52&gt;0,Data!H52-4,"")</f>
        <v>0</v>
      </c>
      <c r="I52" s="1">
        <f>IF(Data!I52&gt;0,4-Data!I52,"")</f>
        <v>2</v>
      </c>
      <c r="J52" s="1">
        <f>IF(Data!J52&gt;0,4-Data!J52,"")</f>
        <v>-1</v>
      </c>
      <c r="K52" s="1">
        <f>IF(Data!K52&gt;0,Data!K52-4,"")</f>
        <v>1</v>
      </c>
      <c r="L52" s="1">
        <f>IF(Data!L52&gt;0,4-Data!L52,"")</f>
        <v>2</v>
      </c>
      <c r="M52" s="1">
        <f>IF(Data!M52&gt;0,Data!M52-4,"")</f>
        <v>2</v>
      </c>
      <c r="N52" s="1">
        <f>IF(Data!N52&gt;0,Data!N52-4,"")</f>
        <v>2</v>
      </c>
      <c r="O52" s="1">
        <f>IF(Data!O52&gt;0,Data!O52-4,"")</f>
        <v>-1</v>
      </c>
      <c r="P52" s="1">
        <f>IF(Data!P52&gt;0,Data!P52-4,"")</f>
        <v>2</v>
      </c>
      <c r="Q52" s="1">
        <f>IF(Data!Q52&gt;0,4-Data!Q52,"")</f>
        <v>2</v>
      </c>
      <c r="R52" s="1">
        <f>IF(Data!R52&gt;0,4-Data!R52,"")</f>
        <v>2</v>
      </c>
      <c r="S52" s="1">
        <f>IF(Data!S52&gt;0,4-Data!S52,"")</f>
        <v>2</v>
      </c>
      <c r="T52" s="1">
        <f>IF(Data!T52&gt;0,Data!T52-4,"")</f>
        <v>3</v>
      </c>
      <c r="U52" s="1">
        <f>IF(Data!U52&gt;0,4-Data!U52,"")</f>
        <v>1</v>
      </c>
      <c r="V52" s="1">
        <f>IF(Data!V52&gt;0,Data!V52-4,"")</f>
        <v>2</v>
      </c>
      <c r="W52" s="1">
        <f>IF(Data!W52&gt;0,4-Data!W52,"")</f>
        <v>-1</v>
      </c>
      <c r="X52" s="1">
        <f>IF(Data!X52&gt;0,4-Data!X52,"")</f>
        <v>0</v>
      </c>
      <c r="Y52" s="1">
        <f>IF(Data!Y52&gt;0,4-Data!Y52,"")</f>
        <v>1</v>
      </c>
      <c r="Z52" s="1">
        <f>IF(Data!Z52&gt;0,Data!Z52-4,"")</f>
        <v>-1</v>
      </c>
      <c r="AC52" s="7">
        <f t="shared" si="0"/>
        <v>1.5</v>
      </c>
      <c r="AD52" s="7">
        <f t="shared" si="1"/>
        <v>1.75</v>
      </c>
      <c r="AE52" s="7">
        <f t="shared" si="2"/>
        <v>1.5</v>
      </c>
      <c r="AF52" s="7">
        <f t="shared" si="3"/>
        <v>1.25</v>
      </c>
      <c r="AG52" s="7">
        <f t="shared" si="4"/>
        <v>1.5</v>
      </c>
      <c r="AH52" s="7">
        <f t="shared" si="5"/>
        <v>-0.75</v>
      </c>
    </row>
    <row r="53" spans="1:34">
      <c r="A53" s="1">
        <f>IF(Data!A53&gt;0,Data!A53-4,"")</f>
        <v>0</v>
      </c>
      <c r="B53" s="1">
        <f>IF(Data!B53&gt;0,Data!B53-4,"")</f>
        <v>0</v>
      </c>
      <c r="C53" s="1">
        <f>IF(Data!C53&gt;0,4-Data!C53,"")</f>
        <v>0</v>
      </c>
      <c r="D53" s="1">
        <f>IF(Data!D53&gt;0,4-Data!D53,"")</f>
        <v>0</v>
      </c>
      <c r="E53" s="1">
        <f>IF(Data!E53&gt;0,4-Data!E53,"")</f>
        <v>0</v>
      </c>
      <c r="F53" s="1">
        <f>IF(Data!F53&gt;0,Data!F53-4,"")</f>
        <v>-2</v>
      </c>
      <c r="G53" s="1">
        <f>IF(Data!G53&gt;0,Data!G53-4,"")</f>
        <v>-2</v>
      </c>
      <c r="H53" s="1">
        <f>IF(Data!H53&gt;0,Data!H53-4,"")</f>
        <v>-2</v>
      </c>
      <c r="I53" s="1">
        <f>IF(Data!I53&gt;0,4-Data!I53,"")</f>
        <v>0</v>
      </c>
      <c r="J53" s="1">
        <f>IF(Data!J53&gt;0,4-Data!J53,"")</f>
        <v>0</v>
      </c>
      <c r="K53" s="1">
        <f>IF(Data!K53&gt;0,Data!K53-4,"")</f>
        <v>-1</v>
      </c>
      <c r="L53" s="1">
        <f>IF(Data!L53&gt;0,4-Data!L53,"")</f>
        <v>0</v>
      </c>
      <c r="M53" s="1">
        <f>IF(Data!M53&gt;0,Data!M53-4,"")</f>
        <v>-2</v>
      </c>
      <c r="N53" s="1">
        <f>IF(Data!N53&gt;0,Data!N53-4,"")</f>
        <v>-2</v>
      </c>
      <c r="O53" s="1">
        <f>IF(Data!O53&gt;0,Data!O53-4,"")</f>
        <v>-2</v>
      </c>
      <c r="P53" s="1">
        <f>IF(Data!P53&gt;0,Data!P53-4,"")</f>
        <v>-2</v>
      </c>
      <c r="Q53" s="1">
        <f>IF(Data!Q53&gt;0,4-Data!Q53,"")</f>
        <v>0</v>
      </c>
      <c r="R53" s="1">
        <f>IF(Data!R53&gt;0,4-Data!R53,"")</f>
        <v>0</v>
      </c>
      <c r="S53" s="1">
        <f>IF(Data!S53&gt;0,4-Data!S53,"")</f>
        <v>0</v>
      </c>
      <c r="T53" s="1">
        <f>IF(Data!T53&gt;0,Data!T53-4,"")</f>
        <v>0</v>
      </c>
      <c r="U53" s="1">
        <f>IF(Data!U53&gt;0,4-Data!U53,"")</f>
        <v>0</v>
      </c>
      <c r="V53" s="1">
        <f>IF(Data!V53&gt;0,Data!V53-4,"")</f>
        <v>-2</v>
      </c>
      <c r="W53" s="1">
        <f>IF(Data!W53&gt;0,4-Data!W53,"")</f>
        <v>0</v>
      </c>
      <c r="X53" s="1">
        <f>IF(Data!X53&gt;0,4-Data!X53,"")</f>
        <v>2</v>
      </c>
      <c r="Y53" s="1">
        <f>IF(Data!Y53&gt;0,4-Data!Y53,"")</f>
        <v>0</v>
      </c>
      <c r="Z53" s="1">
        <f>IF(Data!Z53&gt;0,Data!Z53-4,"")</f>
        <v>-2</v>
      </c>
      <c r="AC53" s="7">
        <f t="shared" si="0"/>
        <v>-0.33333333333333331</v>
      </c>
      <c r="AD53" s="7">
        <f t="shared" si="1"/>
        <v>-0.5</v>
      </c>
      <c r="AE53" s="7">
        <f t="shared" si="2"/>
        <v>-0.5</v>
      </c>
      <c r="AF53" s="7">
        <f t="shared" si="3"/>
        <v>-0.75</v>
      </c>
      <c r="AG53" s="7">
        <f t="shared" si="4"/>
        <v>-1</v>
      </c>
      <c r="AH53" s="7">
        <f t="shared" si="5"/>
        <v>-1</v>
      </c>
    </row>
    <row r="54" spans="1:34">
      <c r="A54" s="1">
        <f>IF(Data!A54&gt;0,Data!A54-4,"")</f>
        <v>1</v>
      </c>
      <c r="B54" s="1">
        <f>IF(Data!B54&gt;0,Data!B54-4,"")</f>
        <v>1</v>
      </c>
      <c r="C54" s="1">
        <f>IF(Data!C54&gt;0,4-Data!C54,"")</f>
        <v>-1</v>
      </c>
      <c r="D54" s="1">
        <f>IF(Data!D54&gt;0,4-Data!D54,"")</f>
        <v>-1</v>
      </c>
      <c r="E54" s="1">
        <f>IF(Data!E54&gt;0,4-Data!E54,"")</f>
        <v>-1</v>
      </c>
      <c r="F54" s="1">
        <f>IF(Data!F54&gt;0,Data!F54-4,"")</f>
        <v>1</v>
      </c>
      <c r="G54" s="1">
        <f>IF(Data!G54&gt;0,Data!G54-4,"")</f>
        <v>1</v>
      </c>
      <c r="H54" s="1">
        <f>IF(Data!H54&gt;0,Data!H54-4,"")</f>
        <v>0</v>
      </c>
      <c r="I54" s="1">
        <f>IF(Data!I54&gt;0,4-Data!I54,"")</f>
        <v>0</v>
      </c>
      <c r="J54" s="1">
        <f>IF(Data!J54&gt;0,4-Data!J54,"")</f>
        <v>0</v>
      </c>
      <c r="K54" s="1">
        <f>IF(Data!K54&gt;0,Data!K54-4,"")</f>
        <v>1</v>
      </c>
      <c r="L54" s="1">
        <f>IF(Data!L54&gt;0,4-Data!L54,"")</f>
        <v>-2</v>
      </c>
      <c r="M54" s="1">
        <f>IF(Data!M54&gt;0,Data!M54-4,"")</f>
        <v>2</v>
      </c>
      <c r="N54" s="1">
        <f>IF(Data!N54&gt;0,Data!N54-4,"")</f>
        <v>2</v>
      </c>
      <c r="O54" s="1">
        <f>IF(Data!O54&gt;0,Data!O54-4,"")</f>
        <v>2</v>
      </c>
      <c r="P54" s="1">
        <f>IF(Data!P54&gt;0,Data!P54-4,"")</f>
        <v>2</v>
      </c>
      <c r="Q54" s="1">
        <f>IF(Data!Q54&gt;0,4-Data!Q54,"")</f>
        <v>-2</v>
      </c>
      <c r="R54" s="1">
        <f>IF(Data!R54&gt;0,4-Data!R54,"")</f>
        <v>0</v>
      </c>
      <c r="S54" s="1">
        <f>IF(Data!S54&gt;0,4-Data!S54,"")</f>
        <v>0</v>
      </c>
      <c r="T54" s="1">
        <f>IF(Data!T54&gt;0,Data!T54-4,"")</f>
        <v>0</v>
      </c>
      <c r="U54" s="1">
        <f>IF(Data!U54&gt;0,4-Data!U54,"")</f>
        <v>0</v>
      </c>
      <c r="V54" s="1">
        <f>IF(Data!V54&gt;0,Data!V54-4,"")</f>
        <v>0</v>
      </c>
      <c r="W54" s="1">
        <f>IF(Data!W54&gt;0,4-Data!W54,"")</f>
        <v>0</v>
      </c>
      <c r="X54" s="1">
        <f>IF(Data!X54&gt;0,4-Data!X54,"")</f>
        <v>0</v>
      </c>
      <c r="Y54" s="1">
        <f>IF(Data!Y54&gt;0,4-Data!Y54,"")</f>
        <v>0</v>
      </c>
      <c r="Z54" s="1">
        <f>IF(Data!Z54&gt;0,Data!Z54-4,"")</f>
        <v>0</v>
      </c>
      <c r="AC54" s="7">
        <f t="shared" si="0"/>
        <v>0.5</v>
      </c>
      <c r="AD54" s="7">
        <f t="shared" si="1"/>
        <v>0.5</v>
      </c>
      <c r="AE54" s="7">
        <f t="shared" si="2"/>
        <v>0</v>
      </c>
      <c r="AF54" s="7">
        <f t="shared" si="3"/>
        <v>-0.25</v>
      </c>
      <c r="AG54" s="7">
        <f t="shared" si="4"/>
        <v>0.25</v>
      </c>
      <c r="AH54" s="7">
        <f t="shared" si="5"/>
        <v>0.25</v>
      </c>
    </row>
    <row r="55" spans="1:34">
      <c r="A55" s="1">
        <f>IF(Data!A55&gt;0,Data!A55-4,"")</f>
        <v>3</v>
      </c>
      <c r="B55" s="1">
        <f>IF(Data!B55&gt;0,Data!B55-4,"")</f>
        <v>2</v>
      </c>
      <c r="C55" s="1">
        <f>IF(Data!C55&gt;0,4-Data!C55,"")</f>
        <v>2</v>
      </c>
      <c r="D55" s="1">
        <f>IF(Data!D55&gt;0,4-Data!D55,"")</f>
        <v>-2</v>
      </c>
      <c r="E55" s="1">
        <f>IF(Data!E55&gt;0,4-Data!E55,"")</f>
        <v>2</v>
      </c>
      <c r="F55" s="1">
        <f>IF(Data!F55&gt;0,Data!F55-4,"")</f>
        <v>3</v>
      </c>
      <c r="G55" s="1">
        <f>IF(Data!G55&gt;0,Data!G55-4,"")</f>
        <v>3</v>
      </c>
      <c r="H55" s="1">
        <f>IF(Data!H55&gt;0,Data!H55-4,"")</f>
        <v>-3</v>
      </c>
      <c r="I55" s="1">
        <f>IF(Data!I55&gt;0,4-Data!I55,"")</f>
        <v>2</v>
      </c>
      <c r="J55" s="1">
        <f>IF(Data!J55&gt;0,4-Data!J55,"")</f>
        <v>3</v>
      </c>
      <c r="K55" s="1">
        <f>IF(Data!K55&gt;0,Data!K55-4,"")</f>
        <v>2</v>
      </c>
      <c r="L55" s="1">
        <f>IF(Data!L55&gt;0,4-Data!L55,"")</f>
        <v>3</v>
      </c>
      <c r="M55" s="1">
        <f>IF(Data!M55&gt;0,Data!M55-4,"")</f>
        <v>3</v>
      </c>
      <c r="N55" s="1">
        <f>IF(Data!N55&gt;0,Data!N55-4,"")</f>
        <v>3</v>
      </c>
      <c r="O55" s="1">
        <f>IF(Data!O55&gt;0,Data!O55-4,"")</f>
        <v>3</v>
      </c>
      <c r="P55" s="1">
        <f>IF(Data!P55&gt;0,Data!P55-4,"")</f>
        <v>3</v>
      </c>
      <c r="Q55" s="1">
        <f>IF(Data!Q55&gt;0,4-Data!Q55,"")</f>
        <v>2</v>
      </c>
      <c r="R55" s="1">
        <f>IF(Data!R55&gt;0,4-Data!R55,"")</f>
        <v>2</v>
      </c>
      <c r="S55" s="1">
        <f>IF(Data!S55&gt;0,4-Data!S55,"")</f>
        <v>3</v>
      </c>
      <c r="T55" s="1">
        <f>IF(Data!T55&gt;0,Data!T55-4,"")</f>
        <v>3</v>
      </c>
      <c r="U55" s="1">
        <f>IF(Data!U55&gt;0,4-Data!U55,"")</f>
        <v>2</v>
      </c>
      <c r="V55" s="1">
        <f>IF(Data!V55&gt;0,Data!V55-4,"")</f>
        <v>2</v>
      </c>
      <c r="W55" s="1">
        <f>IF(Data!W55&gt;0,4-Data!W55,"")</f>
        <v>2</v>
      </c>
      <c r="X55" s="1">
        <f>IF(Data!X55&gt;0,4-Data!X55,"")</f>
        <v>2</v>
      </c>
      <c r="Y55" s="1">
        <f>IF(Data!Y55&gt;0,4-Data!Y55,"")</f>
        <v>2</v>
      </c>
      <c r="Z55" s="1">
        <f>IF(Data!Z55&gt;0,Data!Z55-4,"")</f>
        <v>1</v>
      </c>
      <c r="AC55" s="7">
        <f t="shared" si="0"/>
        <v>2.6666666666666665</v>
      </c>
      <c r="AD55" s="7">
        <f t="shared" si="1"/>
        <v>1.25</v>
      </c>
      <c r="AE55" s="7">
        <f t="shared" si="2"/>
        <v>2.25</v>
      </c>
      <c r="AF55" s="7">
        <f t="shared" si="3"/>
        <v>1</v>
      </c>
      <c r="AG55" s="7">
        <f t="shared" si="4"/>
        <v>2.5</v>
      </c>
      <c r="AH55" s="7">
        <f t="shared" si="5"/>
        <v>2.25</v>
      </c>
    </row>
    <row r="56" spans="1:34">
      <c r="A56" s="1">
        <f>IF(Data!A56&gt;0,Data!A56-4,"")</f>
        <v>1</v>
      </c>
      <c r="B56" s="1">
        <f>IF(Data!B56&gt;0,Data!B56-4,"")</f>
        <v>3</v>
      </c>
      <c r="C56" s="1">
        <f>IF(Data!C56&gt;0,4-Data!C56,"")</f>
        <v>-3</v>
      </c>
      <c r="D56" s="1">
        <f>IF(Data!D56&gt;0,4-Data!D56,"")</f>
        <v>-3</v>
      </c>
      <c r="E56" s="1">
        <f>IF(Data!E56&gt;0,4-Data!E56,"")</f>
        <v>-3</v>
      </c>
      <c r="F56" s="1">
        <f>IF(Data!F56&gt;0,Data!F56-4,"")</f>
        <v>3</v>
      </c>
      <c r="G56" s="1">
        <f>IF(Data!G56&gt;0,Data!G56-4,"")</f>
        <v>3</v>
      </c>
      <c r="H56" s="1">
        <f>IF(Data!H56&gt;0,Data!H56-4,"")</f>
        <v>2</v>
      </c>
      <c r="I56" s="1">
        <f>IF(Data!I56&gt;0,4-Data!I56,"")</f>
        <v>-3</v>
      </c>
      <c r="J56" s="1">
        <f>IF(Data!J56&gt;0,4-Data!J56,"")</f>
        <v>-3</v>
      </c>
      <c r="K56" s="1">
        <f>IF(Data!K56&gt;0,Data!K56-4,"")</f>
        <v>3</v>
      </c>
      <c r="L56" s="1">
        <f>IF(Data!L56&gt;0,4-Data!L56,"")</f>
        <v>-3</v>
      </c>
      <c r="M56" s="1">
        <f>IF(Data!M56&gt;0,Data!M56-4,"")</f>
        <v>3</v>
      </c>
      <c r="N56" s="1">
        <f>IF(Data!N56&gt;0,Data!N56-4,"")</f>
        <v>2</v>
      </c>
      <c r="O56" s="1">
        <f>IF(Data!O56&gt;0,Data!O56-4,"")</f>
        <v>2</v>
      </c>
      <c r="P56" s="1">
        <f>IF(Data!P56&gt;0,Data!P56-4,"")</f>
        <v>3</v>
      </c>
      <c r="Q56" s="1">
        <f>IF(Data!Q56&gt;0,4-Data!Q56,"")</f>
        <v>-3</v>
      </c>
      <c r="R56" s="1">
        <f>IF(Data!R56&gt;0,4-Data!R56,"")</f>
        <v>-3</v>
      </c>
      <c r="S56" s="1">
        <f>IF(Data!S56&gt;0,4-Data!S56,"")</f>
        <v>-3</v>
      </c>
      <c r="T56" s="1">
        <f>IF(Data!T56&gt;0,Data!T56-4,"")</f>
        <v>2</v>
      </c>
      <c r="U56" s="1">
        <f>IF(Data!U56&gt;0,4-Data!U56,"")</f>
        <v>-3</v>
      </c>
      <c r="V56" s="1">
        <f>IF(Data!V56&gt;0,Data!V56-4,"")</f>
        <v>3</v>
      </c>
      <c r="W56" s="1">
        <f>IF(Data!W56&gt;0,4-Data!W56,"")</f>
        <v>3</v>
      </c>
      <c r="X56" s="1">
        <f>IF(Data!X56&gt;0,4-Data!X56,"")</f>
        <v>-2</v>
      </c>
      <c r="Y56" s="1">
        <f>IF(Data!Y56&gt;0,4-Data!Y56,"")</f>
        <v>-3</v>
      </c>
      <c r="Z56" s="1">
        <f>IF(Data!Z56&gt;0,Data!Z56-4,"")</f>
        <v>3</v>
      </c>
      <c r="AC56" s="7">
        <f t="shared" si="0"/>
        <v>-0.33333333333333331</v>
      </c>
      <c r="AD56" s="7">
        <f t="shared" si="1"/>
        <v>0</v>
      </c>
      <c r="AE56" s="7">
        <f t="shared" si="2"/>
        <v>1.25</v>
      </c>
      <c r="AF56" s="7">
        <f t="shared" si="3"/>
        <v>-0.25</v>
      </c>
      <c r="AG56" s="7">
        <f t="shared" si="4"/>
        <v>0</v>
      </c>
      <c r="AH56" s="7">
        <f t="shared" si="5"/>
        <v>-0.25</v>
      </c>
    </row>
    <row r="57" spans="1:34">
      <c r="A57" s="1">
        <f>IF(Data!A57&gt;0,Data!A57-4,"")</f>
        <v>3</v>
      </c>
      <c r="B57" s="1">
        <f>IF(Data!B57&gt;0,Data!B57-4,"")</f>
        <v>3</v>
      </c>
      <c r="C57" s="1">
        <f>IF(Data!C57&gt;0,4-Data!C57,"")</f>
        <v>2</v>
      </c>
      <c r="D57" s="1">
        <f>IF(Data!D57&gt;0,4-Data!D57,"")</f>
        <v>3</v>
      </c>
      <c r="E57" s="1">
        <f>IF(Data!E57&gt;0,4-Data!E57,"")</f>
        <v>3</v>
      </c>
      <c r="F57" s="1">
        <f>IF(Data!F57&gt;0,Data!F57-4,"")</f>
        <v>3</v>
      </c>
      <c r="G57" s="1">
        <f>IF(Data!G57&gt;0,Data!G57-4,"")</f>
        <v>3</v>
      </c>
      <c r="H57" s="1">
        <f>IF(Data!H57&gt;0,Data!H57-4,"")</f>
        <v>0</v>
      </c>
      <c r="I57" s="1">
        <f>IF(Data!I57&gt;0,4-Data!I57,"")</f>
        <v>1</v>
      </c>
      <c r="J57" s="1">
        <f>IF(Data!J57&gt;0,4-Data!J57,"")</f>
        <v>3</v>
      </c>
      <c r="K57" s="1">
        <f>IF(Data!K57&gt;0,Data!K57-4,"")</f>
        <v>3</v>
      </c>
      <c r="L57" s="1">
        <f>IF(Data!L57&gt;0,4-Data!L57,"")</f>
        <v>3</v>
      </c>
      <c r="M57" s="1">
        <f>IF(Data!M57&gt;0,Data!M57-4,"")</f>
        <v>3</v>
      </c>
      <c r="N57" s="1">
        <f>IF(Data!N57&gt;0,Data!N57-4,"")</f>
        <v>3</v>
      </c>
      <c r="O57" s="1">
        <f>IF(Data!O57&gt;0,Data!O57-4,"")</f>
        <v>2</v>
      </c>
      <c r="P57" s="1">
        <f>IF(Data!P57&gt;0,Data!P57-4,"")</f>
        <v>3</v>
      </c>
      <c r="Q57" s="1">
        <f>IF(Data!Q57&gt;0,4-Data!Q57,"")</f>
        <v>2</v>
      </c>
      <c r="R57" s="1">
        <f>IF(Data!R57&gt;0,4-Data!R57,"")</f>
        <v>3</v>
      </c>
      <c r="S57" s="1">
        <f>IF(Data!S57&gt;0,4-Data!S57,"")</f>
        <v>3</v>
      </c>
      <c r="T57" s="1">
        <f>IF(Data!T57&gt;0,Data!T57-4,"")</f>
        <v>3</v>
      </c>
      <c r="U57" s="1">
        <f>IF(Data!U57&gt;0,4-Data!U57,"")</f>
        <v>3</v>
      </c>
      <c r="V57" s="1">
        <f>IF(Data!V57&gt;0,Data!V57-4,"")</f>
        <v>3</v>
      </c>
      <c r="W57" s="1">
        <f>IF(Data!W57&gt;0,4-Data!W57,"")</f>
        <v>3</v>
      </c>
      <c r="X57" s="1">
        <f>IF(Data!X57&gt;0,4-Data!X57,"")</f>
        <v>1</v>
      </c>
      <c r="Y57" s="1">
        <f>IF(Data!Y57&gt;0,4-Data!Y57,"")</f>
        <v>3</v>
      </c>
      <c r="Z57" s="1">
        <f>IF(Data!Z57&gt;0,Data!Z57-4,"")</f>
        <v>2</v>
      </c>
      <c r="AC57" s="7">
        <f t="shared" si="0"/>
        <v>2.6666666666666665</v>
      </c>
      <c r="AD57" s="7">
        <f t="shared" si="1"/>
        <v>3</v>
      </c>
      <c r="AE57" s="7">
        <f t="shared" si="2"/>
        <v>2.5</v>
      </c>
      <c r="AF57" s="7">
        <f t="shared" si="3"/>
        <v>2</v>
      </c>
      <c r="AG57" s="7">
        <f t="shared" si="4"/>
        <v>3</v>
      </c>
      <c r="AH57" s="7">
        <f t="shared" si="5"/>
        <v>2.25</v>
      </c>
    </row>
    <row r="58" spans="1:34">
      <c r="A58" s="1">
        <f>IF(Data!A58&gt;0,Data!A58-4,"")</f>
        <v>3</v>
      </c>
      <c r="B58" s="1">
        <f>IF(Data!B58&gt;0,Data!B58-4,"")</f>
        <v>3</v>
      </c>
      <c r="C58" s="1">
        <f>IF(Data!C58&gt;0,4-Data!C58,"")</f>
        <v>3</v>
      </c>
      <c r="D58" s="1">
        <f>IF(Data!D58&gt;0,4-Data!D58,"")</f>
        <v>3</v>
      </c>
      <c r="E58" s="1">
        <f>IF(Data!E58&gt;0,4-Data!E58,"")</f>
        <v>3</v>
      </c>
      <c r="F58" s="1">
        <f>IF(Data!F58&gt;0,Data!F58-4,"")</f>
        <v>3</v>
      </c>
      <c r="G58" s="1">
        <f>IF(Data!G58&gt;0,Data!G58-4,"")</f>
        <v>3</v>
      </c>
      <c r="H58" s="1">
        <f>IF(Data!H58&gt;0,Data!H58-4,"")</f>
        <v>0</v>
      </c>
      <c r="I58" s="1">
        <f>IF(Data!I58&gt;0,4-Data!I58,"")</f>
        <v>3</v>
      </c>
      <c r="J58" s="1">
        <f>IF(Data!J58&gt;0,4-Data!J58,"")</f>
        <v>3</v>
      </c>
      <c r="K58" s="1">
        <f>IF(Data!K58&gt;0,Data!K58-4,"")</f>
        <v>2</v>
      </c>
      <c r="L58" s="1">
        <f>IF(Data!L58&gt;0,4-Data!L58,"")</f>
        <v>3</v>
      </c>
      <c r="M58" s="1">
        <f>IF(Data!M58&gt;0,Data!M58-4,"")</f>
        <v>3</v>
      </c>
      <c r="N58" s="1">
        <f>IF(Data!N58&gt;0,Data!N58-4,"")</f>
        <v>3</v>
      </c>
      <c r="O58" s="1">
        <f>IF(Data!O58&gt;0,Data!O58-4,"")</f>
        <v>2</v>
      </c>
      <c r="P58" s="1">
        <f>IF(Data!P58&gt;0,Data!P58-4,"")</f>
        <v>3</v>
      </c>
      <c r="Q58" s="1">
        <f>IF(Data!Q58&gt;0,4-Data!Q58,"")</f>
        <v>3</v>
      </c>
      <c r="R58" s="1">
        <f>IF(Data!R58&gt;0,4-Data!R58,"")</f>
        <v>3</v>
      </c>
      <c r="S58" s="1">
        <f>IF(Data!S58&gt;0,4-Data!S58,"")</f>
        <v>3</v>
      </c>
      <c r="T58" s="1">
        <f>IF(Data!T58&gt;0,Data!T58-4,"")</f>
        <v>3</v>
      </c>
      <c r="U58" s="1">
        <f>IF(Data!U58&gt;0,4-Data!U58,"")</f>
        <v>3</v>
      </c>
      <c r="V58" s="1">
        <f>IF(Data!V58&gt;0,Data!V58-4,"")</f>
        <v>3</v>
      </c>
      <c r="W58" s="1">
        <f>IF(Data!W58&gt;0,4-Data!W58,"")</f>
        <v>2</v>
      </c>
      <c r="X58" s="1">
        <f>IF(Data!X58&gt;0,4-Data!X58,"")</f>
        <v>3</v>
      </c>
      <c r="Y58" s="1">
        <f>IF(Data!Y58&gt;0,4-Data!Y58,"")</f>
        <v>3</v>
      </c>
      <c r="Z58" s="1">
        <f>IF(Data!Z58&gt;0,Data!Z58-4,"")</f>
        <v>3</v>
      </c>
      <c r="AC58" s="7">
        <f t="shared" si="0"/>
        <v>3</v>
      </c>
      <c r="AD58" s="7">
        <f t="shared" si="1"/>
        <v>3</v>
      </c>
      <c r="AE58" s="7">
        <f t="shared" si="2"/>
        <v>2.75</v>
      </c>
      <c r="AF58" s="7">
        <f t="shared" si="3"/>
        <v>2</v>
      </c>
      <c r="AG58" s="7">
        <f t="shared" si="4"/>
        <v>3</v>
      </c>
      <c r="AH58" s="7">
        <f t="shared" si="5"/>
        <v>2.75</v>
      </c>
    </row>
    <row r="59" spans="1:34">
      <c r="A59" s="1">
        <f>IF(Data!A59&gt;0,Data!A59-4,"")</f>
        <v>3</v>
      </c>
      <c r="B59" s="1">
        <f>IF(Data!B59&gt;0,Data!B59-4,"")</f>
        <v>3</v>
      </c>
      <c r="C59" s="1">
        <f>IF(Data!C59&gt;0,4-Data!C59,"")</f>
        <v>2</v>
      </c>
      <c r="D59" s="1">
        <f>IF(Data!D59&gt;0,4-Data!D59,"")</f>
        <v>3</v>
      </c>
      <c r="E59" s="1">
        <f>IF(Data!E59&gt;0,4-Data!E59,"")</f>
        <v>3</v>
      </c>
      <c r="F59" s="1">
        <f>IF(Data!F59&gt;0,Data!F59-4,"")</f>
        <v>2</v>
      </c>
      <c r="G59" s="1">
        <f>IF(Data!G59&gt;0,Data!G59-4,"")</f>
        <v>3</v>
      </c>
      <c r="H59" s="1">
        <f>IF(Data!H59&gt;0,Data!H59-4,"")</f>
        <v>0</v>
      </c>
      <c r="I59" s="1">
        <f>IF(Data!I59&gt;0,4-Data!I59,"")</f>
        <v>2</v>
      </c>
      <c r="J59" s="1">
        <f>IF(Data!J59&gt;0,4-Data!J59,"")</f>
        <v>0</v>
      </c>
      <c r="K59" s="1">
        <f>IF(Data!K59&gt;0,Data!K59-4,"")</f>
        <v>2</v>
      </c>
      <c r="L59" s="1">
        <f>IF(Data!L59&gt;0,4-Data!L59,"")</f>
        <v>3</v>
      </c>
      <c r="M59" s="1">
        <f>IF(Data!M59&gt;0,Data!M59-4,"")</f>
        <v>3</v>
      </c>
      <c r="N59" s="1">
        <f>IF(Data!N59&gt;0,Data!N59-4,"")</f>
        <v>3</v>
      </c>
      <c r="O59" s="1">
        <f>IF(Data!O59&gt;0,Data!O59-4,"")</f>
        <v>0</v>
      </c>
      <c r="P59" s="1">
        <f>IF(Data!P59&gt;0,Data!P59-4,"")</f>
        <v>3</v>
      </c>
      <c r="Q59" s="1">
        <f>IF(Data!Q59&gt;0,4-Data!Q59,"")</f>
        <v>2</v>
      </c>
      <c r="R59" s="1">
        <f>IF(Data!R59&gt;0,4-Data!R59,"")</f>
        <v>3</v>
      </c>
      <c r="S59" s="1">
        <f>IF(Data!S59&gt;0,4-Data!S59,"")</f>
        <v>3</v>
      </c>
      <c r="T59" s="1">
        <f>IF(Data!T59&gt;0,Data!T59-4,"")</f>
        <v>3</v>
      </c>
      <c r="U59" s="1">
        <f>IF(Data!U59&gt;0,4-Data!U59,"")</f>
        <v>3</v>
      </c>
      <c r="V59" s="1">
        <f>IF(Data!V59&gt;0,Data!V59-4,"")</f>
        <v>3</v>
      </c>
      <c r="W59" s="1">
        <f>IF(Data!W59&gt;0,4-Data!W59,"")</f>
        <v>3</v>
      </c>
      <c r="X59" s="1">
        <f>IF(Data!X59&gt;0,4-Data!X59,"")</f>
        <v>3</v>
      </c>
      <c r="Y59" s="1">
        <f>IF(Data!Y59&gt;0,4-Data!Y59,"")</f>
        <v>3</v>
      </c>
      <c r="Z59" s="1">
        <f>IF(Data!Z59&gt;0,Data!Z59-4,"")</f>
        <v>1</v>
      </c>
      <c r="AC59" s="7">
        <f t="shared" si="0"/>
        <v>3</v>
      </c>
      <c r="AD59" s="7">
        <f t="shared" si="1"/>
        <v>3</v>
      </c>
      <c r="AE59" s="7">
        <f t="shared" si="2"/>
        <v>2.75</v>
      </c>
      <c r="AF59" s="7">
        <f t="shared" si="3"/>
        <v>1.75</v>
      </c>
      <c r="AG59" s="7">
        <f t="shared" si="4"/>
        <v>2.75</v>
      </c>
      <c r="AH59" s="7">
        <f t="shared" si="5"/>
        <v>0.75</v>
      </c>
    </row>
    <row r="60" spans="1:34">
      <c r="A60" s="1">
        <f>IF(Data!A60&gt;0,Data!A60-4,"")</f>
        <v>2</v>
      </c>
      <c r="B60" s="1">
        <f>IF(Data!B60&gt;0,Data!B60-4,"")</f>
        <v>2</v>
      </c>
      <c r="C60" s="1">
        <f>IF(Data!C60&gt;0,4-Data!C60,"")</f>
        <v>-1</v>
      </c>
      <c r="D60" s="1">
        <f>IF(Data!D60&gt;0,4-Data!D60,"")</f>
        <v>-1</v>
      </c>
      <c r="E60" s="1">
        <f>IF(Data!E60&gt;0,4-Data!E60,"")</f>
        <v>2</v>
      </c>
      <c r="F60" s="1">
        <f>IF(Data!F60&gt;0,Data!F60-4,"")</f>
        <v>2</v>
      </c>
      <c r="G60" s="1">
        <f>IF(Data!G60&gt;0,Data!G60-4,"")</f>
        <v>1</v>
      </c>
      <c r="H60" s="1">
        <f>IF(Data!H60&gt;0,Data!H60-4,"")</f>
        <v>1</v>
      </c>
      <c r="I60" s="1">
        <f>IF(Data!I60&gt;0,4-Data!I60,"")</f>
        <v>2</v>
      </c>
      <c r="J60" s="1">
        <f>IF(Data!J60&gt;0,4-Data!J60,"")</f>
        <v>1</v>
      </c>
      <c r="K60" s="1">
        <f>IF(Data!K60&gt;0,Data!K60-4,"")</f>
        <v>1</v>
      </c>
      <c r="L60" s="1">
        <f>IF(Data!L60&gt;0,4-Data!L60,"")</f>
        <v>1</v>
      </c>
      <c r="M60" s="1">
        <f>IF(Data!M60&gt;0,Data!M60-4,"")</f>
        <v>-1</v>
      </c>
      <c r="N60" s="1">
        <f>IF(Data!N60&gt;0,Data!N60-4,"")</f>
        <v>2</v>
      </c>
      <c r="O60" s="1">
        <f>IF(Data!O60&gt;0,Data!O60-4,"")</f>
        <v>1</v>
      </c>
      <c r="P60" s="1">
        <f>IF(Data!P60&gt;0,Data!P60-4,"")</f>
        <v>2</v>
      </c>
      <c r="Q60" s="1">
        <f>IF(Data!Q60&gt;0,4-Data!Q60,"")</f>
        <v>3</v>
      </c>
      <c r="R60" s="1">
        <f>IF(Data!R60&gt;0,4-Data!R60,"")</f>
        <v>1</v>
      </c>
      <c r="S60" s="1">
        <f>IF(Data!S60&gt;0,4-Data!S60,"")</f>
        <v>2</v>
      </c>
      <c r="T60" s="1">
        <f>IF(Data!T60&gt;0,Data!T60-4,"")</f>
        <v>1</v>
      </c>
      <c r="U60" s="1">
        <f>IF(Data!U60&gt;0,4-Data!U60,"")</f>
        <v>1</v>
      </c>
      <c r="V60" s="1">
        <f>IF(Data!V60&gt;0,Data!V60-4,"")</f>
        <v>2</v>
      </c>
      <c r="W60" s="1">
        <f>IF(Data!W60&gt;0,4-Data!W60,"")</f>
        <v>-1</v>
      </c>
      <c r="X60" s="1">
        <f>IF(Data!X60&gt;0,4-Data!X60,"")</f>
        <v>1</v>
      </c>
      <c r="Y60" s="1">
        <f>IF(Data!Y60&gt;0,4-Data!Y60,"")</f>
        <v>2</v>
      </c>
      <c r="Z60" s="1">
        <f>IF(Data!Z60&gt;0,Data!Z60-4,"")</f>
        <v>2</v>
      </c>
      <c r="AC60" s="7">
        <f t="shared" si="0"/>
        <v>1.6666666666666667</v>
      </c>
      <c r="AD60" s="7">
        <f t="shared" si="1"/>
        <v>0.25</v>
      </c>
      <c r="AE60" s="7">
        <f t="shared" si="2"/>
        <v>1</v>
      </c>
      <c r="AF60" s="7">
        <f t="shared" si="3"/>
        <v>1.75</v>
      </c>
      <c r="AG60" s="7">
        <f t="shared" si="4"/>
        <v>1.5</v>
      </c>
      <c r="AH60" s="7">
        <f t="shared" si="5"/>
        <v>0.75</v>
      </c>
    </row>
    <row r="61" spans="1:34">
      <c r="A61" s="1">
        <f>IF(Data!A61&gt;0,Data!A61-4,"")</f>
        <v>0</v>
      </c>
      <c r="B61" s="1">
        <f>IF(Data!B61&gt;0,Data!B61-4,"")</f>
        <v>-1</v>
      </c>
      <c r="C61" s="1">
        <f>IF(Data!C61&gt;0,4-Data!C61,"")</f>
        <v>0</v>
      </c>
      <c r="D61" s="1">
        <f>IF(Data!D61&gt;0,4-Data!D61,"")</f>
        <v>-1</v>
      </c>
      <c r="E61" s="1">
        <f>IF(Data!E61&gt;0,4-Data!E61,"")</f>
        <v>1</v>
      </c>
      <c r="F61" s="1">
        <f>IF(Data!F61&gt;0,Data!F61-4,"")</f>
        <v>0</v>
      </c>
      <c r="G61" s="1">
        <f>IF(Data!G61&gt;0,Data!G61-4,"")</f>
        <v>2</v>
      </c>
      <c r="H61" s="1">
        <f>IF(Data!H61&gt;0,Data!H61-4,"")</f>
        <v>0</v>
      </c>
      <c r="I61" s="1">
        <f>IF(Data!I61&gt;0,4-Data!I61,"")</f>
        <v>1</v>
      </c>
      <c r="J61" s="1">
        <f>IF(Data!J61&gt;0,4-Data!J61,"")</f>
        <v>2</v>
      </c>
      <c r="K61" s="1">
        <f>IF(Data!K61&gt;0,Data!K61-4,"")</f>
        <v>-1</v>
      </c>
      <c r="L61" s="1">
        <f>IF(Data!L61&gt;0,4-Data!L61,"")</f>
        <v>0</v>
      </c>
      <c r="M61" s="1">
        <f>IF(Data!M61&gt;0,Data!M61-4,"")</f>
        <v>-1</v>
      </c>
      <c r="N61" s="1">
        <f>IF(Data!N61&gt;0,Data!N61-4,"")</f>
        <v>-2</v>
      </c>
      <c r="O61" s="1">
        <f>IF(Data!O61&gt;0,Data!O61-4,"")</f>
        <v>-1</v>
      </c>
      <c r="P61" s="1">
        <f>IF(Data!P61&gt;0,Data!P61-4,"")</f>
        <v>-1</v>
      </c>
      <c r="Q61" s="1">
        <f>IF(Data!Q61&gt;0,4-Data!Q61,"")</f>
        <v>-1</v>
      </c>
      <c r="R61" s="1">
        <f>IF(Data!R61&gt;0,4-Data!R61,"")</f>
        <v>0</v>
      </c>
      <c r="S61" s="1">
        <f>IF(Data!S61&gt;0,4-Data!S61,"")</f>
        <v>0</v>
      </c>
      <c r="T61" s="1">
        <f>IF(Data!T61&gt;0,Data!T61-4,"")</f>
        <v>1</v>
      </c>
      <c r="U61" s="1">
        <f>IF(Data!U61&gt;0,4-Data!U61,"")</f>
        <v>1</v>
      </c>
      <c r="V61" s="1">
        <f>IF(Data!V61&gt;0,Data!V61-4,"")</f>
        <v>1</v>
      </c>
      <c r="W61" s="1">
        <f>IF(Data!W61&gt;0,4-Data!W61,"")</f>
        <v>-1</v>
      </c>
      <c r="X61" s="1">
        <f>IF(Data!X61&gt;0,4-Data!X61,"")</f>
        <v>1</v>
      </c>
      <c r="Y61" s="1">
        <f>IF(Data!Y61&gt;0,4-Data!Y61,"")</f>
        <v>0</v>
      </c>
      <c r="Z61" s="1">
        <f>IF(Data!Z61&gt;0,Data!Z61-4,"")</f>
        <v>0</v>
      </c>
      <c r="AC61" s="7">
        <f t="shared" si="0"/>
        <v>-0.33333333333333331</v>
      </c>
      <c r="AD61" s="7">
        <f t="shared" si="1"/>
        <v>-0.5</v>
      </c>
      <c r="AE61" s="7">
        <f t="shared" si="2"/>
        <v>0.5</v>
      </c>
      <c r="AF61" s="7">
        <f t="shared" si="3"/>
        <v>-0.5</v>
      </c>
      <c r="AG61" s="7">
        <f t="shared" si="4"/>
        <v>0.75</v>
      </c>
      <c r="AH61" s="7">
        <f t="shared" si="5"/>
        <v>0.25</v>
      </c>
    </row>
    <row r="62" spans="1:34">
      <c r="A62" s="1">
        <f>IF(Data!A62&gt;0,Data!A62-4,"")</f>
        <v>3</v>
      </c>
      <c r="B62" s="1">
        <f>IF(Data!B62&gt;0,Data!B62-4,"")</f>
        <v>3</v>
      </c>
      <c r="C62" s="1">
        <f>IF(Data!C62&gt;0,4-Data!C62,"")</f>
        <v>3</v>
      </c>
      <c r="D62" s="1">
        <f>IF(Data!D62&gt;0,4-Data!D62,"")</f>
        <v>3</v>
      </c>
      <c r="E62" s="1">
        <f>IF(Data!E62&gt;0,4-Data!E62,"")</f>
        <v>3</v>
      </c>
      <c r="F62" s="1">
        <f>IF(Data!F62&gt;0,Data!F62-4,"")</f>
        <v>3</v>
      </c>
      <c r="G62" s="1">
        <f>IF(Data!G62&gt;0,Data!G62-4,"")</f>
        <v>3</v>
      </c>
      <c r="H62" s="1">
        <f>IF(Data!H62&gt;0,Data!H62-4,"")</f>
        <v>0</v>
      </c>
      <c r="I62" s="1">
        <f>IF(Data!I62&gt;0,4-Data!I62,"")</f>
        <v>3</v>
      </c>
      <c r="J62" s="1">
        <f>IF(Data!J62&gt;0,4-Data!J62,"")</f>
        <v>3</v>
      </c>
      <c r="K62" s="1">
        <f>IF(Data!K62&gt;0,Data!K62-4,"")</f>
        <v>3</v>
      </c>
      <c r="L62" s="1">
        <f>IF(Data!L62&gt;0,4-Data!L62,"")</f>
        <v>3</v>
      </c>
      <c r="M62" s="1">
        <f>IF(Data!M62&gt;0,Data!M62-4,"")</f>
        <v>3</v>
      </c>
      <c r="N62" s="1">
        <f>IF(Data!N62&gt;0,Data!N62-4,"")</f>
        <v>3</v>
      </c>
      <c r="O62" s="1">
        <f>IF(Data!O62&gt;0,Data!O62-4,"")</f>
        <v>0</v>
      </c>
      <c r="P62" s="1">
        <f>IF(Data!P62&gt;0,Data!P62-4,"")</f>
        <v>3</v>
      </c>
      <c r="Q62" s="1">
        <f>IF(Data!Q62&gt;0,4-Data!Q62,"")</f>
        <v>3</v>
      </c>
      <c r="R62" s="1">
        <f>IF(Data!R62&gt;0,4-Data!R62,"")</f>
        <v>3</v>
      </c>
      <c r="S62" s="1">
        <f>IF(Data!S62&gt;0,4-Data!S62,"")</f>
        <v>3</v>
      </c>
      <c r="T62" s="1">
        <f>IF(Data!T62&gt;0,Data!T62-4,"")</f>
        <v>3</v>
      </c>
      <c r="U62" s="1">
        <f>IF(Data!U62&gt;0,4-Data!U62,"")</f>
        <v>3</v>
      </c>
      <c r="V62" s="1">
        <f>IF(Data!V62&gt;0,Data!V62-4,"")</f>
        <v>3</v>
      </c>
      <c r="W62" s="1">
        <f>IF(Data!W62&gt;0,4-Data!W62,"")</f>
        <v>3</v>
      </c>
      <c r="X62" s="1">
        <f>IF(Data!X62&gt;0,4-Data!X62,"")</f>
        <v>3</v>
      </c>
      <c r="Y62" s="1">
        <f>IF(Data!Y62&gt;0,4-Data!Y62,"")</f>
        <v>3</v>
      </c>
      <c r="Z62" s="1">
        <f>IF(Data!Z62&gt;0,Data!Z62-4,"")</f>
        <v>0</v>
      </c>
      <c r="AC62" s="7">
        <f t="shared" si="0"/>
        <v>3</v>
      </c>
      <c r="AD62" s="7">
        <f t="shared" si="1"/>
        <v>3</v>
      </c>
      <c r="AE62" s="7">
        <f t="shared" si="2"/>
        <v>3</v>
      </c>
      <c r="AF62" s="7">
        <f t="shared" si="3"/>
        <v>2.25</v>
      </c>
      <c r="AG62" s="7">
        <f t="shared" si="4"/>
        <v>3</v>
      </c>
      <c r="AH62" s="7">
        <f t="shared" si="5"/>
        <v>1.5</v>
      </c>
    </row>
    <row r="63" spans="1:34">
      <c r="A63" s="1">
        <f>IF(Data!A63&gt;0,Data!A63-4,"")</f>
        <v>3</v>
      </c>
      <c r="B63" s="1">
        <f>IF(Data!B63&gt;0,Data!B63-4,"")</f>
        <v>3</v>
      </c>
      <c r="C63" s="1">
        <f>IF(Data!C63&gt;0,4-Data!C63,"")</f>
        <v>1</v>
      </c>
      <c r="D63" s="1">
        <f>IF(Data!D63&gt;0,4-Data!D63,"")</f>
        <v>1</v>
      </c>
      <c r="E63" s="1">
        <f>IF(Data!E63&gt;0,4-Data!E63,"")</f>
        <v>3</v>
      </c>
      <c r="F63" s="1">
        <f>IF(Data!F63&gt;0,Data!F63-4,"")</f>
        <v>2</v>
      </c>
      <c r="G63" s="1">
        <f>IF(Data!G63&gt;0,Data!G63-4,"")</f>
        <v>2</v>
      </c>
      <c r="H63" s="1">
        <f>IF(Data!H63&gt;0,Data!H63-4,"")</f>
        <v>1</v>
      </c>
      <c r="I63" s="1">
        <f>IF(Data!I63&gt;0,4-Data!I63,"")</f>
        <v>3</v>
      </c>
      <c r="J63" s="1">
        <f>IF(Data!J63&gt;0,4-Data!J63,"")</f>
        <v>2</v>
      </c>
      <c r="K63" s="1">
        <f>IF(Data!K63&gt;0,Data!K63-4,"")</f>
        <v>2</v>
      </c>
      <c r="L63" s="1">
        <f>IF(Data!L63&gt;0,4-Data!L63,"")</f>
        <v>3</v>
      </c>
      <c r="M63" s="1">
        <f>IF(Data!M63&gt;0,Data!M63-4,"")</f>
        <v>2</v>
      </c>
      <c r="N63" s="1">
        <f>IF(Data!N63&gt;0,Data!N63-4,"")</f>
        <v>3</v>
      </c>
      <c r="O63" s="1">
        <f>IF(Data!O63&gt;0,Data!O63-4,"")</f>
        <v>2</v>
      </c>
      <c r="P63" s="1">
        <f>IF(Data!P63&gt;0,Data!P63-4,"")</f>
        <v>3</v>
      </c>
      <c r="Q63" s="1">
        <f>IF(Data!Q63&gt;0,4-Data!Q63,"")</f>
        <v>2</v>
      </c>
      <c r="R63" s="1">
        <f>IF(Data!R63&gt;0,4-Data!R63,"")</f>
        <v>3</v>
      </c>
      <c r="S63" s="1">
        <f>IF(Data!S63&gt;0,4-Data!S63,"")</f>
        <v>3</v>
      </c>
      <c r="T63" s="1">
        <f>IF(Data!T63&gt;0,Data!T63-4,"")</f>
        <v>3</v>
      </c>
      <c r="U63" s="1">
        <f>IF(Data!U63&gt;0,4-Data!U63,"")</f>
        <v>2</v>
      </c>
      <c r="V63" s="1">
        <f>IF(Data!V63&gt;0,Data!V63-4,"")</f>
        <v>3</v>
      </c>
      <c r="W63" s="1">
        <f>IF(Data!W63&gt;0,4-Data!W63,"")</f>
        <v>3</v>
      </c>
      <c r="X63" s="1">
        <f>IF(Data!X63&gt;0,4-Data!X63,"")</f>
        <v>3</v>
      </c>
      <c r="Y63" s="1">
        <f>IF(Data!Y63&gt;0,4-Data!Y63,"")</f>
        <v>1</v>
      </c>
      <c r="Z63" s="1">
        <f>IF(Data!Z63&gt;0,Data!Z63-4,"")</f>
        <v>2</v>
      </c>
      <c r="AC63" s="7">
        <f t="shared" si="0"/>
        <v>2.6666666666666665</v>
      </c>
      <c r="AD63" s="7">
        <f t="shared" si="1"/>
        <v>2</v>
      </c>
      <c r="AE63" s="7">
        <f t="shared" si="2"/>
        <v>3</v>
      </c>
      <c r="AF63" s="7">
        <f t="shared" si="3"/>
        <v>2</v>
      </c>
      <c r="AG63" s="7">
        <f t="shared" si="4"/>
        <v>2.5</v>
      </c>
      <c r="AH63" s="7">
        <f t="shared" si="5"/>
        <v>1.75</v>
      </c>
    </row>
    <row r="64" spans="1:34">
      <c r="A64" s="1">
        <f>IF(Data!A64&gt;0,Data!A64-4,"")</f>
        <v>2</v>
      </c>
      <c r="B64" s="1">
        <f>IF(Data!B64&gt;0,Data!B64-4,"")</f>
        <v>2</v>
      </c>
      <c r="C64" s="1">
        <f>IF(Data!C64&gt;0,4-Data!C64,"")</f>
        <v>1</v>
      </c>
      <c r="D64" s="1">
        <f>IF(Data!D64&gt;0,4-Data!D64,"")</f>
        <v>3</v>
      </c>
      <c r="E64" s="1">
        <f>IF(Data!E64&gt;0,4-Data!E64,"")</f>
        <v>3</v>
      </c>
      <c r="F64" s="1">
        <f>IF(Data!F64&gt;0,Data!F64-4,"")</f>
        <v>2</v>
      </c>
      <c r="G64" s="1">
        <f>IF(Data!G64&gt;0,Data!G64-4,"")</f>
        <v>3</v>
      </c>
      <c r="H64" s="1">
        <f>IF(Data!H64&gt;0,Data!H64-4,"")</f>
        <v>1</v>
      </c>
      <c r="I64" s="1">
        <f>IF(Data!I64&gt;0,4-Data!I64,"")</f>
        <v>2</v>
      </c>
      <c r="J64" s="1">
        <f>IF(Data!J64&gt;0,4-Data!J64,"")</f>
        <v>1</v>
      </c>
      <c r="K64" s="1">
        <f>IF(Data!K64&gt;0,Data!K64-4,"")</f>
        <v>2</v>
      </c>
      <c r="L64" s="1">
        <f>IF(Data!L64&gt;0,4-Data!L64,"")</f>
        <v>3</v>
      </c>
      <c r="M64" s="1">
        <f>IF(Data!M64&gt;0,Data!M64-4,"")</f>
        <v>3</v>
      </c>
      <c r="N64" s="1">
        <f>IF(Data!N64&gt;0,Data!N64-4,"")</f>
        <v>3</v>
      </c>
      <c r="O64" s="1">
        <f>IF(Data!O64&gt;0,Data!O64-4,"")</f>
        <v>-3</v>
      </c>
      <c r="P64" s="1">
        <f>IF(Data!P64&gt;0,Data!P64-4,"")</f>
        <v>3</v>
      </c>
      <c r="Q64" s="1">
        <f>IF(Data!Q64&gt;0,4-Data!Q64,"")</f>
        <v>3</v>
      </c>
      <c r="R64" s="1">
        <f>IF(Data!R64&gt;0,4-Data!R64,"")</f>
        <v>3</v>
      </c>
      <c r="S64" s="1">
        <f>IF(Data!S64&gt;0,4-Data!S64,"")</f>
        <v>3</v>
      </c>
      <c r="T64" s="1">
        <f>IF(Data!T64&gt;0,Data!T64-4,"")</f>
        <v>3</v>
      </c>
      <c r="U64" s="1">
        <f>IF(Data!U64&gt;0,4-Data!U64,"")</f>
        <v>3</v>
      </c>
      <c r="V64" s="1">
        <f>IF(Data!V64&gt;0,Data!V64-4,"")</f>
        <v>3</v>
      </c>
      <c r="W64" s="1">
        <f>IF(Data!W64&gt;0,4-Data!W64,"")</f>
        <v>3</v>
      </c>
      <c r="X64" s="1">
        <f>IF(Data!X64&gt;0,4-Data!X64,"")</f>
        <v>2</v>
      </c>
      <c r="Y64" s="1">
        <f>IF(Data!Y64&gt;0,4-Data!Y64,"")</f>
        <v>2</v>
      </c>
      <c r="Z64" s="1">
        <f>IF(Data!Z64&gt;0,Data!Z64-4,"")</f>
        <v>-2</v>
      </c>
      <c r="AC64" s="7">
        <f t="shared" si="0"/>
        <v>2.5</v>
      </c>
      <c r="AD64" s="7">
        <f t="shared" si="1"/>
        <v>2.75</v>
      </c>
      <c r="AE64" s="7">
        <f t="shared" si="2"/>
        <v>2.75</v>
      </c>
      <c r="AF64" s="7">
        <f t="shared" si="3"/>
        <v>2.25</v>
      </c>
      <c r="AG64" s="7">
        <f t="shared" si="4"/>
        <v>2.75</v>
      </c>
      <c r="AH64" s="7">
        <f t="shared" si="5"/>
        <v>-0.75</v>
      </c>
    </row>
    <row r="65" spans="1:34">
      <c r="A65" s="1">
        <f>IF(Data!A65&gt;0,Data!A65-4,"")</f>
        <v>3</v>
      </c>
      <c r="B65" s="1">
        <f>IF(Data!B65&gt;0,Data!B65-4,"")</f>
        <v>3</v>
      </c>
      <c r="C65" s="1">
        <f>IF(Data!C65&gt;0,4-Data!C65,"")</f>
        <v>0</v>
      </c>
      <c r="D65" s="1">
        <f>IF(Data!D65&gt;0,4-Data!D65,"")</f>
        <v>3</v>
      </c>
      <c r="E65" s="1">
        <f>IF(Data!E65&gt;0,4-Data!E65,"")</f>
        <v>3</v>
      </c>
      <c r="F65" s="1">
        <f>IF(Data!F65&gt;0,Data!F65-4,"")</f>
        <v>1</v>
      </c>
      <c r="G65" s="1">
        <f>IF(Data!G65&gt;0,Data!G65-4,"")</f>
        <v>0</v>
      </c>
      <c r="H65" s="1">
        <f>IF(Data!H65&gt;0,Data!H65-4,"")</f>
        <v>0</v>
      </c>
      <c r="I65" s="1">
        <f>IF(Data!I65&gt;0,4-Data!I65,"")</f>
        <v>1</v>
      </c>
      <c r="J65" s="1">
        <f>IF(Data!J65&gt;0,4-Data!J65,"")</f>
        <v>0</v>
      </c>
      <c r="K65" s="1">
        <f>IF(Data!K65&gt;0,Data!K65-4,"")</f>
        <v>2</v>
      </c>
      <c r="L65" s="1">
        <f>IF(Data!L65&gt;0,4-Data!L65,"")</f>
        <v>3</v>
      </c>
      <c r="M65" s="1">
        <f>IF(Data!M65&gt;0,Data!M65-4,"")</f>
        <v>3</v>
      </c>
      <c r="N65" s="1">
        <f>IF(Data!N65&gt;0,Data!N65-4,"")</f>
        <v>3</v>
      </c>
      <c r="O65" s="1">
        <f>IF(Data!O65&gt;0,Data!O65-4,"")</f>
        <v>0</v>
      </c>
      <c r="P65" s="1">
        <f>IF(Data!P65&gt;0,Data!P65-4,"")</f>
        <v>3</v>
      </c>
      <c r="Q65" s="1">
        <f>IF(Data!Q65&gt;0,4-Data!Q65,"")</f>
        <v>1</v>
      </c>
      <c r="R65" s="1">
        <f>IF(Data!R65&gt;0,4-Data!R65,"")</f>
        <v>0</v>
      </c>
      <c r="S65" s="1">
        <f>IF(Data!S65&gt;0,4-Data!S65,"")</f>
        <v>3</v>
      </c>
      <c r="T65" s="1">
        <f>IF(Data!T65&gt;0,Data!T65-4,"")</f>
        <v>3</v>
      </c>
      <c r="U65" s="1">
        <f>IF(Data!U65&gt;0,4-Data!U65,"")</f>
        <v>3</v>
      </c>
      <c r="V65" s="1">
        <f>IF(Data!V65&gt;0,Data!V65-4,"")</f>
        <v>3</v>
      </c>
      <c r="W65" s="1">
        <f>IF(Data!W65&gt;0,4-Data!W65,"")</f>
        <v>0</v>
      </c>
      <c r="X65" s="1">
        <f>IF(Data!X65&gt;0,4-Data!X65,"")</f>
        <v>0</v>
      </c>
      <c r="Y65" s="1">
        <f>IF(Data!Y65&gt;0,4-Data!Y65,"")</f>
        <v>1</v>
      </c>
      <c r="Z65" s="1">
        <f>IF(Data!Z65&gt;0,Data!Z65-4,"")</f>
        <v>1</v>
      </c>
      <c r="AC65" s="7">
        <f t="shared" si="0"/>
        <v>2.1666666666666665</v>
      </c>
      <c r="AD65" s="7">
        <f t="shared" si="1"/>
        <v>3</v>
      </c>
      <c r="AE65" s="7">
        <f t="shared" si="2"/>
        <v>1.75</v>
      </c>
      <c r="AF65" s="7">
        <f t="shared" si="3"/>
        <v>1.5</v>
      </c>
      <c r="AG65" s="7">
        <f t="shared" si="4"/>
        <v>1</v>
      </c>
      <c r="AH65" s="7">
        <f t="shared" si="5"/>
        <v>0.25</v>
      </c>
    </row>
    <row r="66" spans="1:34">
      <c r="A66" s="1">
        <f>IF(Data!A66&gt;0,Data!A66-4,"")</f>
        <v>2</v>
      </c>
      <c r="B66" s="1">
        <f>IF(Data!B66&gt;0,Data!B66-4,"")</f>
        <v>2</v>
      </c>
      <c r="C66" s="1">
        <f>IF(Data!C66&gt;0,4-Data!C66,"")</f>
        <v>-1</v>
      </c>
      <c r="D66" s="1">
        <f>IF(Data!D66&gt;0,4-Data!D66,"")</f>
        <v>-1</v>
      </c>
      <c r="E66" s="1">
        <f>IF(Data!E66&gt;0,4-Data!E66,"")</f>
        <v>-1</v>
      </c>
      <c r="F66" s="1">
        <f>IF(Data!F66&gt;0,Data!F66-4,"")</f>
        <v>1</v>
      </c>
      <c r="G66" s="1">
        <f>IF(Data!G66&gt;0,Data!G66-4,"")</f>
        <v>1</v>
      </c>
      <c r="H66" s="1">
        <f>IF(Data!H66&gt;0,Data!H66-4,"")</f>
        <v>-1</v>
      </c>
      <c r="I66" s="1">
        <f>IF(Data!I66&gt;0,4-Data!I66,"")</f>
        <v>0</v>
      </c>
      <c r="J66" s="1">
        <f>IF(Data!J66&gt;0,4-Data!J66,"")</f>
        <v>-1</v>
      </c>
      <c r="K66" s="1">
        <f>IF(Data!K66&gt;0,Data!K66-4,"")</f>
        <v>1</v>
      </c>
      <c r="L66" s="1">
        <f>IF(Data!L66&gt;0,4-Data!L66,"")</f>
        <v>-1</v>
      </c>
      <c r="M66" s="1">
        <f>IF(Data!M66&gt;0,Data!M66-4,"")</f>
        <v>1</v>
      </c>
      <c r="N66" s="1">
        <f>IF(Data!N66&gt;0,Data!N66-4,"")</f>
        <v>1</v>
      </c>
      <c r="O66" s="1">
        <f>IF(Data!O66&gt;0,Data!O66-4,"")</f>
        <v>1</v>
      </c>
      <c r="P66" s="1">
        <f>IF(Data!P66&gt;0,Data!P66-4,"")</f>
        <v>1</v>
      </c>
      <c r="Q66" s="1">
        <f>IF(Data!Q66&gt;0,4-Data!Q66,"")</f>
        <v>-2</v>
      </c>
      <c r="R66" s="1">
        <f>IF(Data!R66&gt;0,4-Data!R66,"")</f>
        <v>-1</v>
      </c>
      <c r="S66" s="1">
        <f>IF(Data!S66&gt;0,4-Data!S66,"")</f>
        <v>0</v>
      </c>
      <c r="T66" s="1">
        <f>IF(Data!T66&gt;0,Data!T66-4,"")</f>
        <v>1</v>
      </c>
      <c r="U66" s="1">
        <f>IF(Data!U66&gt;0,4-Data!U66,"")</f>
        <v>0</v>
      </c>
      <c r="V66" s="1">
        <f>IF(Data!V66&gt;0,Data!V66-4,"")</f>
        <v>1</v>
      </c>
      <c r="W66" s="1">
        <f>IF(Data!W66&gt;0,4-Data!W66,"")</f>
        <v>0</v>
      </c>
      <c r="X66" s="1">
        <f>IF(Data!X66&gt;0,4-Data!X66,"")</f>
        <v>-1</v>
      </c>
      <c r="Y66" s="1">
        <f>IF(Data!Y66&gt;0,4-Data!Y66,"")</f>
        <v>-1</v>
      </c>
      <c r="Z66" s="1">
        <f>IF(Data!Z66&gt;0,Data!Z66-4,"")</f>
        <v>0</v>
      </c>
      <c r="AC66" s="7">
        <f t="shared" si="0"/>
        <v>0.16666666666666666</v>
      </c>
      <c r="AD66" s="7">
        <f t="shared" si="1"/>
        <v>0.5</v>
      </c>
      <c r="AE66" s="7">
        <f t="shared" si="2"/>
        <v>0.5</v>
      </c>
      <c r="AF66" s="7">
        <f t="shared" si="3"/>
        <v>-0.5</v>
      </c>
      <c r="AG66" s="7">
        <f t="shared" si="4"/>
        <v>0</v>
      </c>
      <c r="AH66" s="7">
        <f t="shared" si="5"/>
        <v>-0.25</v>
      </c>
    </row>
    <row r="67" spans="1:34">
      <c r="A67" s="1">
        <f>IF(Data!A67&gt;0,Data!A67-4,"")</f>
        <v>2</v>
      </c>
      <c r="B67" s="1">
        <f>IF(Data!B67&gt;0,Data!B67-4,"")</f>
        <v>2</v>
      </c>
      <c r="C67" s="1">
        <f>IF(Data!C67&gt;0,4-Data!C67,"")</f>
        <v>2</v>
      </c>
      <c r="D67" s="1">
        <f>IF(Data!D67&gt;0,4-Data!D67,"")</f>
        <v>3</v>
      </c>
      <c r="E67" s="1">
        <f>IF(Data!E67&gt;0,4-Data!E67,"")</f>
        <v>3</v>
      </c>
      <c r="F67" s="1">
        <f>IF(Data!F67&gt;0,Data!F67-4,"")</f>
        <v>1</v>
      </c>
      <c r="G67" s="1">
        <f>IF(Data!G67&gt;0,Data!G67-4,"")</f>
        <v>2</v>
      </c>
      <c r="H67" s="1">
        <f>IF(Data!H67&gt;0,Data!H67-4,"")</f>
        <v>2</v>
      </c>
      <c r="I67" s="1">
        <f>IF(Data!I67&gt;0,4-Data!I67,"")</f>
        <v>3</v>
      </c>
      <c r="J67" s="1">
        <f>IF(Data!J67&gt;0,4-Data!J67,"")</f>
        <v>3</v>
      </c>
      <c r="K67" s="1">
        <f>IF(Data!K67&gt;0,Data!K67-4,"")</f>
        <v>1</v>
      </c>
      <c r="L67" s="1">
        <f>IF(Data!L67&gt;0,4-Data!L67,"")</f>
        <v>1</v>
      </c>
      <c r="M67" s="1">
        <f>IF(Data!M67&gt;0,Data!M67-4,"")</f>
        <v>2</v>
      </c>
      <c r="N67" s="1">
        <f>IF(Data!N67&gt;0,Data!N67-4,"")</f>
        <v>2</v>
      </c>
      <c r="O67" s="1">
        <f>IF(Data!O67&gt;0,Data!O67-4,"")</f>
        <v>3</v>
      </c>
      <c r="P67" s="1">
        <f>IF(Data!P67&gt;0,Data!P67-4,"")</f>
        <v>2</v>
      </c>
      <c r="Q67" s="1">
        <f>IF(Data!Q67&gt;0,4-Data!Q67,"")</f>
        <v>2</v>
      </c>
      <c r="R67" s="1">
        <f>IF(Data!R67&gt;0,4-Data!R67,"")</f>
        <v>2</v>
      </c>
      <c r="S67" s="1">
        <f>IF(Data!S67&gt;0,4-Data!S67,"")</f>
        <v>3</v>
      </c>
      <c r="T67" s="1">
        <f>IF(Data!T67&gt;0,Data!T67-4,"")</f>
        <v>2</v>
      </c>
      <c r="U67" s="1">
        <f>IF(Data!U67&gt;0,4-Data!U67,"")</f>
        <v>1</v>
      </c>
      <c r="V67" s="1">
        <f>IF(Data!V67&gt;0,Data!V67-4,"")</f>
        <v>3</v>
      </c>
      <c r="W67" s="1">
        <f>IF(Data!W67&gt;0,4-Data!W67,"")</f>
        <v>2</v>
      </c>
      <c r="X67" s="1">
        <f>IF(Data!X67&gt;0,4-Data!X67,"")</f>
        <v>1</v>
      </c>
      <c r="Y67" s="1">
        <f>IF(Data!Y67&gt;0,4-Data!Y67,"")</f>
        <v>1</v>
      </c>
      <c r="Z67" s="1">
        <f>IF(Data!Z67&gt;0,Data!Z67-4,"")</f>
        <v>3</v>
      </c>
      <c r="AC67" s="7">
        <f t="shared" si="0"/>
        <v>1.5</v>
      </c>
      <c r="AD67" s="7">
        <f t="shared" si="1"/>
        <v>2</v>
      </c>
      <c r="AE67" s="7">
        <f t="shared" si="2"/>
        <v>2.5</v>
      </c>
      <c r="AF67" s="7">
        <f t="shared" si="3"/>
        <v>2</v>
      </c>
      <c r="AG67" s="7">
        <f t="shared" si="4"/>
        <v>2</v>
      </c>
      <c r="AH67" s="7">
        <f t="shared" si="5"/>
        <v>2.75</v>
      </c>
    </row>
    <row r="68" spans="1:34">
      <c r="A68" s="1">
        <f>IF(Data!A68&gt;0,Data!A68-4,"")</f>
        <v>2</v>
      </c>
      <c r="B68" s="1">
        <f>IF(Data!B68&gt;0,Data!B68-4,"")</f>
        <v>3</v>
      </c>
      <c r="C68" s="1">
        <f>IF(Data!C68&gt;0,4-Data!C68,"")</f>
        <v>0</v>
      </c>
      <c r="D68" s="1">
        <f>IF(Data!D68&gt;0,4-Data!D68,"")</f>
        <v>3</v>
      </c>
      <c r="E68" s="1">
        <f>IF(Data!E68&gt;0,4-Data!E68,"")</f>
        <v>0</v>
      </c>
      <c r="F68" s="1">
        <f>IF(Data!F68&gt;0,Data!F68-4,"")</f>
        <v>2</v>
      </c>
      <c r="G68" s="1">
        <f>IF(Data!G68&gt;0,Data!G68-4,"")</f>
        <v>2</v>
      </c>
      <c r="H68" s="1">
        <f>IF(Data!H68&gt;0,Data!H68-4,"")</f>
        <v>3</v>
      </c>
      <c r="I68" s="1">
        <f>IF(Data!I68&gt;0,4-Data!I68,"")</f>
        <v>0</v>
      </c>
      <c r="J68" s="1">
        <f>IF(Data!J68&gt;0,4-Data!J68,"")</f>
        <v>0</v>
      </c>
      <c r="K68" s="1">
        <f>IF(Data!K68&gt;0,Data!K68-4,"")</f>
        <v>2</v>
      </c>
      <c r="L68" s="1">
        <f>IF(Data!L68&gt;0,4-Data!L68,"")</f>
        <v>3</v>
      </c>
      <c r="M68" s="1">
        <f>IF(Data!M68&gt;0,Data!M68-4,"")</f>
        <v>3</v>
      </c>
      <c r="N68" s="1">
        <f>IF(Data!N68&gt;0,Data!N68-4,"")</f>
        <v>3</v>
      </c>
      <c r="O68" s="1">
        <f>IF(Data!O68&gt;0,Data!O68-4,"")</f>
        <v>0</v>
      </c>
      <c r="P68" s="1">
        <f>IF(Data!P68&gt;0,Data!P68-4,"")</f>
        <v>3</v>
      </c>
      <c r="Q68" s="1">
        <f>IF(Data!Q68&gt;0,4-Data!Q68,"")</f>
        <v>1</v>
      </c>
      <c r="R68" s="1">
        <f>IF(Data!R68&gt;0,4-Data!R68,"")</f>
        <v>0</v>
      </c>
      <c r="S68" s="1">
        <f>IF(Data!S68&gt;0,4-Data!S68,"")</f>
        <v>3</v>
      </c>
      <c r="T68" s="1">
        <f>IF(Data!T68&gt;0,Data!T68-4,"")</f>
        <v>3</v>
      </c>
      <c r="U68" s="1">
        <f>IF(Data!U68&gt;0,4-Data!U68,"")</f>
        <v>3</v>
      </c>
      <c r="V68" s="1">
        <f>IF(Data!V68&gt;0,Data!V68-4,"")</f>
        <v>3</v>
      </c>
      <c r="W68" s="1">
        <f>IF(Data!W68&gt;0,4-Data!W68,"")</f>
        <v>3</v>
      </c>
      <c r="X68" s="1">
        <f>IF(Data!X68&gt;0,4-Data!X68,"")</f>
        <v>1</v>
      </c>
      <c r="Y68" s="1">
        <f>IF(Data!Y68&gt;0,4-Data!Y68,"")</f>
        <v>3</v>
      </c>
      <c r="Z68" s="1">
        <f>IF(Data!Z68&gt;0,Data!Z68-4,"")</f>
        <v>1</v>
      </c>
      <c r="AC68" s="7">
        <f t="shared" si="0"/>
        <v>2.5</v>
      </c>
      <c r="AD68" s="7">
        <f t="shared" si="1"/>
        <v>3</v>
      </c>
      <c r="AE68" s="7">
        <f t="shared" si="2"/>
        <v>2.25</v>
      </c>
      <c r="AF68" s="7">
        <f t="shared" si="3"/>
        <v>2.25</v>
      </c>
      <c r="AG68" s="7">
        <f t="shared" si="4"/>
        <v>1</v>
      </c>
      <c r="AH68" s="7">
        <f t="shared" si="5"/>
        <v>0.25</v>
      </c>
    </row>
    <row r="69" spans="1:34">
      <c r="A69" s="1">
        <f>IF(Data!A69&gt;0,Data!A69-4,"")</f>
        <v>2</v>
      </c>
      <c r="B69" s="1">
        <f>IF(Data!B69&gt;0,Data!B69-4,"")</f>
        <v>2</v>
      </c>
      <c r="C69" s="1">
        <f>IF(Data!C69&gt;0,4-Data!C69,"")</f>
        <v>1</v>
      </c>
      <c r="D69" s="1">
        <f>IF(Data!D69&gt;0,4-Data!D69,"")</f>
        <v>1</v>
      </c>
      <c r="E69" s="1">
        <f>IF(Data!E69&gt;0,4-Data!E69,"")</f>
        <v>1</v>
      </c>
      <c r="F69" s="1">
        <f>IF(Data!F69&gt;0,Data!F69-4,"")</f>
        <v>2</v>
      </c>
      <c r="G69" s="1">
        <f>IF(Data!G69&gt;0,Data!G69-4,"")</f>
        <v>2</v>
      </c>
      <c r="H69" s="1">
        <f>IF(Data!H69&gt;0,Data!H69-4,"")</f>
        <v>1</v>
      </c>
      <c r="I69" s="1">
        <f>IF(Data!I69&gt;0,4-Data!I69,"")</f>
        <v>2</v>
      </c>
      <c r="J69" s="1">
        <f>IF(Data!J69&gt;0,4-Data!J69,"")</f>
        <v>0</v>
      </c>
      <c r="K69" s="1">
        <f>IF(Data!K69&gt;0,Data!K69-4,"")</f>
        <v>0</v>
      </c>
      <c r="L69" s="1">
        <f>IF(Data!L69&gt;0,4-Data!L69,"")</f>
        <v>2</v>
      </c>
      <c r="M69" s="1">
        <f>IF(Data!M69&gt;0,Data!M69-4,"")</f>
        <v>2</v>
      </c>
      <c r="N69" s="1">
        <f>IF(Data!N69&gt;0,Data!N69-4,"")</f>
        <v>0</v>
      </c>
      <c r="O69" s="1">
        <f>IF(Data!O69&gt;0,Data!O69-4,"")</f>
        <v>1</v>
      </c>
      <c r="P69" s="1">
        <f>IF(Data!P69&gt;0,Data!P69-4,"")</f>
        <v>1</v>
      </c>
      <c r="Q69" s="1">
        <f>IF(Data!Q69&gt;0,4-Data!Q69,"")</f>
        <v>2</v>
      </c>
      <c r="R69" s="1">
        <f>IF(Data!R69&gt;0,4-Data!R69,"")</f>
        <v>1</v>
      </c>
      <c r="S69" s="1">
        <f>IF(Data!S69&gt;0,4-Data!S69,"")</f>
        <v>1</v>
      </c>
      <c r="T69" s="1">
        <f>IF(Data!T69&gt;0,Data!T69-4,"")</f>
        <v>2</v>
      </c>
      <c r="U69" s="1">
        <f>IF(Data!U69&gt;0,4-Data!U69,"")</f>
        <v>2</v>
      </c>
      <c r="V69" s="1">
        <f>IF(Data!V69&gt;0,Data!V69-4,"")</f>
        <v>2</v>
      </c>
      <c r="W69" s="1">
        <f>IF(Data!W69&gt;0,4-Data!W69,"")</f>
        <v>1</v>
      </c>
      <c r="X69" s="1">
        <f>IF(Data!X69&gt;0,4-Data!X69,"")</f>
        <v>1</v>
      </c>
      <c r="Y69" s="1">
        <f>IF(Data!Y69&gt;0,4-Data!Y69,"")</f>
        <v>1</v>
      </c>
      <c r="Z69" s="1">
        <f>IF(Data!Z69&gt;0,Data!Z69-4,"")</f>
        <v>0</v>
      </c>
      <c r="AC69" s="7">
        <f t="shared" ref="AC69:AC132" si="6">IF(COUNT(A69,L69,N69,P69,X69,Y69)&gt;0,AVERAGE(A69,L69,N69,P69,X69,Y69),"")</f>
        <v>1.1666666666666667</v>
      </c>
      <c r="AD69" s="7">
        <f t="shared" ref="AD69:AD132" si="7">IF(COUNT(B69,D69,M69,U69)&gt;0,AVERAGE(B69,D69,M69,U69),"")</f>
        <v>1.75</v>
      </c>
      <c r="AE69" s="7">
        <f t="shared" ref="AE69:AE132" si="8">IF(COUNT(I69,T69,V69,W69)&gt;0,AVERAGE(I69,T69,V69,W69),"")</f>
        <v>1.75</v>
      </c>
      <c r="AF69" s="7">
        <f t="shared" ref="AF69:AF132" si="9">IF(COUNT(H69,K69,Q69,S69)&gt;0,AVERAGE(H69,K69,Q69,S69),"")</f>
        <v>1</v>
      </c>
      <c r="AG69" s="7">
        <f t="shared" ref="AG69:AG132" si="10">IF(COUNT(E69,F69,G69,R69)&gt;0,AVERAGE(E69,F69,G69,R69),"")</f>
        <v>1.5</v>
      </c>
      <c r="AH69" s="7">
        <f t="shared" ref="AH69:AH132" si="11">IF(COUNT(C69,J69,O69,Z69)&gt;0,AVERAGE(C69,J69,O69,Z69),"")</f>
        <v>0.5</v>
      </c>
    </row>
    <row r="70" spans="1:34">
      <c r="A70" s="1">
        <f>IF(Data!A70&gt;0,Data!A70-4,"")</f>
        <v>3</v>
      </c>
      <c r="B70" s="1">
        <f>IF(Data!B70&gt;0,Data!B70-4,"")</f>
        <v>3</v>
      </c>
      <c r="C70" s="1">
        <f>IF(Data!C70&gt;0,4-Data!C70,"")</f>
        <v>2</v>
      </c>
      <c r="D70" s="1">
        <f>IF(Data!D70&gt;0,4-Data!D70,"")</f>
        <v>2</v>
      </c>
      <c r="E70" s="1">
        <f>IF(Data!E70&gt;0,4-Data!E70,"")</f>
        <v>1</v>
      </c>
      <c r="F70" s="1">
        <f>IF(Data!F70&gt;0,Data!F70-4,"")</f>
        <v>1</v>
      </c>
      <c r="G70" s="1">
        <f>IF(Data!G70&gt;0,Data!G70-4,"")</f>
        <v>2</v>
      </c>
      <c r="H70" s="1">
        <f>IF(Data!H70&gt;0,Data!H70-4,"")</f>
        <v>0</v>
      </c>
      <c r="I70" s="1">
        <f>IF(Data!I70&gt;0,4-Data!I70,"")</f>
        <v>0</v>
      </c>
      <c r="J70" s="1">
        <f>IF(Data!J70&gt;0,4-Data!J70,"")</f>
        <v>0</v>
      </c>
      <c r="K70" s="1">
        <f>IF(Data!K70&gt;0,Data!K70-4,"")</f>
        <v>1</v>
      </c>
      <c r="L70" s="1">
        <f>IF(Data!L70&gt;0,4-Data!L70,"")</f>
        <v>2</v>
      </c>
      <c r="M70" s="1">
        <f>IF(Data!M70&gt;0,Data!M70-4,"")</f>
        <v>2</v>
      </c>
      <c r="N70" s="1">
        <f>IF(Data!N70&gt;0,Data!N70-4,"")</f>
        <v>2</v>
      </c>
      <c r="O70" s="1">
        <f>IF(Data!O70&gt;0,Data!O70-4,"")</f>
        <v>0</v>
      </c>
      <c r="P70" s="1">
        <f>IF(Data!P70&gt;0,Data!P70-4,"")</f>
        <v>1</v>
      </c>
      <c r="Q70" s="1">
        <f>IF(Data!Q70&gt;0,4-Data!Q70,"")</f>
        <v>2</v>
      </c>
      <c r="R70" s="1">
        <f>IF(Data!R70&gt;0,4-Data!R70,"")</f>
        <v>1</v>
      </c>
      <c r="S70" s="1">
        <f>IF(Data!S70&gt;0,4-Data!S70,"")</f>
        <v>2</v>
      </c>
      <c r="T70" s="1">
        <f>IF(Data!T70&gt;0,Data!T70-4,"")</f>
        <v>2</v>
      </c>
      <c r="U70" s="1">
        <f>IF(Data!U70&gt;0,4-Data!U70,"")</f>
        <v>2</v>
      </c>
      <c r="V70" s="1">
        <f>IF(Data!V70&gt;0,Data!V70-4,"")</f>
        <v>2</v>
      </c>
      <c r="W70" s="1">
        <f>IF(Data!W70&gt;0,4-Data!W70,"")</f>
        <v>2</v>
      </c>
      <c r="X70" s="1">
        <f>IF(Data!X70&gt;0,4-Data!X70,"")</f>
        <v>1</v>
      </c>
      <c r="Y70" s="1">
        <f>IF(Data!Y70&gt;0,4-Data!Y70,"")</f>
        <v>2</v>
      </c>
      <c r="Z70" s="1">
        <f>IF(Data!Z70&gt;0,Data!Z70-4,"")</f>
        <v>0</v>
      </c>
      <c r="AC70" s="7">
        <f t="shared" si="6"/>
        <v>1.8333333333333333</v>
      </c>
      <c r="AD70" s="7">
        <f t="shared" si="7"/>
        <v>2.25</v>
      </c>
      <c r="AE70" s="7">
        <f t="shared" si="8"/>
        <v>1.5</v>
      </c>
      <c r="AF70" s="7">
        <f t="shared" si="9"/>
        <v>1.25</v>
      </c>
      <c r="AG70" s="7">
        <f t="shared" si="10"/>
        <v>1.25</v>
      </c>
      <c r="AH70" s="7">
        <f t="shared" si="11"/>
        <v>0.5</v>
      </c>
    </row>
    <row r="71" spans="1:34">
      <c r="A71" s="1">
        <f>IF(Data!A71&gt;0,Data!A71-4,"")</f>
        <v>1</v>
      </c>
      <c r="B71" s="1">
        <f>IF(Data!B71&gt;0,Data!B71-4,"")</f>
        <v>1</v>
      </c>
      <c r="C71" s="1">
        <f>IF(Data!C71&gt;0,4-Data!C71,"")</f>
        <v>0</v>
      </c>
      <c r="D71" s="1">
        <f>IF(Data!D71&gt;0,4-Data!D71,"")</f>
        <v>-3</v>
      </c>
      <c r="E71" s="1">
        <f>IF(Data!E71&gt;0,4-Data!E71,"")</f>
        <v>1</v>
      </c>
      <c r="F71" s="1">
        <f>IF(Data!F71&gt;0,Data!F71-4,"")</f>
        <v>-2</v>
      </c>
      <c r="G71" s="1">
        <f>IF(Data!G71&gt;0,Data!G71-4,"")</f>
        <v>-2</v>
      </c>
      <c r="H71" s="1">
        <f>IF(Data!H71&gt;0,Data!H71-4,"")</f>
        <v>2</v>
      </c>
      <c r="I71" s="1">
        <f>IF(Data!I71&gt;0,4-Data!I71,"")</f>
        <v>-2</v>
      </c>
      <c r="J71" s="1">
        <f>IF(Data!J71&gt;0,4-Data!J71,"")</f>
        <v>1</v>
      </c>
      <c r="K71" s="1">
        <f>IF(Data!K71&gt;0,Data!K71-4,"")</f>
        <v>0</v>
      </c>
      <c r="L71" s="1">
        <f>IF(Data!L71&gt;0,4-Data!L71,"")</f>
        <v>1</v>
      </c>
      <c r="M71" s="1">
        <f>IF(Data!M71&gt;0,Data!M71-4,"")</f>
        <v>2</v>
      </c>
      <c r="N71" s="1">
        <f>IF(Data!N71&gt;0,Data!N71-4,"")</f>
        <v>0</v>
      </c>
      <c r="O71" s="1">
        <f>IF(Data!O71&gt;0,Data!O71-4,"")</f>
        <v>2</v>
      </c>
      <c r="P71" s="1">
        <f>IF(Data!P71&gt;0,Data!P71-4,"")</f>
        <v>0</v>
      </c>
      <c r="Q71" s="1">
        <f>IF(Data!Q71&gt;0,4-Data!Q71,"")</f>
        <v>2</v>
      </c>
      <c r="R71" s="1">
        <f>IF(Data!R71&gt;0,4-Data!R71,"")</f>
        <v>0</v>
      </c>
      <c r="S71" s="1">
        <f>IF(Data!S71&gt;0,4-Data!S71,"")</f>
        <v>3</v>
      </c>
      <c r="T71" s="1">
        <f>IF(Data!T71&gt;0,Data!T71-4,"")</f>
        <v>0</v>
      </c>
      <c r="U71" s="1">
        <f>IF(Data!U71&gt;0,4-Data!U71,"")</f>
        <v>2</v>
      </c>
      <c r="V71" s="1">
        <f>IF(Data!V71&gt;0,Data!V71-4,"")</f>
        <v>2</v>
      </c>
      <c r="W71" s="1">
        <f>IF(Data!W71&gt;0,4-Data!W71,"")</f>
        <v>0</v>
      </c>
      <c r="X71" s="1">
        <f>IF(Data!X71&gt;0,4-Data!X71,"")</f>
        <v>-2</v>
      </c>
      <c r="Y71" s="1">
        <f>IF(Data!Y71&gt;0,4-Data!Y71,"")</f>
        <v>0</v>
      </c>
      <c r="Z71" s="1">
        <f>IF(Data!Z71&gt;0,Data!Z71-4,"")</f>
        <v>2</v>
      </c>
      <c r="AC71" s="7">
        <f t="shared" si="6"/>
        <v>0</v>
      </c>
      <c r="AD71" s="7">
        <f t="shared" si="7"/>
        <v>0.5</v>
      </c>
      <c r="AE71" s="7">
        <f t="shared" si="8"/>
        <v>0</v>
      </c>
      <c r="AF71" s="7">
        <f t="shared" si="9"/>
        <v>1.75</v>
      </c>
      <c r="AG71" s="7">
        <f t="shared" si="10"/>
        <v>-0.75</v>
      </c>
      <c r="AH71" s="7">
        <f t="shared" si="11"/>
        <v>1.25</v>
      </c>
    </row>
    <row r="72" spans="1:34">
      <c r="A72" s="1">
        <f>IF(Data!A72&gt;0,Data!A72-4,"")</f>
        <v>2</v>
      </c>
      <c r="B72" s="1">
        <f>IF(Data!B72&gt;0,Data!B72-4,"")</f>
        <v>2</v>
      </c>
      <c r="C72" s="1">
        <f>IF(Data!C72&gt;0,4-Data!C72,"")</f>
        <v>3</v>
      </c>
      <c r="D72" s="1">
        <f>IF(Data!D72&gt;0,4-Data!D72,"")</f>
        <v>2</v>
      </c>
      <c r="E72" s="1">
        <f>IF(Data!E72&gt;0,4-Data!E72,"")</f>
        <v>1</v>
      </c>
      <c r="F72" s="1">
        <f>IF(Data!F72&gt;0,Data!F72-4,"")</f>
        <v>1</v>
      </c>
      <c r="G72" s="1">
        <f>IF(Data!G72&gt;0,Data!G72-4,"")</f>
        <v>0</v>
      </c>
      <c r="H72" s="1">
        <f>IF(Data!H72&gt;0,Data!H72-4,"")</f>
        <v>0</v>
      </c>
      <c r="I72" s="1">
        <f>IF(Data!I72&gt;0,4-Data!I72,"")</f>
        <v>0</v>
      </c>
      <c r="J72" s="1">
        <f>IF(Data!J72&gt;0,4-Data!J72,"")</f>
        <v>2</v>
      </c>
      <c r="K72" s="1">
        <f>IF(Data!K72&gt;0,Data!K72-4,"")</f>
        <v>0</v>
      </c>
      <c r="L72" s="1">
        <f>IF(Data!L72&gt;0,4-Data!L72,"")</f>
        <v>3</v>
      </c>
      <c r="M72" s="1">
        <f>IF(Data!M72&gt;0,Data!M72-4,"")</f>
        <v>-1</v>
      </c>
      <c r="N72" s="1">
        <f>IF(Data!N72&gt;0,Data!N72-4,"")</f>
        <v>-1</v>
      </c>
      <c r="O72" s="1">
        <f>IF(Data!O72&gt;0,Data!O72-4,"")</f>
        <v>0</v>
      </c>
      <c r="P72" s="1">
        <f>IF(Data!P72&gt;0,Data!P72-4,"")</f>
        <v>0</v>
      </c>
      <c r="Q72" s="1">
        <f>IF(Data!Q72&gt;0,4-Data!Q72,"")</f>
        <v>2</v>
      </c>
      <c r="R72" s="1">
        <f>IF(Data!R72&gt;0,4-Data!R72,"")</f>
        <v>1</v>
      </c>
      <c r="S72" s="1">
        <f>IF(Data!S72&gt;0,4-Data!S72,"")</f>
        <v>2</v>
      </c>
      <c r="T72" s="1">
        <f>IF(Data!T72&gt;0,Data!T72-4,"")</f>
        <v>0</v>
      </c>
      <c r="U72" s="1">
        <f>IF(Data!U72&gt;0,4-Data!U72,"")</f>
        <v>2</v>
      </c>
      <c r="V72" s="1">
        <f>IF(Data!V72&gt;0,Data!V72-4,"")</f>
        <v>-1</v>
      </c>
      <c r="W72" s="1">
        <f>IF(Data!W72&gt;0,4-Data!W72,"")</f>
        <v>1</v>
      </c>
      <c r="X72" s="1">
        <f>IF(Data!X72&gt;0,4-Data!X72,"")</f>
        <v>2</v>
      </c>
      <c r="Y72" s="1">
        <f>IF(Data!Y72&gt;0,4-Data!Y72,"")</f>
        <v>1</v>
      </c>
      <c r="Z72" s="1">
        <f>IF(Data!Z72&gt;0,Data!Z72-4,"")</f>
        <v>0</v>
      </c>
      <c r="AC72" s="7">
        <f t="shared" si="6"/>
        <v>1.1666666666666667</v>
      </c>
      <c r="AD72" s="7">
        <f t="shared" si="7"/>
        <v>1.25</v>
      </c>
      <c r="AE72" s="7">
        <f t="shared" si="8"/>
        <v>0</v>
      </c>
      <c r="AF72" s="7">
        <f t="shared" si="9"/>
        <v>1</v>
      </c>
      <c r="AG72" s="7">
        <f t="shared" si="10"/>
        <v>0.75</v>
      </c>
      <c r="AH72" s="7">
        <f t="shared" si="11"/>
        <v>1.25</v>
      </c>
    </row>
    <row r="73" spans="1:34">
      <c r="A73" s="1">
        <f>IF(Data!A73&gt;0,Data!A73-4,"")</f>
        <v>1</v>
      </c>
      <c r="B73" s="1">
        <f>IF(Data!B73&gt;0,Data!B73-4,"")</f>
        <v>-2</v>
      </c>
      <c r="C73" s="1">
        <f>IF(Data!C73&gt;0,4-Data!C73,"")</f>
        <v>1</v>
      </c>
      <c r="D73" s="1">
        <f>IF(Data!D73&gt;0,4-Data!D73,"")</f>
        <v>1</v>
      </c>
      <c r="E73" s="1">
        <f>IF(Data!E73&gt;0,4-Data!E73,"")</f>
        <v>2</v>
      </c>
      <c r="F73" s="1">
        <f>IF(Data!F73&gt;0,Data!F73-4,"")</f>
        <v>1</v>
      </c>
      <c r="G73" s="1">
        <f>IF(Data!G73&gt;0,Data!G73-4,"")</f>
        <v>1</v>
      </c>
      <c r="H73" s="1">
        <f>IF(Data!H73&gt;0,Data!H73-4,"")</f>
        <v>1</v>
      </c>
      <c r="I73" s="1">
        <f>IF(Data!I73&gt;0,4-Data!I73,"")</f>
        <v>2</v>
      </c>
      <c r="J73" s="1">
        <f>IF(Data!J73&gt;0,4-Data!J73,"")</f>
        <v>1</v>
      </c>
      <c r="K73" s="1">
        <f>IF(Data!K73&gt;0,Data!K73-4,"")</f>
        <v>1</v>
      </c>
      <c r="L73" s="1">
        <f>IF(Data!L73&gt;0,4-Data!L73,"")</f>
        <v>1</v>
      </c>
      <c r="M73" s="1">
        <f>IF(Data!M73&gt;0,Data!M73-4,"")</f>
        <v>1</v>
      </c>
      <c r="N73" s="1">
        <f>IF(Data!N73&gt;0,Data!N73-4,"")</f>
        <v>1</v>
      </c>
      <c r="O73" s="1">
        <f>IF(Data!O73&gt;0,Data!O73-4,"")</f>
        <v>-1</v>
      </c>
      <c r="P73" s="1">
        <f>IF(Data!P73&gt;0,Data!P73-4,"")</f>
        <v>1</v>
      </c>
      <c r="Q73" s="1">
        <f>IF(Data!Q73&gt;0,4-Data!Q73,"")</f>
        <v>2</v>
      </c>
      <c r="R73" s="1">
        <f>IF(Data!R73&gt;0,4-Data!R73,"")</f>
        <v>0</v>
      </c>
      <c r="S73" s="1">
        <f>IF(Data!S73&gt;0,4-Data!S73,"")</f>
        <v>2</v>
      </c>
      <c r="T73" s="1">
        <f>IF(Data!T73&gt;0,Data!T73-4,"")</f>
        <v>1</v>
      </c>
      <c r="U73" s="1">
        <f>IF(Data!U73&gt;0,4-Data!U73,"")</f>
        <v>1</v>
      </c>
      <c r="V73" s="1">
        <f>IF(Data!V73&gt;0,Data!V73-4,"")</f>
        <v>1</v>
      </c>
      <c r="W73" s="1">
        <f>IF(Data!W73&gt;0,4-Data!W73,"")</f>
        <v>0</v>
      </c>
      <c r="X73" s="1">
        <f>IF(Data!X73&gt;0,4-Data!X73,"")</f>
        <v>1</v>
      </c>
      <c r="Y73" s="1">
        <f>IF(Data!Y73&gt;0,4-Data!Y73,"")</f>
        <v>1</v>
      </c>
      <c r="Z73" s="1">
        <f>IF(Data!Z73&gt;0,Data!Z73-4,"")</f>
        <v>-1</v>
      </c>
      <c r="AC73" s="7">
        <f t="shared" si="6"/>
        <v>1</v>
      </c>
      <c r="AD73" s="7">
        <f t="shared" si="7"/>
        <v>0.25</v>
      </c>
      <c r="AE73" s="7">
        <f t="shared" si="8"/>
        <v>1</v>
      </c>
      <c r="AF73" s="7">
        <f t="shared" si="9"/>
        <v>1.5</v>
      </c>
      <c r="AG73" s="7">
        <f t="shared" si="10"/>
        <v>1</v>
      </c>
      <c r="AH73" s="7">
        <f t="shared" si="11"/>
        <v>0</v>
      </c>
    </row>
    <row r="74" spans="1:34">
      <c r="A74" s="1">
        <f>IF(Data!A74&gt;0,Data!A74-4,"")</f>
        <v>2</v>
      </c>
      <c r="B74" s="1">
        <f>IF(Data!B74&gt;0,Data!B74-4,"")</f>
        <v>2</v>
      </c>
      <c r="C74" s="1">
        <f>IF(Data!C74&gt;0,4-Data!C74,"")</f>
        <v>-1</v>
      </c>
      <c r="D74" s="1">
        <f>IF(Data!D74&gt;0,4-Data!D74,"")</f>
        <v>3</v>
      </c>
      <c r="E74" s="1">
        <f>IF(Data!E74&gt;0,4-Data!E74,"")</f>
        <v>2</v>
      </c>
      <c r="F74" s="1">
        <f>IF(Data!F74&gt;0,Data!F74-4,"")</f>
        <v>2</v>
      </c>
      <c r="G74" s="1">
        <f>IF(Data!G74&gt;0,Data!G74-4,"")</f>
        <v>2</v>
      </c>
      <c r="H74" s="1">
        <f>IF(Data!H74&gt;0,Data!H74-4,"")</f>
        <v>0</v>
      </c>
      <c r="I74" s="1">
        <f>IF(Data!I74&gt;0,4-Data!I74,"")</f>
        <v>2</v>
      </c>
      <c r="J74" s="1">
        <f>IF(Data!J74&gt;0,4-Data!J74,"")</f>
        <v>1</v>
      </c>
      <c r="K74" s="1">
        <f>IF(Data!K74&gt;0,Data!K74-4,"")</f>
        <v>1</v>
      </c>
      <c r="L74" s="1">
        <f>IF(Data!L74&gt;0,4-Data!L74,"")</f>
        <v>3</v>
      </c>
      <c r="M74" s="1">
        <f>IF(Data!M74&gt;0,Data!M74-4,"")</f>
        <v>2</v>
      </c>
      <c r="N74" s="1">
        <f>IF(Data!N74&gt;0,Data!N74-4,"")</f>
        <v>2</v>
      </c>
      <c r="O74" s="1">
        <f>IF(Data!O74&gt;0,Data!O74-4,"")</f>
        <v>0</v>
      </c>
      <c r="P74" s="1">
        <f>IF(Data!P74&gt;0,Data!P74-4,"")</f>
        <v>2</v>
      </c>
      <c r="Q74" s="1">
        <f>IF(Data!Q74&gt;0,4-Data!Q74,"")</f>
        <v>2</v>
      </c>
      <c r="R74" s="1">
        <f>IF(Data!R74&gt;0,4-Data!R74,"")</f>
        <v>1</v>
      </c>
      <c r="S74" s="1">
        <f>IF(Data!S74&gt;0,4-Data!S74,"")</f>
        <v>2</v>
      </c>
      <c r="T74" s="1">
        <f>IF(Data!T74&gt;0,Data!T74-4,"")</f>
        <v>2</v>
      </c>
      <c r="U74" s="1">
        <f>IF(Data!U74&gt;0,4-Data!U74,"")</f>
        <v>1</v>
      </c>
      <c r="V74" s="1">
        <f>IF(Data!V74&gt;0,Data!V74-4,"")</f>
        <v>2</v>
      </c>
      <c r="W74" s="1">
        <f>IF(Data!W74&gt;0,4-Data!W74,"")</f>
        <v>2</v>
      </c>
      <c r="X74" s="1">
        <f>IF(Data!X74&gt;0,4-Data!X74,"")</f>
        <v>2</v>
      </c>
      <c r="Y74" s="1">
        <f>IF(Data!Y74&gt;0,4-Data!Y74,"")</f>
        <v>2</v>
      </c>
      <c r="Z74" s="1">
        <f>IF(Data!Z74&gt;0,Data!Z74-4,"")</f>
        <v>-1</v>
      </c>
      <c r="AC74" s="7">
        <f t="shared" si="6"/>
        <v>2.1666666666666665</v>
      </c>
      <c r="AD74" s="7">
        <f t="shared" si="7"/>
        <v>2</v>
      </c>
      <c r="AE74" s="7">
        <f t="shared" si="8"/>
        <v>2</v>
      </c>
      <c r="AF74" s="7">
        <f t="shared" si="9"/>
        <v>1.25</v>
      </c>
      <c r="AG74" s="7">
        <f t="shared" si="10"/>
        <v>1.75</v>
      </c>
      <c r="AH74" s="7">
        <f t="shared" si="11"/>
        <v>-0.25</v>
      </c>
    </row>
    <row r="75" spans="1:34">
      <c r="A75" s="1">
        <f>IF(Data!A75&gt;0,Data!A75-4,"")</f>
        <v>3</v>
      </c>
      <c r="B75" s="1">
        <f>IF(Data!B75&gt;0,Data!B75-4,"")</f>
        <v>3</v>
      </c>
      <c r="C75" s="1">
        <f>IF(Data!C75&gt;0,4-Data!C75,"")</f>
        <v>2</v>
      </c>
      <c r="D75" s="1">
        <f>IF(Data!D75&gt;0,4-Data!D75,"")</f>
        <v>3</v>
      </c>
      <c r="E75" s="1">
        <f>IF(Data!E75&gt;0,4-Data!E75,"")</f>
        <v>3</v>
      </c>
      <c r="F75" s="1">
        <f>IF(Data!F75&gt;0,Data!F75-4,"")</f>
        <v>3</v>
      </c>
      <c r="G75" s="1">
        <f>IF(Data!G75&gt;0,Data!G75-4,"")</f>
        <v>3</v>
      </c>
      <c r="H75" s="1">
        <f>IF(Data!H75&gt;0,Data!H75-4,"")</f>
        <v>-1</v>
      </c>
      <c r="I75" s="1">
        <f>IF(Data!I75&gt;0,4-Data!I75,"")</f>
        <v>3</v>
      </c>
      <c r="J75" s="1">
        <f>IF(Data!J75&gt;0,4-Data!J75,"")</f>
        <v>3</v>
      </c>
      <c r="K75" s="1">
        <f>IF(Data!K75&gt;0,Data!K75-4,"")</f>
        <v>3</v>
      </c>
      <c r="L75" s="1">
        <f>IF(Data!L75&gt;0,4-Data!L75,"")</f>
        <v>3</v>
      </c>
      <c r="M75" s="1">
        <f>IF(Data!M75&gt;0,Data!M75-4,"")</f>
        <v>3</v>
      </c>
      <c r="N75" s="1">
        <f>IF(Data!N75&gt;0,Data!N75-4,"")</f>
        <v>3</v>
      </c>
      <c r="O75" s="1">
        <f>IF(Data!O75&gt;0,Data!O75-4,"")</f>
        <v>1</v>
      </c>
      <c r="P75" s="1">
        <f>IF(Data!P75&gt;0,Data!P75-4,"")</f>
        <v>3</v>
      </c>
      <c r="Q75" s="1">
        <f>IF(Data!Q75&gt;0,4-Data!Q75,"")</f>
        <v>3</v>
      </c>
      <c r="R75" s="1">
        <f>IF(Data!R75&gt;0,4-Data!R75,"")</f>
        <v>2</v>
      </c>
      <c r="S75" s="1">
        <f>IF(Data!S75&gt;0,4-Data!S75,"")</f>
        <v>3</v>
      </c>
      <c r="T75" s="1">
        <f>IF(Data!T75&gt;0,Data!T75-4,"")</f>
        <v>3</v>
      </c>
      <c r="U75" s="1">
        <f>IF(Data!U75&gt;0,4-Data!U75,"")</f>
        <v>3</v>
      </c>
      <c r="V75" s="1">
        <f>IF(Data!V75&gt;0,Data!V75-4,"")</f>
        <v>3</v>
      </c>
      <c r="W75" s="1">
        <f>IF(Data!W75&gt;0,4-Data!W75,"")</f>
        <v>3</v>
      </c>
      <c r="X75" s="1">
        <f>IF(Data!X75&gt;0,4-Data!X75,"")</f>
        <v>3</v>
      </c>
      <c r="Y75" s="1">
        <f>IF(Data!Y75&gt;0,4-Data!Y75,"")</f>
        <v>3</v>
      </c>
      <c r="Z75" s="1">
        <f>IF(Data!Z75&gt;0,Data!Z75-4,"")</f>
        <v>3</v>
      </c>
      <c r="AC75" s="7">
        <f t="shared" si="6"/>
        <v>3</v>
      </c>
      <c r="AD75" s="7">
        <f t="shared" si="7"/>
        <v>3</v>
      </c>
      <c r="AE75" s="7">
        <f t="shared" si="8"/>
        <v>3</v>
      </c>
      <c r="AF75" s="7">
        <f t="shared" si="9"/>
        <v>2</v>
      </c>
      <c r="AG75" s="7">
        <f t="shared" si="10"/>
        <v>2.75</v>
      </c>
      <c r="AH75" s="7">
        <f t="shared" si="11"/>
        <v>2.25</v>
      </c>
    </row>
    <row r="76" spans="1:34">
      <c r="A76" s="1">
        <f>IF(Data!A76&gt;0,Data!A76-4,"")</f>
        <v>3</v>
      </c>
      <c r="B76" s="1">
        <f>IF(Data!B76&gt;0,Data!B76-4,"")</f>
        <v>3</v>
      </c>
      <c r="C76" s="1">
        <f>IF(Data!C76&gt;0,4-Data!C76,"")</f>
        <v>1</v>
      </c>
      <c r="D76" s="1">
        <f>IF(Data!D76&gt;0,4-Data!D76,"")</f>
        <v>2</v>
      </c>
      <c r="E76" s="1">
        <f>IF(Data!E76&gt;0,4-Data!E76,"")</f>
        <v>1</v>
      </c>
      <c r="F76" s="1">
        <f>IF(Data!F76&gt;0,Data!F76-4,"")</f>
        <v>2</v>
      </c>
      <c r="G76" s="1">
        <f>IF(Data!G76&gt;0,Data!G76-4,"")</f>
        <v>2</v>
      </c>
      <c r="H76" s="1">
        <f>IF(Data!H76&gt;0,Data!H76-4,"")</f>
        <v>2</v>
      </c>
      <c r="I76" s="1">
        <f>IF(Data!I76&gt;0,4-Data!I76,"")</f>
        <v>2</v>
      </c>
      <c r="J76" s="1">
        <f>IF(Data!J76&gt;0,4-Data!J76,"")</f>
        <v>0</v>
      </c>
      <c r="K76" s="1">
        <f>IF(Data!K76&gt;0,Data!K76-4,"")</f>
        <v>1</v>
      </c>
      <c r="L76" s="1">
        <f>IF(Data!L76&gt;0,4-Data!L76,"")</f>
        <v>3</v>
      </c>
      <c r="M76" s="1">
        <f>IF(Data!M76&gt;0,Data!M76-4,"")</f>
        <v>2</v>
      </c>
      <c r="N76" s="1">
        <f>IF(Data!N76&gt;0,Data!N76-4,"")</f>
        <v>2</v>
      </c>
      <c r="O76" s="1">
        <f>IF(Data!O76&gt;0,Data!O76-4,"")</f>
        <v>0</v>
      </c>
      <c r="P76" s="1">
        <f>IF(Data!P76&gt;0,Data!P76-4,"")</f>
        <v>2</v>
      </c>
      <c r="Q76" s="1">
        <f>IF(Data!Q76&gt;0,4-Data!Q76,"")</f>
        <v>2</v>
      </c>
      <c r="R76" s="1">
        <f>IF(Data!R76&gt;0,4-Data!R76,"")</f>
        <v>0</v>
      </c>
      <c r="S76" s="1">
        <f>IF(Data!S76&gt;0,4-Data!S76,"")</f>
        <v>3</v>
      </c>
      <c r="T76" s="1">
        <f>IF(Data!T76&gt;0,Data!T76-4,"")</f>
        <v>3</v>
      </c>
      <c r="U76" s="1">
        <f>IF(Data!U76&gt;0,4-Data!U76,"")</f>
        <v>2</v>
      </c>
      <c r="V76" s="1">
        <f>IF(Data!V76&gt;0,Data!V76-4,"")</f>
        <v>2</v>
      </c>
      <c r="W76" s="1">
        <f>IF(Data!W76&gt;0,4-Data!W76,"")</f>
        <v>2</v>
      </c>
      <c r="X76" s="1">
        <f>IF(Data!X76&gt;0,4-Data!X76,"")</f>
        <v>2</v>
      </c>
      <c r="Y76" s="1">
        <f>IF(Data!Y76&gt;0,4-Data!Y76,"")</f>
        <v>1</v>
      </c>
      <c r="Z76" s="1">
        <f>IF(Data!Z76&gt;0,Data!Z76-4,"")</f>
        <v>0</v>
      </c>
      <c r="AC76" s="7">
        <f t="shared" si="6"/>
        <v>2.1666666666666665</v>
      </c>
      <c r="AD76" s="7">
        <f t="shared" si="7"/>
        <v>2.25</v>
      </c>
      <c r="AE76" s="7">
        <f t="shared" si="8"/>
        <v>2.25</v>
      </c>
      <c r="AF76" s="7">
        <f t="shared" si="9"/>
        <v>2</v>
      </c>
      <c r="AG76" s="7">
        <f t="shared" si="10"/>
        <v>1.25</v>
      </c>
      <c r="AH76" s="7">
        <f t="shared" si="11"/>
        <v>0.25</v>
      </c>
    </row>
    <row r="77" spans="1:34">
      <c r="A77" s="1">
        <f>IF(Data!A77&gt;0,Data!A77-4,"")</f>
        <v>3</v>
      </c>
      <c r="B77" s="1">
        <f>IF(Data!B77&gt;0,Data!B77-4,"")</f>
        <v>3</v>
      </c>
      <c r="C77" s="1">
        <f>IF(Data!C77&gt;0,4-Data!C77,"")</f>
        <v>1</v>
      </c>
      <c r="D77" s="1">
        <f>IF(Data!D77&gt;0,4-Data!D77,"")</f>
        <v>3</v>
      </c>
      <c r="E77" s="1">
        <f>IF(Data!E77&gt;0,4-Data!E77,"")</f>
        <v>3</v>
      </c>
      <c r="F77" s="1">
        <f>IF(Data!F77&gt;0,Data!F77-4,"")</f>
        <v>0</v>
      </c>
      <c r="G77" s="1">
        <f>IF(Data!G77&gt;0,Data!G77-4,"")</f>
        <v>0</v>
      </c>
      <c r="H77" s="1">
        <f>IF(Data!H77&gt;0,Data!H77-4,"")</f>
        <v>3</v>
      </c>
      <c r="I77" s="1">
        <f>IF(Data!I77&gt;0,4-Data!I77,"")</f>
        <v>-3</v>
      </c>
      <c r="J77" s="1">
        <f>IF(Data!J77&gt;0,4-Data!J77,"")</f>
        <v>-3</v>
      </c>
      <c r="K77" s="1">
        <f>IF(Data!K77&gt;0,Data!K77-4,"")</f>
        <v>0</v>
      </c>
      <c r="L77" s="1">
        <f>IF(Data!L77&gt;0,4-Data!L77,"")</f>
        <v>3</v>
      </c>
      <c r="M77" s="1">
        <f>IF(Data!M77&gt;0,Data!M77-4,"")</f>
        <v>1</v>
      </c>
      <c r="N77" s="1">
        <f>IF(Data!N77&gt;0,Data!N77-4,"")</f>
        <v>3</v>
      </c>
      <c r="O77" s="1">
        <f>IF(Data!O77&gt;0,Data!O77-4,"")</f>
        <v>-3</v>
      </c>
      <c r="P77" s="1">
        <f>IF(Data!P77&gt;0,Data!P77-4,"")</f>
        <v>3</v>
      </c>
      <c r="Q77" s="1">
        <f>IF(Data!Q77&gt;0,4-Data!Q77,"")</f>
        <v>3</v>
      </c>
      <c r="R77" s="1">
        <f>IF(Data!R77&gt;0,4-Data!R77,"")</f>
        <v>-1</v>
      </c>
      <c r="S77" s="1">
        <f>IF(Data!S77&gt;0,4-Data!S77,"")</f>
        <v>3</v>
      </c>
      <c r="T77" s="1">
        <f>IF(Data!T77&gt;0,Data!T77-4,"")</f>
        <v>3</v>
      </c>
      <c r="U77" s="1">
        <f>IF(Data!U77&gt;0,4-Data!U77,"")</f>
        <v>3</v>
      </c>
      <c r="V77" s="1">
        <f>IF(Data!V77&gt;0,Data!V77-4,"")</f>
        <v>3</v>
      </c>
      <c r="W77" s="1">
        <f>IF(Data!W77&gt;0,4-Data!W77,"")</f>
        <v>3</v>
      </c>
      <c r="X77" s="1">
        <f>IF(Data!X77&gt;0,4-Data!X77,"")</f>
        <v>3</v>
      </c>
      <c r="Y77" s="1">
        <f>IF(Data!Y77&gt;0,4-Data!Y77,"")</f>
        <v>3</v>
      </c>
      <c r="Z77" s="1">
        <f>IF(Data!Z77&gt;0,Data!Z77-4,"")</f>
        <v>0</v>
      </c>
      <c r="AC77" s="7">
        <f t="shared" si="6"/>
        <v>3</v>
      </c>
      <c r="AD77" s="7">
        <f t="shared" si="7"/>
        <v>2.5</v>
      </c>
      <c r="AE77" s="7">
        <f t="shared" si="8"/>
        <v>1.5</v>
      </c>
      <c r="AF77" s="7">
        <f t="shared" si="9"/>
        <v>2.25</v>
      </c>
      <c r="AG77" s="7">
        <f t="shared" si="10"/>
        <v>0.5</v>
      </c>
      <c r="AH77" s="7">
        <f t="shared" si="11"/>
        <v>-1.25</v>
      </c>
    </row>
    <row r="78" spans="1:34">
      <c r="A78" s="1">
        <f>IF(Data!A78&gt;0,Data!A78-4,"")</f>
        <v>2</v>
      </c>
      <c r="B78" s="1">
        <f>IF(Data!B78&gt;0,Data!B78-4,"")</f>
        <v>2</v>
      </c>
      <c r="C78" s="1">
        <f>IF(Data!C78&gt;0,4-Data!C78,"")</f>
        <v>-2</v>
      </c>
      <c r="D78" s="1">
        <f>IF(Data!D78&gt;0,4-Data!D78,"")</f>
        <v>2</v>
      </c>
      <c r="E78" s="1">
        <f>IF(Data!E78&gt;0,4-Data!E78,"")</f>
        <v>2</v>
      </c>
      <c r="F78" s="1">
        <f>IF(Data!F78&gt;0,Data!F78-4,"")</f>
        <v>-1</v>
      </c>
      <c r="G78" s="1">
        <f>IF(Data!G78&gt;0,Data!G78-4,"")</f>
        <v>-2</v>
      </c>
      <c r="H78" s="1">
        <f>IF(Data!H78&gt;0,Data!H78-4,"")</f>
        <v>1</v>
      </c>
      <c r="I78" s="1">
        <f>IF(Data!I78&gt;0,4-Data!I78,"")</f>
        <v>2</v>
      </c>
      <c r="J78" s="1">
        <f>IF(Data!J78&gt;0,4-Data!J78,"")</f>
        <v>-2</v>
      </c>
      <c r="K78" s="1">
        <f>IF(Data!K78&gt;0,Data!K78-4,"")</f>
        <v>0</v>
      </c>
      <c r="L78" s="1">
        <f>IF(Data!L78&gt;0,4-Data!L78,"")</f>
        <v>2</v>
      </c>
      <c r="M78" s="1">
        <f>IF(Data!M78&gt;0,Data!M78-4,"")</f>
        <v>2</v>
      </c>
      <c r="N78" s="1">
        <f>IF(Data!N78&gt;0,Data!N78-4,"")</f>
        <v>0</v>
      </c>
      <c r="O78" s="1">
        <f>IF(Data!O78&gt;0,Data!O78-4,"")</f>
        <v>-2</v>
      </c>
      <c r="P78" s="1">
        <f>IF(Data!P78&gt;0,Data!P78-4,"")</f>
        <v>2</v>
      </c>
      <c r="Q78" s="1">
        <f>IF(Data!Q78&gt;0,4-Data!Q78,"")</f>
        <v>1</v>
      </c>
      <c r="R78" s="1">
        <f>IF(Data!R78&gt;0,4-Data!R78,"")</f>
        <v>-1</v>
      </c>
      <c r="S78" s="1">
        <f>IF(Data!S78&gt;0,4-Data!S78,"")</f>
        <v>2</v>
      </c>
      <c r="T78" s="1">
        <f>IF(Data!T78&gt;0,Data!T78-4,"")</f>
        <v>-1</v>
      </c>
      <c r="U78" s="1">
        <f>IF(Data!U78&gt;0,4-Data!U78,"")</f>
        <v>2</v>
      </c>
      <c r="V78" s="1">
        <f>IF(Data!V78&gt;0,Data!V78-4,"")</f>
        <v>2</v>
      </c>
      <c r="W78" s="1">
        <f>IF(Data!W78&gt;0,4-Data!W78,"")</f>
        <v>-2</v>
      </c>
      <c r="X78" s="1">
        <f>IF(Data!X78&gt;0,4-Data!X78,"")</f>
        <v>1</v>
      </c>
      <c r="Y78" s="1">
        <f>IF(Data!Y78&gt;0,4-Data!Y78,"")</f>
        <v>1</v>
      </c>
      <c r="Z78" s="1">
        <f>IF(Data!Z78&gt;0,Data!Z78-4,"")</f>
        <v>0</v>
      </c>
      <c r="AC78" s="7">
        <f t="shared" si="6"/>
        <v>1.3333333333333333</v>
      </c>
      <c r="AD78" s="7">
        <f t="shared" si="7"/>
        <v>2</v>
      </c>
      <c r="AE78" s="7">
        <f t="shared" si="8"/>
        <v>0.25</v>
      </c>
      <c r="AF78" s="7">
        <f t="shared" si="9"/>
        <v>1</v>
      </c>
      <c r="AG78" s="7">
        <f t="shared" si="10"/>
        <v>-0.5</v>
      </c>
      <c r="AH78" s="7">
        <f t="shared" si="11"/>
        <v>-1.5</v>
      </c>
    </row>
    <row r="79" spans="1:34">
      <c r="A79" s="1">
        <f>IF(Data!A79&gt;0,Data!A79-4,"")</f>
        <v>3</v>
      </c>
      <c r="B79" s="1">
        <f>IF(Data!B79&gt;0,Data!B79-4,"")</f>
        <v>3</v>
      </c>
      <c r="C79" s="1">
        <f>IF(Data!C79&gt;0,4-Data!C79,"")</f>
        <v>3</v>
      </c>
      <c r="D79" s="1">
        <f>IF(Data!D79&gt;0,4-Data!D79,"")</f>
        <v>3</v>
      </c>
      <c r="E79" s="1">
        <f>IF(Data!E79&gt;0,4-Data!E79,"")</f>
        <v>3</v>
      </c>
      <c r="F79" s="1">
        <f>IF(Data!F79&gt;0,Data!F79-4,"")</f>
        <v>3</v>
      </c>
      <c r="G79" s="1">
        <f>IF(Data!G79&gt;0,Data!G79-4,"")</f>
        <v>3</v>
      </c>
      <c r="H79" s="1">
        <f>IF(Data!H79&gt;0,Data!H79-4,"")</f>
        <v>0</v>
      </c>
      <c r="I79" s="1">
        <f>IF(Data!I79&gt;0,4-Data!I79,"")</f>
        <v>3</v>
      </c>
      <c r="J79" s="1">
        <f>IF(Data!J79&gt;0,4-Data!J79,"")</f>
        <v>3</v>
      </c>
      <c r="K79" s="1">
        <f>IF(Data!K79&gt;0,Data!K79-4,"")</f>
        <v>3</v>
      </c>
      <c r="L79" s="1">
        <f>IF(Data!L79&gt;0,4-Data!L79,"")</f>
        <v>3</v>
      </c>
      <c r="M79" s="1">
        <f>IF(Data!M79&gt;0,Data!M79-4,"")</f>
        <v>3</v>
      </c>
      <c r="N79" s="1">
        <f>IF(Data!N79&gt;0,Data!N79-4,"")</f>
        <v>3</v>
      </c>
      <c r="O79" s="1">
        <f>IF(Data!O79&gt;0,Data!O79-4,"")</f>
        <v>3</v>
      </c>
      <c r="P79" s="1">
        <f>IF(Data!P79&gt;0,Data!P79-4,"")</f>
        <v>3</v>
      </c>
      <c r="Q79" s="1">
        <f>IF(Data!Q79&gt;0,4-Data!Q79,"")</f>
        <v>1</v>
      </c>
      <c r="R79" s="1">
        <f>IF(Data!R79&gt;0,4-Data!R79,"")</f>
        <v>0</v>
      </c>
      <c r="S79" s="1">
        <f>IF(Data!S79&gt;0,4-Data!S79,"")</f>
        <v>3</v>
      </c>
      <c r="T79" s="1">
        <f>IF(Data!T79&gt;0,Data!T79-4,"")</f>
        <v>3</v>
      </c>
      <c r="U79" s="1">
        <f>IF(Data!U79&gt;0,4-Data!U79,"")</f>
        <v>3</v>
      </c>
      <c r="V79" s="1">
        <f>IF(Data!V79&gt;0,Data!V79-4,"")</f>
        <v>3</v>
      </c>
      <c r="W79" s="1">
        <f>IF(Data!W79&gt;0,4-Data!W79,"")</f>
        <v>3</v>
      </c>
      <c r="X79" s="1">
        <f>IF(Data!X79&gt;0,4-Data!X79,"")</f>
        <v>3</v>
      </c>
      <c r="Y79" s="1">
        <f>IF(Data!Y79&gt;0,4-Data!Y79,"")</f>
        <v>3</v>
      </c>
      <c r="Z79" s="1">
        <f>IF(Data!Z79&gt;0,Data!Z79-4,"")</f>
        <v>3</v>
      </c>
      <c r="AC79" s="7">
        <f t="shared" si="6"/>
        <v>3</v>
      </c>
      <c r="AD79" s="7">
        <f t="shared" si="7"/>
        <v>3</v>
      </c>
      <c r="AE79" s="7">
        <f t="shared" si="8"/>
        <v>3</v>
      </c>
      <c r="AF79" s="7">
        <f t="shared" si="9"/>
        <v>1.75</v>
      </c>
      <c r="AG79" s="7">
        <f t="shared" si="10"/>
        <v>2.25</v>
      </c>
      <c r="AH79" s="7">
        <f t="shared" si="11"/>
        <v>3</v>
      </c>
    </row>
    <row r="80" spans="1:34">
      <c r="A80" s="1">
        <f>IF(Data!A80&gt;0,Data!A80-4,"")</f>
        <v>1</v>
      </c>
      <c r="B80" s="1">
        <f>IF(Data!B80&gt;0,Data!B80-4,"")</f>
        <v>3</v>
      </c>
      <c r="C80" s="1">
        <f>IF(Data!C80&gt;0,4-Data!C80,"")</f>
        <v>-1</v>
      </c>
      <c r="D80" s="1">
        <f>IF(Data!D80&gt;0,4-Data!D80,"")</f>
        <v>-1</v>
      </c>
      <c r="E80" s="1">
        <f>IF(Data!E80&gt;0,4-Data!E80,"")</f>
        <v>-2</v>
      </c>
      <c r="F80" s="1">
        <f>IF(Data!F80&gt;0,Data!F80-4,"")</f>
        <v>1</v>
      </c>
      <c r="G80" s="1">
        <f>IF(Data!G80&gt;0,Data!G80-4,"")</f>
        <v>1</v>
      </c>
      <c r="H80" s="1">
        <f>IF(Data!H80&gt;0,Data!H80-4,"")</f>
        <v>2</v>
      </c>
      <c r="I80" s="1">
        <f>IF(Data!I80&gt;0,4-Data!I80,"")</f>
        <v>-2</v>
      </c>
      <c r="J80" s="1">
        <f>IF(Data!J80&gt;0,4-Data!J80,"")</f>
        <v>0</v>
      </c>
      <c r="K80" s="1">
        <f>IF(Data!K80&gt;0,Data!K80-4,"")</f>
        <v>3</v>
      </c>
      <c r="L80" s="1">
        <f>IF(Data!L80&gt;0,4-Data!L80,"")</f>
        <v>3</v>
      </c>
      <c r="M80" s="1">
        <f>IF(Data!M80&gt;0,Data!M80-4,"")</f>
        <v>2</v>
      </c>
      <c r="N80" s="1">
        <f>IF(Data!N80&gt;0,Data!N80-4,"")</f>
        <v>2</v>
      </c>
      <c r="O80" s="1">
        <f>IF(Data!O80&gt;0,Data!O80-4,"")</f>
        <v>2</v>
      </c>
      <c r="P80" s="1">
        <f>IF(Data!P80&gt;0,Data!P80-4,"")</f>
        <v>2</v>
      </c>
      <c r="Q80" s="1">
        <f>IF(Data!Q80&gt;0,4-Data!Q80,"")</f>
        <v>-3</v>
      </c>
      <c r="R80" s="1">
        <f>IF(Data!R80&gt;0,4-Data!R80,"")</f>
        <v>2</v>
      </c>
      <c r="S80" s="1">
        <f>IF(Data!S80&gt;0,4-Data!S80,"")</f>
        <v>3</v>
      </c>
      <c r="T80" s="1">
        <f>IF(Data!T80&gt;0,Data!T80-4,"")</f>
        <v>2</v>
      </c>
      <c r="U80" s="1">
        <f>IF(Data!U80&gt;0,4-Data!U80,"")</f>
        <v>1</v>
      </c>
      <c r="V80" s="1">
        <f>IF(Data!V80&gt;0,Data!V80-4,"")</f>
        <v>1</v>
      </c>
      <c r="W80" s="1">
        <f>IF(Data!W80&gt;0,4-Data!W80,"")</f>
        <v>2</v>
      </c>
      <c r="X80" s="1">
        <f>IF(Data!X80&gt;0,4-Data!X80,"")</f>
        <v>0</v>
      </c>
      <c r="Y80" s="1">
        <f>IF(Data!Y80&gt;0,4-Data!Y80,"")</f>
        <v>1</v>
      </c>
      <c r="Z80" s="1">
        <f>IF(Data!Z80&gt;0,Data!Z80-4,"")</f>
        <v>1</v>
      </c>
      <c r="AC80" s="7">
        <f t="shared" si="6"/>
        <v>1.5</v>
      </c>
      <c r="AD80" s="7">
        <f t="shared" si="7"/>
        <v>1.25</v>
      </c>
      <c r="AE80" s="7">
        <f t="shared" si="8"/>
        <v>0.75</v>
      </c>
      <c r="AF80" s="7">
        <f t="shared" si="9"/>
        <v>1.25</v>
      </c>
      <c r="AG80" s="7">
        <f t="shared" si="10"/>
        <v>0.5</v>
      </c>
      <c r="AH80" s="7">
        <f t="shared" si="11"/>
        <v>0.5</v>
      </c>
    </row>
    <row r="81" spans="1:34">
      <c r="A81" s="1">
        <f>IF(Data!A81&gt;0,Data!A81-4,"")</f>
        <v>0</v>
      </c>
      <c r="B81" s="1">
        <f>IF(Data!B81&gt;0,Data!B81-4,"")</f>
        <v>3</v>
      </c>
      <c r="C81" s="1">
        <f>IF(Data!C81&gt;0,4-Data!C81,"")</f>
        <v>-1</v>
      </c>
      <c r="D81" s="1">
        <f>IF(Data!D81&gt;0,4-Data!D81,"")</f>
        <v>-2</v>
      </c>
      <c r="E81" s="1">
        <f>IF(Data!E81&gt;0,4-Data!E81,"")</f>
        <v>-2</v>
      </c>
      <c r="F81" s="1">
        <f>IF(Data!F81&gt;0,Data!F81-4,"")</f>
        <v>2</v>
      </c>
      <c r="G81" s="1">
        <f>IF(Data!G81&gt;0,Data!G81-4,"")</f>
        <v>-2</v>
      </c>
      <c r="H81" s="1">
        <f>IF(Data!H81&gt;0,Data!H81-4,"")</f>
        <v>3</v>
      </c>
      <c r="I81" s="1">
        <f>IF(Data!I81&gt;0,4-Data!I81,"")</f>
        <v>1</v>
      </c>
      <c r="J81" s="1">
        <f>IF(Data!J81&gt;0,4-Data!J81,"")</f>
        <v>1</v>
      </c>
      <c r="K81" s="1">
        <f>IF(Data!K81&gt;0,Data!K81-4,"")</f>
        <v>1</v>
      </c>
      <c r="L81" s="1">
        <f>IF(Data!L81&gt;0,4-Data!L81,"")</f>
        <v>1</v>
      </c>
      <c r="M81" s="1">
        <f>IF(Data!M81&gt;0,Data!M81-4,"")</f>
        <v>3</v>
      </c>
      <c r="N81" s="1">
        <f>IF(Data!N81&gt;0,Data!N81-4,"")</f>
        <v>2</v>
      </c>
      <c r="O81" s="1">
        <f>IF(Data!O81&gt;0,Data!O81-4,"")</f>
        <v>1</v>
      </c>
      <c r="P81" s="1">
        <f>IF(Data!P81&gt;0,Data!P81-4,"")</f>
        <v>1</v>
      </c>
      <c r="Q81" s="1">
        <f>IF(Data!Q81&gt;0,4-Data!Q81,"")</f>
        <v>2</v>
      </c>
      <c r="R81" s="1">
        <f>IF(Data!R81&gt;0,4-Data!R81,"")</f>
        <v>2</v>
      </c>
      <c r="S81" s="1">
        <f>IF(Data!S81&gt;0,4-Data!S81,"")</f>
        <v>1</v>
      </c>
      <c r="T81" s="1">
        <f>IF(Data!T81&gt;0,Data!T81-4,"")</f>
        <v>2</v>
      </c>
      <c r="U81" s="1">
        <f>IF(Data!U81&gt;0,4-Data!U81,"")</f>
        <v>3</v>
      </c>
      <c r="V81" s="1">
        <f>IF(Data!V81&gt;0,Data!V81-4,"")</f>
        <v>3</v>
      </c>
      <c r="W81" s="1">
        <f>IF(Data!W81&gt;0,4-Data!W81,"")</f>
        <v>3</v>
      </c>
      <c r="X81" s="1">
        <f>IF(Data!X81&gt;0,4-Data!X81,"")</f>
        <v>1</v>
      </c>
      <c r="Y81" s="1">
        <f>IF(Data!Y81&gt;0,4-Data!Y81,"")</f>
        <v>1</v>
      </c>
      <c r="Z81" s="1">
        <f>IF(Data!Z81&gt;0,Data!Z81-4,"")</f>
        <v>0</v>
      </c>
      <c r="AC81" s="7">
        <f t="shared" si="6"/>
        <v>1</v>
      </c>
      <c r="AD81" s="7">
        <f t="shared" si="7"/>
        <v>1.75</v>
      </c>
      <c r="AE81" s="7">
        <f t="shared" si="8"/>
        <v>2.25</v>
      </c>
      <c r="AF81" s="7">
        <f t="shared" si="9"/>
        <v>1.75</v>
      </c>
      <c r="AG81" s="7">
        <f t="shared" si="10"/>
        <v>0</v>
      </c>
      <c r="AH81" s="7">
        <f t="shared" si="11"/>
        <v>0.25</v>
      </c>
    </row>
    <row r="82" spans="1:34">
      <c r="A82" s="1">
        <f>IF(Data!A82&gt;0,Data!A82-4,"")</f>
        <v>2</v>
      </c>
      <c r="B82" s="1">
        <f>IF(Data!B82&gt;0,Data!B82-4,"")</f>
        <v>2</v>
      </c>
      <c r="C82" s="1">
        <f>IF(Data!C82&gt;0,4-Data!C82,"")</f>
        <v>1</v>
      </c>
      <c r="D82" s="1">
        <f>IF(Data!D82&gt;0,4-Data!D82,"")</f>
        <v>2</v>
      </c>
      <c r="E82" s="1">
        <f>IF(Data!E82&gt;0,4-Data!E82,"")</f>
        <v>2</v>
      </c>
      <c r="F82" s="1">
        <f>IF(Data!F82&gt;0,Data!F82-4,"")</f>
        <v>1</v>
      </c>
      <c r="G82" s="1">
        <f>IF(Data!G82&gt;0,Data!G82-4,"")</f>
        <v>2</v>
      </c>
      <c r="H82" s="1">
        <f>IF(Data!H82&gt;0,Data!H82-4,"")</f>
        <v>1</v>
      </c>
      <c r="I82" s="1">
        <f>IF(Data!I82&gt;0,4-Data!I82,"")</f>
        <v>-1</v>
      </c>
      <c r="J82" s="1">
        <f>IF(Data!J82&gt;0,4-Data!J82,"")</f>
        <v>0</v>
      </c>
      <c r="K82" s="1">
        <f>IF(Data!K82&gt;0,Data!K82-4,"")</f>
        <v>1</v>
      </c>
      <c r="L82" s="1">
        <f>IF(Data!L82&gt;0,4-Data!L82,"")</f>
        <v>2</v>
      </c>
      <c r="M82" s="1">
        <f>IF(Data!M82&gt;0,Data!M82-4,"")</f>
        <v>0</v>
      </c>
      <c r="N82" s="1">
        <f>IF(Data!N82&gt;0,Data!N82-4,"")</f>
        <v>1</v>
      </c>
      <c r="O82" s="1">
        <f>IF(Data!O82&gt;0,Data!O82-4,"")</f>
        <v>-2</v>
      </c>
      <c r="P82" s="1">
        <f>IF(Data!P82&gt;0,Data!P82-4,"")</f>
        <v>2</v>
      </c>
      <c r="Q82" s="1">
        <f>IF(Data!Q82&gt;0,4-Data!Q82,"")</f>
        <v>2</v>
      </c>
      <c r="R82" s="1">
        <f>IF(Data!R82&gt;0,4-Data!R82,"")</f>
        <v>2</v>
      </c>
      <c r="S82" s="1">
        <f>IF(Data!S82&gt;0,4-Data!S82,"")</f>
        <v>2</v>
      </c>
      <c r="T82" s="1">
        <f>IF(Data!T82&gt;0,Data!T82-4,"")</f>
        <v>1</v>
      </c>
      <c r="U82" s="1">
        <f>IF(Data!U82&gt;0,4-Data!U82,"")</f>
        <v>-1</v>
      </c>
      <c r="V82" s="1">
        <f>IF(Data!V82&gt;0,Data!V82-4,"")</f>
        <v>2</v>
      </c>
      <c r="W82" s="1">
        <f>IF(Data!W82&gt;0,4-Data!W82,"")</f>
        <v>-1</v>
      </c>
      <c r="X82" s="1">
        <f>IF(Data!X82&gt;0,4-Data!X82,"")</f>
        <v>2</v>
      </c>
      <c r="Y82" s="1">
        <f>IF(Data!Y82&gt;0,4-Data!Y82,"")</f>
        <v>2</v>
      </c>
      <c r="Z82" s="1">
        <f>IF(Data!Z82&gt;0,Data!Z82-4,"")</f>
        <v>1</v>
      </c>
      <c r="AC82" s="7">
        <f t="shared" si="6"/>
        <v>1.8333333333333333</v>
      </c>
      <c r="AD82" s="7">
        <f t="shared" si="7"/>
        <v>0.75</v>
      </c>
      <c r="AE82" s="7">
        <f t="shared" si="8"/>
        <v>0.25</v>
      </c>
      <c r="AF82" s="7">
        <f t="shared" si="9"/>
        <v>1.5</v>
      </c>
      <c r="AG82" s="7">
        <f t="shared" si="10"/>
        <v>1.75</v>
      </c>
      <c r="AH82" s="7">
        <f t="shared" si="11"/>
        <v>0</v>
      </c>
    </row>
    <row r="83" spans="1:34">
      <c r="A83" s="1">
        <f>IF(Data!A83&gt;0,Data!A83-4,"")</f>
        <v>2</v>
      </c>
      <c r="B83" s="1">
        <f>IF(Data!B83&gt;0,Data!B83-4,"")</f>
        <v>2</v>
      </c>
      <c r="C83" s="1">
        <f>IF(Data!C83&gt;0,4-Data!C83,"")</f>
        <v>2</v>
      </c>
      <c r="D83" s="1">
        <f>IF(Data!D83&gt;0,4-Data!D83,"")</f>
        <v>2</v>
      </c>
      <c r="E83" s="1">
        <f>IF(Data!E83&gt;0,4-Data!E83,"")</f>
        <v>0</v>
      </c>
      <c r="F83" s="1">
        <f>IF(Data!F83&gt;0,Data!F83-4,"")</f>
        <v>0</v>
      </c>
      <c r="G83" s="1">
        <f>IF(Data!G83&gt;0,Data!G83-4,"")</f>
        <v>2</v>
      </c>
      <c r="H83" s="1">
        <f>IF(Data!H83&gt;0,Data!H83-4,"")</f>
        <v>0</v>
      </c>
      <c r="I83" s="1">
        <f>IF(Data!I83&gt;0,4-Data!I83,"")</f>
        <v>0</v>
      </c>
      <c r="J83" s="1">
        <f>IF(Data!J83&gt;0,4-Data!J83,"")</f>
        <v>2</v>
      </c>
      <c r="K83" s="1">
        <f>IF(Data!K83&gt;0,Data!K83-4,"")</f>
        <v>0</v>
      </c>
      <c r="L83" s="1">
        <f>IF(Data!L83&gt;0,4-Data!L83,"")</f>
        <v>1</v>
      </c>
      <c r="M83" s="1">
        <f>IF(Data!M83&gt;0,Data!M83-4,"")</f>
        <v>0</v>
      </c>
      <c r="N83" s="1">
        <f>IF(Data!N83&gt;0,Data!N83-4,"")</f>
        <v>0</v>
      </c>
      <c r="O83" s="1">
        <f>IF(Data!O83&gt;0,Data!O83-4,"")</f>
        <v>1</v>
      </c>
      <c r="P83" s="1">
        <f>IF(Data!P83&gt;0,Data!P83-4,"")</f>
        <v>0</v>
      </c>
      <c r="Q83" s="1">
        <f>IF(Data!Q83&gt;0,4-Data!Q83,"")</f>
        <v>0</v>
      </c>
      <c r="R83" s="1">
        <f>IF(Data!R83&gt;0,4-Data!R83,"")</f>
        <v>0</v>
      </c>
      <c r="S83" s="1">
        <f>IF(Data!S83&gt;0,4-Data!S83,"")</f>
        <v>2</v>
      </c>
      <c r="T83" s="1">
        <f>IF(Data!T83&gt;0,Data!T83-4,"")</f>
        <v>2</v>
      </c>
      <c r="U83" s="1">
        <f>IF(Data!U83&gt;0,4-Data!U83,"")</f>
        <v>2</v>
      </c>
      <c r="V83" s="1">
        <f>IF(Data!V83&gt;0,Data!V83-4,"")</f>
        <v>0</v>
      </c>
      <c r="W83" s="1">
        <f>IF(Data!W83&gt;0,4-Data!W83,"")</f>
        <v>2</v>
      </c>
      <c r="X83" s="1">
        <f>IF(Data!X83&gt;0,4-Data!X83,"")</f>
        <v>0</v>
      </c>
      <c r="Y83" s="1">
        <f>IF(Data!Y83&gt;0,4-Data!Y83,"")</f>
        <v>0</v>
      </c>
      <c r="Z83" s="1">
        <f>IF(Data!Z83&gt;0,Data!Z83-4,"")</f>
        <v>1</v>
      </c>
      <c r="AC83" s="7">
        <f t="shared" si="6"/>
        <v>0.5</v>
      </c>
      <c r="AD83" s="7">
        <f t="shared" si="7"/>
        <v>1.5</v>
      </c>
      <c r="AE83" s="7">
        <f t="shared" si="8"/>
        <v>1</v>
      </c>
      <c r="AF83" s="7">
        <f t="shared" si="9"/>
        <v>0.5</v>
      </c>
      <c r="AG83" s="7">
        <f t="shared" si="10"/>
        <v>0.5</v>
      </c>
      <c r="AH83" s="7">
        <f t="shared" si="11"/>
        <v>1.5</v>
      </c>
    </row>
    <row r="84" spans="1:34">
      <c r="A84" s="1">
        <f>IF(Data!A84&gt;0,Data!A84-4,"")</f>
        <v>3</v>
      </c>
      <c r="B84" s="1">
        <f>IF(Data!B84&gt;0,Data!B84-4,"")</f>
        <v>2</v>
      </c>
      <c r="C84" s="1">
        <f>IF(Data!C84&gt;0,4-Data!C84,"")</f>
        <v>-3</v>
      </c>
      <c r="D84" s="1">
        <f>IF(Data!D84&gt;0,4-Data!D84,"")</f>
        <v>-1</v>
      </c>
      <c r="E84" s="1">
        <f>IF(Data!E84&gt;0,4-Data!E84,"")</f>
        <v>-3</v>
      </c>
      <c r="F84" s="1">
        <f>IF(Data!F84&gt;0,Data!F84-4,"")</f>
        <v>3</v>
      </c>
      <c r="G84" s="1">
        <f>IF(Data!G84&gt;0,Data!G84-4,"")</f>
        <v>3</v>
      </c>
      <c r="H84" s="1">
        <f>IF(Data!H84&gt;0,Data!H84-4,"")</f>
        <v>3</v>
      </c>
      <c r="I84" s="1">
        <f>IF(Data!I84&gt;0,4-Data!I84,"")</f>
        <v>3</v>
      </c>
      <c r="J84" s="1">
        <f>IF(Data!J84&gt;0,4-Data!J84,"")</f>
        <v>-3</v>
      </c>
      <c r="K84" s="1">
        <f>IF(Data!K84&gt;0,Data!K84-4,"")</f>
        <v>3</v>
      </c>
      <c r="L84" s="1">
        <f>IF(Data!L84&gt;0,4-Data!L84,"")</f>
        <v>3</v>
      </c>
      <c r="M84" s="1">
        <f>IF(Data!M84&gt;0,Data!M84-4,"")</f>
        <v>3</v>
      </c>
      <c r="N84" s="1">
        <f>IF(Data!N84&gt;0,Data!N84-4,"")</f>
        <v>2</v>
      </c>
      <c r="O84" s="1">
        <f>IF(Data!O84&gt;0,Data!O84-4,"")</f>
        <v>2</v>
      </c>
      <c r="P84" s="1">
        <f>IF(Data!P84&gt;0,Data!P84-4,"")</f>
        <v>2</v>
      </c>
      <c r="Q84" s="1">
        <f>IF(Data!Q84&gt;0,4-Data!Q84,"")</f>
        <v>3</v>
      </c>
      <c r="R84" s="1">
        <f>IF(Data!R84&gt;0,4-Data!R84,"")</f>
        <v>3</v>
      </c>
      <c r="S84" s="1">
        <f>IF(Data!S84&gt;0,4-Data!S84,"")</f>
        <v>3</v>
      </c>
      <c r="T84" s="1">
        <f>IF(Data!T84&gt;0,Data!T84-4,"")</f>
        <v>0</v>
      </c>
      <c r="U84" s="1">
        <f>IF(Data!U84&gt;0,4-Data!U84,"")</f>
        <v>0</v>
      </c>
      <c r="V84" s="1">
        <f>IF(Data!V84&gt;0,Data!V84-4,"")</f>
        <v>0</v>
      </c>
      <c r="W84" s="1">
        <f>IF(Data!W84&gt;0,4-Data!W84,"")</f>
        <v>3</v>
      </c>
      <c r="X84" s="1">
        <f>IF(Data!X84&gt;0,4-Data!X84,"")</f>
        <v>3</v>
      </c>
      <c r="Y84" s="1">
        <f>IF(Data!Y84&gt;0,4-Data!Y84,"")</f>
        <v>3</v>
      </c>
      <c r="Z84" s="1">
        <f>IF(Data!Z84&gt;0,Data!Z84-4,"")</f>
        <v>0</v>
      </c>
      <c r="AC84" s="7">
        <f t="shared" si="6"/>
        <v>2.6666666666666665</v>
      </c>
      <c r="AD84" s="7">
        <f t="shared" si="7"/>
        <v>1</v>
      </c>
      <c r="AE84" s="7">
        <f t="shared" si="8"/>
        <v>1.5</v>
      </c>
      <c r="AF84" s="7">
        <f t="shared" si="9"/>
        <v>3</v>
      </c>
      <c r="AG84" s="7">
        <f t="shared" si="10"/>
        <v>1.5</v>
      </c>
      <c r="AH84" s="7">
        <f t="shared" si="11"/>
        <v>-1</v>
      </c>
    </row>
    <row r="85" spans="1:34">
      <c r="A85" s="1">
        <f>IF(Data!A85&gt;0,Data!A85-4,"")</f>
        <v>1</v>
      </c>
      <c r="B85" s="1">
        <f>IF(Data!B85&gt;0,Data!B85-4,"")</f>
        <v>3</v>
      </c>
      <c r="C85" s="1">
        <f>IF(Data!C85&gt;0,4-Data!C85,"")</f>
        <v>1</v>
      </c>
      <c r="D85" s="1">
        <f>IF(Data!D85&gt;0,4-Data!D85,"")</f>
        <v>3</v>
      </c>
      <c r="E85" s="1">
        <f>IF(Data!E85&gt;0,4-Data!E85,"")</f>
        <v>1</v>
      </c>
      <c r="F85" s="1">
        <f>IF(Data!F85&gt;0,Data!F85-4,"")</f>
        <v>1</v>
      </c>
      <c r="G85" s="1">
        <f>IF(Data!G85&gt;0,Data!G85-4,"")</f>
        <v>1</v>
      </c>
      <c r="H85" s="1">
        <f>IF(Data!H85&gt;0,Data!H85-4,"")</f>
        <v>-1</v>
      </c>
      <c r="I85" s="1">
        <f>IF(Data!I85&gt;0,4-Data!I85,"")</f>
        <v>3</v>
      </c>
      <c r="J85" s="1">
        <f>IF(Data!J85&gt;0,4-Data!J85,"")</f>
        <v>1</v>
      </c>
      <c r="K85" s="1">
        <f>IF(Data!K85&gt;0,Data!K85-4,"")</f>
        <v>0</v>
      </c>
      <c r="L85" s="1">
        <f>IF(Data!L85&gt;0,4-Data!L85,"")</f>
        <v>0</v>
      </c>
      <c r="M85" s="1">
        <f>IF(Data!M85&gt;0,Data!M85-4,"")</f>
        <v>3</v>
      </c>
      <c r="N85" s="1">
        <f>IF(Data!N85&gt;0,Data!N85-4,"")</f>
        <v>0</v>
      </c>
      <c r="O85" s="1">
        <f>IF(Data!O85&gt;0,Data!O85-4,"")</f>
        <v>1</v>
      </c>
      <c r="P85" s="1">
        <f>IF(Data!P85&gt;0,Data!P85-4,"")</f>
        <v>0</v>
      </c>
      <c r="Q85" s="1">
        <f>IF(Data!Q85&gt;0,4-Data!Q85,"")</f>
        <v>3</v>
      </c>
      <c r="R85" s="1">
        <f>IF(Data!R85&gt;0,4-Data!R85,"")</f>
        <v>1</v>
      </c>
      <c r="S85" s="1">
        <f>IF(Data!S85&gt;0,4-Data!S85,"")</f>
        <v>3</v>
      </c>
      <c r="T85" s="1">
        <f>IF(Data!T85&gt;0,Data!T85-4,"")</f>
        <v>3</v>
      </c>
      <c r="U85" s="1">
        <f>IF(Data!U85&gt;0,4-Data!U85,"")</f>
        <v>3</v>
      </c>
      <c r="V85" s="1">
        <f>IF(Data!V85&gt;0,Data!V85-4,"")</f>
        <v>3</v>
      </c>
      <c r="W85" s="1">
        <f>IF(Data!W85&gt;0,4-Data!W85,"")</f>
        <v>1</v>
      </c>
      <c r="X85" s="1">
        <f>IF(Data!X85&gt;0,4-Data!X85,"")</f>
        <v>-1</v>
      </c>
      <c r="Y85" s="1">
        <f>IF(Data!Y85&gt;0,4-Data!Y85,"")</f>
        <v>0</v>
      </c>
      <c r="Z85" s="1">
        <f>IF(Data!Z85&gt;0,Data!Z85-4,"")</f>
        <v>1</v>
      </c>
      <c r="AC85" s="7">
        <f t="shared" si="6"/>
        <v>0</v>
      </c>
      <c r="AD85" s="7">
        <f t="shared" si="7"/>
        <v>3</v>
      </c>
      <c r="AE85" s="7">
        <f t="shared" si="8"/>
        <v>2.5</v>
      </c>
      <c r="AF85" s="7">
        <f t="shared" si="9"/>
        <v>1.25</v>
      </c>
      <c r="AG85" s="7">
        <f t="shared" si="10"/>
        <v>1</v>
      </c>
      <c r="AH85" s="7">
        <f t="shared" si="11"/>
        <v>1</v>
      </c>
    </row>
    <row r="86" spans="1:34">
      <c r="A86" s="1">
        <f>IF(Data!A86&gt;0,Data!A86-4,"")</f>
        <v>-2</v>
      </c>
      <c r="B86" s="1">
        <f>IF(Data!B86&gt;0,Data!B86-4,"")</f>
        <v>-3</v>
      </c>
      <c r="C86" s="1">
        <f>IF(Data!C86&gt;0,4-Data!C86,"")</f>
        <v>-1</v>
      </c>
      <c r="D86" s="1">
        <f>IF(Data!D86&gt;0,4-Data!D86,"")</f>
        <v>-1</v>
      </c>
      <c r="E86" s="1">
        <f>IF(Data!E86&gt;0,4-Data!E86,"")</f>
        <v>0</v>
      </c>
      <c r="F86" s="1">
        <f>IF(Data!F86&gt;0,Data!F86-4,"")</f>
        <v>-1</v>
      </c>
      <c r="G86" s="1">
        <f>IF(Data!G86&gt;0,Data!G86-4,"")</f>
        <v>-1</v>
      </c>
      <c r="H86" s="1">
        <f>IF(Data!H86&gt;0,Data!H86-4,"")</f>
        <v>0</v>
      </c>
      <c r="I86" s="1">
        <f>IF(Data!I86&gt;0,4-Data!I86,"")</f>
        <v>-1</v>
      </c>
      <c r="J86" s="1">
        <f>IF(Data!J86&gt;0,4-Data!J86,"")</f>
        <v>-1</v>
      </c>
      <c r="K86" s="1">
        <f>IF(Data!K86&gt;0,Data!K86-4,"")</f>
        <v>-2</v>
      </c>
      <c r="L86" s="1">
        <f>IF(Data!L86&gt;0,4-Data!L86,"")</f>
        <v>-2</v>
      </c>
      <c r="M86" s="1">
        <f>IF(Data!M86&gt;0,Data!M86-4,"")</f>
        <v>-2</v>
      </c>
      <c r="N86" s="1">
        <f>IF(Data!N86&gt;0,Data!N86-4,"")</f>
        <v>-3</v>
      </c>
      <c r="O86" s="1">
        <f>IF(Data!O86&gt;0,Data!O86-4,"")</f>
        <v>-1</v>
      </c>
      <c r="P86" s="1">
        <f>IF(Data!P86&gt;0,Data!P86-4,"")</f>
        <v>-2</v>
      </c>
      <c r="Q86" s="1">
        <f>IF(Data!Q86&gt;0,4-Data!Q86,"")</f>
        <v>-1</v>
      </c>
      <c r="R86" s="1">
        <f>IF(Data!R86&gt;0,4-Data!R86,"")</f>
        <v>-1</v>
      </c>
      <c r="S86" s="1">
        <f>IF(Data!S86&gt;0,4-Data!S86,"")</f>
        <v>0</v>
      </c>
      <c r="T86" s="1">
        <f>IF(Data!T86&gt;0,Data!T86-4,"")</f>
        <v>-3</v>
      </c>
      <c r="U86" s="1">
        <f>IF(Data!U86&gt;0,4-Data!U86,"")</f>
        <v>2</v>
      </c>
      <c r="V86" s="1">
        <f>IF(Data!V86&gt;0,Data!V86-4,"")</f>
        <v>1</v>
      </c>
      <c r="W86" s="1">
        <f>IF(Data!W86&gt;0,4-Data!W86,"")</f>
        <v>1</v>
      </c>
      <c r="X86" s="1">
        <f>IF(Data!X86&gt;0,4-Data!X86,"")</f>
        <v>0</v>
      </c>
      <c r="Y86" s="1">
        <f>IF(Data!Y86&gt;0,4-Data!Y86,"")</f>
        <v>1</v>
      </c>
      <c r="Z86" s="1">
        <f>IF(Data!Z86&gt;0,Data!Z86-4,"")</f>
        <v>2</v>
      </c>
      <c r="AC86" s="7">
        <f t="shared" si="6"/>
        <v>-1.3333333333333333</v>
      </c>
      <c r="AD86" s="7">
        <f t="shared" si="7"/>
        <v>-1</v>
      </c>
      <c r="AE86" s="7">
        <f t="shared" si="8"/>
        <v>-0.5</v>
      </c>
      <c r="AF86" s="7">
        <f t="shared" si="9"/>
        <v>-0.75</v>
      </c>
      <c r="AG86" s="7">
        <f t="shared" si="10"/>
        <v>-0.75</v>
      </c>
      <c r="AH86" s="7">
        <f t="shared" si="11"/>
        <v>-0.25</v>
      </c>
    </row>
    <row r="87" spans="1:34">
      <c r="A87" s="1">
        <f>IF(Data!A87&gt;0,Data!A87-4,"")</f>
        <v>3</v>
      </c>
      <c r="B87" s="1">
        <f>IF(Data!B87&gt;0,Data!B87-4,"")</f>
        <v>3</v>
      </c>
      <c r="C87" s="1">
        <f>IF(Data!C87&gt;0,4-Data!C87,"")</f>
        <v>3</v>
      </c>
      <c r="D87" s="1">
        <f>IF(Data!D87&gt;0,4-Data!D87,"")</f>
        <v>3</v>
      </c>
      <c r="E87" s="1">
        <f>IF(Data!E87&gt;0,4-Data!E87,"")</f>
        <v>3</v>
      </c>
      <c r="F87" s="1">
        <f>IF(Data!F87&gt;0,Data!F87-4,"")</f>
        <v>2</v>
      </c>
      <c r="G87" s="1">
        <f>IF(Data!G87&gt;0,Data!G87-4,"")</f>
        <v>2</v>
      </c>
      <c r="H87" s="1">
        <f>IF(Data!H87&gt;0,Data!H87-4,"")</f>
        <v>0</v>
      </c>
      <c r="I87" s="1">
        <f>IF(Data!I87&gt;0,4-Data!I87,"")</f>
        <v>2</v>
      </c>
      <c r="J87" s="1">
        <f>IF(Data!J87&gt;0,4-Data!J87,"")</f>
        <v>3</v>
      </c>
      <c r="K87" s="1">
        <f>IF(Data!K87&gt;0,Data!K87-4,"")</f>
        <v>2</v>
      </c>
      <c r="L87" s="1">
        <f>IF(Data!L87&gt;0,4-Data!L87,"")</f>
        <v>2</v>
      </c>
      <c r="M87" s="1">
        <f>IF(Data!M87&gt;0,Data!M87-4,"")</f>
        <v>2</v>
      </c>
      <c r="N87" s="1">
        <f>IF(Data!N87&gt;0,Data!N87-4,"")</f>
        <v>3</v>
      </c>
      <c r="O87" s="1">
        <f>IF(Data!O87&gt;0,Data!O87-4,"")</f>
        <v>3</v>
      </c>
      <c r="P87" s="1">
        <f>IF(Data!P87&gt;0,Data!P87-4,"")</f>
        <v>2</v>
      </c>
      <c r="Q87" s="1">
        <f>IF(Data!Q87&gt;0,4-Data!Q87,"")</f>
        <v>1</v>
      </c>
      <c r="R87" s="1">
        <f>IF(Data!R87&gt;0,4-Data!R87,"")</f>
        <v>0</v>
      </c>
      <c r="S87" s="1">
        <f>IF(Data!S87&gt;0,4-Data!S87,"")</f>
        <v>3</v>
      </c>
      <c r="T87" s="1">
        <f>IF(Data!T87&gt;0,Data!T87-4,"")</f>
        <v>3</v>
      </c>
      <c r="U87" s="1">
        <f>IF(Data!U87&gt;0,4-Data!U87,"")</f>
        <v>3</v>
      </c>
      <c r="V87" s="1">
        <f>IF(Data!V87&gt;0,Data!V87-4,"")</f>
        <v>2</v>
      </c>
      <c r="W87" s="1">
        <f>IF(Data!W87&gt;0,4-Data!W87,"")</f>
        <v>0</v>
      </c>
      <c r="X87" s="1">
        <f>IF(Data!X87&gt;0,4-Data!X87,"")</f>
        <v>2</v>
      </c>
      <c r="Y87" s="1">
        <f>IF(Data!Y87&gt;0,4-Data!Y87,"")</f>
        <v>2</v>
      </c>
      <c r="Z87" s="1">
        <f>IF(Data!Z87&gt;0,Data!Z87-4,"")</f>
        <v>2</v>
      </c>
      <c r="AC87" s="7">
        <f t="shared" si="6"/>
        <v>2.3333333333333335</v>
      </c>
      <c r="AD87" s="7">
        <f t="shared" si="7"/>
        <v>2.75</v>
      </c>
      <c r="AE87" s="7">
        <f t="shared" si="8"/>
        <v>1.75</v>
      </c>
      <c r="AF87" s="7">
        <f t="shared" si="9"/>
        <v>1.5</v>
      </c>
      <c r="AG87" s="7">
        <f t="shared" si="10"/>
        <v>1.75</v>
      </c>
      <c r="AH87" s="7">
        <f t="shared" si="11"/>
        <v>2.75</v>
      </c>
    </row>
    <row r="88" spans="1:34">
      <c r="A88" s="1">
        <f>IF(Data!A88&gt;0,Data!A88-4,"")</f>
        <v>2</v>
      </c>
      <c r="B88" s="1">
        <f>IF(Data!B88&gt;0,Data!B88-4,"")</f>
        <v>2</v>
      </c>
      <c r="C88" s="1">
        <f>IF(Data!C88&gt;0,4-Data!C88,"")</f>
        <v>0</v>
      </c>
      <c r="D88" s="1">
        <f>IF(Data!D88&gt;0,4-Data!D88,"")</f>
        <v>-2</v>
      </c>
      <c r="E88" s="1">
        <f>IF(Data!E88&gt;0,4-Data!E88,"")</f>
        <v>1</v>
      </c>
      <c r="F88" s="1">
        <f>IF(Data!F88&gt;0,Data!F88-4,"")</f>
        <v>0</v>
      </c>
      <c r="G88" s="1">
        <f>IF(Data!G88&gt;0,Data!G88-4,"")</f>
        <v>1</v>
      </c>
      <c r="H88" s="1">
        <f>IF(Data!H88&gt;0,Data!H88-4,"")</f>
        <v>1</v>
      </c>
      <c r="I88" s="1">
        <f>IF(Data!I88&gt;0,4-Data!I88,"")</f>
        <v>2</v>
      </c>
      <c r="J88" s="1">
        <f>IF(Data!J88&gt;0,4-Data!J88,"")</f>
        <v>0</v>
      </c>
      <c r="K88" s="1">
        <f>IF(Data!K88&gt;0,Data!K88-4,"")</f>
        <v>2</v>
      </c>
      <c r="L88" s="1">
        <f>IF(Data!L88&gt;0,4-Data!L88,"")</f>
        <v>2</v>
      </c>
      <c r="M88" s="1">
        <f>IF(Data!M88&gt;0,Data!M88-4,"")</f>
        <v>2</v>
      </c>
      <c r="N88" s="1">
        <f>IF(Data!N88&gt;0,Data!N88-4,"")</f>
        <v>2</v>
      </c>
      <c r="O88" s="1">
        <f>IF(Data!O88&gt;0,Data!O88-4,"")</f>
        <v>2</v>
      </c>
      <c r="P88" s="1">
        <f>IF(Data!P88&gt;0,Data!P88-4,"")</f>
        <v>2</v>
      </c>
      <c r="Q88" s="1">
        <f>IF(Data!Q88&gt;0,4-Data!Q88,"")</f>
        <v>2</v>
      </c>
      <c r="R88" s="1">
        <f>IF(Data!R88&gt;0,4-Data!R88,"")</f>
        <v>0</v>
      </c>
      <c r="S88" s="1">
        <f>IF(Data!S88&gt;0,4-Data!S88,"")</f>
        <v>2</v>
      </c>
      <c r="T88" s="1">
        <f>IF(Data!T88&gt;0,Data!T88-4,"")</f>
        <v>2</v>
      </c>
      <c r="U88" s="1">
        <f>IF(Data!U88&gt;0,4-Data!U88,"")</f>
        <v>2</v>
      </c>
      <c r="V88" s="1">
        <f>IF(Data!V88&gt;0,Data!V88-4,"")</f>
        <v>2</v>
      </c>
      <c r="W88" s="1">
        <f>IF(Data!W88&gt;0,4-Data!W88,"")</f>
        <v>2</v>
      </c>
      <c r="X88" s="1">
        <f>IF(Data!X88&gt;0,4-Data!X88,"")</f>
        <v>1</v>
      </c>
      <c r="Y88" s="1">
        <f>IF(Data!Y88&gt;0,4-Data!Y88,"")</f>
        <v>2</v>
      </c>
      <c r="Z88" s="1">
        <f>IF(Data!Z88&gt;0,Data!Z88-4,"")</f>
        <v>0</v>
      </c>
      <c r="AC88" s="7">
        <f t="shared" si="6"/>
        <v>1.8333333333333333</v>
      </c>
      <c r="AD88" s="7">
        <f t="shared" si="7"/>
        <v>1</v>
      </c>
      <c r="AE88" s="7">
        <f t="shared" si="8"/>
        <v>2</v>
      </c>
      <c r="AF88" s="7">
        <f t="shared" si="9"/>
        <v>1.75</v>
      </c>
      <c r="AG88" s="7">
        <f t="shared" si="10"/>
        <v>0.5</v>
      </c>
      <c r="AH88" s="7">
        <f t="shared" si="11"/>
        <v>0.5</v>
      </c>
    </row>
    <row r="89" spans="1:34">
      <c r="A89" s="1">
        <f>IF(Data!A89&gt;0,Data!A89-4,"")</f>
        <v>2</v>
      </c>
      <c r="B89" s="1">
        <f>IF(Data!B89&gt;0,Data!B89-4,"")</f>
        <v>2</v>
      </c>
      <c r="C89" s="1">
        <f>IF(Data!C89&gt;0,4-Data!C89,"")</f>
        <v>2</v>
      </c>
      <c r="D89" s="1">
        <f>IF(Data!D89&gt;0,4-Data!D89,"")</f>
        <v>2</v>
      </c>
      <c r="E89" s="1">
        <f>IF(Data!E89&gt;0,4-Data!E89,"")</f>
        <v>2</v>
      </c>
      <c r="F89" s="1">
        <f>IF(Data!F89&gt;0,Data!F89-4,"")</f>
        <v>1</v>
      </c>
      <c r="G89" s="1">
        <f>IF(Data!G89&gt;0,Data!G89-4,"")</f>
        <v>1</v>
      </c>
      <c r="H89" s="1">
        <f>IF(Data!H89&gt;0,Data!H89-4,"")</f>
        <v>2</v>
      </c>
      <c r="I89" s="1">
        <f>IF(Data!I89&gt;0,4-Data!I89,"")</f>
        <v>3</v>
      </c>
      <c r="J89" s="1">
        <f>IF(Data!J89&gt;0,4-Data!J89,"")</f>
        <v>2</v>
      </c>
      <c r="K89" s="1">
        <f>IF(Data!K89&gt;0,Data!K89-4,"")</f>
        <v>0</v>
      </c>
      <c r="L89" s="1">
        <f>IF(Data!L89&gt;0,4-Data!L89,"")</f>
        <v>2</v>
      </c>
      <c r="M89" s="1">
        <f>IF(Data!M89&gt;0,Data!M89-4,"")</f>
        <v>2</v>
      </c>
      <c r="N89" s="1">
        <f>IF(Data!N89&gt;0,Data!N89-4,"")</f>
        <v>2</v>
      </c>
      <c r="O89" s="1">
        <f>IF(Data!O89&gt;0,Data!O89-4,"")</f>
        <v>2</v>
      </c>
      <c r="P89" s="1">
        <f>IF(Data!P89&gt;0,Data!P89-4,"")</f>
        <v>2</v>
      </c>
      <c r="Q89" s="1">
        <f>IF(Data!Q89&gt;0,4-Data!Q89,"")</f>
        <v>2</v>
      </c>
      <c r="R89" s="1">
        <f>IF(Data!R89&gt;0,4-Data!R89,"")</f>
        <v>2</v>
      </c>
      <c r="S89" s="1">
        <f>IF(Data!S89&gt;0,4-Data!S89,"")</f>
        <v>2</v>
      </c>
      <c r="T89" s="1">
        <f>IF(Data!T89&gt;0,Data!T89-4,"")</f>
        <v>3</v>
      </c>
      <c r="U89" s="1">
        <f>IF(Data!U89&gt;0,4-Data!U89,"")</f>
        <v>2</v>
      </c>
      <c r="V89" s="1">
        <f>IF(Data!V89&gt;0,Data!V89-4,"")</f>
        <v>2</v>
      </c>
      <c r="W89" s="1">
        <f>IF(Data!W89&gt;0,4-Data!W89,"")</f>
        <v>2</v>
      </c>
      <c r="X89" s="1">
        <f>IF(Data!X89&gt;0,4-Data!X89,"")</f>
        <v>2</v>
      </c>
      <c r="Y89" s="1">
        <f>IF(Data!Y89&gt;0,4-Data!Y89,"")</f>
        <v>2</v>
      </c>
      <c r="Z89" s="1">
        <f>IF(Data!Z89&gt;0,Data!Z89-4,"")</f>
        <v>3</v>
      </c>
      <c r="AC89" s="7">
        <f t="shared" si="6"/>
        <v>2</v>
      </c>
      <c r="AD89" s="7">
        <f t="shared" si="7"/>
        <v>2</v>
      </c>
      <c r="AE89" s="7">
        <f t="shared" si="8"/>
        <v>2.5</v>
      </c>
      <c r="AF89" s="7">
        <f t="shared" si="9"/>
        <v>1.5</v>
      </c>
      <c r="AG89" s="7">
        <f t="shared" si="10"/>
        <v>1.5</v>
      </c>
      <c r="AH89" s="7">
        <f t="shared" si="11"/>
        <v>2.25</v>
      </c>
    </row>
    <row r="90" spans="1:34">
      <c r="A90" s="1">
        <f>IF(Data!A90&gt;0,Data!A90-4,"")</f>
        <v>0</v>
      </c>
      <c r="B90" s="1">
        <f>IF(Data!B90&gt;0,Data!B90-4,"")</f>
        <v>-1</v>
      </c>
      <c r="C90" s="1">
        <f>IF(Data!C90&gt;0,4-Data!C90,"")</f>
        <v>0</v>
      </c>
      <c r="D90" s="1">
        <f>IF(Data!D90&gt;0,4-Data!D90,"")</f>
        <v>-1</v>
      </c>
      <c r="E90" s="1">
        <f>IF(Data!E90&gt;0,4-Data!E90,"")</f>
        <v>2</v>
      </c>
      <c r="F90" s="1">
        <f>IF(Data!F90&gt;0,Data!F90-4,"")</f>
        <v>2</v>
      </c>
      <c r="G90" s="1">
        <f>IF(Data!G90&gt;0,Data!G90-4,"")</f>
        <v>2</v>
      </c>
      <c r="H90" s="1">
        <f>IF(Data!H90&gt;0,Data!H90-4,"")</f>
        <v>2</v>
      </c>
      <c r="I90" s="1">
        <f>IF(Data!I90&gt;0,4-Data!I90,"")</f>
        <v>1</v>
      </c>
      <c r="J90" s="1">
        <f>IF(Data!J90&gt;0,4-Data!J90,"")</f>
        <v>-2</v>
      </c>
      <c r="K90" s="1">
        <f>IF(Data!K90&gt;0,Data!K90-4,"")</f>
        <v>0</v>
      </c>
      <c r="L90" s="1">
        <f>IF(Data!L90&gt;0,4-Data!L90,"")</f>
        <v>1</v>
      </c>
      <c r="M90" s="1">
        <f>IF(Data!M90&gt;0,Data!M90-4,"")</f>
        <v>0</v>
      </c>
      <c r="N90" s="1">
        <f>IF(Data!N90&gt;0,Data!N90-4,"")</f>
        <v>1</v>
      </c>
      <c r="O90" s="1">
        <f>IF(Data!O90&gt;0,Data!O90-4,"")</f>
        <v>-1</v>
      </c>
      <c r="P90" s="1">
        <f>IF(Data!P90&gt;0,Data!P90-4,"")</f>
        <v>1</v>
      </c>
      <c r="Q90" s="1">
        <f>IF(Data!Q90&gt;0,4-Data!Q90,"")</f>
        <v>2</v>
      </c>
      <c r="R90" s="1">
        <f>IF(Data!R90&gt;0,4-Data!R90,"")</f>
        <v>1</v>
      </c>
      <c r="S90" s="1">
        <f>IF(Data!S90&gt;0,4-Data!S90,"")</f>
        <v>2</v>
      </c>
      <c r="T90" s="1">
        <f>IF(Data!T90&gt;0,Data!T90-4,"")</f>
        <v>2</v>
      </c>
      <c r="U90" s="1">
        <f>IF(Data!U90&gt;0,4-Data!U90,"")</f>
        <v>1</v>
      </c>
      <c r="V90" s="1">
        <f>IF(Data!V90&gt;0,Data!V90-4,"")</f>
        <v>2</v>
      </c>
      <c r="W90" s="1">
        <f>IF(Data!W90&gt;0,4-Data!W90,"")</f>
        <v>-2</v>
      </c>
      <c r="X90" s="1">
        <f>IF(Data!X90&gt;0,4-Data!X90,"")</f>
        <v>0</v>
      </c>
      <c r="Y90" s="1">
        <f>IF(Data!Y90&gt;0,4-Data!Y90,"")</f>
        <v>0</v>
      </c>
      <c r="Z90" s="1">
        <f>IF(Data!Z90&gt;0,Data!Z90-4,"")</f>
        <v>-1</v>
      </c>
      <c r="AC90" s="7">
        <f t="shared" si="6"/>
        <v>0.5</v>
      </c>
      <c r="AD90" s="7">
        <f t="shared" si="7"/>
        <v>-0.25</v>
      </c>
      <c r="AE90" s="7">
        <f t="shared" si="8"/>
        <v>0.75</v>
      </c>
      <c r="AF90" s="7">
        <f t="shared" si="9"/>
        <v>1.5</v>
      </c>
      <c r="AG90" s="7">
        <f t="shared" si="10"/>
        <v>1.75</v>
      </c>
      <c r="AH90" s="7">
        <f t="shared" si="11"/>
        <v>-1</v>
      </c>
    </row>
    <row r="91" spans="1:34">
      <c r="A91" s="1">
        <f>IF(Data!A91&gt;0,Data!A91-4,"")</f>
        <v>1</v>
      </c>
      <c r="B91" s="1">
        <f>IF(Data!B91&gt;0,Data!B91-4,"")</f>
        <v>2</v>
      </c>
      <c r="C91" s="1">
        <f>IF(Data!C91&gt;0,4-Data!C91,"")</f>
        <v>1</v>
      </c>
      <c r="D91" s="1">
        <f>IF(Data!D91&gt;0,4-Data!D91,"")</f>
        <v>1</v>
      </c>
      <c r="E91" s="1">
        <f>IF(Data!E91&gt;0,4-Data!E91,"")</f>
        <v>2</v>
      </c>
      <c r="F91" s="1">
        <f>IF(Data!F91&gt;0,Data!F91-4,"")</f>
        <v>1</v>
      </c>
      <c r="G91" s="1">
        <f>IF(Data!G91&gt;0,Data!G91-4,"")</f>
        <v>1</v>
      </c>
      <c r="H91" s="1">
        <f>IF(Data!H91&gt;0,Data!H91-4,"")</f>
        <v>0</v>
      </c>
      <c r="I91" s="1">
        <f>IF(Data!I91&gt;0,4-Data!I91,"")</f>
        <v>2</v>
      </c>
      <c r="J91" s="1">
        <f>IF(Data!J91&gt;0,4-Data!J91,"")</f>
        <v>1</v>
      </c>
      <c r="K91" s="1">
        <f>IF(Data!K91&gt;0,Data!K91-4,"")</f>
        <v>1</v>
      </c>
      <c r="L91" s="1">
        <f>IF(Data!L91&gt;0,4-Data!L91,"")</f>
        <v>2</v>
      </c>
      <c r="M91" s="1">
        <f>IF(Data!M91&gt;0,Data!M91-4,"")</f>
        <v>1</v>
      </c>
      <c r="N91" s="1">
        <f>IF(Data!N91&gt;0,Data!N91-4,"")</f>
        <v>1</v>
      </c>
      <c r="O91" s="1">
        <f>IF(Data!O91&gt;0,Data!O91-4,"")</f>
        <v>2</v>
      </c>
      <c r="P91" s="1">
        <f>IF(Data!P91&gt;0,Data!P91-4,"")</f>
        <v>1</v>
      </c>
      <c r="Q91" s="1">
        <f>IF(Data!Q91&gt;0,4-Data!Q91,"")</f>
        <v>1</v>
      </c>
      <c r="R91" s="1">
        <f>IF(Data!R91&gt;0,4-Data!R91,"")</f>
        <v>1</v>
      </c>
      <c r="S91" s="1">
        <f>IF(Data!S91&gt;0,4-Data!S91,"")</f>
        <v>1</v>
      </c>
      <c r="T91" s="1">
        <f>IF(Data!T91&gt;0,Data!T91-4,"")</f>
        <v>2</v>
      </c>
      <c r="U91" s="1">
        <f>IF(Data!U91&gt;0,4-Data!U91,"")</f>
        <v>2</v>
      </c>
      <c r="V91" s="1">
        <f>IF(Data!V91&gt;0,Data!V91-4,"")</f>
        <v>2</v>
      </c>
      <c r="W91" s="1">
        <f>IF(Data!W91&gt;0,4-Data!W91,"")</f>
        <v>2</v>
      </c>
      <c r="X91" s="1">
        <f>IF(Data!X91&gt;0,4-Data!X91,"")</f>
        <v>1</v>
      </c>
      <c r="Y91" s="1">
        <f>IF(Data!Y91&gt;0,4-Data!Y91,"")</f>
        <v>1</v>
      </c>
      <c r="Z91" s="1">
        <f>IF(Data!Z91&gt;0,Data!Z91-4,"")</f>
        <v>2</v>
      </c>
      <c r="AC91" s="7">
        <f t="shared" si="6"/>
        <v>1.1666666666666667</v>
      </c>
      <c r="AD91" s="7">
        <f t="shared" si="7"/>
        <v>1.5</v>
      </c>
      <c r="AE91" s="7">
        <f t="shared" si="8"/>
        <v>2</v>
      </c>
      <c r="AF91" s="7">
        <f t="shared" si="9"/>
        <v>0.75</v>
      </c>
      <c r="AG91" s="7">
        <f t="shared" si="10"/>
        <v>1.25</v>
      </c>
      <c r="AH91" s="7">
        <f t="shared" si="11"/>
        <v>1.5</v>
      </c>
    </row>
    <row r="92" spans="1:34">
      <c r="A92" s="1">
        <f>IF(Data!A92&gt;0,Data!A92-4,"")</f>
        <v>3</v>
      </c>
      <c r="B92" s="1">
        <f>IF(Data!B92&gt;0,Data!B92-4,"")</f>
        <v>3</v>
      </c>
      <c r="C92" s="1">
        <f>IF(Data!C92&gt;0,4-Data!C92,"")</f>
        <v>3</v>
      </c>
      <c r="D92" s="1">
        <f>IF(Data!D92&gt;0,4-Data!D92,"")</f>
        <v>3</v>
      </c>
      <c r="E92" s="1">
        <f>IF(Data!E92&gt;0,4-Data!E92,"")</f>
        <v>3</v>
      </c>
      <c r="F92" s="1">
        <f>IF(Data!F92&gt;0,Data!F92-4,"")</f>
        <v>3</v>
      </c>
      <c r="G92" s="1">
        <f>IF(Data!G92&gt;0,Data!G92-4,"")</f>
        <v>3</v>
      </c>
      <c r="H92" s="1">
        <f>IF(Data!H92&gt;0,Data!H92-4,"")</f>
        <v>0</v>
      </c>
      <c r="I92" s="1">
        <f>IF(Data!I92&gt;0,4-Data!I92,"")</f>
        <v>3</v>
      </c>
      <c r="J92" s="1">
        <f>IF(Data!J92&gt;0,4-Data!J92,"")</f>
        <v>2</v>
      </c>
      <c r="K92" s="1">
        <f>IF(Data!K92&gt;0,Data!K92-4,"")</f>
        <v>3</v>
      </c>
      <c r="L92" s="1">
        <f>IF(Data!L92&gt;0,4-Data!L92,"")</f>
        <v>3</v>
      </c>
      <c r="M92" s="1">
        <f>IF(Data!M92&gt;0,Data!M92-4,"")</f>
        <v>3</v>
      </c>
      <c r="N92" s="1">
        <f>IF(Data!N92&gt;0,Data!N92-4,"")</f>
        <v>3</v>
      </c>
      <c r="O92" s="1">
        <f>IF(Data!O92&gt;0,Data!O92-4,"")</f>
        <v>3</v>
      </c>
      <c r="P92" s="1">
        <f>IF(Data!P92&gt;0,Data!P92-4,"")</f>
        <v>3</v>
      </c>
      <c r="Q92" s="1">
        <f>IF(Data!Q92&gt;0,4-Data!Q92,"")</f>
        <v>3</v>
      </c>
      <c r="R92" s="1">
        <f>IF(Data!R92&gt;0,4-Data!R92,"")</f>
        <v>3</v>
      </c>
      <c r="S92" s="1">
        <f>IF(Data!S92&gt;0,4-Data!S92,"")</f>
        <v>3</v>
      </c>
      <c r="T92" s="1">
        <f>IF(Data!T92&gt;0,Data!T92-4,"")</f>
        <v>3</v>
      </c>
      <c r="U92" s="1">
        <f>IF(Data!U92&gt;0,4-Data!U92,"")</f>
        <v>3</v>
      </c>
      <c r="V92" s="1">
        <f>IF(Data!V92&gt;0,Data!V92-4,"")</f>
        <v>3</v>
      </c>
      <c r="W92" s="1">
        <f>IF(Data!W92&gt;0,4-Data!W92,"")</f>
        <v>3</v>
      </c>
      <c r="X92" s="1">
        <f>IF(Data!X92&gt;0,4-Data!X92,"")</f>
        <v>3</v>
      </c>
      <c r="Y92" s="1">
        <f>IF(Data!Y92&gt;0,4-Data!Y92,"")</f>
        <v>3</v>
      </c>
      <c r="Z92" s="1">
        <f>IF(Data!Z92&gt;0,Data!Z92-4,"")</f>
        <v>-3</v>
      </c>
      <c r="AC92" s="7">
        <f t="shared" si="6"/>
        <v>3</v>
      </c>
      <c r="AD92" s="7">
        <f t="shared" si="7"/>
        <v>3</v>
      </c>
      <c r="AE92" s="7">
        <f t="shared" si="8"/>
        <v>3</v>
      </c>
      <c r="AF92" s="7">
        <f t="shared" si="9"/>
        <v>2.25</v>
      </c>
      <c r="AG92" s="7">
        <f t="shared" si="10"/>
        <v>3</v>
      </c>
      <c r="AH92" s="7">
        <f t="shared" si="11"/>
        <v>1.25</v>
      </c>
    </row>
    <row r="93" spans="1:34">
      <c r="A93" s="1">
        <f>IF(Data!A93&gt;0,Data!A93-4,"")</f>
        <v>-3</v>
      </c>
      <c r="B93" s="1">
        <f>IF(Data!B93&gt;0,Data!B93-4,"")</f>
        <v>1</v>
      </c>
      <c r="C93" s="1">
        <f>IF(Data!C93&gt;0,4-Data!C93,"")</f>
        <v>1</v>
      </c>
      <c r="D93" s="1">
        <f>IF(Data!D93&gt;0,4-Data!D93,"")</f>
        <v>-1</v>
      </c>
      <c r="E93" s="1">
        <f>IF(Data!E93&gt;0,4-Data!E93,"")</f>
        <v>0</v>
      </c>
      <c r="F93" s="1">
        <f>IF(Data!F93&gt;0,Data!F93-4,"")</f>
        <v>1</v>
      </c>
      <c r="G93" s="1">
        <f>IF(Data!G93&gt;0,Data!G93-4,"")</f>
        <v>0</v>
      </c>
      <c r="H93" s="1">
        <f>IF(Data!H93&gt;0,Data!H93-4,"")</f>
        <v>0</v>
      </c>
      <c r="I93" s="1">
        <f>IF(Data!I93&gt;0,4-Data!I93,"")</f>
        <v>0</v>
      </c>
      <c r="J93" s="1">
        <f>IF(Data!J93&gt;0,4-Data!J93,"")</f>
        <v>-1</v>
      </c>
      <c r="K93" s="1">
        <f>IF(Data!K93&gt;0,Data!K93-4,"")</f>
        <v>-2</v>
      </c>
      <c r="L93" s="1">
        <f>IF(Data!L93&gt;0,4-Data!L93,"")</f>
        <v>-2</v>
      </c>
      <c r="M93" s="1">
        <f>IF(Data!M93&gt;0,Data!M93-4,"")</f>
        <v>0</v>
      </c>
      <c r="N93" s="1">
        <f>IF(Data!N93&gt;0,Data!N93-4,"")</f>
        <v>-3</v>
      </c>
      <c r="O93" s="1">
        <f>IF(Data!O93&gt;0,Data!O93-4,"")</f>
        <v>0</v>
      </c>
      <c r="P93" s="1">
        <f>IF(Data!P93&gt;0,Data!P93-4,"")</f>
        <v>-3</v>
      </c>
      <c r="Q93" s="1">
        <f>IF(Data!Q93&gt;0,4-Data!Q93,"")</f>
        <v>0</v>
      </c>
      <c r="R93" s="1">
        <f>IF(Data!R93&gt;0,4-Data!R93,"")</f>
        <v>-3</v>
      </c>
      <c r="S93" s="1">
        <f>IF(Data!S93&gt;0,4-Data!S93,"")</f>
        <v>-1</v>
      </c>
      <c r="T93" s="1">
        <f>IF(Data!T93&gt;0,Data!T93-4,"")</f>
        <v>0</v>
      </c>
      <c r="U93" s="1">
        <f>IF(Data!U93&gt;0,4-Data!U93,"")</f>
        <v>0</v>
      </c>
      <c r="V93" s="1">
        <f>IF(Data!V93&gt;0,Data!V93-4,"")</f>
        <v>0</v>
      </c>
      <c r="W93" s="1">
        <f>IF(Data!W93&gt;0,4-Data!W93,"")</f>
        <v>0</v>
      </c>
      <c r="X93" s="1">
        <f>IF(Data!X93&gt;0,4-Data!X93,"")</f>
        <v>0</v>
      </c>
      <c r="Y93" s="1">
        <f>IF(Data!Y93&gt;0,4-Data!Y93,"")</f>
        <v>-3</v>
      </c>
      <c r="Z93" s="1">
        <f>IF(Data!Z93&gt;0,Data!Z93-4,"")</f>
        <v>0</v>
      </c>
      <c r="AC93" s="7">
        <f t="shared" si="6"/>
        <v>-2.3333333333333335</v>
      </c>
      <c r="AD93" s="7">
        <f t="shared" si="7"/>
        <v>0</v>
      </c>
      <c r="AE93" s="7">
        <f t="shared" si="8"/>
        <v>0</v>
      </c>
      <c r="AF93" s="7">
        <f t="shared" si="9"/>
        <v>-0.75</v>
      </c>
      <c r="AG93" s="7">
        <f t="shared" si="10"/>
        <v>-0.5</v>
      </c>
      <c r="AH93" s="7">
        <f t="shared" si="11"/>
        <v>0</v>
      </c>
    </row>
    <row r="94" spans="1:34">
      <c r="A94" s="1">
        <f>IF(Data!A94&gt;0,Data!A94-4,"")</f>
        <v>-2</v>
      </c>
      <c r="B94" s="1">
        <f>IF(Data!B94&gt;0,Data!B94-4,"")</f>
        <v>1</v>
      </c>
      <c r="C94" s="1">
        <f>IF(Data!C94&gt;0,4-Data!C94,"")</f>
        <v>-1</v>
      </c>
      <c r="D94" s="1">
        <f>IF(Data!D94&gt;0,4-Data!D94,"")</f>
        <v>0</v>
      </c>
      <c r="E94" s="1">
        <f>IF(Data!E94&gt;0,4-Data!E94,"")</f>
        <v>2</v>
      </c>
      <c r="F94" s="1">
        <f>IF(Data!F94&gt;0,Data!F94-4,"")</f>
        <v>0</v>
      </c>
      <c r="G94" s="1">
        <f>IF(Data!G94&gt;0,Data!G94-4,"")</f>
        <v>-1</v>
      </c>
      <c r="H94" s="1">
        <f>IF(Data!H94&gt;0,Data!H94-4,"")</f>
        <v>-1</v>
      </c>
      <c r="I94" s="1">
        <f>IF(Data!I94&gt;0,4-Data!I94,"")</f>
        <v>3</v>
      </c>
      <c r="J94" s="1">
        <f>IF(Data!J94&gt;0,4-Data!J94,"")</f>
        <v>2</v>
      </c>
      <c r="K94" s="1">
        <f>IF(Data!K94&gt;0,Data!K94-4,"")</f>
        <v>1</v>
      </c>
      <c r="L94" s="1">
        <f>IF(Data!L94&gt;0,4-Data!L94,"")</f>
        <v>2</v>
      </c>
      <c r="M94" s="1">
        <f>IF(Data!M94&gt;0,Data!M94-4,"")</f>
        <v>2</v>
      </c>
      <c r="N94" s="1">
        <f>IF(Data!N94&gt;0,Data!N94-4,"")</f>
        <v>1</v>
      </c>
      <c r="O94" s="1">
        <f>IF(Data!O94&gt;0,Data!O94-4,"")</f>
        <v>1</v>
      </c>
      <c r="P94" s="1">
        <f>IF(Data!P94&gt;0,Data!P94-4,"")</f>
        <v>1</v>
      </c>
      <c r="Q94" s="1">
        <f>IF(Data!Q94&gt;0,4-Data!Q94,"")</f>
        <v>-1</v>
      </c>
      <c r="R94" s="1">
        <f>IF(Data!R94&gt;0,4-Data!R94,"")</f>
        <v>0</v>
      </c>
      <c r="S94" s="1">
        <f>IF(Data!S94&gt;0,4-Data!S94,"")</f>
        <v>2</v>
      </c>
      <c r="T94" s="1">
        <f>IF(Data!T94&gt;0,Data!T94-4,"")</f>
        <v>3</v>
      </c>
      <c r="U94" s="1">
        <f>IF(Data!U94&gt;0,4-Data!U94,"")</f>
        <v>2</v>
      </c>
      <c r="V94" s="1">
        <f>IF(Data!V94&gt;0,Data!V94-4,"")</f>
        <v>3</v>
      </c>
      <c r="W94" s="1">
        <f>IF(Data!W94&gt;0,4-Data!W94,"")</f>
        <v>1</v>
      </c>
      <c r="X94" s="1">
        <f>IF(Data!X94&gt;0,4-Data!X94,"")</f>
        <v>2</v>
      </c>
      <c r="Y94" s="1">
        <f>IF(Data!Y94&gt;0,4-Data!Y94,"")</f>
        <v>2</v>
      </c>
      <c r="Z94" s="1">
        <f>IF(Data!Z94&gt;0,Data!Z94-4,"")</f>
        <v>1</v>
      </c>
      <c r="AC94" s="7">
        <f t="shared" si="6"/>
        <v>1</v>
      </c>
      <c r="AD94" s="7">
        <f t="shared" si="7"/>
        <v>1.25</v>
      </c>
      <c r="AE94" s="7">
        <f t="shared" si="8"/>
        <v>2.5</v>
      </c>
      <c r="AF94" s="7">
        <f t="shared" si="9"/>
        <v>0.25</v>
      </c>
      <c r="AG94" s="7">
        <f t="shared" si="10"/>
        <v>0.25</v>
      </c>
      <c r="AH94" s="7">
        <f t="shared" si="11"/>
        <v>0.75</v>
      </c>
    </row>
    <row r="95" spans="1:34">
      <c r="A95" s="1">
        <f>IF(Data!A95&gt;0,Data!A95-4,"")</f>
        <v>3</v>
      </c>
      <c r="B95" s="1">
        <f>IF(Data!B95&gt;0,Data!B95-4,"")</f>
        <v>3</v>
      </c>
      <c r="C95" s="1">
        <f>IF(Data!C95&gt;0,4-Data!C95,"")</f>
        <v>3</v>
      </c>
      <c r="D95" s="1">
        <f>IF(Data!D95&gt;0,4-Data!D95,"")</f>
        <v>3</v>
      </c>
      <c r="E95" s="1">
        <f>IF(Data!E95&gt;0,4-Data!E95,"")</f>
        <v>3</v>
      </c>
      <c r="F95" s="1">
        <f>IF(Data!F95&gt;0,Data!F95-4,"")</f>
        <v>3</v>
      </c>
      <c r="G95" s="1">
        <f>IF(Data!G95&gt;0,Data!G95-4,"")</f>
        <v>3</v>
      </c>
      <c r="H95" s="1">
        <f>IF(Data!H95&gt;0,Data!H95-4,"")</f>
        <v>0</v>
      </c>
      <c r="I95" s="1">
        <f>IF(Data!I95&gt;0,4-Data!I95,"")</f>
        <v>3</v>
      </c>
      <c r="J95" s="1">
        <f>IF(Data!J95&gt;0,4-Data!J95,"")</f>
        <v>3</v>
      </c>
      <c r="K95" s="1">
        <f>IF(Data!K95&gt;0,Data!K95-4,"")</f>
        <v>3</v>
      </c>
      <c r="L95" s="1">
        <f>IF(Data!L95&gt;0,4-Data!L95,"")</f>
        <v>3</v>
      </c>
      <c r="M95" s="1">
        <f>IF(Data!M95&gt;0,Data!M95-4,"")</f>
        <v>-3</v>
      </c>
      <c r="N95" s="1">
        <f>IF(Data!N95&gt;0,Data!N95-4,"")</f>
        <v>3</v>
      </c>
      <c r="O95" s="1">
        <f>IF(Data!O95&gt;0,Data!O95-4,"")</f>
        <v>3</v>
      </c>
      <c r="P95" s="1">
        <f>IF(Data!P95&gt;0,Data!P95-4,"")</f>
        <v>3</v>
      </c>
      <c r="Q95" s="1">
        <f>IF(Data!Q95&gt;0,4-Data!Q95,"")</f>
        <v>3</v>
      </c>
      <c r="R95" s="1">
        <f>IF(Data!R95&gt;0,4-Data!R95,"")</f>
        <v>3</v>
      </c>
      <c r="S95" s="1">
        <f>IF(Data!S95&gt;0,4-Data!S95,"")</f>
        <v>3</v>
      </c>
      <c r="T95" s="1">
        <f>IF(Data!T95&gt;0,Data!T95-4,"")</f>
        <v>3</v>
      </c>
      <c r="U95" s="1">
        <f>IF(Data!U95&gt;0,4-Data!U95,"")</f>
        <v>3</v>
      </c>
      <c r="V95" s="1">
        <f>IF(Data!V95&gt;0,Data!V95-4,"")</f>
        <v>3</v>
      </c>
      <c r="W95" s="1">
        <f>IF(Data!W95&gt;0,4-Data!W95,"")</f>
        <v>3</v>
      </c>
      <c r="X95" s="1">
        <f>IF(Data!X95&gt;0,4-Data!X95,"")</f>
        <v>3</v>
      </c>
      <c r="Y95" s="1">
        <f>IF(Data!Y95&gt;0,4-Data!Y95,"")</f>
        <v>3</v>
      </c>
      <c r="Z95" s="1">
        <f>IF(Data!Z95&gt;0,Data!Z95-4,"")</f>
        <v>-3</v>
      </c>
      <c r="AC95" s="7">
        <f t="shared" si="6"/>
        <v>3</v>
      </c>
      <c r="AD95" s="7">
        <f t="shared" si="7"/>
        <v>1.5</v>
      </c>
      <c r="AE95" s="7">
        <f t="shared" si="8"/>
        <v>3</v>
      </c>
      <c r="AF95" s="7">
        <f t="shared" si="9"/>
        <v>2.25</v>
      </c>
      <c r="AG95" s="7">
        <f t="shared" si="10"/>
        <v>3</v>
      </c>
      <c r="AH95" s="7">
        <f t="shared" si="11"/>
        <v>1.5</v>
      </c>
    </row>
    <row r="96" spans="1:34">
      <c r="A96" s="1">
        <f>IF(Data!A96&gt;0,Data!A96-4,"")</f>
        <v>2</v>
      </c>
      <c r="B96" s="1">
        <f>IF(Data!B96&gt;0,Data!B96-4,"")</f>
        <v>2</v>
      </c>
      <c r="C96" s="1">
        <f>IF(Data!C96&gt;0,4-Data!C96,"")</f>
        <v>0</v>
      </c>
      <c r="D96" s="1">
        <f>IF(Data!D96&gt;0,4-Data!D96,"")</f>
        <v>2</v>
      </c>
      <c r="E96" s="1">
        <f>IF(Data!E96&gt;0,4-Data!E96,"")</f>
        <v>2</v>
      </c>
      <c r="F96" s="1">
        <f>IF(Data!F96&gt;0,Data!F96-4,"")</f>
        <v>2</v>
      </c>
      <c r="G96" s="1">
        <f>IF(Data!G96&gt;0,Data!G96-4,"")</f>
        <v>2</v>
      </c>
      <c r="H96" s="1">
        <f>IF(Data!H96&gt;0,Data!H96-4,"")</f>
        <v>1</v>
      </c>
      <c r="I96" s="1">
        <f>IF(Data!I96&gt;0,4-Data!I96,"")</f>
        <v>1</v>
      </c>
      <c r="J96" s="1">
        <f>IF(Data!J96&gt;0,4-Data!J96,"")</f>
        <v>2</v>
      </c>
      <c r="K96" s="1">
        <f>IF(Data!K96&gt;0,Data!K96-4,"")</f>
        <v>1</v>
      </c>
      <c r="L96" s="1">
        <f>IF(Data!L96&gt;0,4-Data!L96,"")</f>
        <v>0</v>
      </c>
      <c r="M96" s="1">
        <f>IF(Data!M96&gt;0,Data!M96-4,"")</f>
        <v>3</v>
      </c>
      <c r="N96" s="1">
        <f>IF(Data!N96&gt;0,Data!N96-4,"")</f>
        <v>2</v>
      </c>
      <c r="O96" s="1">
        <f>IF(Data!O96&gt;0,Data!O96-4,"")</f>
        <v>1</v>
      </c>
      <c r="P96" s="1">
        <f>IF(Data!P96&gt;0,Data!P96-4,"")</f>
        <v>1</v>
      </c>
      <c r="Q96" s="1">
        <f>IF(Data!Q96&gt;0,4-Data!Q96,"")</f>
        <v>2</v>
      </c>
      <c r="R96" s="1">
        <f>IF(Data!R96&gt;0,4-Data!R96,"")</f>
        <v>0</v>
      </c>
      <c r="S96" s="1">
        <f>IF(Data!S96&gt;0,4-Data!S96,"")</f>
        <v>1</v>
      </c>
      <c r="T96" s="1">
        <f>IF(Data!T96&gt;0,Data!T96-4,"")</f>
        <v>2</v>
      </c>
      <c r="U96" s="1">
        <f>IF(Data!U96&gt;0,4-Data!U96,"")</f>
        <v>2</v>
      </c>
      <c r="V96" s="1">
        <f>IF(Data!V96&gt;0,Data!V96-4,"")</f>
        <v>2</v>
      </c>
      <c r="W96" s="1">
        <f>IF(Data!W96&gt;0,4-Data!W96,"")</f>
        <v>3</v>
      </c>
      <c r="X96" s="1">
        <f>IF(Data!X96&gt;0,4-Data!X96,"")</f>
        <v>2</v>
      </c>
      <c r="Y96" s="1">
        <f>IF(Data!Y96&gt;0,4-Data!Y96,"")</f>
        <v>2</v>
      </c>
      <c r="Z96" s="1">
        <f>IF(Data!Z96&gt;0,Data!Z96-4,"")</f>
        <v>1</v>
      </c>
      <c r="AC96" s="7">
        <f t="shared" si="6"/>
        <v>1.5</v>
      </c>
      <c r="AD96" s="7">
        <f t="shared" si="7"/>
        <v>2.25</v>
      </c>
      <c r="AE96" s="7">
        <f t="shared" si="8"/>
        <v>2</v>
      </c>
      <c r="AF96" s="7">
        <f t="shared" si="9"/>
        <v>1.25</v>
      </c>
      <c r="AG96" s="7">
        <f t="shared" si="10"/>
        <v>1.5</v>
      </c>
      <c r="AH96" s="7">
        <f t="shared" si="11"/>
        <v>1</v>
      </c>
    </row>
    <row r="97" spans="1:34">
      <c r="A97" s="1">
        <f>IF(Data!A97&gt;0,Data!A97-4,"")</f>
        <v>2</v>
      </c>
      <c r="B97" s="1">
        <f>IF(Data!B97&gt;0,Data!B97-4,"")</f>
        <v>3</v>
      </c>
      <c r="C97" s="1">
        <f>IF(Data!C97&gt;0,4-Data!C97,"")</f>
        <v>2</v>
      </c>
      <c r="D97" s="1">
        <f>IF(Data!D97&gt;0,4-Data!D97,"")</f>
        <v>3</v>
      </c>
      <c r="E97" s="1">
        <f>IF(Data!E97&gt;0,4-Data!E97,"")</f>
        <v>3</v>
      </c>
      <c r="F97" s="1">
        <f>IF(Data!F97&gt;0,Data!F97-4,"")</f>
        <v>2</v>
      </c>
      <c r="G97" s="1">
        <f>IF(Data!G97&gt;0,Data!G97-4,"")</f>
        <v>1</v>
      </c>
      <c r="H97" s="1">
        <f>IF(Data!H97&gt;0,Data!H97-4,"")</f>
        <v>2</v>
      </c>
      <c r="I97" s="1">
        <f>IF(Data!I97&gt;0,4-Data!I97,"")</f>
        <v>0</v>
      </c>
      <c r="J97" s="1">
        <f>IF(Data!J97&gt;0,4-Data!J97,"")</f>
        <v>1</v>
      </c>
      <c r="K97" s="1">
        <f>IF(Data!K97&gt;0,Data!K97-4,"")</f>
        <v>2</v>
      </c>
      <c r="L97" s="1">
        <f>IF(Data!L97&gt;0,4-Data!L97,"")</f>
        <v>3</v>
      </c>
      <c r="M97" s="1">
        <f>IF(Data!M97&gt;0,Data!M97-4,"")</f>
        <v>-1</v>
      </c>
      <c r="N97" s="1">
        <f>IF(Data!N97&gt;0,Data!N97-4,"")</f>
        <v>3</v>
      </c>
      <c r="O97" s="1">
        <f>IF(Data!O97&gt;0,Data!O97-4,"")</f>
        <v>1</v>
      </c>
      <c r="P97" s="1">
        <f>IF(Data!P97&gt;0,Data!P97-4,"")</f>
        <v>2</v>
      </c>
      <c r="Q97" s="1">
        <f>IF(Data!Q97&gt;0,4-Data!Q97,"")</f>
        <v>1</v>
      </c>
      <c r="R97" s="1">
        <f>IF(Data!R97&gt;0,4-Data!R97,"")</f>
        <v>2</v>
      </c>
      <c r="S97" s="1">
        <f>IF(Data!S97&gt;0,4-Data!S97,"")</f>
        <v>3</v>
      </c>
      <c r="T97" s="1">
        <f>IF(Data!T97&gt;0,Data!T97-4,"")</f>
        <v>3</v>
      </c>
      <c r="U97" s="1">
        <f>IF(Data!U97&gt;0,4-Data!U97,"")</f>
        <v>3</v>
      </c>
      <c r="V97" s="1">
        <f>IF(Data!V97&gt;0,Data!V97-4,"")</f>
        <v>3</v>
      </c>
      <c r="W97" s="1">
        <f>IF(Data!W97&gt;0,4-Data!W97,"")</f>
        <v>3</v>
      </c>
      <c r="X97" s="1">
        <f>IF(Data!X97&gt;0,4-Data!X97,"")</f>
        <v>2</v>
      </c>
      <c r="Y97" s="1">
        <f>IF(Data!Y97&gt;0,4-Data!Y97,"")</f>
        <v>3</v>
      </c>
      <c r="Z97" s="1">
        <f>IF(Data!Z97&gt;0,Data!Z97-4,"")</f>
        <v>2</v>
      </c>
      <c r="AC97" s="7">
        <f t="shared" si="6"/>
        <v>2.5</v>
      </c>
      <c r="AD97" s="7">
        <f t="shared" si="7"/>
        <v>2</v>
      </c>
      <c r="AE97" s="7">
        <f t="shared" si="8"/>
        <v>2.25</v>
      </c>
      <c r="AF97" s="7">
        <f t="shared" si="9"/>
        <v>2</v>
      </c>
      <c r="AG97" s="7">
        <f t="shared" si="10"/>
        <v>2</v>
      </c>
      <c r="AH97" s="7">
        <f t="shared" si="11"/>
        <v>1.5</v>
      </c>
    </row>
    <row r="98" spans="1:34">
      <c r="A98" s="1">
        <f>IF(Data!A98&gt;0,Data!A98-4,"")</f>
        <v>3</v>
      </c>
      <c r="B98" s="1">
        <f>IF(Data!B98&gt;0,Data!B98-4,"")</f>
        <v>3</v>
      </c>
      <c r="C98" s="1">
        <f>IF(Data!C98&gt;0,4-Data!C98,"")</f>
        <v>0</v>
      </c>
      <c r="D98" s="1">
        <f>IF(Data!D98&gt;0,4-Data!D98,"")</f>
        <v>3</v>
      </c>
      <c r="E98" s="1">
        <f>IF(Data!E98&gt;0,4-Data!E98,"")</f>
        <v>3</v>
      </c>
      <c r="F98" s="1">
        <f>IF(Data!F98&gt;0,Data!F98-4,"")</f>
        <v>3</v>
      </c>
      <c r="G98" s="1">
        <f>IF(Data!G98&gt;0,Data!G98-4,"")</f>
        <v>3</v>
      </c>
      <c r="H98" s="1">
        <f>IF(Data!H98&gt;0,Data!H98-4,"")</f>
        <v>0</v>
      </c>
      <c r="I98" s="1">
        <f>IF(Data!I98&gt;0,4-Data!I98,"")</f>
        <v>3</v>
      </c>
      <c r="J98" s="1">
        <f>IF(Data!J98&gt;0,4-Data!J98,"")</f>
        <v>3</v>
      </c>
      <c r="K98" s="1">
        <f>IF(Data!K98&gt;0,Data!K98-4,"")</f>
        <v>3</v>
      </c>
      <c r="L98" s="1">
        <f>IF(Data!L98&gt;0,4-Data!L98,"")</f>
        <v>3</v>
      </c>
      <c r="M98" s="1">
        <f>IF(Data!M98&gt;0,Data!M98-4,"")</f>
        <v>3</v>
      </c>
      <c r="N98" s="1">
        <f>IF(Data!N98&gt;0,Data!N98-4,"")</f>
        <v>3</v>
      </c>
      <c r="O98" s="1">
        <f>IF(Data!O98&gt;0,Data!O98-4,"")</f>
        <v>3</v>
      </c>
      <c r="P98" s="1">
        <f>IF(Data!P98&gt;0,Data!P98-4,"")</f>
        <v>3</v>
      </c>
      <c r="Q98" s="1">
        <f>IF(Data!Q98&gt;0,4-Data!Q98,"")</f>
        <v>3</v>
      </c>
      <c r="R98" s="1">
        <f>IF(Data!R98&gt;0,4-Data!R98,"")</f>
        <v>0</v>
      </c>
      <c r="S98" s="1">
        <f>IF(Data!S98&gt;0,4-Data!S98,"")</f>
        <v>3</v>
      </c>
      <c r="T98" s="1">
        <f>IF(Data!T98&gt;0,Data!T98-4,"")</f>
        <v>3</v>
      </c>
      <c r="U98" s="1">
        <f>IF(Data!U98&gt;0,4-Data!U98,"")</f>
        <v>3</v>
      </c>
      <c r="V98" s="1">
        <f>IF(Data!V98&gt;0,Data!V98-4,"")</f>
        <v>3</v>
      </c>
      <c r="W98" s="1">
        <f>IF(Data!W98&gt;0,4-Data!W98,"")</f>
        <v>1</v>
      </c>
      <c r="X98" s="1">
        <f>IF(Data!X98&gt;0,4-Data!X98,"")</f>
        <v>2</v>
      </c>
      <c r="Y98" s="1">
        <f>IF(Data!Y98&gt;0,4-Data!Y98,"")</f>
        <v>3</v>
      </c>
      <c r="Z98" s="1">
        <f>IF(Data!Z98&gt;0,Data!Z98-4,"")</f>
        <v>3</v>
      </c>
      <c r="AC98" s="7">
        <f t="shared" si="6"/>
        <v>2.8333333333333335</v>
      </c>
      <c r="AD98" s="7">
        <f t="shared" si="7"/>
        <v>3</v>
      </c>
      <c r="AE98" s="7">
        <f t="shared" si="8"/>
        <v>2.5</v>
      </c>
      <c r="AF98" s="7">
        <f t="shared" si="9"/>
        <v>2.25</v>
      </c>
      <c r="AG98" s="7">
        <f t="shared" si="10"/>
        <v>2.25</v>
      </c>
      <c r="AH98" s="7">
        <f t="shared" si="11"/>
        <v>2.25</v>
      </c>
    </row>
    <row r="99" spans="1:34">
      <c r="A99" s="1">
        <f>IF(Data!A99&gt;0,Data!A99-4,"")</f>
        <v>2</v>
      </c>
      <c r="B99" s="1">
        <f>IF(Data!B99&gt;0,Data!B99-4,"")</f>
        <v>3</v>
      </c>
      <c r="C99" s="1">
        <f>IF(Data!C99&gt;0,4-Data!C99,"")</f>
        <v>3</v>
      </c>
      <c r="D99" s="1">
        <f>IF(Data!D99&gt;0,4-Data!D99,"")</f>
        <v>3</v>
      </c>
      <c r="E99" s="1">
        <f>IF(Data!E99&gt;0,4-Data!E99,"")</f>
        <v>3</v>
      </c>
      <c r="F99" s="1">
        <f>IF(Data!F99&gt;0,Data!F99-4,"")</f>
        <v>1</v>
      </c>
      <c r="G99" s="1">
        <f>IF(Data!G99&gt;0,Data!G99-4,"")</f>
        <v>1</v>
      </c>
      <c r="H99" s="1">
        <f>IF(Data!H99&gt;0,Data!H99-4,"")</f>
        <v>0</v>
      </c>
      <c r="I99" s="1">
        <f>IF(Data!I99&gt;0,4-Data!I99,"")</f>
        <v>3</v>
      </c>
      <c r="J99" s="1">
        <f>IF(Data!J99&gt;0,4-Data!J99,"")</f>
        <v>1</v>
      </c>
      <c r="K99" s="1">
        <f>IF(Data!K99&gt;0,Data!K99-4,"")</f>
        <v>1</v>
      </c>
      <c r="L99" s="1">
        <f>IF(Data!L99&gt;0,4-Data!L99,"")</f>
        <v>3</v>
      </c>
      <c r="M99" s="1">
        <f>IF(Data!M99&gt;0,Data!M99-4,"")</f>
        <v>3</v>
      </c>
      <c r="N99" s="1">
        <f>IF(Data!N99&gt;0,Data!N99-4,"")</f>
        <v>3</v>
      </c>
      <c r="O99" s="1">
        <f>IF(Data!O99&gt;0,Data!O99-4,"")</f>
        <v>2</v>
      </c>
      <c r="P99" s="1">
        <f>IF(Data!P99&gt;0,Data!P99-4,"")</f>
        <v>3</v>
      </c>
      <c r="Q99" s="1">
        <f>IF(Data!Q99&gt;0,4-Data!Q99,"")</f>
        <v>3</v>
      </c>
      <c r="R99" s="1">
        <f>IF(Data!R99&gt;0,4-Data!R99,"")</f>
        <v>1</v>
      </c>
      <c r="S99" s="1">
        <f>IF(Data!S99&gt;0,4-Data!S99,"")</f>
        <v>0</v>
      </c>
      <c r="T99" s="1">
        <f>IF(Data!T99&gt;0,Data!T99-4,"")</f>
        <v>3</v>
      </c>
      <c r="U99" s="1">
        <f>IF(Data!U99&gt;0,4-Data!U99,"")</f>
        <v>3</v>
      </c>
      <c r="V99" s="1">
        <f>IF(Data!V99&gt;0,Data!V99-4,"")</f>
        <v>3</v>
      </c>
      <c r="W99" s="1">
        <f>IF(Data!W99&gt;0,4-Data!W99,"")</f>
        <v>3</v>
      </c>
      <c r="X99" s="1">
        <f>IF(Data!X99&gt;0,4-Data!X99,"")</f>
        <v>3</v>
      </c>
      <c r="Y99" s="1">
        <f>IF(Data!Y99&gt;0,4-Data!Y99,"")</f>
        <v>0</v>
      </c>
      <c r="Z99" s="1">
        <f>IF(Data!Z99&gt;0,Data!Z99-4,"")</f>
        <v>2</v>
      </c>
      <c r="AC99" s="7">
        <f t="shared" si="6"/>
        <v>2.3333333333333335</v>
      </c>
      <c r="AD99" s="7">
        <f t="shared" si="7"/>
        <v>3</v>
      </c>
      <c r="AE99" s="7">
        <f t="shared" si="8"/>
        <v>3</v>
      </c>
      <c r="AF99" s="7">
        <f t="shared" si="9"/>
        <v>1</v>
      </c>
      <c r="AG99" s="7">
        <f t="shared" si="10"/>
        <v>1.5</v>
      </c>
      <c r="AH99" s="7">
        <f t="shared" si="11"/>
        <v>2</v>
      </c>
    </row>
    <row r="100" spans="1:34">
      <c r="A100" s="1">
        <f>IF(Data!A100&gt;0,Data!A100-4,"")</f>
        <v>1</v>
      </c>
      <c r="B100" s="1">
        <f>IF(Data!B100&gt;0,Data!B100-4,"")</f>
        <v>2</v>
      </c>
      <c r="C100" s="1">
        <f>IF(Data!C100&gt;0,4-Data!C100,"")</f>
        <v>-1</v>
      </c>
      <c r="D100" s="1">
        <f>IF(Data!D100&gt;0,4-Data!D100,"")</f>
        <v>2</v>
      </c>
      <c r="E100" s="1">
        <f>IF(Data!E100&gt;0,4-Data!E100,"")</f>
        <v>2</v>
      </c>
      <c r="F100" s="1">
        <f>IF(Data!F100&gt;0,Data!F100-4,"")</f>
        <v>0</v>
      </c>
      <c r="G100" s="1">
        <f>IF(Data!G100&gt;0,Data!G100-4,"")</f>
        <v>1</v>
      </c>
      <c r="H100" s="1">
        <f>IF(Data!H100&gt;0,Data!H100-4,"")</f>
        <v>1</v>
      </c>
      <c r="I100" s="1">
        <f>IF(Data!I100&gt;0,4-Data!I100,"")</f>
        <v>2</v>
      </c>
      <c r="J100" s="1">
        <f>IF(Data!J100&gt;0,4-Data!J100,"")</f>
        <v>2</v>
      </c>
      <c r="K100" s="1">
        <f>IF(Data!K100&gt;0,Data!K100-4,"")</f>
        <v>-1</v>
      </c>
      <c r="L100" s="1">
        <f>IF(Data!L100&gt;0,4-Data!L100,"")</f>
        <v>1</v>
      </c>
      <c r="M100" s="1">
        <f>IF(Data!M100&gt;0,Data!M100-4,"")</f>
        <v>0</v>
      </c>
      <c r="N100" s="1">
        <f>IF(Data!N100&gt;0,Data!N100-4,"")</f>
        <v>2</v>
      </c>
      <c r="O100" s="1">
        <f>IF(Data!O100&gt;0,Data!O100-4,"")</f>
        <v>2</v>
      </c>
      <c r="P100" s="1">
        <f>IF(Data!P100&gt;0,Data!P100-4,"")</f>
        <v>3</v>
      </c>
      <c r="Q100" s="1">
        <f>IF(Data!Q100&gt;0,4-Data!Q100,"")</f>
        <v>2</v>
      </c>
      <c r="R100" s="1">
        <f>IF(Data!R100&gt;0,4-Data!R100,"")</f>
        <v>1</v>
      </c>
      <c r="S100" s="1">
        <f>IF(Data!S100&gt;0,4-Data!S100,"")</f>
        <v>2</v>
      </c>
      <c r="T100" s="1">
        <f>IF(Data!T100&gt;0,Data!T100-4,"")</f>
        <v>3</v>
      </c>
      <c r="U100" s="1">
        <f>IF(Data!U100&gt;0,4-Data!U100,"")</f>
        <v>1</v>
      </c>
      <c r="V100" s="1">
        <f>IF(Data!V100&gt;0,Data!V100-4,"")</f>
        <v>2</v>
      </c>
      <c r="W100" s="1">
        <f>IF(Data!W100&gt;0,4-Data!W100,"")</f>
        <v>-1</v>
      </c>
      <c r="X100" s="1">
        <f>IF(Data!X100&gt;0,4-Data!X100,"")</f>
        <v>0</v>
      </c>
      <c r="Y100" s="1">
        <f>IF(Data!Y100&gt;0,4-Data!Y100,"")</f>
        <v>1</v>
      </c>
      <c r="Z100" s="1">
        <f>IF(Data!Z100&gt;0,Data!Z100-4,"")</f>
        <v>2</v>
      </c>
      <c r="AC100" s="7">
        <f t="shared" si="6"/>
        <v>1.3333333333333333</v>
      </c>
      <c r="AD100" s="7">
        <f t="shared" si="7"/>
        <v>1.25</v>
      </c>
      <c r="AE100" s="7">
        <f t="shared" si="8"/>
        <v>1.5</v>
      </c>
      <c r="AF100" s="7">
        <f t="shared" si="9"/>
        <v>1</v>
      </c>
      <c r="AG100" s="7">
        <f t="shared" si="10"/>
        <v>1</v>
      </c>
      <c r="AH100" s="7">
        <f t="shared" si="11"/>
        <v>1.25</v>
      </c>
    </row>
    <row r="101" spans="1:34">
      <c r="A101" s="1">
        <f>IF(Data!A101&gt;0,Data!A101-4,"")</f>
        <v>0</v>
      </c>
      <c r="B101" s="1">
        <f>IF(Data!B101&gt;0,Data!B101-4,"")</f>
        <v>2</v>
      </c>
      <c r="C101" s="1">
        <f>IF(Data!C101&gt;0,4-Data!C101,"")</f>
        <v>0</v>
      </c>
      <c r="D101" s="1">
        <f>IF(Data!D101&gt;0,4-Data!D101,"")</f>
        <v>2</v>
      </c>
      <c r="E101" s="1">
        <f>IF(Data!E101&gt;0,4-Data!E101,"")</f>
        <v>1</v>
      </c>
      <c r="F101" s="1">
        <f>IF(Data!F101&gt;0,Data!F101-4,"")</f>
        <v>0</v>
      </c>
      <c r="G101" s="1">
        <f>IF(Data!G101&gt;0,Data!G101-4,"")</f>
        <v>0</v>
      </c>
      <c r="H101" s="1">
        <f>IF(Data!H101&gt;0,Data!H101-4,"")</f>
        <v>3</v>
      </c>
      <c r="I101" s="1">
        <f>IF(Data!I101&gt;0,4-Data!I101,"")</f>
        <v>2</v>
      </c>
      <c r="J101" s="1">
        <f>IF(Data!J101&gt;0,4-Data!J101,"")</f>
        <v>0</v>
      </c>
      <c r="K101" s="1">
        <f>IF(Data!K101&gt;0,Data!K101-4,"")</f>
        <v>0</v>
      </c>
      <c r="L101" s="1">
        <f>IF(Data!L101&gt;0,4-Data!L101,"")</f>
        <v>-1</v>
      </c>
      <c r="M101" s="1">
        <f>IF(Data!M101&gt;0,Data!M101-4,"")</f>
        <v>2</v>
      </c>
      <c r="N101" s="1">
        <f>IF(Data!N101&gt;0,Data!N101-4,"")</f>
        <v>0</v>
      </c>
      <c r="O101" s="1">
        <f>IF(Data!O101&gt;0,Data!O101-4,"")</f>
        <v>-1</v>
      </c>
      <c r="P101" s="1">
        <f>IF(Data!P101&gt;0,Data!P101-4,"")</f>
        <v>1</v>
      </c>
      <c r="Q101" s="1">
        <f>IF(Data!Q101&gt;0,4-Data!Q101,"")</f>
        <v>2</v>
      </c>
      <c r="R101" s="1">
        <f>IF(Data!R101&gt;0,4-Data!R101,"")</f>
        <v>0</v>
      </c>
      <c r="S101" s="1">
        <f>IF(Data!S101&gt;0,4-Data!S101,"")</f>
        <v>1</v>
      </c>
      <c r="T101" s="1">
        <f>IF(Data!T101&gt;0,Data!T101-4,"")</f>
        <v>1</v>
      </c>
      <c r="U101" s="1">
        <f>IF(Data!U101&gt;0,4-Data!U101,"")</f>
        <v>2</v>
      </c>
      <c r="V101" s="1">
        <f>IF(Data!V101&gt;0,Data!V101-4,"")</f>
        <v>2</v>
      </c>
      <c r="W101" s="1">
        <f>IF(Data!W101&gt;0,4-Data!W101,"")</f>
        <v>-2</v>
      </c>
      <c r="X101" s="1">
        <f>IF(Data!X101&gt;0,4-Data!X101,"")</f>
        <v>1</v>
      </c>
      <c r="Y101" s="1">
        <f>IF(Data!Y101&gt;0,4-Data!Y101,"")</f>
        <v>1</v>
      </c>
      <c r="Z101" s="1">
        <f>IF(Data!Z101&gt;0,Data!Z101-4,"")</f>
        <v>0</v>
      </c>
      <c r="AC101" s="7">
        <f t="shared" si="6"/>
        <v>0.33333333333333331</v>
      </c>
      <c r="AD101" s="7">
        <f t="shared" si="7"/>
        <v>2</v>
      </c>
      <c r="AE101" s="7">
        <f t="shared" si="8"/>
        <v>0.75</v>
      </c>
      <c r="AF101" s="7">
        <f t="shared" si="9"/>
        <v>1.5</v>
      </c>
      <c r="AG101" s="7">
        <f t="shared" si="10"/>
        <v>0.25</v>
      </c>
      <c r="AH101" s="7">
        <f t="shared" si="11"/>
        <v>-0.25</v>
      </c>
    </row>
    <row r="102" spans="1:34">
      <c r="A102" s="1">
        <f>IF(Data!A102&gt;0,Data!A102-4,"")</f>
        <v>3</v>
      </c>
      <c r="B102" s="1">
        <f>IF(Data!B102&gt;0,Data!B102-4,"")</f>
        <v>3</v>
      </c>
      <c r="C102" s="1">
        <f>IF(Data!C102&gt;0,4-Data!C102,"")</f>
        <v>2</v>
      </c>
      <c r="D102" s="1">
        <f>IF(Data!D102&gt;0,4-Data!D102,"")</f>
        <v>3</v>
      </c>
      <c r="E102" s="1">
        <f>IF(Data!E102&gt;0,4-Data!E102,"")</f>
        <v>3</v>
      </c>
      <c r="F102" s="1">
        <f>IF(Data!F102&gt;0,Data!F102-4,"")</f>
        <v>3</v>
      </c>
      <c r="G102" s="1">
        <f>IF(Data!G102&gt;0,Data!G102-4,"")</f>
        <v>3</v>
      </c>
      <c r="H102" s="1">
        <f>IF(Data!H102&gt;0,Data!H102-4,"")</f>
        <v>-1</v>
      </c>
      <c r="I102" s="1">
        <f>IF(Data!I102&gt;0,4-Data!I102,"")</f>
        <v>0</v>
      </c>
      <c r="J102" s="1">
        <f>IF(Data!J102&gt;0,4-Data!J102,"")</f>
        <v>2</v>
      </c>
      <c r="K102" s="1">
        <f>IF(Data!K102&gt;0,Data!K102-4,"")</f>
        <v>2</v>
      </c>
      <c r="L102" s="1">
        <f>IF(Data!L102&gt;0,4-Data!L102,"")</f>
        <v>3</v>
      </c>
      <c r="M102" s="1">
        <f>IF(Data!M102&gt;0,Data!M102-4,"")</f>
        <v>3</v>
      </c>
      <c r="N102" s="1">
        <f>IF(Data!N102&gt;0,Data!N102-4,"")</f>
        <v>3</v>
      </c>
      <c r="O102" s="1">
        <f>IF(Data!O102&gt;0,Data!O102-4,"")</f>
        <v>0</v>
      </c>
      <c r="P102" s="1">
        <f>IF(Data!P102&gt;0,Data!P102-4,"")</f>
        <v>3</v>
      </c>
      <c r="Q102" s="1">
        <f>IF(Data!Q102&gt;0,4-Data!Q102,"")</f>
        <v>3</v>
      </c>
      <c r="R102" s="1">
        <f>IF(Data!R102&gt;0,4-Data!R102,"")</f>
        <v>0</v>
      </c>
      <c r="S102" s="1">
        <f>IF(Data!S102&gt;0,4-Data!S102,"")</f>
        <v>3</v>
      </c>
      <c r="T102" s="1">
        <f>IF(Data!T102&gt;0,Data!T102-4,"")</f>
        <v>3</v>
      </c>
      <c r="U102" s="1">
        <f>IF(Data!U102&gt;0,4-Data!U102,"")</f>
        <v>3</v>
      </c>
      <c r="V102" s="1">
        <f>IF(Data!V102&gt;0,Data!V102-4,"")</f>
        <v>3</v>
      </c>
      <c r="W102" s="1">
        <f>IF(Data!W102&gt;0,4-Data!W102,"")</f>
        <v>3</v>
      </c>
      <c r="X102" s="1">
        <f>IF(Data!X102&gt;0,4-Data!X102,"")</f>
        <v>3</v>
      </c>
      <c r="Y102" s="1">
        <f>IF(Data!Y102&gt;0,4-Data!Y102,"")</f>
        <v>3</v>
      </c>
      <c r="Z102" s="1">
        <f>IF(Data!Z102&gt;0,Data!Z102-4,"")</f>
        <v>1</v>
      </c>
      <c r="AC102" s="7">
        <f t="shared" si="6"/>
        <v>3</v>
      </c>
      <c r="AD102" s="7">
        <f t="shared" si="7"/>
        <v>3</v>
      </c>
      <c r="AE102" s="7">
        <f t="shared" si="8"/>
        <v>2.25</v>
      </c>
      <c r="AF102" s="7">
        <f t="shared" si="9"/>
        <v>1.75</v>
      </c>
      <c r="AG102" s="7">
        <f t="shared" si="10"/>
        <v>2.25</v>
      </c>
      <c r="AH102" s="7">
        <f t="shared" si="11"/>
        <v>1.25</v>
      </c>
    </row>
    <row r="103" spans="1:34">
      <c r="A103" s="1">
        <f>IF(Data!A103&gt;0,Data!A103-4,"")</f>
        <v>-2</v>
      </c>
      <c r="B103" s="1">
        <f>IF(Data!B103&gt;0,Data!B103-4,"")</f>
        <v>-2</v>
      </c>
      <c r="C103" s="1">
        <f>IF(Data!C103&gt;0,4-Data!C103,"")</f>
        <v>1</v>
      </c>
      <c r="D103" s="1">
        <f>IF(Data!D103&gt;0,4-Data!D103,"")</f>
        <v>1</v>
      </c>
      <c r="E103" s="1">
        <f>IF(Data!E103&gt;0,4-Data!E103,"")</f>
        <v>2</v>
      </c>
      <c r="F103" s="1">
        <f>IF(Data!F103&gt;0,Data!F103-4,"")</f>
        <v>1</v>
      </c>
      <c r="G103" s="1">
        <f>IF(Data!G103&gt;0,Data!G103-4,"")</f>
        <v>0</v>
      </c>
      <c r="H103" s="1">
        <f>IF(Data!H103&gt;0,Data!H103-4,"")</f>
        <v>-1</v>
      </c>
      <c r="I103" s="1">
        <f>IF(Data!I103&gt;0,4-Data!I103,"")</f>
        <v>2</v>
      </c>
      <c r="J103" s="1">
        <f>IF(Data!J103&gt;0,4-Data!J103,"")</f>
        <v>2</v>
      </c>
      <c r="K103" s="1">
        <f>IF(Data!K103&gt;0,Data!K103-4,"")</f>
        <v>0</v>
      </c>
      <c r="L103" s="1">
        <f>IF(Data!L103&gt;0,4-Data!L103,"")</f>
        <v>2</v>
      </c>
      <c r="M103" s="1">
        <f>IF(Data!M103&gt;0,Data!M103-4,"")</f>
        <v>2</v>
      </c>
      <c r="N103" s="1">
        <f>IF(Data!N103&gt;0,Data!N103-4,"")</f>
        <v>1</v>
      </c>
      <c r="O103" s="1">
        <f>IF(Data!O103&gt;0,Data!O103-4,"")</f>
        <v>2</v>
      </c>
      <c r="P103" s="1">
        <f>IF(Data!P103&gt;0,Data!P103-4,"")</f>
        <v>-3</v>
      </c>
      <c r="Q103" s="1">
        <f>IF(Data!Q103&gt;0,4-Data!Q103,"")</f>
        <v>2</v>
      </c>
      <c r="R103" s="1">
        <f>IF(Data!R103&gt;0,4-Data!R103,"")</f>
        <v>0</v>
      </c>
      <c r="S103" s="1">
        <f>IF(Data!S103&gt;0,4-Data!S103,"")</f>
        <v>2</v>
      </c>
      <c r="T103" s="1">
        <f>IF(Data!T103&gt;0,Data!T103-4,"")</f>
        <v>1</v>
      </c>
      <c r="U103" s="1">
        <f>IF(Data!U103&gt;0,4-Data!U103,"")</f>
        <v>2</v>
      </c>
      <c r="V103" s="1">
        <f>IF(Data!V103&gt;0,Data!V103-4,"")</f>
        <v>3</v>
      </c>
      <c r="W103" s="1">
        <f>IF(Data!W103&gt;0,4-Data!W103,"")</f>
        <v>1</v>
      </c>
      <c r="X103" s="1">
        <f>IF(Data!X103&gt;0,4-Data!X103,"")</f>
        <v>1</v>
      </c>
      <c r="Y103" s="1">
        <f>IF(Data!Y103&gt;0,4-Data!Y103,"")</f>
        <v>0</v>
      </c>
      <c r="Z103" s="1">
        <f>IF(Data!Z103&gt;0,Data!Z103-4,"")</f>
        <v>3</v>
      </c>
      <c r="AC103" s="7">
        <f t="shared" si="6"/>
        <v>-0.16666666666666666</v>
      </c>
      <c r="AD103" s="7">
        <f t="shared" si="7"/>
        <v>0.75</v>
      </c>
      <c r="AE103" s="7">
        <f t="shared" si="8"/>
        <v>1.75</v>
      </c>
      <c r="AF103" s="7">
        <f t="shared" si="9"/>
        <v>0.75</v>
      </c>
      <c r="AG103" s="7">
        <f t="shared" si="10"/>
        <v>0.75</v>
      </c>
      <c r="AH103" s="7">
        <f t="shared" si="11"/>
        <v>2</v>
      </c>
    </row>
    <row r="104" spans="1:34">
      <c r="A104" s="1">
        <f>IF(Data!A104&gt;0,Data!A104-4,"")</f>
        <v>0</v>
      </c>
      <c r="B104" s="1">
        <f>IF(Data!B104&gt;0,Data!B104-4,"")</f>
        <v>2</v>
      </c>
      <c r="C104" s="1">
        <f>IF(Data!C104&gt;0,4-Data!C104,"")</f>
        <v>0</v>
      </c>
      <c r="D104" s="1">
        <f>IF(Data!D104&gt;0,4-Data!D104,"")</f>
        <v>2</v>
      </c>
      <c r="E104" s="1">
        <f>IF(Data!E104&gt;0,4-Data!E104,"")</f>
        <v>3</v>
      </c>
      <c r="F104" s="1">
        <f>IF(Data!F104&gt;0,Data!F104-4,"")</f>
        <v>0</v>
      </c>
      <c r="G104" s="1">
        <f>IF(Data!G104&gt;0,Data!G104-4,"")</f>
        <v>1</v>
      </c>
      <c r="H104" s="1">
        <f>IF(Data!H104&gt;0,Data!H104-4,"")</f>
        <v>2</v>
      </c>
      <c r="I104" s="1">
        <f>IF(Data!I104&gt;0,4-Data!I104,"")</f>
        <v>2</v>
      </c>
      <c r="J104" s="1">
        <f>IF(Data!J104&gt;0,4-Data!J104,"")</f>
        <v>1</v>
      </c>
      <c r="K104" s="1">
        <f>IF(Data!K104&gt;0,Data!K104-4,"")</f>
        <v>3</v>
      </c>
      <c r="L104" s="1">
        <f>IF(Data!L104&gt;0,4-Data!L104,"")</f>
        <v>3</v>
      </c>
      <c r="M104" s="1">
        <f>IF(Data!M104&gt;0,Data!M104-4,"")</f>
        <v>2</v>
      </c>
      <c r="N104" s="1">
        <f>IF(Data!N104&gt;0,Data!N104-4,"")</f>
        <v>2</v>
      </c>
      <c r="O104" s="1">
        <f>IF(Data!O104&gt;0,Data!O104-4,"")</f>
        <v>0</v>
      </c>
      <c r="P104" s="1">
        <f>IF(Data!P104&gt;0,Data!P104-4,"")</f>
        <v>2</v>
      </c>
      <c r="Q104" s="1">
        <f>IF(Data!Q104&gt;0,4-Data!Q104,"")</f>
        <v>2</v>
      </c>
      <c r="R104" s="1">
        <f>IF(Data!R104&gt;0,4-Data!R104,"")</f>
        <v>1</v>
      </c>
      <c r="S104" s="1">
        <f>IF(Data!S104&gt;0,4-Data!S104,"")</f>
        <v>3</v>
      </c>
      <c r="T104" s="1">
        <f>IF(Data!T104&gt;0,Data!T104-4,"")</f>
        <v>3</v>
      </c>
      <c r="U104" s="1">
        <f>IF(Data!U104&gt;0,4-Data!U104,"")</f>
        <v>2</v>
      </c>
      <c r="V104" s="1">
        <f>IF(Data!V104&gt;0,Data!V104-4,"")</f>
        <v>2</v>
      </c>
      <c r="W104" s="1">
        <f>IF(Data!W104&gt;0,4-Data!W104,"")</f>
        <v>2</v>
      </c>
      <c r="X104" s="1">
        <f>IF(Data!X104&gt;0,4-Data!X104,"")</f>
        <v>0</v>
      </c>
      <c r="Y104" s="1">
        <f>IF(Data!Y104&gt;0,4-Data!Y104,"")</f>
        <v>2</v>
      </c>
      <c r="Z104" s="1">
        <f>IF(Data!Z104&gt;0,Data!Z104-4,"")</f>
        <v>0</v>
      </c>
      <c r="AC104" s="7">
        <f t="shared" si="6"/>
        <v>1.5</v>
      </c>
      <c r="AD104" s="7">
        <f t="shared" si="7"/>
        <v>2</v>
      </c>
      <c r="AE104" s="7">
        <f t="shared" si="8"/>
        <v>2.25</v>
      </c>
      <c r="AF104" s="7">
        <f t="shared" si="9"/>
        <v>2.5</v>
      </c>
      <c r="AG104" s="7">
        <f t="shared" si="10"/>
        <v>1.25</v>
      </c>
      <c r="AH104" s="7">
        <f t="shared" si="11"/>
        <v>0.25</v>
      </c>
    </row>
    <row r="105" spans="1:34">
      <c r="A105" s="1">
        <f>IF(Data!A105&gt;0,Data!A105-4,"")</f>
        <v>3</v>
      </c>
      <c r="B105" s="1">
        <f>IF(Data!B105&gt;0,Data!B105-4,"")</f>
        <v>3</v>
      </c>
      <c r="C105" s="1">
        <f>IF(Data!C105&gt;0,4-Data!C105,"")</f>
        <v>-2</v>
      </c>
      <c r="D105" s="1">
        <f>IF(Data!D105&gt;0,4-Data!D105,"")</f>
        <v>0</v>
      </c>
      <c r="E105" s="1">
        <f>IF(Data!E105&gt;0,4-Data!E105,"")</f>
        <v>-3</v>
      </c>
      <c r="F105" s="1">
        <f>IF(Data!F105&gt;0,Data!F105-4,"")</f>
        <v>3</v>
      </c>
      <c r="G105" s="1">
        <f>IF(Data!G105&gt;0,Data!G105-4,"")</f>
        <v>3</v>
      </c>
      <c r="H105" s="1">
        <f>IF(Data!H105&gt;0,Data!H105-4,"")</f>
        <v>3</v>
      </c>
      <c r="I105" s="1">
        <f>IF(Data!I105&gt;0,4-Data!I105,"")</f>
        <v>3</v>
      </c>
      <c r="J105" s="1">
        <f>IF(Data!J105&gt;0,4-Data!J105,"")</f>
        <v>-3</v>
      </c>
      <c r="K105" s="1">
        <f>IF(Data!K105&gt;0,Data!K105-4,"")</f>
        <v>3</v>
      </c>
      <c r="L105" s="1">
        <f>IF(Data!L105&gt;0,4-Data!L105,"")</f>
        <v>3</v>
      </c>
      <c r="M105" s="1">
        <f>IF(Data!M105&gt;0,Data!M105-4,"")</f>
        <v>3</v>
      </c>
      <c r="N105" s="1">
        <f>IF(Data!N105&gt;0,Data!N105-4,"")</f>
        <v>3</v>
      </c>
      <c r="O105" s="1">
        <f>IF(Data!O105&gt;0,Data!O105-4,"")</f>
        <v>0</v>
      </c>
      <c r="P105" s="1">
        <f>IF(Data!P105&gt;0,Data!P105-4,"")</f>
        <v>3</v>
      </c>
      <c r="Q105" s="1">
        <f>IF(Data!Q105&gt;0,4-Data!Q105,"")</f>
        <v>2</v>
      </c>
      <c r="R105" s="1">
        <f>IF(Data!R105&gt;0,4-Data!R105,"")</f>
        <v>2</v>
      </c>
      <c r="S105" s="1">
        <f>IF(Data!S105&gt;0,4-Data!S105,"")</f>
        <v>2</v>
      </c>
      <c r="T105" s="1">
        <f>IF(Data!T105&gt;0,Data!T105-4,"")</f>
        <v>-2</v>
      </c>
      <c r="U105" s="1">
        <f>IF(Data!U105&gt;0,4-Data!U105,"")</f>
        <v>3</v>
      </c>
      <c r="V105" s="1">
        <f>IF(Data!V105&gt;0,Data!V105-4,"")</f>
        <v>3</v>
      </c>
      <c r="W105" s="1">
        <f>IF(Data!W105&gt;0,4-Data!W105,"")</f>
        <v>-3</v>
      </c>
      <c r="X105" s="1">
        <f>IF(Data!X105&gt;0,4-Data!X105,"")</f>
        <v>1</v>
      </c>
      <c r="Y105" s="1">
        <f>IF(Data!Y105&gt;0,4-Data!Y105,"")</f>
        <v>1</v>
      </c>
      <c r="Z105" s="1">
        <f>IF(Data!Z105&gt;0,Data!Z105-4,"")</f>
        <v>-1</v>
      </c>
      <c r="AC105" s="7">
        <f t="shared" si="6"/>
        <v>2.3333333333333335</v>
      </c>
      <c r="AD105" s="7">
        <f t="shared" si="7"/>
        <v>2.25</v>
      </c>
      <c r="AE105" s="7">
        <f t="shared" si="8"/>
        <v>0.25</v>
      </c>
      <c r="AF105" s="7">
        <f t="shared" si="9"/>
        <v>2.5</v>
      </c>
      <c r="AG105" s="7">
        <f t="shared" si="10"/>
        <v>1.25</v>
      </c>
      <c r="AH105" s="7">
        <f t="shared" si="11"/>
        <v>-1.5</v>
      </c>
    </row>
    <row r="106" spans="1:34">
      <c r="A106" s="1">
        <f>IF(Data!A106&gt;0,Data!A106-4,"")</f>
        <v>3</v>
      </c>
      <c r="B106" s="1">
        <f>IF(Data!B106&gt;0,Data!B106-4,"")</f>
        <v>3</v>
      </c>
      <c r="C106" s="1">
        <f>IF(Data!C106&gt;0,4-Data!C106,"")</f>
        <v>3</v>
      </c>
      <c r="D106" s="1">
        <f>IF(Data!D106&gt;0,4-Data!D106,"")</f>
        <v>3</v>
      </c>
      <c r="E106" s="1">
        <f>IF(Data!E106&gt;0,4-Data!E106,"")</f>
        <v>3</v>
      </c>
      <c r="F106" s="1">
        <f>IF(Data!F106&gt;0,Data!F106-4,"")</f>
        <v>3</v>
      </c>
      <c r="G106" s="1">
        <f>IF(Data!G106&gt;0,Data!G106-4,"")</f>
        <v>3</v>
      </c>
      <c r="H106" s="1">
        <f>IF(Data!H106&gt;0,Data!H106-4,"")</f>
        <v>3</v>
      </c>
      <c r="I106" s="1">
        <f>IF(Data!I106&gt;0,4-Data!I106,"")</f>
        <v>3</v>
      </c>
      <c r="J106" s="1">
        <f>IF(Data!J106&gt;0,4-Data!J106,"")</f>
        <v>3</v>
      </c>
      <c r="K106" s="1">
        <f>IF(Data!K106&gt;0,Data!K106-4,"")</f>
        <v>3</v>
      </c>
      <c r="L106" s="1">
        <f>IF(Data!L106&gt;0,4-Data!L106,"")</f>
        <v>3</v>
      </c>
      <c r="M106" s="1">
        <f>IF(Data!M106&gt;0,Data!M106-4,"")</f>
        <v>3</v>
      </c>
      <c r="N106" s="1">
        <f>IF(Data!N106&gt;0,Data!N106-4,"")</f>
        <v>3</v>
      </c>
      <c r="O106" s="1">
        <f>IF(Data!O106&gt;0,Data!O106-4,"")</f>
        <v>3</v>
      </c>
      <c r="P106" s="1">
        <f>IF(Data!P106&gt;0,Data!P106-4,"")</f>
        <v>3</v>
      </c>
      <c r="Q106" s="1">
        <f>IF(Data!Q106&gt;0,4-Data!Q106,"")</f>
        <v>3</v>
      </c>
      <c r="R106" s="1">
        <f>IF(Data!R106&gt;0,4-Data!R106,"")</f>
        <v>3</v>
      </c>
      <c r="S106" s="1">
        <f>IF(Data!S106&gt;0,4-Data!S106,"")</f>
        <v>3</v>
      </c>
      <c r="T106" s="1">
        <f>IF(Data!T106&gt;0,Data!T106-4,"")</f>
        <v>3</v>
      </c>
      <c r="U106" s="1">
        <f>IF(Data!U106&gt;0,4-Data!U106,"")</f>
        <v>3</v>
      </c>
      <c r="V106" s="1">
        <f>IF(Data!V106&gt;0,Data!V106-4,"")</f>
        <v>3</v>
      </c>
      <c r="W106" s="1">
        <f>IF(Data!W106&gt;0,4-Data!W106,"")</f>
        <v>3</v>
      </c>
      <c r="X106" s="1">
        <f>IF(Data!X106&gt;0,4-Data!X106,"")</f>
        <v>3</v>
      </c>
      <c r="Y106" s="1">
        <f>IF(Data!Y106&gt;0,4-Data!Y106,"")</f>
        <v>3</v>
      </c>
      <c r="Z106" s="1">
        <f>IF(Data!Z106&gt;0,Data!Z106-4,"")</f>
        <v>-3</v>
      </c>
      <c r="AC106" s="7">
        <f t="shared" si="6"/>
        <v>3</v>
      </c>
      <c r="AD106" s="7">
        <f t="shared" si="7"/>
        <v>3</v>
      </c>
      <c r="AE106" s="7">
        <f t="shared" si="8"/>
        <v>3</v>
      </c>
      <c r="AF106" s="7">
        <f t="shared" si="9"/>
        <v>3</v>
      </c>
      <c r="AG106" s="7">
        <f t="shared" si="10"/>
        <v>3</v>
      </c>
      <c r="AH106" s="7">
        <f t="shared" si="11"/>
        <v>1.5</v>
      </c>
    </row>
    <row r="107" spans="1:34">
      <c r="A107" s="1">
        <f>IF(Data!A107&gt;0,Data!A107-4,"")</f>
        <v>2</v>
      </c>
      <c r="B107" s="1">
        <f>IF(Data!B107&gt;0,Data!B107-4,"")</f>
        <v>3</v>
      </c>
      <c r="C107" s="1">
        <f>IF(Data!C107&gt;0,4-Data!C107,"")</f>
        <v>2</v>
      </c>
      <c r="D107" s="1">
        <f>IF(Data!D107&gt;0,4-Data!D107,"")</f>
        <v>1</v>
      </c>
      <c r="E107" s="1">
        <f>IF(Data!E107&gt;0,4-Data!E107,"")</f>
        <v>3</v>
      </c>
      <c r="F107" s="1">
        <f>IF(Data!F107&gt;0,Data!F107-4,"")</f>
        <v>2</v>
      </c>
      <c r="G107" s="1">
        <f>IF(Data!G107&gt;0,Data!G107-4,"")</f>
        <v>3</v>
      </c>
      <c r="H107" s="1">
        <f>IF(Data!H107&gt;0,Data!H107-4,"")</f>
        <v>0</v>
      </c>
      <c r="I107" s="1">
        <f>IF(Data!I107&gt;0,4-Data!I107,"")</f>
        <v>2</v>
      </c>
      <c r="J107" s="1">
        <f>IF(Data!J107&gt;0,4-Data!J107,"")</f>
        <v>2</v>
      </c>
      <c r="K107" s="1">
        <f>IF(Data!K107&gt;0,Data!K107-4,"")</f>
        <v>2</v>
      </c>
      <c r="L107" s="1">
        <f>IF(Data!L107&gt;0,4-Data!L107,"")</f>
        <v>3</v>
      </c>
      <c r="M107" s="1">
        <f>IF(Data!M107&gt;0,Data!M107-4,"")</f>
        <v>3</v>
      </c>
      <c r="N107" s="1">
        <f>IF(Data!N107&gt;0,Data!N107-4,"")</f>
        <v>2</v>
      </c>
      <c r="O107" s="1">
        <f>IF(Data!O107&gt;0,Data!O107-4,"")</f>
        <v>2</v>
      </c>
      <c r="P107" s="1">
        <f>IF(Data!P107&gt;0,Data!P107-4,"")</f>
        <v>3</v>
      </c>
      <c r="Q107" s="1">
        <f>IF(Data!Q107&gt;0,4-Data!Q107,"")</f>
        <v>1</v>
      </c>
      <c r="R107" s="1">
        <f>IF(Data!R107&gt;0,4-Data!R107,"")</f>
        <v>1</v>
      </c>
      <c r="S107" s="1">
        <f>IF(Data!S107&gt;0,4-Data!S107,"")</f>
        <v>2</v>
      </c>
      <c r="T107" s="1">
        <f>IF(Data!T107&gt;0,Data!T107-4,"")</f>
        <v>2</v>
      </c>
      <c r="U107" s="1">
        <f>IF(Data!U107&gt;0,4-Data!U107,"")</f>
        <v>2</v>
      </c>
      <c r="V107" s="1">
        <f>IF(Data!V107&gt;0,Data!V107-4,"")</f>
        <v>2</v>
      </c>
      <c r="W107" s="1">
        <f>IF(Data!W107&gt;0,4-Data!W107,"")</f>
        <v>3</v>
      </c>
      <c r="X107" s="1">
        <f>IF(Data!X107&gt;0,4-Data!X107,"")</f>
        <v>2</v>
      </c>
      <c r="Y107" s="1">
        <f>IF(Data!Y107&gt;0,4-Data!Y107,"")</f>
        <v>2</v>
      </c>
      <c r="Z107" s="1">
        <f>IF(Data!Z107&gt;0,Data!Z107-4,"")</f>
        <v>2</v>
      </c>
      <c r="AC107" s="7">
        <f t="shared" si="6"/>
        <v>2.3333333333333335</v>
      </c>
      <c r="AD107" s="7">
        <f t="shared" si="7"/>
        <v>2.25</v>
      </c>
      <c r="AE107" s="7">
        <f t="shared" si="8"/>
        <v>2.25</v>
      </c>
      <c r="AF107" s="7">
        <f t="shared" si="9"/>
        <v>1.25</v>
      </c>
      <c r="AG107" s="7">
        <f t="shared" si="10"/>
        <v>2.25</v>
      </c>
      <c r="AH107" s="7">
        <f t="shared" si="11"/>
        <v>2</v>
      </c>
    </row>
    <row r="108" spans="1:34">
      <c r="A108" s="1">
        <f>IF(Data!A108&gt;0,Data!A108-4,"")</f>
        <v>3</v>
      </c>
      <c r="B108" s="1">
        <f>IF(Data!B108&gt;0,Data!B108-4,"")</f>
        <v>3</v>
      </c>
      <c r="C108" s="1">
        <f>IF(Data!C108&gt;0,4-Data!C108,"")</f>
        <v>3</v>
      </c>
      <c r="D108" s="1">
        <f>IF(Data!D108&gt;0,4-Data!D108,"")</f>
        <v>3</v>
      </c>
      <c r="E108" s="1">
        <f>IF(Data!E108&gt;0,4-Data!E108,"")</f>
        <v>0</v>
      </c>
      <c r="F108" s="1">
        <f>IF(Data!F108&gt;0,Data!F108-4,"")</f>
        <v>0</v>
      </c>
      <c r="G108" s="1">
        <f>IF(Data!G108&gt;0,Data!G108-4,"")</f>
        <v>3</v>
      </c>
      <c r="H108" s="1">
        <f>IF(Data!H108&gt;0,Data!H108-4,"")</f>
        <v>0</v>
      </c>
      <c r="I108" s="1">
        <f>IF(Data!I108&gt;0,4-Data!I108,"")</f>
        <v>2</v>
      </c>
      <c r="J108" s="1">
        <f>IF(Data!J108&gt;0,4-Data!J108,"")</f>
        <v>-2</v>
      </c>
      <c r="K108" s="1">
        <f>IF(Data!K108&gt;0,Data!K108-4,"")</f>
        <v>3</v>
      </c>
      <c r="L108" s="1">
        <f>IF(Data!L108&gt;0,4-Data!L108,"")</f>
        <v>3</v>
      </c>
      <c r="M108" s="1">
        <f>IF(Data!M108&gt;0,Data!M108-4,"")</f>
        <v>3</v>
      </c>
      <c r="N108" s="1">
        <f>IF(Data!N108&gt;0,Data!N108-4,"")</f>
        <v>2</v>
      </c>
      <c r="O108" s="1">
        <f>IF(Data!O108&gt;0,Data!O108-4,"")</f>
        <v>2</v>
      </c>
      <c r="P108" s="1">
        <f>IF(Data!P108&gt;0,Data!P108-4,"")</f>
        <v>3</v>
      </c>
      <c r="Q108" s="1">
        <f>IF(Data!Q108&gt;0,4-Data!Q108,"")</f>
        <v>1</v>
      </c>
      <c r="R108" s="1">
        <f>IF(Data!R108&gt;0,4-Data!R108,"")</f>
        <v>1</v>
      </c>
      <c r="S108" s="1">
        <f>IF(Data!S108&gt;0,4-Data!S108,"")</f>
        <v>3</v>
      </c>
      <c r="T108" s="1">
        <f>IF(Data!T108&gt;0,Data!T108-4,"")</f>
        <v>2</v>
      </c>
      <c r="U108" s="1">
        <f>IF(Data!U108&gt;0,4-Data!U108,"")</f>
        <v>3</v>
      </c>
      <c r="V108" s="1">
        <f>IF(Data!V108&gt;0,Data!V108-4,"")</f>
        <v>3</v>
      </c>
      <c r="W108" s="1">
        <f>IF(Data!W108&gt;0,4-Data!W108,"")</f>
        <v>3</v>
      </c>
      <c r="X108" s="1">
        <f>IF(Data!X108&gt;0,4-Data!X108,"")</f>
        <v>1</v>
      </c>
      <c r="Y108" s="1">
        <f>IF(Data!Y108&gt;0,4-Data!Y108,"")</f>
        <v>3</v>
      </c>
      <c r="Z108" s="1">
        <f>IF(Data!Z108&gt;0,Data!Z108-4,"")</f>
        <v>-2</v>
      </c>
      <c r="AC108" s="7">
        <f t="shared" si="6"/>
        <v>2.5</v>
      </c>
      <c r="AD108" s="7">
        <f t="shared" si="7"/>
        <v>3</v>
      </c>
      <c r="AE108" s="7">
        <f t="shared" si="8"/>
        <v>2.5</v>
      </c>
      <c r="AF108" s="7">
        <f t="shared" si="9"/>
        <v>1.75</v>
      </c>
      <c r="AG108" s="7">
        <f t="shared" si="10"/>
        <v>1</v>
      </c>
      <c r="AH108" s="7">
        <f t="shared" si="11"/>
        <v>0.25</v>
      </c>
    </row>
    <row r="109" spans="1:34">
      <c r="A109" s="1">
        <f>IF(Data!A109&gt;0,Data!A109-4,"")</f>
        <v>3</v>
      </c>
      <c r="B109" s="1">
        <f>IF(Data!B109&gt;0,Data!B109-4,"")</f>
        <v>3</v>
      </c>
      <c r="C109" s="1">
        <f>IF(Data!C109&gt;0,4-Data!C109,"")</f>
        <v>1</v>
      </c>
      <c r="D109" s="1">
        <f>IF(Data!D109&gt;0,4-Data!D109,"")</f>
        <v>3</v>
      </c>
      <c r="E109" s="1">
        <f>IF(Data!E109&gt;0,4-Data!E109,"")</f>
        <v>3</v>
      </c>
      <c r="F109" s="1">
        <f>IF(Data!F109&gt;0,Data!F109-4,"")</f>
        <v>2</v>
      </c>
      <c r="G109" s="1">
        <f>IF(Data!G109&gt;0,Data!G109-4,"")</f>
        <v>2</v>
      </c>
      <c r="H109" s="1">
        <f>IF(Data!H109&gt;0,Data!H109-4,"")</f>
        <v>1</v>
      </c>
      <c r="I109" s="1">
        <f>IF(Data!I109&gt;0,4-Data!I109,"")</f>
        <v>2</v>
      </c>
      <c r="J109" s="1">
        <f>IF(Data!J109&gt;0,4-Data!J109,"")</f>
        <v>1</v>
      </c>
      <c r="K109" s="1">
        <f>IF(Data!K109&gt;0,Data!K109-4,"")</f>
        <v>3</v>
      </c>
      <c r="L109" s="1">
        <f>IF(Data!L109&gt;0,4-Data!L109,"")</f>
        <v>3</v>
      </c>
      <c r="M109" s="1">
        <f>IF(Data!M109&gt;0,Data!M109-4,"")</f>
        <v>3</v>
      </c>
      <c r="N109" s="1">
        <f>IF(Data!N109&gt;0,Data!N109-4,"")</f>
        <v>3</v>
      </c>
      <c r="O109" s="1">
        <f>IF(Data!O109&gt;0,Data!O109-4,"")</f>
        <v>-2</v>
      </c>
      <c r="P109" s="1">
        <f>IF(Data!P109&gt;0,Data!P109-4,"")</f>
        <v>2</v>
      </c>
      <c r="Q109" s="1">
        <f>IF(Data!Q109&gt;0,4-Data!Q109,"")</f>
        <v>3</v>
      </c>
      <c r="R109" s="1">
        <f>IF(Data!R109&gt;0,4-Data!R109,"")</f>
        <v>2</v>
      </c>
      <c r="S109" s="1">
        <f>IF(Data!S109&gt;0,4-Data!S109,"")</f>
        <v>2</v>
      </c>
      <c r="T109" s="1">
        <f>IF(Data!T109&gt;0,Data!T109-4,"")</f>
        <v>3</v>
      </c>
      <c r="U109" s="1">
        <f>IF(Data!U109&gt;0,4-Data!U109,"")</f>
        <v>3</v>
      </c>
      <c r="V109" s="1">
        <f>IF(Data!V109&gt;0,Data!V109-4,"")</f>
        <v>3</v>
      </c>
      <c r="W109" s="1">
        <f>IF(Data!W109&gt;0,4-Data!W109,"")</f>
        <v>3</v>
      </c>
      <c r="X109" s="1">
        <f>IF(Data!X109&gt;0,4-Data!X109,"")</f>
        <v>3</v>
      </c>
      <c r="Y109" s="1">
        <f>IF(Data!Y109&gt;0,4-Data!Y109,"")</f>
        <v>3</v>
      </c>
      <c r="Z109" s="1">
        <f>IF(Data!Z109&gt;0,Data!Z109-4,"")</f>
        <v>-1</v>
      </c>
      <c r="AC109" s="7">
        <f t="shared" si="6"/>
        <v>2.8333333333333335</v>
      </c>
      <c r="AD109" s="7">
        <f t="shared" si="7"/>
        <v>3</v>
      </c>
      <c r="AE109" s="7">
        <f t="shared" si="8"/>
        <v>2.75</v>
      </c>
      <c r="AF109" s="7">
        <f t="shared" si="9"/>
        <v>2.25</v>
      </c>
      <c r="AG109" s="7">
        <f t="shared" si="10"/>
        <v>2.25</v>
      </c>
      <c r="AH109" s="7">
        <f t="shared" si="11"/>
        <v>-0.25</v>
      </c>
    </row>
    <row r="110" spans="1:34">
      <c r="A110" s="1">
        <f>IF(Data!A110&gt;0,Data!A110-4,"")</f>
        <v>3</v>
      </c>
      <c r="B110" s="1">
        <f>IF(Data!B110&gt;0,Data!B110-4,"")</f>
        <v>3</v>
      </c>
      <c r="C110" s="1">
        <f>IF(Data!C110&gt;0,4-Data!C110,"")</f>
        <v>3</v>
      </c>
      <c r="D110" s="1">
        <f>IF(Data!D110&gt;0,4-Data!D110,"")</f>
        <v>3</v>
      </c>
      <c r="E110" s="1">
        <f>IF(Data!E110&gt;0,4-Data!E110,"")</f>
        <v>3</v>
      </c>
      <c r="F110" s="1">
        <f>IF(Data!F110&gt;0,Data!F110-4,"")</f>
        <v>3</v>
      </c>
      <c r="G110" s="1">
        <f>IF(Data!G110&gt;0,Data!G110-4,"")</f>
        <v>2</v>
      </c>
      <c r="H110" s="1">
        <f>IF(Data!H110&gt;0,Data!H110-4,"")</f>
        <v>0</v>
      </c>
      <c r="I110" s="1">
        <f>IF(Data!I110&gt;0,4-Data!I110,"")</f>
        <v>3</v>
      </c>
      <c r="J110" s="1">
        <f>IF(Data!J110&gt;0,4-Data!J110,"")</f>
        <v>3</v>
      </c>
      <c r="K110" s="1">
        <f>IF(Data!K110&gt;0,Data!K110-4,"")</f>
        <v>3</v>
      </c>
      <c r="L110" s="1">
        <f>IF(Data!L110&gt;0,4-Data!L110,"")</f>
        <v>3</v>
      </c>
      <c r="M110" s="1">
        <f>IF(Data!M110&gt;0,Data!M110-4,"")</f>
        <v>2</v>
      </c>
      <c r="N110" s="1">
        <f>IF(Data!N110&gt;0,Data!N110-4,"")</f>
        <v>3</v>
      </c>
      <c r="O110" s="1">
        <f>IF(Data!O110&gt;0,Data!O110-4,"")</f>
        <v>3</v>
      </c>
      <c r="P110" s="1">
        <f>IF(Data!P110&gt;0,Data!P110-4,"")</f>
        <v>3</v>
      </c>
      <c r="Q110" s="1">
        <f>IF(Data!Q110&gt;0,4-Data!Q110,"")</f>
        <v>3</v>
      </c>
      <c r="R110" s="1">
        <f>IF(Data!R110&gt;0,4-Data!R110,"")</f>
        <v>1</v>
      </c>
      <c r="S110" s="1">
        <f>IF(Data!S110&gt;0,4-Data!S110,"")</f>
        <v>3</v>
      </c>
      <c r="T110" s="1">
        <f>IF(Data!T110&gt;0,Data!T110-4,"")</f>
        <v>3</v>
      </c>
      <c r="U110" s="1">
        <f>IF(Data!U110&gt;0,4-Data!U110,"")</f>
        <v>3</v>
      </c>
      <c r="V110" s="1">
        <f>IF(Data!V110&gt;0,Data!V110-4,"")</f>
        <v>3</v>
      </c>
      <c r="W110" s="1">
        <f>IF(Data!W110&gt;0,4-Data!W110,"")</f>
        <v>2</v>
      </c>
      <c r="X110" s="1">
        <f>IF(Data!X110&gt;0,4-Data!X110,"")</f>
        <v>3</v>
      </c>
      <c r="Y110" s="1">
        <f>IF(Data!Y110&gt;0,4-Data!Y110,"")</f>
        <v>3</v>
      </c>
      <c r="Z110" s="1">
        <f>IF(Data!Z110&gt;0,Data!Z110-4,"")</f>
        <v>0</v>
      </c>
      <c r="AC110" s="7">
        <f t="shared" si="6"/>
        <v>3</v>
      </c>
      <c r="AD110" s="7">
        <f t="shared" si="7"/>
        <v>2.75</v>
      </c>
      <c r="AE110" s="7">
        <f t="shared" si="8"/>
        <v>2.75</v>
      </c>
      <c r="AF110" s="7">
        <f t="shared" si="9"/>
        <v>2.25</v>
      </c>
      <c r="AG110" s="7">
        <f t="shared" si="10"/>
        <v>2.25</v>
      </c>
      <c r="AH110" s="7">
        <f t="shared" si="11"/>
        <v>2.25</v>
      </c>
    </row>
    <row r="111" spans="1:34">
      <c r="A111" s="1">
        <f>IF(Data!A111&gt;0,Data!A111-4,"")</f>
        <v>2</v>
      </c>
      <c r="B111" s="1">
        <f>IF(Data!B111&gt;0,Data!B111-4,"")</f>
        <v>2</v>
      </c>
      <c r="C111" s="1">
        <f>IF(Data!C111&gt;0,4-Data!C111,"")</f>
        <v>1</v>
      </c>
      <c r="D111" s="1">
        <f>IF(Data!D111&gt;0,4-Data!D111,"")</f>
        <v>2</v>
      </c>
      <c r="E111" s="1">
        <f>IF(Data!E111&gt;0,4-Data!E111,"")</f>
        <v>2</v>
      </c>
      <c r="F111" s="1">
        <f>IF(Data!F111&gt;0,Data!F111-4,"")</f>
        <v>0</v>
      </c>
      <c r="G111" s="1">
        <f>IF(Data!G111&gt;0,Data!G111-4,"")</f>
        <v>1</v>
      </c>
      <c r="H111" s="1">
        <f>IF(Data!H111&gt;0,Data!H111-4,"")</f>
        <v>0</v>
      </c>
      <c r="I111" s="1">
        <f>IF(Data!I111&gt;0,4-Data!I111,"")</f>
        <v>2</v>
      </c>
      <c r="J111" s="1">
        <f>IF(Data!J111&gt;0,4-Data!J111,"")</f>
        <v>2</v>
      </c>
      <c r="K111" s="1">
        <f>IF(Data!K111&gt;0,Data!K111-4,"")</f>
        <v>0</v>
      </c>
      <c r="L111" s="1">
        <f>IF(Data!L111&gt;0,4-Data!L111,"")</f>
        <v>2</v>
      </c>
      <c r="M111" s="1">
        <f>IF(Data!M111&gt;0,Data!M111-4,"")</f>
        <v>1</v>
      </c>
      <c r="N111" s="1">
        <f>IF(Data!N111&gt;0,Data!N111-4,"")</f>
        <v>1</v>
      </c>
      <c r="O111" s="1">
        <f>IF(Data!O111&gt;0,Data!O111-4,"")</f>
        <v>2</v>
      </c>
      <c r="P111" s="1">
        <f>IF(Data!P111&gt;0,Data!P111-4,"")</f>
        <v>1</v>
      </c>
      <c r="Q111" s="1">
        <f>IF(Data!Q111&gt;0,4-Data!Q111,"")</f>
        <v>1</v>
      </c>
      <c r="R111" s="1">
        <f>IF(Data!R111&gt;0,4-Data!R111,"")</f>
        <v>1</v>
      </c>
      <c r="S111" s="1">
        <f>IF(Data!S111&gt;0,4-Data!S111,"")</f>
        <v>1</v>
      </c>
      <c r="T111" s="1">
        <f>IF(Data!T111&gt;0,Data!T111-4,"")</f>
        <v>2</v>
      </c>
      <c r="U111" s="1">
        <f>IF(Data!U111&gt;0,4-Data!U111,"")</f>
        <v>0</v>
      </c>
      <c r="V111" s="1">
        <f>IF(Data!V111&gt;0,Data!V111-4,"")</f>
        <v>3</v>
      </c>
      <c r="W111" s="1">
        <f>IF(Data!W111&gt;0,4-Data!W111,"")</f>
        <v>1</v>
      </c>
      <c r="X111" s="1">
        <f>IF(Data!X111&gt;0,4-Data!X111,"")</f>
        <v>1</v>
      </c>
      <c r="Y111" s="1">
        <f>IF(Data!Y111&gt;0,4-Data!Y111,"")</f>
        <v>1</v>
      </c>
      <c r="Z111" s="1">
        <f>IF(Data!Z111&gt;0,Data!Z111-4,"")</f>
        <v>1</v>
      </c>
      <c r="AC111" s="7">
        <f t="shared" si="6"/>
        <v>1.3333333333333333</v>
      </c>
      <c r="AD111" s="7">
        <f t="shared" si="7"/>
        <v>1.25</v>
      </c>
      <c r="AE111" s="7">
        <f t="shared" si="8"/>
        <v>2</v>
      </c>
      <c r="AF111" s="7">
        <f t="shared" si="9"/>
        <v>0.5</v>
      </c>
      <c r="AG111" s="7">
        <f t="shared" si="10"/>
        <v>1</v>
      </c>
      <c r="AH111" s="7">
        <f t="shared" si="11"/>
        <v>1.5</v>
      </c>
    </row>
    <row r="112" spans="1:34">
      <c r="A112" s="1">
        <f>IF(Data!A112&gt;0,Data!A112-4,"")</f>
        <v>2</v>
      </c>
      <c r="B112" s="1">
        <f>IF(Data!B112&gt;0,Data!B112-4,"")</f>
        <v>1</v>
      </c>
      <c r="C112" s="1">
        <f>IF(Data!C112&gt;0,4-Data!C112,"")</f>
        <v>1</v>
      </c>
      <c r="D112" s="1">
        <f>IF(Data!D112&gt;0,4-Data!D112,"")</f>
        <v>1</v>
      </c>
      <c r="E112" s="1">
        <f>IF(Data!E112&gt;0,4-Data!E112,"")</f>
        <v>2</v>
      </c>
      <c r="F112" s="1">
        <f>IF(Data!F112&gt;0,Data!F112-4,"")</f>
        <v>0</v>
      </c>
      <c r="G112" s="1">
        <f>IF(Data!G112&gt;0,Data!G112-4,"")</f>
        <v>0</v>
      </c>
      <c r="H112" s="1">
        <f>IF(Data!H112&gt;0,Data!H112-4,"")</f>
        <v>2</v>
      </c>
      <c r="I112" s="1">
        <f>IF(Data!I112&gt;0,4-Data!I112,"")</f>
        <v>2</v>
      </c>
      <c r="J112" s="1">
        <f>IF(Data!J112&gt;0,4-Data!J112,"")</f>
        <v>1</v>
      </c>
      <c r="K112" s="1">
        <f>IF(Data!K112&gt;0,Data!K112-4,"")</f>
        <v>-3</v>
      </c>
      <c r="L112" s="1">
        <f>IF(Data!L112&gt;0,4-Data!L112,"")</f>
        <v>3</v>
      </c>
      <c r="M112" s="1">
        <f>IF(Data!M112&gt;0,Data!M112-4,"")</f>
        <v>-1</v>
      </c>
      <c r="N112" s="1">
        <f>IF(Data!N112&gt;0,Data!N112-4,"")</f>
        <v>1</v>
      </c>
      <c r="O112" s="1">
        <f>IF(Data!O112&gt;0,Data!O112-4,"")</f>
        <v>-1</v>
      </c>
      <c r="P112" s="1">
        <f>IF(Data!P112&gt;0,Data!P112-4,"")</f>
        <v>0</v>
      </c>
      <c r="Q112" s="1">
        <f>IF(Data!Q112&gt;0,4-Data!Q112,"")</f>
        <v>3</v>
      </c>
      <c r="R112" s="1">
        <f>IF(Data!R112&gt;0,4-Data!R112,"")</f>
        <v>-1</v>
      </c>
      <c r="S112" s="1">
        <f>IF(Data!S112&gt;0,4-Data!S112,"")</f>
        <v>2</v>
      </c>
      <c r="T112" s="1">
        <f>IF(Data!T112&gt;0,Data!T112-4,"")</f>
        <v>1</v>
      </c>
      <c r="U112" s="1">
        <f>IF(Data!U112&gt;0,4-Data!U112,"")</f>
        <v>2</v>
      </c>
      <c r="V112" s="1">
        <f>IF(Data!V112&gt;0,Data!V112-4,"")</f>
        <v>3</v>
      </c>
      <c r="W112" s="1">
        <f>IF(Data!W112&gt;0,4-Data!W112,"")</f>
        <v>2</v>
      </c>
      <c r="X112" s="1">
        <f>IF(Data!X112&gt;0,4-Data!X112,"")</f>
        <v>2</v>
      </c>
      <c r="Y112" s="1">
        <f>IF(Data!Y112&gt;0,4-Data!Y112,"")</f>
        <v>2</v>
      </c>
      <c r="Z112" s="1">
        <f>IF(Data!Z112&gt;0,Data!Z112-4,"")</f>
        <v>1</v>
      </c>
      <c r="AC112" s="7">
        <f t="shared" si="6"/>
        <v>1.6666666666666667</v>
      </c>
      <c r="AD112" s="7">
        <f t="shared" si="7"/>
        <v>0.75</v>
      </c>
      <c r="AE112" s="7">
        <f t="shared" si="8"/>
        <v>2</v>
      </c>
      <c r="AF112" s="7">
        <f t="shared" si="9"/>
        <v>1</v>
      </c>
      <c r="AG112" s="7">
        <f t="shared" si="10"/>
        <v>0.25</v>
      </c>
      <c r="AH112" s="7">
        <f t="shared" si="11"/>
        <v>0.5</v>
      </c>
    </row>
    <row r="113" spans="1:34">
      <c r="A113" s="1">
        <f>IF(Data!A113&gt;0,Data!A113-4,"")</f>
        <v>2</v>
      </c>
      <c r="B113" s="1">
        <f>IF(Data!B113&gt;0,Data!B113-4,"")</f>
        <v>2</v>
      </c>
      <c r="C113" s="1">
        <f>IF(Data!C113&gt;0,4-Data!C113,"")</f>
        <v>2</v>
      </c>
      <c r="D113" s="1">
        <f>IF(Data!D113&gt;0,4-Data!D113,"")</f>
        <v>2</v>
      </c>
      <c r="E113" s="1">
        <f>IF(Data!E113&gt;0,4-Data!E113,"")</f>
        <v>2</v>
      </c>
      <c r="F113" s="1">
        <f>IF(Data!F113&gt;0,Data!F113-4,"")</f>
        <v>1</v>
      </c>
      <c r="G113" s="1">
        <f>IF(Data!G113&gt;0,Data!G113-4,"")</f>
        <v>2</v>
      </c>
      <c r="H113" s="1">
        <f>IF(Data!H113&gt;0,Data!H113-4,"")</f>
        <v>1</v>
      </c>
      <c r="I113" s="1">
        <f>IF(Data!I113&gt;0,4-Data!I113,"")</f>
        <v>2</v>
      </c>
      <c r="J113" s="1">
        <f>IF(Data!J113&gt;0,4-Data!J113,"")</f>
        <v>2</v>
      </c>
      <c r="K113" s="1">
        <f>IF(Data!K113&gt;0,Data!K113-4,"")</f>
        <v>2</v>
      </c>
      <c r="L113" s="1">
        <f>IF(Data!L113&gt;0,4-Data!L113,"")</f>
        <v>2</v>
      </c>
      <c r="M113" s="1">
        <f>IF(Data!M113&gt;0,Data!M113-4,"")</f>
        <v>2</v>
      </c>
      <c r="N113" s="1">
        <f>IF(Data!N113&gt;0,Data!N113-4,"")</f>
        <v>2</v>
      </c>
      <c r="O113" s="1">
        <f>IF(Data!O113&gt;0,Data!O113-4,"")</f>
        <v>2</v>
      </c>
      <c r="P113" s="1">
        <f>IF(Data!P113&gt;0,Data!P113-4,"")</f>
        <v>2</v>
      </c>
      <c r="Q113" s="1">
        <f>IF(Data!Q113&gt;0,4-Data!Q113,"")</f>
        <v>2</v>
      </c>
      <c r="R113" s="1">
        <f>IF(Data!R113&gt;0,4-Data!R113,"")</f>
        <v>1</v>
      </c>
      <c r="S113" s="1">
        <f>IF(Data!S113&gt;0,4-Data!S113,"")</f>
        <v>2</v>
      </c>
      <c r="T113" s="1">
        <f>IF(Data!T113&gt;0,Data!T113-4,"")</f>
        <v>2</v>
      </c>
      <c r="U113" s="1">
        <f>IF(Data!U113&gt;0,4-Data!U113,"")</f>
        <v>2</v>
      </c>
      <c r="V113" s="1">
        <f>IF(Data!V113&gt;0,Data!V113-4,"")</f>
        <v>1</v>
      </c>
      <c r="W113" s="1">
        <f>IF(Data!W113&gt;0,4-Data!W113,"")</f>
        <v>2</v>
      </c>
      <c r="X113" s="1">
        <f>IF(Data!X113&gt;0,4-Data!X113,"")</f>
        <v>2</v>
      </c>
      <c r="Y113" s="1">
        <f>IF(Data!Y113&gt;0,4-Data!Y113,"")</f>
        <v>2</v>
      </c>
      <c r="Z113" s="1">
        <f>IF(Data!Z113&gt;0,Data!Z113-4,"")</f>
        <v>2</v>
      </c>
      <c r="AC113" s="7">
        <f t="shared" si="6"/>
        <v>2</v>
      </c>
      <c r="AD113" s="7">
        <f t="shared" si="7"/>
        <v>2</v>
      </c>
      <c r="AE113" s="7">
        <f t="shared" si="8"/>
        <v>1.75</v>
      </c>
      <c r="AF113" s="7">
        <f t="shared" si="9"/>
        <v>1.75</v>
      </c>
      <c r="AG113" s="7">
        <f t="shared" si="10"/>
        <v>1.5</v>
      </c>
      <c r="AH113" s="7">
        <f t="shared" si="11"/>
        <v>2</v>
      </c>
    </row>
    <row r="114" spans="1:34">
      <c r="A114" s="1">
        <f>IF(Data!A114&gt;0,Data!A114-4,"")</f>
        <v>2</v>
      </c>
      <c r="B114" s="1">
        <f>IF(Data!B114&gt;0,Data!B114-4,"")</f>
        <v>1</v>
      </c>
      <c r="C114" s="1">
        <f>IF(Data!C114&gt;0,4-Data!C114,"")</f>
        <v>1</v>
      </c>
      <c r="D114" s="1">
        <f>IF(Data!D114&gt;0,4-Data!D114,"")</f>
        <v>-1</v>
      </c>
      <c r="E114" s="1">
        <f>IF(Data!E114&gt;0,4-Data!E114,"")</f>
        <v>2</v>
      </c>
      <c r="F114" s="1">
        <f>IF(Data!F114&gt;0,Data!F114-4,"")</f>
        <v>2</v>
      </c>
      <c r="G114" s="1">
        <f>IF(Data!G114&gt;0,Data!G114-4,"")</f>
        <v>2</v>
      </c>
      <c r="H114" s="1">
        <f>IF(Data!H114&gt;0,Data!H114-4,"")</f>
        <v>0</v>
      </c>
      <c r="I114" s="1">
        <f>IF(Data!I114&gt;0,4-Data!I114,"")</f>
        <v>2</v>
      </c>
      <c r="J114" s="1">
        <f>IF(Data!J114&gt;0,4-Data!J114,"")</f>
        <v>2</v>
      </c>
      <c r="K114" s="1">
        <f>IF(Data!K114&gt;0,Data!K114-4,"")</f>
        <v>1</v>
      </c>
      <c r="L114" s="1">
        <f>IF(Data!L114&gt;0,4-Data!L114,"")</f>
        <v>2</v>
      </c>
      <c r="M114" s="1">
        <f>IF(Data!M114&gt;0,Data!M114-4,"")</f>
        <v>0</v>
      </c>
      <c r="N114" s="1">
        <f>IF(Data!N114&gt;0,Data!N114-4,"")</f>
        <v>1</v>
      </c>
      <c r="O114" s="1">
        <f>IF(Data!O114&gt;0,Data!O114-4,"")</f>
        <v>2</v>
      </c>
      <c r="P114" s="1">
        <f>IF(Data!P114&gt;0,Data!P114-4,"")</f>
        <v>2</v>
      </c>
      <c r="Q114" s="1">
        <f>IF(Data!Q114&gt;0,4-Data!Q114,"")</f>
        <v>2</v>
      </c>
      <c r="R114" s="1">
        <f>IF(Data!R114&gt;0,4-Data!R114,"")</f>
        <v>1</v>
      </c>
      <c r="S114" s="1">
        <f>IF(Data!S114&gt;0,4-Data!S114,"")</f>
        <v>2</v>
      </c>
      <c r="T114" s="1">
        <f>IF(Data!T114&gt;0,Data!T114-4,"")</f>
        <v>2</v>
      </c>
      <c r="U114" s="1">
        <f>IF(Data!U114&gt;0,4-Data!U114,"")</f>
        <v>0</v>
      </c>
      <c r="V114" s="1">
        <f>IF(Data!V114&gt;0,Data!V114-4,"")</f>
        <v>2</v>
      </c>
      <c r="W114" s="1">
        <f>IF(Data!W114&gt;0,4-Data!W114,"")</f>
        <v>1</v>
      </c>
      <c r="X114" s="1">
        <f>IF(Data!X114&gt;0,4-Data!X114,"")</f>
        <v>2</v>
      </c>
      <c r="Y114" s="1">
        <f>IF(Data!Y114&gt;0,4-Data!Y114,"")</f>
        <v>2</v>
      </c>
      <c r="Z114" s="1">
        <f>IF(Data!Z114&gt;0,Data!Z114-4,"")</f>
        <v>2</v>
      </c>
      <c r="AC114" s="7">
        <f t="shared" si="6"/>
        <v>1.8333333333333333</v>
      </c>
      <c r="AD114" s="7">
        <f t="shared" si="7"/>
        <v>0</v>
      </c>
      <c r="AE114" s="7">
        <f t="shared" si="8"/>
        <v>1.75</v>
      </c>
      <c r="AF114" s="7">
        <f t="shared" si="9"/>
        <v>1.25</v>
      </c>
      <c r="AG114" s="7">
        <f t="shared" si="10"/>
        <v>1.75</v>
      </c>
      <c r="AH114" s="7">
        <f t="shared" si="11"/>
        <v>1.75</v>
      </c>
    </row>
    <row r="115" spans="1:34">
      <c r="A115" s="1">
        <f>IF(Data!A115&gt;0,Data!A115-4,"")</f>
        <v>1</v>
      </c>
      <c r="B115" s="1">
        <f>IF(Data!B115&gt;0,Data!B115-4,"")</f>
        <v>3</v>
      </c>
      <c r="C115" s="1">
        <f>IF(Data!C115&gt;0,4-Data!C115,"")</f>
        <v>1</v>
      </c>
      <c r="D115" s="1">
        <f>IF(Data!D115&gt;0,4-Data!D115,"")</f>
        <v>2</v>
      </c>
      <c r="E115" s="1">
        <f>IF(Data!E115&gt;0,4-Data!E115,"")</f>
        <v>0</v>
      </c>
      <c r="F115" s="1">
        <f>IF(Data!F115&gt;0,Data!F115-4,"")</f>
        <v>0</v>
      </c>
      <c r="G115" s="1">
        <f>IF(Data!G115&gt;0,Data!G115-4,"")</f>
        <v>2</v>
      </c>
      <c r="H115" s="1">
        <f>IF(Data!H115&gt;0,Data!H115-4,"")</f>
        <v>0</v>
      </c>
      <c r="I115" s="1">
        <f>IF(Data!I115&gt;0,4-Data!I115,"")</f>
        <v>0</v>
      </c>
      <c r="J115" s="1">
        <f>IF(Data!J115&gt;0,4-Data!J115,"")</f>
        <v>0</v>
      </c>
      <c r="K115" s="1">
        <f>IF(Data!K115&gt;0,Data!K115-4,"")</f>
        <v>0</v>
      </c>
      <c r="L115" s="1">
        <f>IF(Data!L115&gt;0,4-Data!L115,"")</f>
        <v>2</v>
      </c>
      <c r="M115" s="1">
        <f>IF(Data!M115&gt;0,Data!M115-4,"")</f>
        <v>1</v>
      </c>
      <c r="N115" s="1">
        <f>IF(Data!N115&gt;0,Data!N115-4,"")</f>
        <v>1</v>
      </c>
      <c r="O115" s="1">
        <f>IF(Data!O115&gt;0,Data!O115-4,"")</f>
        <v>2</v>
      </c>
      <c r="P115" s="1">
        <f>IF(Data!P115&gt;0,Data!P115-4,"")</f>
        <v>2</v>
      </c>
      <c r="Q115" s="1">
        <f>IF(Data!Q115&gt;0,4-Data!Q115,"")</f>
        <v>2</v>
      </c>
      <c r="R115" s="1">
        <f>IF(Data!R115&gt;0,4-Data!R115,"")</f>
        <v>0</v>
      </c>
      <c r="S115" s="1">
        <f>IF(Data!S115&gt;0,4-Data!S115,"")</f>
        <v>2</v>
      </c>
      <c r="T115" s="1">
        <f>IF(Data!T115&gt;0,Data!T115-4,"")</f>
        <v>2</v>
      </c>
      <c r="U115" s="1">
        <f>IF(Data!U115&gt;0,4-Data!U115,"")</f>
        <v>3</v>
      </c>
      <c r="V115" s="1">
        <f>IF(Data!V115&gt;0,Data!V115-4,"")</f>
        <v>2</v>
      </c>
      <c r="W115" s="1">
        <f>IF(Data!W115&gt;0,4-Data!W115,"")</f>
        <v>3</v>
      </c>
      <c r="X115" s="1">
        <f>IF(Data!X115&gt;0,4-Data!X115,"")</f>
        <v>0</v>
      </c>
      <c r="Y115" s="1">
        <f>IF(Data!Y115&gt;0,4-Data!Y115,"")</f>
        <v>2</v>
      </c>
      <c r="Z115" s="1">
        <f>IF(Data!Z115&gt;0,Data!Z115-4,"")</f>
        <v>2</v>
      </c>
      <c r="AC115" s="7">
        <f t="shared" si="6"/>
        <v>1.3333333333333333</v>
      </c>
      <c r="AD115" s="7">
        <f t="shared" si="7"/>
        <v>2.25</v>
      </c>
      <c r="AE115" s="7">
        <f t="shared" si="8"/>
        <v>1.75</v>
      </c>
      <c r="AF115" s="7">
        <f t="shared" si="9"/>
        <v>1</v>
      </c>
      <c r="AG115" s="7">
        <f t="shared" si="10"/>
        <v>0.5</v>
      </c>
      <c r="AH115" s="7">
        <f t="shared" si="11"/>
        <v>1.25</v>
      </c>
    </row>
    <row r="116" spans="1:34">
      <c r="A116" s="1">
        <f>IF(Data!A116&gt;0,Data!A116-4,"")</f>
        <v>2</v>
      </c>
      <c r="B116" s="1">
        <f>IF(Data!B116&gt;0,Data!B116-4,"")</f>
        <v>2</v>
      </c>
      <c r="C116" s="1">
        <f>IF(Data!C116&gt;0,4-Data!C116,"")</f>
        <v>-2</v>
      </c>
      <c r="D116" s="1">
        <f>IF(Data!D116&gt;0,4-Data!D116,"")</f>
        <v>3</v>
      </c>
      <c r="E116" s="1">
        <f>IF(Data!E116&gt;0,4-Data!E116,"")</f>
        <v>2</v>
      </c>
      <c r="F116" s="1">
        <f>IF(Data!F116&gt;0,Data!F116-4,"")</f>
        <v>-1</v>
      </c>
      <c r="G116" s="1">
        <f>IF(Data!G116&gt;0,Data!G116-4,"")</f>
        <v>0</v>
      </c>
      <c r="H116" s="1">
        <f>IF(Data!H116&gt;0,Data!H116-4,"")</f>
        <v>2</v>
      </c>
      <c r="I116" s="1">
        <f>IF(Data!I116&gt;0,4-Data!I116,"")</f>
        <v>-2</v>
      </c>
      <c r="J116" s="1">
        <f>IF(Data!J116&gt;0,4-Data!J116,"")</f>
        <v>-2</v>
      </c>
      <c r="K116" s="1">
        <f>IF(Data!K116&gt;0,Data!K116-4,"")</f>
        <v>2</v>
      </c>
      <c r="L116" s="1">
        <f>IF(Data!L116&gt;0,4-Data!L116,"")</f>
        <v>2</v>
      </c>
      <c r="M116" s="1">
        <f>IF(Data!M116&gt;0,Data!M116-4,"")</f>
        <v>2</v>
      </c>
      <c r="N116" s="1">
        <f>IF(Data!N116&gt;0,Data!N116-4,"")</f>
        <v>1</v>
      </c>
      <c r="O116" s="1">
        <f>IF(Data!O116&gt;0,Data!O116-4,"")</f>
        <v>-1</v>
      </c>
      <c r="P116" s="1">
        <f>IF(Data!P116&gt;0,Data!P116-4,"")</f>
        <v>1</v>
      </c>
      <c r="Q116" s="1">
        <f>IF(Data!Q116&gt;0,4-Data!Q116,"")</f>
        <v>2</v>
      </c>
      <c r="R116" s="1">
        <f>IF(Data!R116&gt;0,4-Data!R116,"")</f>
        <v>2</v>
      </c>
      <c r="S116" s="1">
        <f>IF(Data!S116&gt;0,4-Data!S116,"")</f>
        <v>2</v>
      </c>
      <c r="T116" s="1">
        <f>IF(Data!T116&gt;0,Data!T116-4,"")</f>
        <v>1</v>
      </c>
      <c r="U116" s="1">
        <f>IF(Data!U116&gt;0,4-Data!U116,"")</f>
        <v>3</v>
      </c>
      <c r="V116" s="1">
        <f>IF(Data!V116&gt;0,Data!V116-4,"")</f>
        <v>2</v>
      </c>
      <c r="W116" s="1">
        <f>IF(Data!W116&gt;0,4-Data!W116,"")</f>
        <v>2</v>
      </c>
      <c r="X116" s="1">
        <f>IF(Data!X116&gt;0,4-Data!X116,"")</f>
        <v>2</v>
      </c>
      <c r="Y116" s="1">
        <f>IF(Data!Y116&gt;0,4-Data!Y116,"")</f>
        <v>2</v>
      </c>
      <c r="Z116" s="1">
        <f>IF(Data!Z116&gt;0,Data!Z116-4,"")</f>
        <v>1</v>
      </c>
      <c r="AC116" s="7">
        <f t="shared" si="6"/>
        <v>1.6666666666666667</v>
      </c>
      <c r="AD116" s="7">
        <f t="shared" si="7"/>
        <v>2.5</v>
      </c>
      <c r="AE116" s="7">
        <f t="shared" si="8"/>
        <v>0.75</v>
      </c>
      <c r="AF116" s="7">
        <f t="shared" si="9"/>
        <v>2</v>
      </c>
      <c r="AG116" s="7">
        <f t="shared" si="10"/>
        <v>0.75</v>
      </c>
      <c r="AH116" s="7">
        <f t="shared" si="11"/>
        <v>-1</v>
      </c>
    </row>
    <row r="117" spans="1:34">
      <c r="A117" s="1">
        <f>IF(Data!A117&gt;0,Data!A117-4,"")</f>
        <v>3</v>
      </c>
      <c r="B117" s="1">
        <f>IF(Data!B117&gt;0,Data!B117-4,"")</f>
        <v>3</v>
      </c>
      <c r="C117" s="1">
        <f>IF(Data!C117&gt;0,4-Data!C117,"")</f>
        <v>0</v>
      </c>
      <c r="D117" s="1">
        <f>IF(Data!D117&gt;0,4-Data!D117,"")</f>
        <v>0</v>
      </c>
      <c r="E117" s="1">
        <f>IF(Data!E117&gt;0,4-Data!E117,"")</f>
        <v>1</v>
      </c>
      <c r="F117" s="1">
        <f>IF(Data!F117&gt;0,Data!F117-4,"")</f>
        <v>3</v>
      </c>
      <c r="G117" s="1">
        <f>IF(Data!G117&gt;0,Data!G117-4,"")</f>
        <v>3</v>
      </c>
      <c r="H117" s="1">
        <f>IF(Data!H117&gt;0,Data!H117-4,"")</f>
        <v>0</v>
      </c>
      <c r="I117" s="1">
        <f>IF(Data!I117&gt;0,4-Data!I117,"")</f>
        <v>3</v>
      </c>
      <c r="J117" s="1">
        <f>IF(Data!J117&gt;0,4-Data!J117,"")</f>
        <v>3</v>
      </c>
      <c r="K117" s="1">
        <f>IF(Data!K117&gt;0,Data!K117-4,"")</f>
        <v>2</v>
      </c>
      <c r="L117" s="1">
        <f>IF(Data!L117&gt;0,4-Data!L117,"")</f>
        <v>3</v>
      </c>
      <c r="M117" s="1">
        <f>IF(Data!M117&gt;0,Data!M117-4,"")</f>
        <v>3</v>
      </c>
      <c r="N117" s="1">
        <f>IF(Data!N117&gt;0,Data!N117-4,"")</f>
        <v>3</v>
      </c>
      <c r="O117" s="1">
        <f>IF(Data!O117&gt;0,Data!O117-4,"")</f>
        <v>1</v>
      </c>
      <c r="P117" s="1">
        <f>IF(Data!P117&gt;0,Data!P117-4,"")</f>
        <v>3</v>
      </c>
      <c r="Q117" s="1">
        <f>IF(Data!Q117&gt;0,4-Data!Q117,"")</f>
        <v>3</v>
      </c>
      <c r="R117" s="1">
        <f>IF(Data!R117&gt;0,4-Data!R117,"")</f>
        <v>2</v>
      </c>
      <c r="S117" s="1">
        <f>IF(Data!S117&gt;0,4-Data!S117,"")</f>
        <v>3</v>
      </c>
      <c r="T117" s="1">
        <f>IF(Data!T117&gt;0,Data!T117-4,"")</f>
        <v>3</v>
      </c>
      <c r="U117" s="1">
        <f>IF(Data!U117&gt;0,4-Data!U117,"")</f>
        <v>3</v>
      </c>
      <c r="V117" s="1">
        <f>IF(Data!V117&gt;0,Data!V117-4,"")</f>
        <v>3</v>
      </c>
      <c r="W117" s="1">
        <f>IF(Data!W117&gt;0,4-Data!W117,"")</f>
        <v>2</v>
      </c>
      <c r="X117" s="1">
        <f>IF(Data!X117&gt;0,4-Data!X117,"")</f>
        <v>2</v>
      </c>
      <c r="Y117" s="1">
        <f>IF(Data!Y117&gt;0,4-Data!Y117,"")</f>
        <v>2</v>
      </c>
      <c r="Z117" s="1">
        <f>IF(Data!Z117&gt;0,Data!Z117-4,"")</f>
        <v>2</v>
      </c>
      <c r="AC117" s="7">
        <f t="shared" si="6"/>
        <v>2.6666666666666665</v>
      </c>
      <c r="AD117" s="7">
        <f t="shared" si="7"/>
        <v>2.25</v>
      </c>
      <c r="AE117" s="7">
        <f t="shared" si="8"/>
        <v>2.75</v>
      </c>
      <c r="AF117" s="7">
        <f t="shared" si="9"/>
        <v>2</v>
      </c>
      <c r="AG117" s="7">
        <f t="shared" si="10"/>
        <v>2.25</v>
      </c>
      <c r="AH117" s="7">
        <f t="shared" si="11"/>
        <v>1.5</v>
      </c>
    </row>
    <row r="118" spans="1:34">
      <c r="A118" s="1">
        <f>IF(Data!A118&gt;0,Data!A118-4,"")</f>
        <v>1</v>
      </c>
      <c r="B118" s="1">
        <f>IF(Data!B118&gt;0,Data!B118-4,"")</f>
        <v>0</v>
      </c>
      <c r="C118" s="1">
        <f>IF(Data!C118&gt;0,4-Data!C118,"")</f>
        <v>1</v>
      </c>
      <c r="D118" s="1">
        <f>IF(Data!D118&gt;0,4-Data!D118,"")</f>
        <v>2</v>
      </c>
      <c r="E118" s="1">
        <f>IF(Data!E118&gt;0,4-Data!E118,"")</f>
        <v>1</v>
      </c>
      <c r="F118" s="1">
        <f>IF(Data!F118&gt;0,Data!F118-4,"")</f>
        <v>0</v>
      </c>
      <c r="G118" s="1">
        <f>IF(Data!G118&gt;0,Data!G118-4,"")</f>
        <v>1</v>
      </c>
      <c r="H118" s="1">
        <f>IF(Data!H118&gt;0,Data!H118-4,"")</f>
        <v>0</v>
      </c>
      <c r="I118" s="1">
        <f>IF(Data!I118&gt;0,4-Data!I118,"")</f>
        <v>1</v>
      </c>
      <c r="J118" s="1">
        <f>IF(Data!J118&gt;0,4-Data!J118,"")</f>
        <v>0</v>
      </c>
      <c r="K118" s="1">
        <f>IF(Data!K118&gt;0,Data!K118-4,"")</f>
        <v>1</v>
      </c>
      <c r="L118" s="1">
        <f>IF(Data!L118&gt;0,4-Data!L118,"")</f>
        <v>1</v>
      </c>
      <c r="M118" s="1">
        <f>IF(Data!M118&gt;0,Data!M118-4,"")</f>
        <v>0</v>
      </c>
      <c r="N118" s="1">
        <f>IF(Data!N118&gt;0,Data!N118-4,"")</f>
        <v>1</v>
      </c>
      <c r="O118" s="1">
        <f>IF(Data!O118&gt;0,Data!O118-4,"")</f>
        <v>1</v>
      </c>
      <c r="P118" s="1">
        <f>IF(Data!P118&gt;0,Data!P118-4,"")</f>
        <v>1</v>
      </c>
      <c r="Q118" s="1">
        <f>IF(Data!Q118&gt;0,4-Data!Q118,"")</f>
        <v>-2</v>
      </c>
      <c r="R118" s="1">
        <f>IF(Data!R118&gt;0,4-Data!R118,"")</f>
        <v>2</v>
      </c>
      <c r="S118" s="1">
        <f>IF(Data!S118&gt;0,4-Data!S118,"")</f>
        <v>2</v>
      </c>
      <c r="T118" s="1">
        <f>IF(Data!T118&gt;0,Data!T118-4,"")</f>
        <v>1</v>
      </c>
      <c r="U118" s="1">
        <f>IF(Data!U118&gt;0,4-Data!U118,"")</f>
        <v>2</v>
      </c>
      <c r="V118" s="1">
        <f>IF(Data!V118&gt;0,Data!V118-4,"")</f>
        <v>1</v>
      </c>
      <c r="W118" s="1">
        <f>IF(Data!W118&gt;0,4-Data!W118,"")</f>
        <v>0</v>
      </c>
      <c r="X118" s="1">
        <f>IF(Data!X118&gt;0,4-Data!X118,"")</f>
        <v>-1</v>
      </c>
      <c r="Y118" s="1">
        <f>IF(Data!Y118&gt;0,4-Data!Y118,"")</f>
        <v>1</v>
      </c>
      <c r="Z118" s="1">
        <f>IF(Data!Z118&gt;0,Data!Z118-4,"")</f>
        <v>0</v>
      </c>
      <c r="AC118" s="7">
        <f t="shared" si="6"/>
        <v>0.66666666666666663</v>
      </c>
      <c r="AD118" s="7">
        <f t="shared" si="7"/>
        <v>1</v>
      </c>
      <c r="AE118" s="7">
        <f t="shared" si="8"/>
        <v>0.75</v>
      </c>
      <c r="AF118" s="7">
        <f t="shared" si="9"/>
        <v>0.25</v>
      </c>
      <c r="AG118" s="7">
        <f t="shared" si="10"/>
        <v>1</v>
      </c>
      <c r="AH118" s="7">
        <f t="shared" si="11"/>
        <v>0.5</v>
      </c>
    </row>
    <row r="119" spans="1:34">
      <c r="A119" s="1">
        <f>IF(Data!A119&gt;0,Data!A119-4,"")</f>
        <v>0</v>
      </c>
      <c r="B119" s="1">
        <f>IF(Data!B119&gt;0,Data!B119-4,"")</f>
        <v>1</v>
      </c>
      <c r="C119" s="1">
        <f>IF(Data!C119&gt;0,4-Data!C119,"")</f>
        <v>2</v>
      </c>
      <c r="D119" s="1">
        <f>IF(Data!D119&gt;0,4-Data!D119,"")</f>
        <v>2</v>
      </c>
      <c r="E119" s="1">
        <f>IF(Data!E119&gt;0,4-Data!E119,"")</f>
        <v>1</v>
      </c>
      <c r="F119" s="1">
        <f>IF(Data!F119&gt;0,Data!F119-4,"")</f>
        <v>2</v>
      </c>
      <c r="G119" s="1">
        <f>IF(Data!G119&gt;0,Data!G119-4,"")</f>
        <v>0</v>
      </c>
      <c r="H119" s="1">
        <f>IF(Data!H119&gt;0,Data!H119-4,"")</f>
        <v>1</v>
      </c>
      <c r="I119" s="1">
        <f>IF(Data!I119&gt;0,4-Data!I119,"")</f>
        <v>-1</v>
      </c>
      <c r="J119" s="1">
        <f>IF(Data!J119&gt;0,4-Data!J119,"")</f>
        <v>0</v>
      </c>
      <c r="K119" s="1">
        <f>IF(Data!K119&gt;0,Data!K119-4,"")</f>
        <v>1</v>
      </c>
      <c r="L119" s="1">
        <f>IF(Data!L119&gt;0,4-Data!L119,"")</f>
        <v>2</v>
      </c>
      <c r="M119" s="1">
        <f>IF(Data!M119&gt;0,Data!M119-4,"")</f>
        <v>-2</v>
      </c>
      <c r="N119" s="1">
        <f>IF(Data!N119&gt;0,Data!N119-4,"")</f>
        <v>2</v>
      </c>
      <c r="O119" s="1">
        <f>IF(Data!O119&gt;0,Data!O119-4,"")</f>
        <v>-2</v>
      </c>
      <c r="P119" s="1">
        <f>IF(Data!P119&gt;0,Data!P119-4,"")</f>
        <v>2</v>
      </c>
      <c r="Q119" s="1">
        <f>IF(Data!Q119&gt;0,4-Data!Q119,"")</f>
        <v>2</v>
      </c>
      <c r="R119" s="1">
        <f>IF(Data!R119&gt;0,4-Data!R119,"")</f>
        <v>2</v>
      </c>
      <c r="S119" s="1">
        <f>IF(Data!S119&gt;0,4-Data!S119,"")</f>
        <v>1</v>
      </c>
      <c r="T119" s="1">
        <f>IF(Data!T119&gt;0,Data!T119-4,"")</f>
        <v>1</v>
      </c>
      <c r="U119" s="1">
        <f>IF(Data!U119&gt;0,4-Data!U119,"")</f>
        <v>2</v>
      </c>
      <c r="V119" s="1">
        <f>IF(Data!V119&gt;0,Data!V119-4,"")</f>
        <v>2</v>
      </c>
      <c r="W119" s="1">
        <f>IF(Data!W119&gt;0,4-Data!W119,"")</f>
        <v>3</v>
      </c>
      <c r="X119" s="1">
        <f>IF(Data!X119&gt;0,4-Data!X119,"")</f>
        <v>-1</v>
      </c>
      <c r="Y119" s="1">
        <f>IF(Data!Y119&gt;0,4-Data!Y119,"")</f>
        <v>2</v>
      </c>
      <c r="Z119" s="1">
        <f>IF(Data!Z119&gt;0,Data!Z119-4,"")</f>
        <v>-1</v>
      </c>
      <c r="AC119" s="7">
        <f t="shared" si="6"/>
        <v>1.1666666666666667</v>
      </c>
      <c r="AD119" s="7">
        <f t="shared" si="7"/>
        <v>0.75</v>
      </c>
      <c r="AE119" s="7">
        <f t="shared" si="8"/>
        <v>1.25</v>
      </c>
      <c r="AF119" s="7">
        <f t="shared" si="9"/>
        <v>1.25</v>
      </c>
      <c r="AG119" s="7">
        <f t="shared" si="10"/>
        <v>1.25</v>
      </c>
      <c r="AH119" s="7">
        <f t="shared" si="11"/>
        <v>-0.25</v>
      </c>
    </row>
    <row r="120" spans="1:34">
      <c r="A120" s="1">
        <f>IF(Data!A120&gt;0,Data!A120-4,"")</f>
        <v>1</v>
      </c>
      <c r="B120" s="1">
        <f>IF(Data!B120&gt;0,Data!B120-4,"")</f>
        <v>0</v>
      </c>
      <c r="C120" s="1">
        <f>IF(Data!C120&gt;0,4-Data!C120,"")</f>
        <v>-1</v>
      </c>
      <c r="D120" s="1">
        <f>IF(Data!D120&gt;0,4-Data!D120,"")</f>
        <v>-1</v>
      </c>
      <c r="E120" s="1">
        <f>IF(Data!E120&gt;0,4-Data!E120,"")</f>
        <v>1</v>
      </c>
      <c r="F120" s="1">
        <f>IF(Data!F120&gt;0,Data!F120-4,"")</f>
        <v>0</v>
      </c>
      <c r="G120" s="1">
        <f>IF(Data!G120&gt;0,Data!G120-4,"")</f>
        <v>1</v>
      </c>
      <c r="H120" s="1">
        <f>IF(Data!H120&gt;0,Data!H120-4,"")</f>
        <v>0</v>
      </c>
      <c r="I120" s="1">
        <f>IF(Data!I120&gt;0,4-Data!I120,"")</f>
        <v>1</v>
      </c>
      <c r="J120" s="1">
        <f>IF(Data!J120&gt;0,4-Data!J120,"")</f>
        <v>1</v>
      </c>
      <c r="K120" s="1">
        <f>IF(Data!K120&gt;0,Data!K120-4,"")</f>
        <v>0</v>
      </c>
      <c r="L120" s="1">
        <f>IF(Data!L120&gt;0,4-Data!L120,"")</f>
        <v>1</v>
      </c>
      <c r="M120" s="1">
        <f>IF(Data!M120&gt;0,Data!M120-4,"")</f>
        <v>-1</v>
      </c>
      <c r="N120" s="1">
        <f>IF(Data!N120&gt;0,Data!N120-4,"")</f>
        <v>0</v>
      </c>
      <c r="O120" s="1">
        <f>IF(Data!O120&gt;0,Data!O120-4,"")</f>
        <v>1</v>
      </c>
      <c r="P120" s="1">
        <f>IF(Data!P120&gt;0,Data!P120-4,"")</f>
        <v>0</v>
      </c>
      <c r="Q120" s="1">
        <f>IF(Data!Q120&gt;0,4-Data!Q120,"")</f>
        <v>0</v>
      </c>
      <c r="R120" s="1">
        <f>IF(Data!R120&gt;0,4-Data!R120,"")</f>
        <v>1</v>
      </c>
      <c r="S120" s="1">
        <f>IF(Data!S120&gt;0,4-Data!S120,"")</f>
        <v>1</v>
      </c>
      <c r="T120" s="1">
        <f>IF(Data!T120&gt;0,Data!T120-4,"")</f>
        <v>1</v>
      </c>
      <c r="U120" s="1">
        <f>IF(Data!U120&gt;0,4-Data!U120,"")</f>
        <v>-1</v>
      </c>
      <c r="V120" s="1">
        <f>IF(Data!V120&gt;0,Data!V120-4,"")</f>
        <v>0</v>
      </c>
      <c r="W120" s="1">
        <f>IF(Data!W120&gt;0,4-Data!W120,"")</f>
        <v>-2</v>
      </c>
      <c r="X120" s="1">
        <f>IF(Data!X120&gt;0,4-Data!X120,"")</f>
        <v>0</v>
      </c>
      <c r="Y120" s="1">
        <f>IF(Data!Y120&gt;0,4-Data!Y120,"")</f>
        <v>1</v>
      </c>
      <c r="Z120" s="1">
        <f>IF(Data!Z120&gt;0,Data!Z120-4,"")</f>
        <v>0</v>
      </c>
      <c r="AC120" s="7">
        <f t="shared" si="6"/>
        <v>0.5</v>
      </c>
      <c r="AD120" s="7">
        <f t="shared" si="7"/>
        <v>-0.75</v>
      </c>
      <c r="AE120" s="7">
        <f t="shared" si="8"/>
        <v>0</v>
      </c>
      <c r="AF120" s="7">
        <f t="shared" si="9"/>
        <v>0.25</v>
      </c>
      <c r="AG120" s="7">
        <f t="shared" si="10"/>
        <v>0.75</v>
      </c>
      <c r="AH120" s="7">
        <f t="shared" si="11"/>
        <v>0.25</v>
      </c>
    </row>
    <row r="121" spans="1:34">
      <c r="A121" s="1">
        <f>IF(Data!A121&gt;0,Data!A121-4,"")</f>
        <v>3</v>
      </c>
      <c r="B121" s="1">
        <f>IF(Data!B121&gt;0,Data!B121-4,"")</f>
        <v>3</v>
      </c>
      <c r="C121" s="1">
        <f>IF(Data!C121&gt;0,4-Data!C121,"")</f>
        <v>3</v>
      </c>
      <c r="D121" s="1">
        <f>IF(Data!D121&gt;0,4-Data!D121,"")</f>
        <v>3</v>
      </c>
      <c r="E121" s="1">
        <f>IF(Data!E121&gt;0,4-Data!E121,"")</f>
        <v>3</v>
      </c>
      <c r="F121" s="1">
        <f>IF(Data!F121&gt;0,Data!F121-4,"")</f>
        <v>3</v>
      </c>
      <c r="G121" s="1">
        <f>IF(Data!G121&gt;0,Data!G121-4,"")</f>
        <v>3</v>
      </c>
      <c r="H121" s="1">
        <f>IF(Data!H121&gt;0,Data!H121-4,"")</f>
        <v>3</v>
      </c>
      <c r="I121" s="1">
        <f>IF(Data!I121&gt;0,4-Data!I121,"")</f>
        <v>3</v>
      </c>
      <c r="J121" s="1">
        <f>IF(Data!J121&gt;0,4-Data!J121,"")</f>
        <v>3</v>
      </c>
      <c r="K121" s="1">
        <f>IF(Data!K121&gt;0,Data!K121-4,"")</f>
        <v>3</v>
      </c>
      <c r="L121" s="1">
        <f>IF(Data!L121&gt;0,4-Data!L121,"")</f>
        <v>3</v>
      </c>
      <c r="M121" s="1">
        <f>IF(Data!M121&gt;0,Data!M121-4,"")</f>
        <v>3</v>
      </c>
      <c r="N121" s="1">
        <f>IF(Data!N121&gt;0,Data!N121-4,"")</f>
        <v>3</v>
      </c>
      <c r="O121" s="1">
        <f>IF(Data!O121&gt;0,Data!O121-4,"")</f>
        <v>3</v>
      </c>
      <c r="P121" s="1">
        <f>IF(Data!P121&gt;0,Data!P121-4,"")</f>
        <v>3</v>
      </c>
      <c r="Q121" s="1">
        <f>IF(Data!Q121&gt;0,4-Data!Q121,"")</f>
        <v>3</v>
      </c>
      <c r="R121" s="1">
        <f>IF(Data!R121&gt;0,4-Data!R121,"")</f>
        <v>3</v>
      </c>
      <c r="S121" s="1">
        <f>IF(Data!S121&gt;0,4-Data!S121,"")</f>
        <v>3</v>
      </c>
      <c r="T121" s="1">
        <f>IF(Data!T121&gt;0,Data!T121-4,"")</f>
        <v>3</v>
      </c>
      <c r="U121" s="1">
        <f>IF(Data!U121&gt;0,4-Data!U121,"")</f>
        <v>3</v>
      </c>
      <c r="V121" s="1">
        <f>IF(Data!V121&gt;0,Data!V121-4,"")</f>
        <v>3</v>
      </c>
      <c r="W121" s="1">
        <f>IF(Data!W121&gt;0,4-Data!W121,"")</f>
        <v>3</v>
      </c>
      <c r="X121" s="1">
        <f>IF(Data!X121&gt;0,4-Data!X121,"")</f>
        <v>3</v>
      </c>
      <c r="Y121" s="1">
        <f>IF(Data!Y121&gt;0,4-Data!Y121,"")</f>
        <v>3</v>
      </c>
      <c r="Z121" s="1">
        <f>IF(Data!Z121&gt;0,Data!Z121-4,"")</f>
        <v>3</v>
      </c>
      <c r="AC121" s="7">
        <f t="shared" si="6"/>
        <v>3</v>
      </c>
      <c r="AD121" s="7">
        <f t="shared" si="7"/>
        <v>3</v>
      </c>
      <c r="AE121" s="7">
        <f t="shared" si="8"/>
        <v>3</v>
      </c>
      <c r="AF121" s="7">
        <f t="shared" si="9"/>
        <v>3</v>
      </c>
      <c r="AG121" s="7">
        <f t="shared" si="10"/>
        <v>3</v>
      </c>
      <c r="AH121" s="7">
        <f t="shared" si="11"/>
        <v>3</v>
      </c>
    </row>
    <row r="122" spans="1:34">
      <c r="A122" s="1">
        <f>IF(Data!A122&gt;0,Data!A122-4,"")</f>
        <v>2</v>
      </c>
      <c r="B122" s="1">
        <f>IF(Data!B122&gt;0,Data!B122-4,"")</f>
        <v>3</v>
      </c>
      <c r="C122" s="1">
        <f>IF(Data!C122&gt;0,4-Data!C122,"")</f>
        <v>2</v>
      </c>
      <c r="D122" s="1">
        <f>IF(Data!D122&gt;0,4-Data!D122,"")</f>
        <v>1</v>
      </c>
      <c r="E122" s="1">
        <f>IF(Data!E122&gt;0,4-Data!E122,"")</f>
        <v>2</v>
      </c>
      <c r="F122" s="1">
        <f>IF(Data!F122&gt;0,Data!F122-4,"")</f>
        <v>2</v>
      </c>
      <c r="G122" s="1">
        <f>IF(Data!G122&gt;0,Data!G122-4,"")</f>
        <v>3</v>
      </c>
      <c r="H122" s="1">
        <f>IF(Data!H122&gt;0,Data!H122-4,"")</f>
        <v>1</v>
      </c>
      <c r="I122" s="1">
        <f>IF(Data!I122&gt;0,4-Data!I122,"")</f>
        <v>2</v>
      </c>
      <c r="J122" s="1">
        <f>IF(Data!J122&gt;0,4-Data!J122,"")</f>
        <v>-1</v>
      </c>
      <c r="K122" s="1">
        <f>IF(Data!K122&gt;0,Data!K122-4,"")</f>
        <v>2</v>
      </c>
      <c r="L122" s="1">
        <f>IF(Data!L122&gt;0,4-Data!L122,"")</f>
        <v>3</v>
      </c>
      <c r="M122" s="1">
        <f>IF(Data!M122&gt;0,Data!M122-4,"")</f>
        <v>1</v>
      </c>
      <c r="N122" s="1">
        <f>IF(Data!N122&gt;0,Data!N122-4,"")</f>
        <v>2</v>
      </c>
      <c r="O122" s="1">
        <f>IF(Data!O122&gt;0,Data!O122-4,"")</f>
        <v>2</v>
      </c>
      <c r="P122" s="1">
        <f>IF(Data!P122&gt;0,Data!P122-4,"")</f>
        <v>3</v>
      </c>
      <c r="Q122" s="1">
        <f>IF(Data!Q122&gt;0,4-Data!Q122,"")</f>
        <v>2</v>
      </c>
      <c r="R122" s="1">
        <f>IF(Data!R122&gt;0,4-Data!R122,"")</f>
        <v>1</v>
      </c>
      <c r="S122" s="1">
        <f>IF(Data!S122&gt;0,4-Data!S122,"")</f>
        <v>2</v>
      </c>
      <c r="T122" s="1">
        <f>IF(Data!T122&gt;0,Data!T122-4,"")</f>
        <v>2</v>
      </c>
      <c r="U122" s="1">
        <f>IF(Data!U122&gt;0,4-Data!U122,"")</f>
        <v>2</v>
      </c>
      <c r="V122" s="1">
        <f>IF(Data!V122&gt;0,Data!V122-4,"")</f>
        <v>2</v>
      </c>
      <c r="W122" s="1">
        <f>IF(Data!W122&gt;0,4-Data!W122,"")</f>
        <v>1</v>
      </c>
      <c r="X122" s="1">
        <f>IF(Data!X122&gt;0,4-Data!X122,"")</f>
        <v>2</v>
      </c>
      <c r="Y122" s="1">
        <f>IF(Data!Y122&gt;0,4-Data!Y122,"")</f>
        <v>1</v>
      </c>
      <c r="Z122" s="1">
        <f>IF(Data!Z122&gt;0,Data!Z122-4,"")</f>
        <v>1</v>
      </c>
      <c r="AC122" s="7">
        <f t="shared" si="6"/>
        <v>2.1666666666666665</v>
      </c>
      <c r="AD122" s="7">
        <f t="shared" si="7"/>
        <v>1.75</v>
      </c>
      <c r="AE122" s="7">
        <f t="shared" si="8"/>
        <v>1.75</v>
      </c>
      <c r="AF122" s="7">
        <f t="shared" si="9"/>
        <v>1.75</v>
      </c>
      <c r="AG122" s="7">
        <f t="shared" si="10"/>
        <v>2</v>
      </c>
      <c r="AH122" s="7">
        <f t="shared" si="11"/>
        <v>1</v>
      </c>
    </row>
    <row r="123" spans="1:34">
      <c r="A123" s="1">
        <f>IF(Data!A123&gt;0,Data!A123-4,"")</f>
        <v>1</v>
      </c>
      <c r="B123" s="1">
        <f>IF(Data!B123&gt;0,Data!B123-4,"")</f>
        <v>2</v>
      </c>
      <c r="C123" s="1">
        <f>IF(Data!C123&gt;0,4-Data!C123,"")</f>
        <v>0</v>
      </c>
      <c r="D123" s="1">
        <f>IF(Data!D123&gt;0,4-Data!D123,"")</f>
        <v>2</v>
      </c>
      <c r="E123" s="1">
        <f>IF(Data!E123&gt;0,4-Data!E123,"")</f>
        <v>1</v>
      </c>
      <c r="F123" s="1">
        <f>IF(Data!F123&gt;0,Data!F123-4,"")</f>
        <v>0</v>
      </c>
      <c r="G123" s="1">
        <f>IF(Data!G123&gt;0,Data!G123-4,"")</f>
        <v>1</v>
      </c>
      <c r="H123" s="1">
        <f>IF(Data!H123&gt;0,Data!H123-4,"")</f>
        <v>1</v>
      </c>
      <c r="I123" s="1">
        <f>IF(Data!I123&gt;0,4-Data!I123,"")</f>
        <v>0</v>
      </c>
      <c r="J123" s="1">
        <f>IF(Data!J123&gt;0,4-Data!J123,"")</f>
        <v>0</v>
      </c>
      <c r="K123" s="1">
        <f>IF(Data!K123&gt;0,Data!K123-4,"")</f>
        <v>0</v>
      </c>
      <c r="L123" s="1">
        <f>IF(Data!L123&gt;0,4-Data!L123,"")</f>
        <v>1</v>
      </c>
      <c r="M123" s="1">
        <f>IF(Data!M123&gt;0,Data!M123-4,"")</f>
        <v>1</v>
      </c>
      <c r="N123" s="1">
        <f>IF(Data!N123&gt;0,Data!N123-4,"")</f>
        <v>1</v>
      </c>
      <c r="O123" s="1">
        <f>IF(Data!O123&gt;0,Data!O123-4,"")</f>
        <v>0</v>
      </c>
      <c r="P123" s="1">
        <f>IF(Data!P123&gt;0,Data!P123-4,"")</f>
        <v>1</v>
      </c>
      <c r="Q123" s="1">
        <f>IF(Data!Q123&gt;0,4-Data!Q123,"")</f>
        <v>1</v>
      </c>
      <c r="R123" s="1">
        <f>IF(Data!R123&gt;0,4-Data!R123,"")</f>
        <v>0</v>
      </c>
      <c r="S123" s="1">
        <f>IF(Data!S123&gt;0,4-Data!S123,"")</f>
        <v>2</v>
      </c>
      <c r="T123" s="1">
        <f>IF(Data!T123&gt;0,Data!T123-4,"")</f>
        <v>1</v>
      </c>
      <c r="U123" s="1">
        <f>IF(Data!U123&gt;0,4-Data!U123,"")</f>
        <v>2</v>
      </c>
      <c r="V123" s="1">
        <f>IF(Data!V123&gt;0,Data!V123-4,"")</f>
        <v>2</v>
      </c>
      <c r="W123" s="1">
        <f>IF(Data!W123&gt;0,4-Data!W123,"")</f>
        <v>2</v>
      </c>
      <c r="X123" s="1">
        <f>IF(Data!X123&gt;0,4-Data!X123,"")</f>
        <v>1</v>
      </c>
      <c r="Y123" s="1">
        <f>IF(Data!Y123&gt;0,4-Data!Y123,"")</f>
        <v>2</v>
      </c>
      <c r="Z123" s="1">
        <f>IF(Data!Z123&gt;0,Data!Z123-4,"")</f>
        <v>0</v>
      </c>
      <c r="AC123" s="7">
        <f t="shared" si="6"/>
        <v>1.1666666666666667</v>
      </c>
      <c r="AD123" s="7">
        <f t="shared" si="7"/>
        <v>1.75</v>
      </c>
      <c r="AE123" s="7">
        <f t="shared" si="8"/>
        <v>1.25</v>
      </c>
      <c r="AF123" s="7">
        <f t="shared" si="9"/>
        <v>1</v>
      </c>
      <c r="AG123" s="7">
        <f t="shared" si="10"/>
        <v>0.5</v>
      </c>
      <c r="AH123" s="7">
        <f t="shared" si="11"/>
        <v>0</v>
      </c>
    </row>
    <row r="124" spans="1:34">
      <c r="A124" s="1">
        <f>IF(Data!A124&gt;0,Data!A124-4,"")</f>
        <v>2</v>
      </c>
      <c r="B124" s="1">
        <f>IF(Data!B124&gt;0,Data!B124-4,"")</f>
        <v>3</v>
      </c>
      <c r="C124" s="1">
        <f>IF(Data!C124&gt;0,4-Data!C124,"")</f>
        <v>1</v>
      </c>
      <c r="D124" s="1">
        <f>IF(Data!D124&gt;0,4-Data!D124,"")</f>
        <v>2</v>
      </c>
      <c r="E124" s="1">
        <f>IF(Data!E124&gt;0,4-Data!E124,"")</f>
        <v>2</v>
      </c>
      <c r="F124" s="1">
        <f>IF(Data!F124&gt;0,Data!F124-4,"")</f>
        <v>0</v>
      </c>
      <c r="G124" s="1">
        <f>IF(Data!G124&gt;0,Data!G124-4,"")</f>
        <v>2</v>
      </c>
      <c r="H124" s="1">
        <f>IF(Data!H124&gt;0,Data!H124-4,"")</f>
        <v>0</v>
      </c>
      <c r="I124" s="1">
        <f>IF(Data!I124&gt;0,4-Data!I124,"")</f>
        <v>2</v>
      </c>
      <c r="J124" s="1">
        <f>IF(Data!J124&gt;0,4-Data!J124,"")</f>
        <v>2</v>
      </c>
      <c r="K124" s="1">
        <f>IF(Data!K124&gt;0,Data!K124-4,"")</f>
        <v>2</v>
      </c>
      <c r="L124" s="1">
        <f>IF(Data!L124&gt;0,4-Data!L124,"")</f>
        <v>2</v>
      </c>
      <c r="M124" s="1">
        <f>IF(Data!M124&gt;0,Data!M124-4,"")</f>
        <v>2</v>
      </c>
      <c r="N124" s="1">
        <f>IF(Data!N124&gt;0,Data!N124-4,"")</f>
        <v>1</v>
      </c>
      <c r="O124" s="1">
        <f>IF(Data!O124&gt;0,Data!O124-4,"")</f>
        <v>0</v>
      </c>
      <c r="P124" s="1">
        <f>IF(Data!P124&gt;0,Data!P124-4,"")</f>
        <v>1</v>
      </c>
      <c r="Q124" s="1">
        <f>IF(Data!Q124&gt;0,4-Data!Q124,"")</f>
        <v>-2</v>
      </c>
      <c r="R124" s="1">
        <f>IF(Data!R124&gt;0,4-Data!R124,"")</f>
        <v>0</v>
      </c>
      <c r="S124" s="1">
        <f>IF(Data!S124&gt;0,4-Data!S124,"")</f>
        <v>-2</v>
      </c>
      <c r="T124" s="1">
        <f>IF(Data!T124&gt;0,Data!T124-4,"")</f>
        <v>2</v>
      </c>
      <c r="U124" s="1">
        <f>IF(Data!U124&gt;0,4-Data!U124,"")</f>
        <v>2</v>
      </c>
      <c r="V124" s="1">
        <f>IF(Data!V124&gt;0,Data!V124-4,"")</f>
        <v>2</v>
      </c>
      <c r="W124" s="1">
        <f>IF(Data!W124&gt;0,4-Data!W124,"")</f>
        <v>2</v>
      </c>
      <c r="X124" s="1">
        <f>IF(Data!X124&gt;0,4-Data!X124,"")</f>
        <v>1</v>
      </c>
      <c r="Y124" s="1">
        <f>IF(Data!Y124&gt;0,4-Data!Y124,"")</f>
        <v>2</v>
      </c>
      <c r="Z124" s="1">
        <f>IF(Data!Z124&gt;0,Data!Z124-4,"")</f>
        <v>2</v>
      </c>
      <c r="AC124" s="7">
        <f t="shared" si="6"/>
        <v>1.5</v>
      </c>
      <c r="AD124" s="7">
        <f t="shared" si="7"/>
        <v>2.25</v>
      </c>
      <c r="AE124" s="7">
        <f t="shared" si="8"/>
        <v>2</v>
      </c>
      <c r="AF124" s="7">
        <f t="shared" si="9"/>
        <v>-0.5</v>
      </c>
      <c r="AG124" s="7">
        <f t="shared" si="10"/>
        <v>1</v>
      </c>
      <c r="AH124" s="7">
        <f t="shared" si="11"/>
        <v>1.25</v>
      </c>
    </row>
    <row r="125" spans="1:34">
      <c r="A125" s="1">
        <f>IF(Data!A125&gt;0,Data!A125-4,"")</f>
        <v>2</v>
      </c>
      <c r="B125" s="1">
        <f>IF(Data!B125&gt;0,Data!B125-4,"")</f>
        <v>2</v>
      </c>
      <c r="C125" s="1">
        <f>IF(Data!C125&gt;0,4-Data!C125,"")</f>
        <v>1</v>
      </c>
      <c r="D125" s="1">
        <f>IF(Data!D125&gt;0,4-Data!D125,"")</f>
        <v>3</v>
      </c>
      <c r="E125" s="1">
        <f>IF(Data!E125&gt;0,4-Data!E125,"")</f>
        <v>3</v>
      </c>
      <c r="F125" s="1">
        <f>IF(Data!F125&gt;0,Data!F125-4,"")</f>
        <v>0</v>
      </c>
      <c r="G125" s="1">
        <f>IF(Data!G125&gt;0,Data!G125-4,"")</f>
        <v>2</v>
      </c>
      <c r="H125" s="1">
        <f>IF(Data!H125&gt;0,Data!H125-4,"")</f>
        <v>2</v>
      </c>
      <c r="I125" s="1">
        <f>IF(Data!I125&gt;0,4-Data!I125,"")</f>
        <v>2</v>
      </c>
      <c r="J125" s="1">
        <f>IF(Data!J125&gt;0,4-Data!J125,"")</f>
        <v>-3</v>
      </c>
      <c r="K125" s="1">
        <f>IF(Data!K125&gt;0,Data!K125-4,"")</f>
        <v>2</v>
      </c>
      <c r="L125" s="1">
        <f>IF(Data!L125&gt;0,4-Data!L125,"")</f>
        <v>3</v>
      </c>
      <c r="M125" s="1">
        <f>IF(Data!M125&gt;0,Data!M125-4,"")</f>
        <v>3</v>
      </c>
      <c r="N125" s="1">
        <f>IF(Data!N125&gt;0,Data!N125-4,"")</f>
        <v>3</v>
      </c>
      <c r="O125" s="1">
        <f>IF(Data!O125&gt;0,Data!O125-4,"")</f>
        <v>0</v>
      </c>
      <c r="P125" s="1">
        <f>IF(Data!P125&gt;0,Data!P125-4,"")</f>
        <v>3</v>
      </c>
      <c r="Q125" s="1">
        <f>IF(Data!Q125&gt;0,4-Data!Q125,"")</f>
        <v>2</v>
      </c>
      <c r="R125" s="1">
        <f>IF(Data!R125&gt;0,4-Data!R125,"")</f>
        <v>2</v>
      </c>
      <c r="S125" s="1">
        <f>IF(Data!S125&gt;0,4-Data!S125,"")</f>
        <v>3</v>
      </c>
      <c r="T125" s="1">
        <f>IF(Data!T125&gt;0,Data!T125-4,"")</f>
        <v>2</v>
      </c>
      <c r="U125" s="1">
        <f>IF(Data!U125&gt;0,4-Data!U125,"")</f>
        <v>-2</v>
      </c>
      <c r="V125" s="1">
        <f>IF(Data!V125&gt;0,Data!V125-4,"")</f>
        <v>3</v>
      </c>
      <c r="W125" s="1">
        <f>IF(Data!W125&gt;0,4-Data!W125,"")</f>
        <v>3</v>
      </c>
      <c r="X125" s="1">
        <f>IF(Data!X125&gt;0,4-Data!X125,"")</f>
        <v>1</v>
      </c>
      <c r="Y125" s="1">
        <f>IF(Data!Y125&gt;0,4-Data!Y125,"")</f>
        <v>3</v>
      </c>
      <c r="Z125" s="1">
        <f>IF(Data!Z125&gt;0,Data!Z125-4,"")</f>
        <v>-1</v>
      </c>
      <c r="AC125" s="7">
        <f t="shared" si="6"/>
        <v>2.5</v>
      </c>
      <c r="AD125" s="7">
        <f t="shared" si="7"/>
        <v>1.5</v>
      </c>
      <c r="AE125" s="7">
        <f t="shared" si="8"/>
        <v>2.5</v>
      </c>
      <c r="AF125" s="7">
        <f t="shared" si="9"/>
        <v>2.25</v>
      </c>
      <c r="AG125" s="7">
        <f t="shared" si="10"/>
        <v>1.75</v>
      </c>
      <c r="AH125" s="7">
        <f t="shared" si="11"/>
        <v>-0.75</v>
      </c>
    </row>
    <row r="126" spans="1:34">
      <c r="A126" s="1">
        <f>IF(Data!A126&gt;0,Data!A126-4,"")</f>
        <v>3</v>
      </c>
      <c r="B126" s="1">
        <f>IF(Data!B126&gt;0,Data!B126-4,"")</f>
        <v>3</v>
      </c>
      <c r="C126" s="1">
        <f>IF(Data!C126&gt;0,4-Data!C126,"")</f>
        <v>3</v>
      </c>
      <c r="D126" s="1">
        <f>IF(Data!D126&gt;0,4-Data!D126,"")</f>
        <v>3</v>
      </c>
      <c r="E126" s="1">
        <f>IF(Data!E126&gt;0,4-Data!E126,"")</f>
        <v>3</v>
      </c>
      <c r="F126" s="1">
        <f>IF(Data!F126&gt;0,Data!F126-4,"")</f>
        <v>3</v>
      </c>
      <c r="G126" s="1">
        <f>IF(Data!G126&gt;0,Data!G126-4,"")</f>
        <v>3</v>
      </c>
      <c r="H126" s="1">
        <f>IF(Data!H126&gt;0,Data!H126-4,"")</f>
        <v>-2</v>
      </c>
      <c r="I126" s="1">
        <f>IF(Data!I126&gt;0,4-Data!I126,"")</f>
        <v>3</v>
      </c>
      <c r="J126" s="1">
        <f>IF(Data!J126&gt;0,4-Data!J126,"")</f>
        <v>0</v>
      </c>
      <c r="K126" s="1">
        <f>IF(Data!K126&gt;0,Data!K126-4,"")</f>
        <v>3</v>
      </c>
      <c r="L126" s="1">
        <f>IF(Data!L126&gt;0,4-Data!L126,"")</f>
        <v>3</v>
      </c>
      <c r="M126" s="1">
        <f>IF(Data!M126&gt;0,Data!M126-4,"")</f>
        <v>2</v>
      </c>
      <c r="N126" s="1">
        <f>IF(Data!N126&gt;0,Data!N126-4,"")</f>
        <v>3</v>
      </c>
      <c r="O126" s="1">
        <f>IF(Data!O126&gt;0,Data!O126-4,"")</f>
        <v>0</v>
      </c>
      <c r="P126" s="1">
        <f>IF(Data!P126&gt;0,Data!P126-4,"")</f>
        <v>3</v>
      </c>
      <c r="Q126" s="1">
        <f>IF(Data!Q126&gt;0,4-Data!Q126,"")</f>
        <v>3</v>
      </c>
      <c r="R126" s="1">
        <f>IF(Data!R126&gt;0,4-Data!R126,"")</f>
        <v>3</v>
      </c>
      <c r="S126" s="1">
        <f>IF(Data!S126&gt;0,4-Data!S126,"")</f>
        <v>3</v>
      </c>
      <c r="T126" s="1">
        <f>IF(Data!T126&gt;0,Data!T126-4,"")</f>
        <v>3</v>
      </c>
      <c r="U126" s="1">
        <f>IF(Data!U126&gt;0,4-Data!U126,"")</f>
        <v>2</v>
      </c>
      <c r="V126" s="1">
        <f>IF(Data!V126&gt;0,Data!V126-4,"")</f>
        <v>3</v>
      </c>
      <c r="W126" s="1">
        <f>IF(Data!W126&gt;0,4-Data!W126,"")</f>
        <v>3</v>
      </c>
      <c r="X126" s="1">
        <f>IF(Data!X126&gt;0,4-Data!X126,"")</f>
        <v>3</v>
      </c>
      <c r="Y126" s="1">
        <f>IF(Data!Y126&gt;0,4-Data!Y126,"")</f>
        <v>3</v>
      </c>
      <c r="Z126" s="1">
        <f>IF(Data!Z126&gt;0,Data!Z126-4,"")</f>
        <v>0</v>
      </c>
      <c r="AC126" s="7">
        <f t="shared" si="6"/>
        <v>3</v>
      </c>
      <c r="AD126" s="7">
        <f t="shared" si="7"/>
        <v>2.5</v>
      </c>
      <c r="AE126" s="7">
        <f t="shared" si="8"/>
        <v>3</v>
      </c>
      <c r="AF126" s="7">
        <f t="shared" si="9"/>
        <v>1.75</v>
      </c>
      <c r="AG126" s="7">
        <f t="shared" si="10"/>
        <v>3</v>
      </c>
      <c r="AH126" s="7">
        <f t="shared" si="11"/>
        <v>0.75</v>
      </c>
    </row>
    <row r="127" spans="1:34">
      <c r="A127" s="1">
        <f>IF(Data!A127&gt;0,Data!A127-4,"")</f>
        <v>3</v>
      </c>
      <c r="B127" s="1">
        <f>IF(Data!B127&gt;0,Data!B127-4,"")</f>
        <v>3</v>
      </c>
      <c r="C127" s="1">
        <f>IF(Data!C127&gt;0,4-Data!C127,"")</f>
        <v>2</v>
      </c>
      <c r="D127" s="1">
        <f>IF(Data!D127&gt;0,4-Data!D127,"")</f>
        <v>2</v>
      </c>
      <c r="E127" s="1">
        <f>IF(Data!E127&gt;0,4-Data!E127,"")</f>
        <v>2</v>
      </c>
      <c r="F127" s="1">
        <f>IF(Data!F127&gt;0,Data!F127-4,"")</f>
        <v>1</v>
      </c>
      <c r="G127" s="1">
        <f>IF(Data!G127&gt;0,Data!G127-4,"")</f>
        <v>2</v>
      </c>
      <c r="H127" s="1">
        <f>IF(Data!H127&gt;0,Data!H127-4,"")</f>
        <v>1</v>
      </c>
      <c r="I127" s="1">
        <f>IF(Data!I127&gt;0,4-Data!I127,"")</f>
        <v>2</v>
      </c>
      <c r="J127" s="1">
        <f>IF(Data!J127&gt;0,4-Data!J127,"")</f>
        <v>2</v>
      </c>
      <c r="K127" s="1">
        <f>IF(Data!K127&gt;0,Data!K127-4,"")</f>
        <v>3</v>
      </c>
      <c r="L127" s="1">
        <f>IF(Data!L127&gt;0,4-Data!L127,"")</f>
        <v>3</v>
      </c>
      <c r="M127" s="1">
        <f>IF(Data!M127&gt;0,Data!M127-4,"")</f>
        <v>2</v>
      </c>
      <c r="N127" s="1">
        <f>IF(Data!N127&gt;0,Data!N127-4,"")</f>
        <v>2</v>
      </c>
      <c r="O127" s="1">
        <f>IF(Data!O127&gt;0,Data!O127-4,"")</f>
        <v>2</v>
      </c>
      <c r="P127" s="1">
        <f>IF(Data!P127&gt;0,Data!P127-4,"")</f>
        <v>3</v>
      </c>
      <c r="Q127" s="1">
        <f>IF(Data!Q127&gt;0,4-Data!Q127,"")</f>
        <v>2</v>
      </c>
      <c r="R127" s="1">
        <f>IF(Data!R127&gt;0,4-Data!R127,"")</f>
        <v>0</v>
      </c>
      <c r="S127" s="1">
        <f>IF(Data!S127&gt;0,4-Data!S127,"")</f>
        <v>3</v>
      </c>
      <c r="T127" s="1">
        <f>IF(Data!T127&gt;0,Data!T127-4,"")</f>
        <v>2</v>
      </c>
      <c r="U127" s="1">
        <f>IF(Data!U127&gt;0,4-Data!U127,"")</f>
        <v>1</v>
      </c>
      <c r="V127" s="1">
        <f>IF(Data!V127&gt;0,Data!V127-4,"")</f>
        <v>3</v>
      </c>
      <c r="W127" s="1">
        <f>IF(Data!W127&gt;0,4-Data!W127,"")</f>
        <v>-1</v>
      </c>
      <c r="X127" s="1">
        <f>IF(Data!X127&gt;0,4-Data!X127,"")</f>
        <v>1</v>
      </c>
      <c r="Y127" s="1">
        <f>IF(Data!Y127&gt;0,4-Data!Y127,"")</f>
        <v>2</v>
      </c>
      <c r="Z127" s="1">
        <f>IF(Data!Z127&gt;0,Data!Z127-4,"")</f>
        <v>2</v>
      </c>
      <c r="AC127" s="7">
        <f t="shared" si="6"/>
        <v>2.3333333333333335</v>
      </c>
      <c r="AD127" s="7">
        <f t="shared" si="7"/>
        <v>2</v>
      </c>
      <c r="AE127" s="7">
        <f t="shared" si="8"/>
        <v>1.5</v>
      </c>
      <c r="AF127" s="7">
        <f t="shared" si="9"/>
        <v>2.25</v>
      </c>
      <c r="AG127" s="7">
        <f t="shared" si="10"/>
        <v>1.25</v>
      </c>
      <c r="AH127" s="7">
        <f t="shared" si="11"/>
        <v>2</v>
      </c>
    </row>
    <row r="128" spans="1:34">
      <c r="A128" s="1">
        <f>IF(Data!A128&gt;0,Data!A128-4,"")</f>
        <v>1</v>
      </c>
      <c r="B128" s="1">
        <f>IF(Data!B128&gt;0,Data!B128-4,"")</f>
        <v>2</v>
      </c>
      <c r="C128" s="1">
        <f>IF(Data!C128&gt;0,4-Data!C128,"")</f>
        <v>1</v>
      </c>
      <c r="D128" s="1">
        <f>IF(Data!D128&gt;0,4-Data!D128,"")</f>
        <v>1</v>
      </c>
      <c r="E128" s="1">
        <f>IF(Data!E128&gt;0,4-Data!E128,"")</f>
        <v>1</v>
      </c>
      <c r="F128" s="1">
        <f>IF(Data!F128&gt;0,Data!F128-4,"")</f>
        <v>0</v>
      </c>
      <c r="G128" s="1">
        <f>IF(Data!G128&gt;0,Data!G128-4,"")</f>
        <v>0</v>
      </c>
      <c r="H128" s="1">
        <f>IF(Data!H128&gt;0,Data!H128-4,"")</f>
        <v>0</v>
      </c>
      <c r="I128" s="1">
        <f>IF(Data!I128&gt;0,4-Data!I128,"")</f>
        <v>2</v>
      </c>
      <c r="J128" s="1">
        <f>IF(Data!J128&gt;0,4-Data!J128,"")</f>
        <v>1</v>
      </c>
      <c r="K128" s="1">
        <f>IF(Data!K128&gt;0,Data!K128-4,"")</f>
        <v>0</v>
      </c>
      <c r="L128" s="1">
        <f>IF(Data!L128&gt;0,4-Data!L128,"")</f>
        <v>1</v>
      </c>
      <c r="M128" s="1">
        <f>IF(Data!M128&gt;0,Data!M128-4,"")</f>
        <v>1</v>
      </c>
      <c r="N128" s="1">
        <f>IF(Data!N128&gt;0,Data!N128-4,"")</f>
        <v>0</v>
      </c>
      <c r="O128" s="1">
        <f>IF(Data!O128&gt;0,Data!O128-4,"")</f>
        <v>1</v>
      </c>
      <c r="P128" s="1">
        <f>IF(Data!P128&gt;0,Data!P128-4,"")</f>
        <v>1</v>
      </c>
      <c r="Q128" s="1">
        <f>IF(Data!Q128&gt;0,4-Data!Q128,"")</f>
        <v>1</v>
      </c>
      <c r="R128" s="1">
        <f>IF(Data!R128&gt;0,4-Data!R128,"")</f>
        <v>1</v>
      </c>
      <c r="S128" s="1">
        <f>IF(Data!S128&gt;0,4-Data!S128,"")</f>
        <v>-2</v>
      </c>
      <c r="T128" s="1">
        <f>IF(Data!T128&gt;0,Data!T128-4,"")</f>
        <v>2</v>
      </c>
      <c r="U128" s="1">
        <f>IF(Data!U128&gt;0,4-Data!U128,"")</f>
        <v>1</v>
      </c>
      <c r="V128" s="1">
        <f>IF(Data!V128&gt;0,Data!V128-4,"")</f>
        <v>2</v>
      </c>
      <c r="W128" s="1">
        <f>IF(Data!W128&gt;0,4-Data!W128,"")</f>
        <v>1</v>
      </c>
      <c r="X128" s="1">
        <f>IF(Data!X128&gt;0,4-Data!X128,"")</f>
        <v>1</v>
      </c>
      <c r="Y128" s="1">
        <f>IF(Data!Y128&gt;0,4-Data!Y128,"")</f>
        <v>1</v>
      </c>
      <c r="Z128" s="1">
        <f>IF(Data!Z128&gt;0,Data!Z128-4,"")</f>
        <v>2</v>
      </c>
      <c r="AC128" s="7">
        <f t="shared" si="6"/>
        <v>0.83333333333333337</v>
      </c>
      <c r="AD128" s="7">
        <f t="shared" si="7"/>
        <v>1.25</v>
      </c>
      <c r="AE128" s="7">
        <f t="shared" si="8"/>
        <v>1.75</v>
      </c>
      <c r="AF128" s="7">
        <f t="shared" si="9"/>
        <v>-0.25</v>
      </c>
      <c r="AG128" s="7">
        <f t="shared" si="10"/>
        <v>0.5</v>
      </c>
      <c r="AH128" s="7">
        <f t="shared" si="11"/>
        <v>1.25</v>
      </c>
    </row>
    <row r="129" spans="1:34">
      <c r="A129" s="1">
        <f>IF(Data!A129&gt;0,Data!A129-4,"")</f>
        <v>2</v>
      </c>
      <c r="B129" s="1">
        <f>IF(Data!B129&gt;0,Data!B129-4,"")</f>
        <v>2</v>
      </c>
      <c r="C129" s="1">
        <f>IF(Data!C129&gt;0,4-Data!C129,"")</f>
        <v>0</v>
      </c>
      <c r="D129" s="1">
        <f>IF(Data!D129&gt;0,4-Data!D129,"")</f>
        <v>-1</v>
      </c>
      <c r="E129" s="1">
        <f>IF(Data!E129&gt;0,4-Data!E129,"")</f>
        <v>2</v>
      </c>
      <c r="F129" s="1">
        <f>IF(Data!F129&gt;0,Data!F129-4,"")</f>
        <v>1</v>
      </c>
      <c r="G129" s="1">
        <f>IF(Data!G129&gt;0,Data!G129-4,"")</f>
        <v>1</v>
      </c>
      <c r="H129" s="1">
        <f>IF(Data!H129&gt;0,Data!H129-4,"")</f>
        <v>2</v>
      </c>
      <c r="I129" s="1">
        <f>IF(Data!I129&gt;0,4-Data!I129,"")</f>
        <v>2</v>
      </c>
      <c r="J129" s="1">
        <f>IF(Data!J129&gt;0,4-Data!J129,"")</f>
        <v>1</v>
      </c>
      <c r="K129" s="1">
        <f>IF(Data!K129&gt;0,Data!K129-4,"")</f>
        <v>2</v>
      </c>
      <c r="L129" s="1">
        <f>IF(Data!L129&gt;0,4-Data!L129,"")</f>
        <v>3</v>
      </c>
      <c r="M129" s="1">
        <f>IF(Data!M129&gt;0,Data!M129-4,"")</f>
        <v>1</v>
      </c>
      <c r="N129" s="1">
        <f>IF(Data!N129&gt;0,Data!N129-4,"")</f>
        <v>0</v>
      </c>
      <c r="O129" s="1">
        <f>IF(Data!O129&gt;0,Data!O129-4,"")</f>
        <v>1</v>
      </c>
      <c r="P129" s="1">
        <f>IF(Data!P129&gt;0,Data!P129-4,"")</f>
        <v>1</v>
      </c>
      <c r="Q129" s="1">
        <f>IF(Data!Q129&gt;0,4-Data!Q129,"")</f>
        <v>3</v>
      </c>
      <c r="R129" s="1">
        <f>IF(Data!R129&gt;0,4-Data!R129,"")</f>
        <v>0</v>
      </c>
      <c r="S129" s="1">
        <f>IF(Data!S129&gt;0,4-Data!S129,"")</f>
        <v>2</v>
      </c>
      <c r="T129" s="1">
        <f>IF(Data!T129&gt;0,Data!T129-4,"")</f>
        <v>2</v>
      </c>
      <c r="U129" s="1">
        <f>IF(Data!U129&gt;0,4-Data!U129,"")</f>
        <v>3</v>
      </c>
      <c r="V129" s="1">
        <f>IF(Data!V129&gt;0,Data!V129-4,"")</f>
        <v>3</v>
      </c>
      <c r="W129" s="1">
        <f>IF(Data!W129&gt;0,4-Data!W129,"")</f>
        <v>1</v>
      </c>
      <c r="X129" s="1">
        <f>IF(Data!X129&gt;0,4-Data!X129,"")</f>
        <v>1</v>
      </c>
      <c r="Y129" s="1">
        <f>IF(Data!Y129&gt;0,4-Data!Y129,"")</f>
        <v>0</v>
      </c>
      <c r="Z129" s="1">
        <f>IF(Data!Z129&gt;0,Data!Z129-4,"")</f>
        <v>2</v>
      </c>
      <c r="AC129" s="7">
        <f t="shared" si="6"/>
        <v>1.1666666666666667</v>
      </c>
      <c r="AD129" s="7">
        <f t="shared" si="7"/>
        <v>1.25</v>
      </c>
      <c r="AE129" s="7">
        <f t="shared" si="8"/>
        <v>2</v>
      </c>
      <c r="AF129" s="7">
        <f t="shared" si="9"/>
        <v>2.25</v>
      </c>
      <c r="AG129" s="7">
        <f t="shared" si="10"/>
        <v>1</v>
      </c>
      <c r="AH129" s="7">
        <f t="shared" si="11"/>
        <v>1</v>
      </c>
    </row>
    <row r="130" spans="1:34">
      <c r="A130" s="1">
        <f>IF(Data!A130&gt;0,Data!A130-4,"")</f>
        <v>1</v>
      </c>
      <c r="B130" s="1">
        <f>IF(Data!B130&gt;0,Data!B130-4,"")</f>
        <v>3</v>
      </c>
      <c r="C130" s="1">
        <f>IF(Data!C130&gt;0,4-Data!C130,"")</f>
        <v>-1</v>
      </c>
      <c r="D130" s="1">
        <f>IF(Data!D130&gt;0,4-Data!D130,"")</f>
        <v>2</v>
      </c>
      <c r="E130" s="1">
        <f>IF(Data!E130&gt;0,4-Data!E130,"")</f>
        <v>3</v>
      </c>
      <c r="F130" s="1">
        <f>IF(Data!F130&gt;0,Data!F130-4,"")</f>
        <v>-1</v>
      </c>
      <c r="G130" s="1">
        <f>IF(Data!G130&gt;0,Data!G130-4,"")</f>
        <v>2</v>
      </c>
      <c r="H130" s="1">
        <f>IF(Data!H130&gt;0,Data!H130-4,"")</f>
        <v>2</v>
      </c>
      <c r="I130" s="1">
        <f>IF(Data!I130&gt;0,4-Data!I130,"")</f>
        <v>1</v>
      </c>
      <c r="J130" s="1">
        <f>IF(Data!J130&gt;0,4-Data!J130,"")</f>
        <v>1</v>
      </c>
      <c r="K130" s="1">
        <f>IF(Data!K130&gt;0,Data!K130-4,"")</f>
        <v>0</v>
      </c>
      <c r="L130" s="1">
        <f>IF(Data!L130&gt;0,4-Data!L130,"")</f>
        <v>1</v>
      </c>
      <c r="M130" s="1">
        <f>IF(Data!M130&gt;0,Data!M130-4,"")</f>
        <v>1</v>
      </c>
      <c r="N130" s="1">
        <f>IF(Data!N130&gt;0,Data!N130-4,"")</f>
        <v>1</v>
      </c>
      <c r="O130" s="1">
        <f>IF(Data!O130&gt;0,Data!O130-4,"")</f>
        <v>-1</v>
      </c>
      <c r="P130" s="1">
        <f>IF(Data!P130&gt;0,Data!P130-4,"")</f>
        <v>0</v>
      </c>
      <c r="Q130" s="1">
        <f>IF(Data!Q130&gt;0,4-Data!Q130,"")</f>
        <v>-1</v>
      </c>
      <c r="R130" s="1">
        <f>IF(Data!R130&gt;0,4-Data!R130,"")</f>
        <v>1</v>
      </c>
      <c r="S130" s="1">
        <f>IF(Data!S130&gt;0,4-Data!S130,"")</f>
        <v>0</v>
      </c>
      <c r="T130" s="1">
        <f>IF(Data!T130&gt;0,Data!T130-4,"")</f>
        <v>2</v>
      </c>
      <c r="U130" s="1">
        <f>IF(Data!U130&gt;0,4-Data!U130,"")</f>
        <v>2</v>
      </c>
      <c r="V130" s="1">
        <f>IF(Data!V130&gt;0,Data!V130-4,"")</f>
        <v>1</v>
      </c>
      <c r="W130" s="1">
        <f>IF(Data!W130&gt;0,4-Data!W130,"")</f>
        <v>2</v>
      </c>
      <c r="X130" s="1">
        <f>IF(Data!X130&gt;0,4-Data!X130,"")</f>
        <v>0</v>
      </c>
      <c r="Y130" s="1">
        <f>IF(Data!Y130&gt;0,4-Data!Y130,"")</f>
        <v>1</v>
      </c>
      <c r="Z130" s="1">
        <f>IF(Data!Z130&gt;0,Data!Z130-4,"")</f>
        <v>-1</v>
      </c>
      <c r="AC130" s="7">
        <f t="shared" si="6"/>
        <v>0.66666666666666663</v>
      </c>
      <c r="AD130" s="7">
        <f t="shared" si="7"/>
        <v>2</v>
      </c>
      <c r="AE130" s="7">
        <f t="shared" si="8"/>
        <v>1.5</v>
      </c>
      <c r="AF130" s="7">
        <f t="shared" si="9"/>
        <v>0.25</v>
      </c>
      <c r="AG130" s="7">
        <f t="shared" si="10"/>
        <v>1.25</v>
      </c>
      <c r="AH130" s="7">
        <f t="shared" si="11"/>
        <v>-0.5</v>
      </c>
    </row>
    <row r="131" spans="1:34">
      <c r="A131" s="1">
        <f>IF(Data!A131&gt;0,Data!A131-4,"")</f>
        <v>1</v>
      </c>
      <c r="B131" s="1">
        <f>IF(Data!B131&gt;0,Data!B131-4,"")</f>
        <v>3</v>
      </c>
      <c r="C131" s="1">
        <f>IF(Data!C131&gt;0,4-Data!C131,"")</f>
        <v>1</v>
      </c>
      <c r="D131" s="1">
        <f>IF(Data!D131&gt;0,4-Data!D131,"")</f>
        <v>3</v>
      </c>
      <c r="E131" s="1">
        <f>IF(Data!E131&gt;0,4-Data!E131,"")</f>
        <v>0</v>
      </c>
      <c r="F131" s="1">
        <f>IF(Data!F131&gt;0,Data!F131-4,"")</f>
        <v>1</v>
      </c>
      <c r="G131" s="1">
        <f>IF(Data!G131&gt;0,Data!G131-4,"")</f>
        <v>1</v>
      </c>
      <c r="H131" s="1">
        <f>IF(Data!H131&gt;0,Data!H131-4,"")</f>
        <v>1</v>
      </c>
      <c r="I131" s="1">
        <f>IF(Data!I131&gt;0,4-Data!I131,"")</f>
        <v>1</v>
      </c>
      <c r="J131" s="1">
        <f>IF(Data!J131&gt;0,4-Data!J131,"")</f>
        <v>0</v>
      </c>
      <c r="K131" s="1">
        <f>IF(Data!K131&gt;0,Data!K131-4,"")</f>
        <v>1</v>
      </c>
      <c r="L131" s="1">
        <f>IF(Data!L131&gt;0,4-Data!L131,"")</f>
        <v>3</v>
      </c>
      <c r="M131" s="1">
        <f>IF(Data!M131&gt;0,Data!M131-4,"")</f>
        <v>2</v>
      </c>
      <c r="N131" s="1">
        <f>IF(Data!N131&gt;0,Data!N131-4,"")</f>
        <v>3</v>
      </c>
      <c r="O131" s="1">
        <f>IF(Data!O131&gt;0,Data!O131-4,"")</f>
        <v>0</v>
      </c>
      <c r="P131" s="1">
        <f>IF(Data!P131&gt;0,Data!P131-4,"")</f>
        <v>3</v>
      </c>
      <c r="Q131" s="1">
        <f>IF(Data!Q131&gt;0,4-Data!Q131,"")</f>
        <v>3</v>
      </c>
      <c r="R131" s="1">
        <f>IF(Data!R131&gt;0,4-Data!R131,"")</f>
        <v>0</v>
      </c>
      <c r="S131" s="1">
        <f>IF(Data!S131&gt;0,4-Data!S131,"")</f>
        <v>3</v>
      </c>
      <c r="T131" s="1">
        <f>IF(Data!T131&gt;0,Data!T131-4,"")</f>
        <v>3</v>
      </c>
      <c r="U131" s="1">
        <f>IF(Data!U131&gt;0,4-Data!U131,"")</f>
        <v>3</v>
      </c>
      <c r="V131" s="1">
        <f>IF(Data!V131&gt;0,Data!V131-4,"")</f>
        <v>1</v>
      </c>
      <c r="W131" s="1">
        <f>IF(Data!W131&gt;0,4-Data!W131,"")</f>
        <v>3</v>
      </c>
      <c r="X131" s="1">
        <f>IF(Data!X131&gt;0,4-Data!X131,"")</f>
        <v>1</v>
      </c>
      <c r="Y131" s="1">
        <f>IF(Data!Y131&gt;0,4-Data!Y131,"")</f>
        <v>2</v>
      </c>
      <c r="Z131" s="1">
        <f>IF(Data!Z131&gt;0,Data!Z131-4,"")</f>
        <v>-1</v>
      </c>
      <c r="AC131" s="7">
        <f t="shared" si="6"/>
        <v>2.1666666666666665</v>
      </c>
      <c r="AD131" s="7">
        <f t="shared" si="7"/>
        <v>2.75</v>
      </c>
      <c r="AE131" s="7">
        <f t="shared" si="8"/>
        <v>2</v>
      </c>
      <c r="AF131" s="7">
        <f t="shared" si="9"/>
        <v>2</v>
      </c>
      <c r="AG131" s="7">
        <f t="shared" si="10"/>
        <v>0.5</v>
      </c>
      <c r="AH131" s="7">
        <f t="shared" si="11"/>
        <v>0</v>
      </c>
    </row>
    <row r="132" spans="1:34">
      <c r="A132" s="1">
        <f>IF(Data!A132&gt;0,Data!A132-4,"")</f>
        <v>3</v>
      </c>
      <c r="B132" s="1">
        <f>IF(Data!B132&gt;0,Data!B132-4,"")</f>
        <v>3</v>
      </c>
      <c r="C132" s="1">
        <f>IF(Data!C132&gt;0,4-Data!C132,"")</f>
        <v>2</v>
      </c>
      <c r="D132" s="1">
        <f>IF(Data!D132&gt;0,4-Data!D132,"")</f>
        <v>3</v>
      </c>
      <c r="E132" s="1">
        <f>IF(Data!E132&gt;0,4-Data!E132,"")</f>
        <v>3</v>
      </c>
      <c r="F132" s="1">
        <f>IF(Data!F132&gt;0,Data!F132-4,"")</f>
        <v>0</v>
      </c>
      <c r="G132" s="1">
        <f>IF(Data!G132&gt;0,Data!G132-4,"")</f>
        <v>2</v>
      </c>
      <c r="H132" s="1">
        <f>IF(Data!H132&gt;0,Data!H132-4,"")</f>
        <v>0</v>
      </c>
      <c r="I132" s="1">
        <f>IF(Data!I132&gt;0,4-Data!I132,"")</f>
        <v>2</v>
      </c>
      <c r="J132" s="1">
        <f>IF(Data!J132&gt;0,4-Data!J132,"")</f>
        <v>2</v>
      </c>
      <c r="K132" s="1">
        <f>IF(Data!K132&gt;0,Data!K132-4,"")</f>
        <v>0</v>
      </c>
      <c r="L132" s="1">
        <f>IF(Data!L132&gt;0,4-Data!L132,"")</f>
        <v>3</v>
      </c>
      <c r="M132" s="1">
        <f>IF(Data!M132&gt;0,Data!M132-4,"")</f>
        <v>3</v>
      </c>
      <c r="N132" s="1">
        <f>IF(Data!N132&gt;0,Data!N132-4,"")</f>
        <v>3</v>
      </c>
      <c r="O132" s="1">
        <f>IF(Data!O132&gt;0,Data!O132-4,"")</f>
        <v>2</v>
      </c>
      <c r="P132" s="1">
        <f>IF(Data!P132&gt;0,Data!P132-4,"")</f>
        <v>3</v>
      </c>
      <c r="Q132" s="1">
        <f>IF(Data!Q132&gt;0,4-Data!Q132,"")</f>
        <v>3</v>
      </c>
      <c r="R132" s="1">
        <f>IF(Data!R132&gt;0,4-Data!R132,"")</f>
        <v>3</v>
      </c>
      <c r="S132" s="1">
        <f>IF(Data!S132&gt;0,4-Data!S132,"")</f>
        <v>3</v>
      </c>
      <c r="T132" s="1">
        <f>IF(Data!T132&gt;0,Data!T132-4,"")</f>
        <v>3</v>
      </c>
      <c r="U132" s="1">
        <f>IF(Data!U132&gt;0,4-Data!U132,"")</f>
        <v>3</v>
      </c>
      <c r="V132" s="1">
        <f>IF(Data!V132&gt;0,Data!V132-4,"")</f>
        <v>3</v>
      </c>
      <c r="W132" s="1">
        <f>IF(Data!W132&gt;0,4-Data!W132,"")</f>
        <v>3</v>
      </c>
      <c r="X132" s="1">
        <f>IF(Data!X132&gt;0,4-Data!X132,"")</f>
        <v>0</v>
      </c>
      <c r="Y132" s="1">
        <f>IF(Data!Y132&gt;0,4-Data!Y132,"")</f>
        <v>3</v>
      </c>
      <c r="Z132" s="1">
        <f>IF(Data!Z132&gt;0,Data!Z132-4,"")</f>
        <v>0</v>
      </c>
      <c r="AC132" s="7">
        <f t="shared" si="6"/>
        <v>2.5</v>
      </c>
      <c r="AD132" s="7">
        <f t="shared" si="7"/>
        <v>3</v>
      </c>
      <c r="AE132" s="7">
        <f t="shared" si="8"/>
        <v>2.75</v>
      </c>
      <c r="AF132" s="7">
        <f t="shared" si="9"/>
        <v>1.5</v>
      </c>
      <c r="AG132" s="7">
        <f t="shared" si="10"/>
        <v>2</v>
      </c>
      <c r="AH132" s="7">
        <f t="shared" si="11"/>
        <v>1.5</v>
      </c>
    </row>
    <row r="133" spans="1:34">
      <c r="A133" s="1">
        <f>IF(Data!A133&gt;0,Data!A133-4,"")</f>
        <v>2</v>
      </c>
      <c r="B133" s="1">
        <f>IF(Data!B133&gt;0,Data!B133-4,"")</f>
        <v>3</v>
      </c>
      <c r="C133" s="1">
        <f>IF(Data!C133&gt;0,4-Data!C133,"")</f>
        <v>-1</v>
      </c>
      <c r="D133" s="1">
        <f>IF(Data!D133&gt;0,4-Data!D133,"")</f>
        <v>2</v>
      </c>
      <c r="E133" s="1">
        <f>IF(Data!E133&gt;0,4-Data!E133,"")</f>
        <v>1</v>
      </c>
      <c r="F133" s="1">
        <f>IF(Data!F133&gt;0,Data!F133-4,"")</f>
        <v>1</v>
      </c>
      <c r="G133" s="1">
        <f>IF(Data!G133&gt;0,Data!G133-4,"")</f>
        <v>0</v>
      </c>
      <c r="H133" s="1">
        <f>IF(Data!H133&gt;0,Data!H133-4,"")</f>
        <v>0</v>
      </c>
      <c r="I133" s="1">
        <f>IF(Data!I133&gt;0,4-Data!I133,"")</f>
        <v>2</v>
      </c>
      <c r="J133" s="1">
        <f>IF(Data!J133&gt;0,4-Data!J133,"")</f>
        <v>1</v>
      </c>
      <c r="K133" s="1">
        <f>IF(Data!K133&gt;0,Data!K133-4,"")</f>
        <v>0</v>
      </c>
      <c r="L133" s="1">
        <f>IF(Data!L133&gt;0,4-Data!L133,"")</f>
        <v>2</v>
      </c>
      <c r="M133" s="1">
        <f>IF(Data!M133&gt;0,Data!M133-4,"")</f>
        <v>2</v>
      </c>
      <c r="N133" s="1">
        <f>IF(Data!N133&gt;0,Data!N133-4,"")</f>
        <v>1</v>
      </c>
      <c r="O133" s="1">
        <f>IF(Data!O133&gt;0,Data!O133-4,"")</f>
        <v>2</v>
      </c>
      <c r="P133" s="1">
        <f>IF(Data!P133&gt;0,Data!P133-4,"")</f>
        <v>1</v>
      </c>
      <c r="Q133" s="1">
        <f>IF(Data!Q133&gt;0,4-Data!Q133,"")</f>
        <v>2</v>
      </c>
      <c r="R133" s="1">
        <f>IF(Data!R133&gt;0,4-Data!R133,"")</f>
        <v>0</v>
      </c>
      <c r="S133" s="1">
        <f>IF(Data!S133&gt;0,4-Data!S133,"")</f>
        <v>2</v>
      </c>
      <c r="T133" s="1">
        <f>IF(Data!T133&gt;0,Data!T133-4,"")</f>
        <v>3</v>
      </c>
      <c r="U133" s="1">
        <f>IF(Data!U133&gt;0,4-Data!U133,"")</f>
        <v>3</v>
      </c>
      <c r="V133" s="1">
        <f>IF(Data!V133&gt;0,Data!V133-4,"")</f>
        <v>3</v>
      </c>
      <c r="W133" s="1">
        <f>IF(Data!W133&gt;0,4-Data!W133,"")</f>
        <v>1</v>
      </c>
      <c r="X133" s="1">
        <f>IF(Data!X133&gt;0,4-Data!X133,"")</f>
        <v>0</v>
      </c>
      <c r="Y133" s="1">
        <f>IF(Data!Y133&gt;0,4-Data!Y133,"")</f>
        <v>0</v>
      </c>
      <c r="Z133" s="1">
        <f>IF(Data!Z133&gt;0,Data!Z133-4,"")</f>
        <v>0</v>
      </c>
      <c r="AC133" s="7">
        <f t="shared" ref="AC133:AC196" si="12">IF(COUNT(A133,L133,N133,P133,X133,Y133)&gt;0,AVERAGE(A133,L133,N133,P133,X133,Y133),"")</f>
        <v>1</v>
      </c>
      <c r="AD133" s="7">
        <f t="shared" ref="AD133:AD196" si="13">IF(COUNT(B133,D133,M133,U133)&gt;0,AVERAGE(B133,D133,M133,U133),"")</f>
        <v>2.5</v>
      </c>
      <c r="AE133" s="7">
        <f t="shared" ref="AE133:AE196" si="14">IF(COUNT(I133,T133,V133,W133)&gt;0,AVERAGE(I133,T133,V133,W133),"")</f>
        <v>2.25</v>
      </c>
      <c r="AF133" s="7">
        <f t="shared" ref="AF133:AF196" si="15">IF(COUNT(H133,K133,Q133,S133)&gt;0,AVERAGE(H133,K133,Q133,S133),"")</f>
        <v>1</v>
      </c>
      <c r="AG133" s="7">
        <f t="shared" ref="AG133:AG196" si="16">IF(COUNT(E133,F133,G133,R133)&gt;0,AVERAGE(E133,F133,G133,R133),"")</f>
        <v>0.5</v>
      </c>
      <c r="AH133" s="7">
        <f t="shared" ref="AH133:AH196" si="17">IF(COUNT(C133,J133,O133,Z133)&gt;0,AVERAGE(C133,J133,O133,Z133),"")</f>
        <v>0.5</v>
      </c>
    </row>
    <row r="134" spans="1:34">
      <c r="A134" s="1">
        <f>IF(Data!A134&gt;0,Data!A134-4,"")</f>
        <v>0</v>
      </c>
      <c r="B134" s="1">
        <f>IF(Data!B134&gt;0,Data!B134-4,"")</f>
        <v>0</v>
      </c>
      <c r="C134" s="1">
        <f>IF(Data!C134&gt;0,4-Data!C134,"")</f>
        <v>2</v>
      </c>
      <c r="D134" s="1">
        <f>IF(Data!D134&gt;0,4-Data!D134,"")</f>
        <v>1</v>
      </c>
      <c r="E134" s="1">
        <f>IF(Data!E134&gt;0,4-Data!E134,"")</f>
        <v>2</v>
      </c>
      <c r="F134" s="1">
        <f>IF(Data!F134&gt;0,Data!F134-4,"")</f>
        <v>0</v>
      </c>
      <c r="G134" s="1">
        <f>IF(Data!G134&gt;0,Data!G134-4,"")</f>
        <v>0</v>
      </c>
      <c r="H134" s="1">
        <f>IF(Data!H134&gt;0,Data!H134-4,"")</f>
        <v>1</v>
      </c>
      <c r="I134" s="1">
        <f>IF(Data!I134&gt;0,4-Data!I134,"")</f>
        <v>1</v>
      </c>
      <c r="J134" s="1">
        <f>IF(Data!J134&gt;0,4-Data!J134,"")</f>
        <v>2</v>
      </c>
      <c r="K134" s="1">
        <f>IF(Data!K134&gt;0,Data!K134-4,"")</f>
        <v>0</v>
      </c>
      <c r="L134" s="1">
        <f>IF(Data!L134&gt;0,4-Data!L134,"")</f>
        <v>1</v>
      </c>
      <c r="M134" s="1">
        <f>IF(Data!M134&gt;0,Data!M134-4,"")</f>
        <v>0</v>
      </c>
      <c r="N134" s="1">
        <f>IF(Data!N134&gt;0,Data!N134-4,"")</f>
        <v>1</v>
      </c>
      <c r="O134" s="1">
        <f>IF(Data!O134&gt;0,Data!O134-4,"")</f>
        <v>1</v>
      </c>
      <c r="P134" s="1">
        <f>IF(Data!P134&gt;0,Data!P134-4,"")</f>
        <v>1</v>
      </c>
      <c r="Q134" s="1">
        <f>IF(Data!Q134&gt;0,4-Data!Q134,"")</f>
        <v>1</v>
      </c>
      <c r="R134" s="1">
        <f>IF(Data!R134&gt;0,4-Data!R134,"")</f>
        <v>1</v>
      </c>
      <c r="S134" s="1">
        <f>IF(Data!S134&gt;0,4-Data!S134,"")</f>
        <v>2</v>
      </c>
      <c r="T134" s="1">
        <f>IF(Data!T134&gt;0,Data!T134-4,"")</f>
        <v>1</v>
      </c>
      <c r="U134" s="1">
        <f>IF(Data!U134&gt;0,4-Data!U134,"")</f>
        <v>1</v>
      </c>
      <c r="V134" s="1">
        <f>IF(Data!V134&gt;0,Data!V134-4,"")</f>
        <v>2</v>
      </c>
      <c r="W134" s="1">
        <f>IF(Data!W134&gt;0,4-Data!W134,"")</f>
        <v>2</v>
      </c>
      <c r="X134" s="1">
        <f>IF(Data!X134&gt;0,4-Data!X134,"")</f>
        <v>0</v>
      </c>
      <c r="Y134" s="1">
        <f>IF(Data!Y134&gt;0,4-Data!Y134,"")</f>
        <v>1</v>
      </c>
      <c r="Z134" s="1">
        <f>IF(Data!Z134&gt;0,Data!Z134-4,"")</f>
        <v>2</v>
      </c>
      <c r="AC134" s="7">
        <f t="shared" si="12"/>
        <v>0.66666666666666663</v>
      </c>
      <c r="AD134" s="7">
        <f t="shared" si="13"/>
        <v>0.5</v>
      </c>
      <c r="AE134" s="7">
        <f t="shared" si="14"/>
        <v>1.5</v>
      </c>
      <c r="AF134" s="7">
        <f t="shared" si="15"/>
        <v>1</v>
      </c>
      <c r="AG134" s="7">
        <f t="shared" si="16"/>
        <v>0.75</v>
      </c>
      <c r="AH134" s="7">
        <f t="shared" si="17"/>
        <v>1.75</v>
      </c>
    </row>
    <row r="135" spans="1:34">
      <c r="A135" s="1">
        <f>IF(Data!A135&gt;0,Data!A135-4,"")</f>
        <v>3</v>
      </c>
      <c r="B135" s="1">
        <f>IF(Data!B135&gt;0,Data!B135-4,"")</f>
        <v>2</v>
      </c>
      <c r="C135" s="1">
        <f>IF(Data!C135&gt;0,4-Data!C135,"")</f>
        <v>1</v>
      </c>
      <c r="D135" s="1">
        <f>IF(Data!D135&gt;0,4-Data!D135,"")</f>
        <v>2</v>
      </c>
      <c r="E135" s="1">
        <f>IF(Data!E135&gt;0,4-Data!E135,"")</f>
        <v>2</v>
      </c>
      <c r="F135" s="1">
        <f>IF(Data!F135&gt;0,Data!F135-4,"")</f>
        <v>1</v>
      </c>
      <c r="G135" s="1">
        <f>IF(Data!G135&gt;0,Data!G135-4,"")</f>
        <v>2</v>
      </c>
      <c r="H135" s="1">
        <f>IF(Data!H135&gt;0,Data!H135-4,"")</f>
        <v>1</v>
      </c>
      <c r="I135" s="1">
        <f>IF(Data!I135&gt;0,4-Data!I135,"")</f>
        <v>1</v>
      </c>
      <c r="J135" s="1">
        <f>IF(Data!J135&gt;0,4-Data!J135,"")</f>
        <v>2</v>
      </c>
      <c r="K135" s="1">
        <f>IF(Data!K135&gt;0,Data!K135-4,"")</f>
        <v>1</v>
      </c>
      <c r="L135" s="1">
        <f>IF(Data!L135&gt;0,4-Data!L135,"")</f>
        <v>1</v>
      </c>
      <c r="M135" s="1">
        <f>IF(Data!M135&gt;0,Data!M135-4,"")</f>
        <v>0</v>
      </c>
      <c r="N135" s="1">
        <f>IF(Data!N135&gt;0,Data!N135-4,"")</f>
        <v>2</v>
      </c>
      <c r="O135" s="1">
        <f>IF(Data!O135&gt;0,Data!O135-4,"")</f>
        <v>1</v>
      </c>
      <c r="P135" s="1">
        <f>IF(Data!P135&gt;0,Data!P135-4,"")</f>
        <v>2</v>
      </c>
      <c r="Q135" s="1">
        <f>IF(Data!Q135&gt;0,4-Data!Q135,"")</f>
        <v>2</v>
      </c>
      <c r="R135" s="1">
        <f>IF(Data!R135&gt;0,4-Data!R135,"")</f>
        <v>1</v>
      </c>
      <c r="S135" s="1">
        <f>IF(Data!S135&gt;0,4-Data!S135,"")</f>
        <v>2</v>
      </c>
      <c r="T135" s="1">
        <f>IF(Data!T135&gt;0,Data!T135-4,"")</f>
        <v>2</v>
      </c>
      <c r="U135" s="1">
        <f>IF(Data!U135&gt;0,4-Data!U135,"")</f>
        <v>2</v>
      </c>
      <c r="V135" s="1">
        <f>IF(Data!V135&gt;0,Data!V135-4,"")</f>
        <v>2</v>
      </c>
      <c r="W135" s="1">
        <f>IF(Data!W135&gt;0,4-Data!W135,"")</f>
        <v>1</v>
      </c>
      <c r="X135" s="1">
        <f>IF(Data!X135&gt;0,4-Data!X135,"")</f>
        <v>1</v>
      </c>
      <c r="Y135" s="1">
        <f>IF(Data!Y135&gt;0,4-Data!Y135,"")</f>
        <v>1</v>
      </c>
      <c r="Z135" s="1">
        <f>IF(Data!Z135&gt;0,Data!Z135-4,"")</f>
        <v>1</v>
      </c>
      <c r="AC135" s="7">
        <f t="shared" si="12"/>
        <v>1.6666666666666667</v>
      </c>
      <c r="AD135" s="7">
        <f t="shared" si="13"/>
        <v>1.5</v>
      </c>
      <c r="AE135" s="7">
        <f t="shared" si="14"/>
        <v>1.5</v>
      </c>
      <c r="AF135" s="7">
        <f t="shared" si="15"/>
        <v>1.5</v>
      </c>
      <c r="AG135" s="7">
        <f t="shared" si="16"/>
        <v>1.5</v>
      </c>
      <c r="AH135" s="7">
        <f t="shared" si="17"/>
        <v>1.25</v>
      </c>
    </row>
    <row r="136" spans="1:34">
      <c r="A136" s="1">
        <f>IF(Data!A136&gt;0,Data!A136-4,"")</f>
        <v>1</v>
      </c>
      <c r="B136" s="1">
        <f>IF(Data!B136&gt;0,Data!B136-4,"")</f>
        <v>1</v>
      </c>
      <c r="C136" s="1">
        <f>IF(Data!C136&gt;0,4-Data!C136,"")</f>
        <v>0</v>
      </c>
      <c r="D136" s="1">
        <f>IF(Data!D136&gt;0,4-Data!D136,"")</f>
        <v>2</v>
      </c>
      <c r="E136" s="1">
        <f>IF(Data!E136&gt;0,4-Data!E136,"")</f>
        <v>1</v>
      </c>
      <c r="F136" s="1">
        <f>IF(Data!F136&gt;0,Data!F136-4,"")</f>
        <v>1</v>
      </c>
      <c r="G136" s="1">
        <f>IF(Data!G136&gt;0,Data!G136-4,"")</f>
        <v>1</v>
      </c>
      <c r="H136" s="1">
        <f>IF(Data!H136&gt;0,Data!H136-4,"")</f>
        <v>1</v>
      </c>
      <c r="I136" s="1">
        <f>IF(Data!I136&gt;0,4-Data!I136,"")</f>
        <v>1</v>
      </c>
      <c r="J136" s="1">
        <f>IF(Data!J136&gt;0,4-Data!J136,"")</f>
        <v>-1</v>
      </c>
      <c r="K136" s="1">
        <f>IF(Data!K136&gt;0,Data!K136-4,"")</f>
        <v>1</v>
      </c>
      <c r="L136" s="1">
        <f>IF(Data!L136&gt;0,4-Data!L136,"")</f>
        <v>1</v>
      </c>
      <c r="M136" s="1">
        <f>IF(Data!M136&gt;0,Data!M136-4,"")</f>
        <v>1</v>
      </c>
      <c r="N136" s="1">
        <f>IF(Data!N136&gt;0,Data!N136-4,"")</f>
        <v>1</v>
      </c>
      <c r="O136" s="1">
        <f>IF(Data!O136&gt;0,Data!O136-4,"")</f>
        <v>-1</v>
      </c>
      <c r="P136" s="1">
        <f>IF(Data!P136&gt;0,Data!P136-4,"")</f>
        <v>1</v>
      </c>
      <c r="Q136" s="1">
        <f>IF(Data!Q136&gt;0,4-Data!Q136,"")</f>
        <v>1</v>
      </c>
      <c r="R136" s="1">
        <f>IF(Data!R136&gt;0,4-Data!R136,"")</f>
        <v>0</v>
      </c>
      <c r="S136" s="1">
        <f>IF(Data!S136&gt;0,4-Data!S136,"")</f>
        <v>2</v>
      </c>
      <c r="T136" s="1">
        <f>IF(Data!T136&gt;0,Data!T136-4,"")</f>
        <v>2</v>
      </c>
      <c r="U136" s="1">
        <f>IF(Data!U136&gt;0,4-Data!U136,"")</f>
        <v>2</v>
      </c>
      <c r="V136" s="1">
        <f>IF(Data!V136&gt;0,Data!V136-4,"")</f>
        <v>-2</v>
      </c>
      <c r="W136" s="1">
        <f>IF(Data!W136&gt;0,4-Data!W136,"")</f>
        <v>2</v>
      </c>
      <c r="X136" s="1">
        <f>IF(Data!X136&gt;0,4-Data!X136,"")</f>
        <v>1</v>
      </c>
      <c r="Y136" s="1">
        <f>IF(Data!Y136&gt;0,4-Data!Y136,"")</f>
        <v>2</v>
      </c>
      <c r="Z136" s="1">
        <f>IF(Data!Z136&gt;0,Data!Z136-4,"")</f>
        <v>0</v>
      </c>
      <c r="AC136" s="7">
        <f t="shared" si="12"/>
        <v>1.1666666666666667</v>
      </c>
      <c r="AD136" s="7">
        <f t="shared" si="13"/>
        <v>1.5</v>
      </c>
      <c r="AE136" s="7">
        <f t="shared" si="14"/>
        <v>0.75</v>
      </c>
      <c r="AF136" s="7">
        <f t="shared" si="15"/>
        <v>1.25</v>
      </c>
      <c r="AG136" s="7">
        <f t="shared" si="16"/>
        <v>0.75</v>
      </c>
      <c r="AH136" s="7">
        <f t="shared" si="17"/>
        <v>-0.5</v>
      </c>
    </row>
    <row r="137" spans="1:34">
      <c r="A137" s="1">
        <f>IF(Data!A137&gt;0,Data!A137-4,"")</f>
        <v>3</v>
      </c>
      <c r="B137" s="1">
        <f>IF(Data!B137&gt;0,Data!B137-4,"")</f>
        <v>3</v>
      </c>
      <c r="C137" s="1">
        <f>IF(Data!C137&gt;0,4-Data!C137,"")</f>
        <v>2</v>
      </c>
      <c r="D137" s="1">
        <f>IF(Data!D137&gt;0,4-Data!D137,"")</f>
        <v>3</v>
      </c>
      <c r="E137" s="1">
        <f>IF(Data!E137&gt;0,4-Data!E137,"")</f>
        <v>0</v>
      </c>
      <c r="F137" s="1">
        <f>IF(Data!F137&gt;0,Data!F137-4,"")</f>
        <v>2</v>
      </c>
      <c r="G137" s="1">
        <f>IF(Data!G137&gt;0,Data!G137-4,"")</f>
        <v>3</v>
      </c>
      <c r="H137" s="1">
        <f>IF(Data!H137&gt;0,Data!H137-4,"")</f>
        <v>1</v>
      </c>
      <c r="I137" s="1">
        <f>IF(Data!I137&gt;0,4-Data!I137,"")</f>
        <v>0</v>
      </c>
      <c r="J137" s="1">
        <f>IF(Data!J137&gt;0,4-Data!J137,"")</f>
        <v>1</v>
      </c>
      <c r="K137" s="1">
        <f>IF(Data!K137&gt;0,Data!K137-4,"")</f>
        <v>0</v>
      </c>
      <c r="L137" s="1">
        <f>IF(Data!L137&gt;0,4-Data!L137,"")</f>
        <v>3</v>
      </c>
      <c r="M137" s="1">
        <f>IF(Data!M137&gt;0,Data!M137-4,"")</f>
        <v>3</v>
      </c>
      <c r="N137" s="1">
        <f>IF(Data!N137&gt;0,Data!N137-4,"")</f>
        <v>3</v>
      </c>
      <c r="O137" s="1">
        <f>IF(Data!O137&gt;0,Data!O137-4,"")</f>
        <v>0</v>
      </c>
      <c r="P137" s="1">
        <f>IF(Data!P137&gt;0,Data!P137-4,"")</f>
        <v>2</v>
      </c>
      <c r="Q137" s="1">
        <f>IF(Data!Q137&gt;0,4-Data!Q137,"")</f>
        <v>2</v>
      </c>
      <c r="R137" s="1">
        <f>IF(Data!R137&gt;0,4-Data!R137,"")</f>
        <v>0</v>
      </c>
      <c r="S137" s="1">
        <f>IF(Data!S137&gt;0,4-Data!S137,"")</f>
        <v>3</v>
      </c>
      <c r="T137" s="1">
        <f>IF(Data!T137&gt;0,Data!T137-4,"")</f>
        <v>3</v>
      </c>
      <c r="U137" s="1">
        <f>IF(Data!U137&gt;0,4-Data!U137,"")</f>
        <v>3</v>
      </c>
      <c r="V137" s="1">
        <f>IF(Data!V137&gt;0,Data!V137-4,"")</f>
        <v>3</v>
      </c>
      <c r="W137" s="1">
        <f>IF(Data!W137&gt;0,4-Data!W137,"")</f>
        <v>2</v>
      </c>
      <c r="X137" s="1">
        <f>IF(Data!X137&gt;0,4-Data!X137,"")</f>
        <v>2</v>
      </c>
      <c r="Y137" s="1">
        <f>IF(Data!Y137&gt;0,4-Data!Y137,"")</f>
        <v>3</v>
      </c>
      <c r="Z137" s="1">
        <f>IF(Data!Z137&gt;0,Data!Z137-4,"")</f>
        <v>1</v>
      </c>
      <c r="AC137" s="7">
        <f t="shared" si="12"/>
        <v>2.6666666666666665</v>
      </c>
      <c r="AD137" s="7">
        <f t="shared" si="13"/>
        <v>3</v>
      </c>
      <c r="AE137" s="7">
        <f t="shared" si="14"/>
        <v>2</v>
      </c>
      <c r="AF137" s="7">
        <f t="shared" si="15"/>
        <v>1.5</v>
      </c>
      <c r="AG137" s="7">
        <f t="shared" si="16"/>
        <v>1.25</v>
      </c>
      <c r="AH137" s="7">
        <f t="shared" si="17"/>
        <v>1</v>
      </c>
    </row>
    <row r="138" spans="1:34">
      <c r="A138" s="1">
        <f>IF(Data!A138&gt;0,Data!A138-4,"")</f>
        <v>2</v>
      </c>
      <c r="B138" s="1">
        <f>IF(Data!B138&gt;0,Data!B138-4,"")</f>
        <v>3</v>
      </c>
      <c r="C138" s="1">
        <f>IF(Data!C138&gt;0,4-Data!C138,"")</f>
        <v>2</v>
      </c>
      <c r="D138" s="1">
        <f>IF(Data!D138&gt;0,4-Data!D138,"")</f>
        <v>3</v>
      </c>
      <c r="E138" s="1">
        <f>IF(Data!E138&gt;0,4-Data!E138,"")</f>
        <v>0</v>
      </c>
      <c r="F138" s="1">
        <f>IF(Data!F138&gt;0,Data!F138-4,"")</f>
        <v>2</v>
      </c>
      <c r="G138" s="1">
        <f>IF(Data!G138&gt;0,Data!G138-4,"")</f>
        <v>3</v>
      </c>
      <c r="H138" s="1">
        <f>IF(Data!H138&gt;0,Data!H138-4,"")</f>
        <v>3</v>
      </c>
      <c r="I138" s="1">
        <f>IF(Data!I138&gt;0,4-Data!I138,"")</f>
        <v>3</v>
      </c>
      <c r="J138" s="1">
        <f>IF(Data!J138&gt;0,4-Data!J138,"")</f>
        <v>1</v>
      </c>
      <c r="K138" s="1">
        <f>IF(Data!K138&gt;0,Data!K138-4,"")</f>
        <v>3</v>
      </c>
      <c r="L138" s="1">
        <f>IF(Data!L138&gt;0,4-Data!L138,"")</f>
        <v>3</v>
      </c>
      <c r="M138" s="1">
        <f>IF(Data!M138&gt;0,Data!M138-4,"")</f>
        <v>3</v>
      </c>
      <c r="N138" s="1">
        <f>IF(Data!N138&gt;0,Data!N138-4,"")</f>
        <v>1</v>
      </c>
      <c r="O138" s="1">
        <f>IF(Data!O138&gt;0,Data!O138-4,"")</f>
        <v>-1</v>
      </c>
      <c r="P138" s="1">
        <f>IF(Data!P138&gt;0,Data!P138-4,"")</f>
        <v>3</v>
      </c>
      <c r="Q138" s="1">
        <f>IF(Data!Q138&gt;0,4-Data!Q138,"")</f>
        <v>3</v>
      </c>
      <c r="R138" s="1">
        <f>IF(Data!R138&gt;0,4-Data!R138,"")</f>
        <v>0</v>
      </c>
      <c r="S138" s="1">
        <f>IF(Data!S138&gt;0,4-Data!S138,"")</f>
        <v>2</v>
      </c>
      <c r="T138" s="1">
        <f>IF(Data!T138&gt;0,Data!T138-4,"")</f>
        <v>3</v>
      </c>
      <c r="U138" s="1">
        <f>IF(Data!U138&gt;0,4-Data!U138,"")</f>
        <v>3</v>
      </c>
      <c r="V138" s="1">
        <f>IF(Data!V138&gt;0,Data!V138-4,"")</f>
        <v>3</v>
      </c>
      <c r="W138" s="1">
        <f>IF(Data!W138&gt;0,4-Data!W138,"")</f>
        <v>0</v>
      </c>
      <c r="X138" s="1">
        <f>IF(Data!X138&gt;0,4-Data!X138,"")</f>
        <v>0</v>
      </c>
      <c r="Y138" s="1">
        <f>IF(Data!Y138&gt;0,4-Data!Y138,"")</f>
        <v>3</v>
      </c>
      <c r="Z138" s="1">
        <f>IF(Data!Z138&gt;0,Data!Z138-4,"")</f>
        <v>2</v>
      </c>
      <c r="AC138" s="7">
        <f t="shared" si="12"/>
        <v>2</v>
      </c>
      <c r="AD138" s="7">
        <f t="shared" si="13"/>
        <v>3</v>
      </c>
      <c r="AE138" s="7">
        <f t="shared" si="14"/>
        <v>2.25</v>
      </c>
      <c r="AF138" s="7">
        <f t="shared" si="15"/>
        <v>2.75</v>
      </c>
      <c r="AG138" s="7">
        <f t="shared" si="16"/>
        <v>1.25</v>
      </c>
      <c r="AH138" s="7">
        <f t="shared" si="17"/>
        <v>1</v>
      </c>
    </row>
    <row r="139" spans="1:34">
      <c r="A139" s="1">
        <f>IF(Data!A139&gt;0,Data!A139-4,"")</f>
        <v>0</v>
      </c>
      <c r="B139" s="1">
        <f>IF(Data!B139&gt;0,Data!B139-4,"")</f>
        <v>0</v>
      </c>
      <c r="C139" s="1">
        <f>IF(Data!C139&gt;0,4-Data!C139,"")</f>
        <v>1</v>
      </c>
      <c r="D139" s="1">
        <f>IF(Data!D139&gt;0,4-Data!D139,"")</f>
        <v>3</v>
      </c>
      <c r="E139" s="1">
        <f>IF(Data!E139&gt;0,4-Data!E139,"")</f>
        <v>2</v>
      </c>
      <c r="F139" s="1">
        <f>IF(Data!F139&gt;0,Data!F139-4,"")</f>
        <v>0</v>
      </c>
      <c r="G139" s="1">
        <f>IF(Data!G139&gt;0,Data!G139-4,"")</f>
        <v>0</v>
      </c>
      <c r="H139" s="1">
        <f>IF(Data!H139&gt;0,Data!H139-4,"")</f>
        <v>0</v>
      </c>
      <c r="I139" s="1">
        <f>IF(Data!I139&gt;0,4-Data!I139,"")</f>
        <v>3</v>
      </c>
      <c r="J139" s="1">
        <f>IF(Data!J139&gt;0,4-Data!J139,"")</f>
        <v>1</v>
      </c>
      <c r="K139" s="1">
        <f>IF(Data!K139&gt;0,Data!K139-4,"")</f>
        <v>1</v>
      </c>
      <c r="L139" s="1">
        <f>IF(Data!L139&gt;0,4-Data!L139,"")</f>
        <v>-2</v>
      </c>
      <c r="M139" s="1">
        <f>IF(Data!M139&gt;0,Data!M139-4,"")</f>
        <v>3</v>
      </c>
      <c r="N139" s="1">
        <f>IF(Data!N139&gt;0,Data!N139-4,"")</f>
        <v>-2</v>
      </c>
      <c r="O139" s="1">
        <f>IF(Data!O139&gt;0,Data!O139-4,"")</f>
        <v>2</v>
      </c>
      <c r="P139" s="1">
        <f>IF(Data!P139&gt;0,Data!P139-4,"")</f>
        <v>-2</v>
      </c>
      <c r="Q139" s="1">
        <f>IF(Data!Q139&gt;0,4-Data!Q139,"")</f>
        <v>3</v>
      </c>
      <c r="R139" s="1">
        <f>IF(Data!R139&gt;0,4-Data!R139,"")</f>
        <v>0</v>
      </c>
      <c r="S139" s="1">
        <f>IF(Data!S139&gt;0,4-Data!S139,"")</f>
        <v>3</v>
      </c>
      <c r="T139" s="1">
        <f>IF(Data!T139&gt;0,Data!T139-4,"")</f>
        <v>2</v>
      </c>
      <c r="U139" s="1">
        <f>IF(Data!U139&gt;0,4-Data!U139,"")</f>
        <v>3</v>
      </c>
      <c r="V139" s="1">
        <f>IF(Data!V139&gt;0,Data!V139-4,"")</f>
        <v>3</v>
      </c>
      <c r="W139" s="1">
        <f>IF(Data!W139&gt;0,4-Data!W139,"")</f>
        <v>0</v>
      </c>
      <c r="X139" s="1">
        <f>IF(Data!X139&gt;0,4-Data!X139,"")</f>
        <v>0</v>
      </c>
      <c r="Y139" s="1">
        <f>IF(Data!Y139&gt;0,4-Data!Y139,"")</f>
        <v>2</v>
      </c>
      <c r="Z139" s="1">
        <f>IF(Data!Z139&gt;0,Data!Z139-4,"")</f>
        <v>2</v>
      </c>
      <c r="AC139" s="7">
        <f t="shared" si="12"/>
        <v>-0.66666666666666663</v>
      </c>
      <c r="AD139" s="7">
        <f t="shared" si="13"/>
        <v>2.25</v>
      </c>
      <c r="AE139" s="7">
        <f t="shared" si="14"/>
        <v>2</v>
      </c>
      <c r="AF139" s="7">
        <f t="shared" si="15"/>
        <v>1.75</v>
      </c>
      <c r="AG139" s="7">
        <f t="shared" si="16"/>
        <v>0.5</v>
      </c>
      <c r="AH139" s="7">
        <f t="shared" si="17"/>
        <v>1.5</v>
      </c>
    </row>
    <row r="140" spans="1:34">
      <c r="A140" s="1">
        <f>IF(Data!A140&gt;0,Data!A140-4,"")</f>
        <v>2</v>
      </c>
      <c r="B140" s="1">
        <f>IF(Data!B140&gt;0,Data!B140-4,"")</f>
        <v>3</v>
      </c>
      <c r="C140" s="1">
        <f>IF(Data!C140&gt;0,4-Data!C140,"")</f>
        <v>1</v>
      </c>
      <c r="D140" s="1">
        <f>IF(Data!D140&gt;0,4-Data!D140,"")</f>
        <v>2</v>
      </c>
      <c r="E140" s="1">
        <f>IF(Data!E140&gt;0,4-Data!E140,"")</f>
        <v>1</v>
      </c>
      <c r="F140" s="1">
        <f>IF(Data!F140&gt;0,Data!F140-4,"")</f>
        <v>2</v>
      </c>
      <c r="G140" s="1">
        <f>IF(Data!G140&gt;0,Data!G140-4,"")</f>
        <v>2</v>
      </c>
      <c r="H140" s="1">
        <f>IF(Data!H140&gt;0,Data!H140-4,"")</f>
        <v>0</v>
      </c>
      <c r="I140" s="1">
        <f>IF(Data!I140&gt;0,4-Data!I140,"")</f>
        <v>2</v>
      </c>
      <c r="J140" s="1">
        <f>IF(Data!J140&gt;0,4-Data!J140,"")</f>
        <v>1</v>
      </c>
      <c r="K140" s="1">
        <f>IF(Data!K140&gt;0,Data!K140-4,"")</f>
        <v>1</v>
      </c>
      <c r="L140" s="1">
        <f>IF(Data!L140&gt;0,4-Data!L140,"")</f>
        <v>2</v>
      </c>
      <c r="M140" s="1">
        <f>IF(Data!M140&gt;0,Data!M140-4,"")</f>
        <v>3</v>
      </c>
      <c r="N140" s="1">
        <f>IF(Data!N140&gt;0,Data!N140-4,"")</f>
        <v>2</v>
      </c>
      <c r="O140" s="1">
        <f>IF(Data!O140&gt;0,Data!O140-4,"")</f>
        <v>1</v>
      </c>
      <c r="P140" s="1">
        <f>IF(Data!P140&gt;0,Data!P140-4,"")</f>
        <v>1</v>
      </c>
      <c r="Q140" s="1">
        <f>IF(Data!Q140&gt;0,4-Data!Q140,"")</f>
        <v>2</v>
      </c>
      <c r="R140" s="1">
        <f>IF(Data!R140&gt;0,4-Data!R140,"")</f>
        <v>0</v>
      </c>
      <c r="S140" s="1">
        <f>IF(Data!S140&gt;0,4-Data!S140,"")</f>
        <v>1</v>
      </c>
      <c r="T140" s="1">
        <f>IF(Data!T140&gt;0,Data!T140-4,"")</f>
        <v>1</v>
      </c>
      <c r="U140" s="1">
        <f>IF(Data!U140&gt;0,4-Data!U140,"")</f>
        <v>2</v>
      </c>
      <c r="V140" s="1">
        <f>IF(Data!V140&gt;0,Data!V140-4,"")</f>
        <v>1</v>
      </c>
      <c r="W140" s="1">
        <f>IF(Data!W140&gt;0,4-Data!W140,"")</f>
        <v>2</v>
      </c>
      <c r="X140" s="1">
        <f>IF(Data!X140&gt;0,4-Data!X140,"")</f>
        <v>2</v>
      </c>
      <c r="Y140" s="1">
        <f>IF(Data!Y140&gt;0,4-Data!Y140,"")</f>
        <v>2</v>
      </c>
      <c r="Z140" s="1">
        <f>IF(Data!Z140&gt;0,Data!Z140-4,"")</f>
        <v>0</v>
      </c>
      <c r="AC140" s="7">
        <f t="shared" si="12"/>
        <v>1.8333333333333333</v>
      </c>
      <c r="AD140" s="7">
        <f t="shared" si="13"/>
        <v>2.5</v>
      </c>
      <c r="AE140" s="7">
        <f t="shared" si="14"/>
        <v>1.5</v>
      </c>
      <c r="AF140" s="7">
        <f t="shared" si="15"/>
        <v>1</v>
      </c>
      <c r="AG140" s="7">
        <f t="shared" si="16"/>
        <v>1.25</v>
      </c>
      <c r="AH140" s="7">
        <f t="shared" si="17"/>
        <v>0.75</v>
      </c>
    </row>
    <row r="141" spans="1:34">
      <c r="A141" s="1">
        <f>IF(Data!A141&gt;0,Data!A141-4,"")</f>
        <v>-2</v>
      </c>
      <c r="B141" s="1">
        <f>IF(Data!B141&gt;0,Data!B141-4,"")</f>
        <v>-1</v>
      </c>
      <c r="C141" s="1">
        <f>IF(Data!C141&gt;0,4-Data!C141,"")</f>
        <v>-2</v>
      </c>
      <c r="D141" s="1">
        <f>IF(Data!D141&gt;0,4-Data!D141,"")</f>
        <v>-3</v>
      </c>
      <c r="E141" s="1">
        <f>IF(Data!E141&gt;0,4-Data!E141,"")</f>
        <v>0</v>
      </c>
      <c r="F141" s="1">
        <f>IF(Data!F141&gt;0,Data!F141-4,"")</f>
        <v>-2</v>
      </c>
      <c r="G141" s="1">
        <f>IF(Data!G141&gt;0,Data!G141-4,"")</f>
        <v>-2</v>
      </c>
      <c r="H141" s="1">
        <f>IF(Data!H141&gt;0,Data!H141-4,"")</f>
        <v>-3</v>
      </c>
      <c r="I141" s="1">
        <f>IF(Data!I141&gt;0,4-Data!I141,"")</f>
        <v>1</v>
      </c>
      <c r="J141" s="1">
        <f>IF(Data!J141&gt;0,4-Data!J141,"")</f>
        <v>2</v>
      </c>
      <c r="K141" s="1">
        <f>IF(Data!K141&gt;0,Data!K141-4,"")</f>
        <v>-2</v>
      </c>
      <c r="L141" s="1">
        <f>IF(Data!L141&gt;0,4-Data!L141,"")</f>
        <v>0</v>
      </c>
      <c r="M141" s="1">
        <f>IF(Data!M141&gt;0,Data!M141-4,"")</f>
        <v>-3</v>
      </c>
      <c r="N141" s="1">
        <f>IF(Data!N141&gt;0,Data!N141-4,"")</f>
        <v>-2</v>
      </c>
      <c r="O141" s="1">
        <f>IF(Data!O141&gt;0,Data!O141-4,"")</f>
        <v>0</v>
      </c>
      <c r="P141" s="1">
        <f>IF(Data!P141&gt;0,Data!P141-4,"")</f>
        <v>-1</v>
      </c>
      <c r="Q141" s="1">
        <f>IF(Data!Q141&gt;0,4-Data!Q141,"")</f>
        <v>1</v>
      </c>
      <c r="R141" s="1">
        <f>IF(Data!R141&gt;0,4-Data!R141,"")</f>
        <v>0</v>
      </c>
      <c r="S141" s="1">
        <f>IF(Data!S141&gt;0,4-Data!S141,"")</f>
        <v>-2</v>
      </c>
      <c r="T141" s="1">
        <f>IF(Data!T141&gt;0,Data!T141-4,"")</f>
        <v>2</v>
      </c>
      <c r="U141" s="1">
        <f>IF(Data!U141&gt;0,4-Data!U141,"")</f>
        <v>-3</v>
      </c>
      <c r="V141" s="1">
        <f>IF(Data!V141&gt;0,Data!V141-4,"")</f>
        <v>1</v>
      </c>
      <c r="W141" s="1">
        <f>IF(Data!W141&gt;0,4-Data!W141,"")</f>
        <v>-2</v>
      </c>
      <c r="X141" s="1">
        <f>IF(Data!X141&gt;0,4-Data!X141,"")</f>
        <v>-2</v>
      </c>
      <c r="Y141" s="1">
        <f>IF(Data!Y141&gt;0,4-Data!Y141,"")</f>
        <v>-2</v>
      </c>
      <c r="Z141" s="1">
        <f>IF(Data!Z141&gt;0,Data!Z141-4,"")</f>
        <v>2</v>
      </c>
      <c r="AC141" s="7">
        <f t="shared" si="12"/>
        <v>-1.5</v>
      </c>
      <c r="AD141" s="7">
        <f t="shared" si="13"/>
        <v>-2.5</v>
      </c>
      <c r="AE141" s="7">
        <f t="shared" si="14"/>
        <v>0.5</v>
      </c>
      <c r="AF141" s="7">
        <f t="shared" si="15"/>
        <v>-1.5</v>
      </c>
      <c r="AG141" s="7">
        <f t="shared" si="16"/>
        <v>-1</v>
      </c>
      <c r="AH141" s="7">
        <f t="shared" si="17"/>
        <v>0.5</v>
      </c>
    </row>
    <row r="142" spans="1:34">
      <c r="A142" s="1">
        <f>IF(Data!A142&gt;0,Data!A142-4,"")</f>
        <v>2</v>
      </c>
      <c r="B142" s="1">
        <f>IF(Data!B142&gt;0,Data!B142-4,"")</f>
        <v>2</v>
      </c>
      <c r="C142" s="1">
        <f>IF(Data!C142&gt;0,4-Data!C142,"")</f>
        <v>0</v>
      </c>
      <c r="D142" s="1">
        <f>IF(Data!D142&gt;0,4-Data!D142,"")</f>
        <v>-2</v>
      </c>
      <c r="E142" s="1">
        <f>IF(Data!E142&gt;0,4-Data!E142,"")</f>
        <v>-2</v>
      </c>
      <c r="F142" s="1">
        <f>IF(Data!F142&gt;0,Data!F142-4,"")</f>
        <v>1</v>
      </c>
      <c r="G142" s="1">
        <f>IF(Data!G142&gt;0,Data!G142-4,"")</f>
        <v>1</v>
      </c>
      <c r="H142" s="1">
        <f>IF(Data!H142&gt;0,Data!H142-4,"")</f>
        <v>2</v>
      </c>
      <c r="I142" s="1">
        <f>IF(Data!I142&gt;0,4-Data!I142,"")</f>
        <v>2</v>
      </c>
      <c r="J142" s="1">
        <f>IF(Data!J142&gt;0,4-Data!J142,"")</f>
        <v>0</v>
      </c>
      <c r="K142" s="1">
        <f>IF(Data!K142&gt;0,Data!K142-4,"")</f>
        <v>0</v>
      </c>
      <c r="L142" s="1">
        <f>IF(Data!L142&gt;0,4-Data!L142,"")</f>
        <v>2</v>
      </c>
      <c r="M142" s="1">
        <f>IF(Data!M142&gt;0,Data!M142-4,"")</f>
        <v>2</v>
      </c>
      <c r="N142" s="1">
        <f>IF(Data!N142&gt;0,Data!N142-4,"")</f>
        <v>2</v>
      </c>
      <c r="O142" s="1">
        <f>IF(Data!O142&gt;0,Data!O142-4,"")</f>
        <v>1</v>
      </c>
      <c r="P142" s="1">
        <f>IF(Data!P142&gt;0,Data!P142-4,"")</f>
        <v>2</v>
      </c>
      <c r="Q142" s="1">
        <f>IF(Data!Q142&gt;0,4-Data!Q142,"")</f>
        <v>-2</v>
      </c>
      <c r="R142" s="1">
        <f>IF(Data!R142&gt;0,4-Data!R142,"")</f>
        <v>3</v>
      </c>
      <c r="S142" s="1">
        <f>IF(Data!S142&gt;0,4-Data!S142,"")</f>
        <v>1</v>
      </c>
      <c r="T142" s="1">
        <f>IF(Data!T142&gt;0,Data!T142-4,"")</f>
        <v>2</v>
      </c>
      <c r="U142" s="1">
        <f>IF(Data!U142&gt;0,4-Data!U142,"")</f>
        <v>3</v>
      </c>
      <c r="V142" s="1">
        <f>IF(Data!V142&gt;0,Data!V142-4,"")</f>
        <v>1</v>
      </c>
      <c r="W142" s="1">
        <f>IF(Data!W142&gt;0,4-Data!W142,"")</f>
        <v>1</v>
      </c>
      <c r="X142" s="1">
        <f>IF(Data!X142&gt;0,4-Data!X142,"")</f>
        <v>2</v>
      </c>
      <c r="Y142" s="1">
        <f>IF(Data!Y142&gt;0,4-Data!Y142,"")</f>
        <v>2</v>
      </c>
      <c r="Z142" s="1">
        <f>IF(Data!Z142&gt;0,Data!Z142-4,"")</f>
        <v>0</v>
      </c>
      <c r="AC142" s="7">
        <f t="shared" si="12"/>
        <v>2</v>
      </c>
      <c r="AD142" s="7">
        <f t="shared" si="13"/>
        <v>1.25</v>
      </c>
      <c r="AE142" s="7">
        <f t="shared" si="14"/>
        <v>1.5</v>
      </c>
      <c r="AF142" s="7">
        <f t="shared" si="15"/>
        <v>0.25</v>
      </c>
      <c r="AG142" s="7">
        <f t="shared" si="16"/>
        <v>0.75</v>
      </c>
      <c r="AH142" s="7">
        <f t="shared" si="17"/>
        <v>0.25</v>
      </c>
    </row>
    <row r="143" spans="1:34">
      <c r="A143" s="1">
        <f>IF(Data!A143&gt;0,Data!A143-4,"")</f>
        <v>-1</v>
      </c>
      <c r="B143" s="1">
        <f>IF(Data!B143&gt;0,Data!B143-4,"")</f>
        <v>3</v>
      </c>
      <c r="C143" s="1">
        <f>IF(Data!C143&gt;0,4-Data!C143,"")</f>
        <v>0</v>
      </c>
      <c r="D143" s="1">
        <f>IF(Data!D143&gt;0,4-Data!D143,"")</f>
        <v>3</v>
      </c>
      <c r="E143" s="1">
        <f>IF(Data!E143&gt;0,4-Data!E143,"")</f>
        <v>1</v>
      </c>
      <c r="F143" s="1">
        <f>IF(Data!F143&gt;0,Data!F143-4,"")</f>
        <v>0</v>
      </c>
      <c r="G143" s="1">
        <f>IF(Data!G143&gt;0,Data!G143-4,"")</f>
        <v>0</v>
      </c>
      <c r="H143" s="1">
        <f>IF(Data!H143&gt;0,Data!H143-4,"")</f>
        <v>3</v>
      </c>
      <c r="I143" s="1">
        <f>IF(Data!I143&gt;0,4-Data!I143,"")</f>
        <v>0</v>
      </c>
      <c r="J143" s="1">
        <f>IF(Data!J143&gt;0,4-Data!J143,"")</f>
        <v>0</v>
      </c>
      <c r="K143" s="1">
        <f>IF(Data!K143&gt;0,Data!K143-4,"")</f>
        <v>0</v>
      </c>
      <c r="L143" s="1">
        <f>IF(Data!L143&gt;0,4-Data!L143,"")</f>
        <v>0</v>
      </c>
      <c r="M143" s="1">
        <f>IF(Data!M143&gt;0,Data!M143-4,"")</f>
        <v>3</v>
      </c>
      <c r="N143" s="1">
        <f>IF(Data!N143&gt;0,Data!N143-4,"")</f>
        <v>2</v>
      </c>
      <c r="O143" s="1">
        <f>IF(Data!O143&gt;0,Data!O143-4,"")</f>
        <v>0</v>
      </c>
      <c r="P143" s="1">
        <f>IF(Data!P143&gt;0,Data!P143-4,"")</f>
        <v>0</v>
      </c>
      <c r="Q143" s="1">
        <f>IF(Data!Q143&gt;0,4-Data!Q143,"")</f>
        <v>-2</v>
      </c>
      <c r="R143" s="1">
        <f>IF(Data!R143&gt;0,4-Data!R143,"")</f>
        <v>-3</v>
      </c>
      <c r="S143" s="1">
        <f>IF(Data!S143&gt;0,4-Data!S143,"")</f>
        <v>0</v>
      </c>
      <c r="T143" s="1">
        <f>IF(Data!T143&gt;0,Data!T143-4,"")</f>
        <v>1</v>
      </c>
      <c r="U143" s="1">
        <f>IF(Data!U143&gt;0,4-Data!U143,"")</f>
        <v>3</v>
      </c>
      <c r="V143" s="1">
        <f>IF(Data!V143&gt;0,Data!V143-4,"")</f>
        <v>2</v>
      </c>
      <c r="W143" s="1">
        <f>IF(Data!W143&gt;0,4-Data!W143,"")</f>
        <v>-1</v>
      </c>
      <c r="X143" s="1">
        <f>IF(Data!X143&gt;0,4-Data!X143,"")</f>
        <v>0</v>
      </c>
      <c r="Y143" s="1">
        <f>IF(Data!Y143&gt;0,4-Data!Y143,"")</f>
        <v>0</v>
      </c>
      <c r="Z143" s="1">
        <f>IF(Data!Z143&gt;0,Data!Z143-4,"")</f>
        <v>-1</v>
      </c>
      <c r="AC143" s="7">
        <f t="shared" si="12"/>
        <v>0.16666666666666666</v>
      </c>
      <c r="AD143" s="7">
        <f t="shared" si="13"/>
        <v>3</v>
      </c>
      <c r="AE143" s="7">
        <f t="shared" si="14"/>
        <v>0.5</v>
      </c>
      <c r="AF143" s="7">
        <f t="shared" si="15"/>
        <v>0.25</v>
      </c>
      <c r="AG143" s="7">
        <f t="shared" si="16"/>
        <v>-0.5</v>
      </c>
      <c r="AH143" s="7">
        <f t="shared" si="17"/>
        <v>-0.25</v>
      </c>
    </row>
    <row r="144" spans="1:34">
      <c r="A144" s="1">
        <f>IF(Data!A144&gt;0,Data!A144-4,"")</f>
        <v>3</v>
      </c>
      <c r="B144" s="1">
        <f>IF(Data!B144&gt;0,Data!B144-4,"")</f>
        <v>3</v>
      </c>
      <c r="C144" s="1">
        <f>IF(Data!C144&gt;0,4-Data!C144,"")</f>
        <v>3</v>
      </c>
      <c r="D144" s="1">
        <f>IF(Data!D144&gt;0,4-Data!D144,"")</f>
        <v>2</v>
      </c>
      <c r="E144" s="1">
        <f>IF(Data!E144&gt;0,4-Data!E144,"")</f>
        <v>3</v>
      </c>
      <c r="F144" s="1">
        <f>IF(Data!F144&gt;0,Data!F144-4,"")</f>
        <v>2</v>
      </c>
      <c r="G144" s="1">
        <f>IF(Data!G144&gt;0,Data!G144-4,"")</f>
        <v>2</v>
      </c>
      <c r="H144" s="1">
        <f>IF(Data!H144&gt;0,Data!H144-4,"")</f>
        <v>0</v>
      </c>
      <c r="I144" s="1">
        <f>IF(Data!I144&gt;0,4-Data!I144,"")</f>
        <v>2</v>
      </c>
      <c r="J144" s="1">
        <f>IF(Data!J144&gt;0,4-Data!J144,"")</f>
        <v>2</v>
      </c>
      <c r="K144" s="1">
        <f>IF(Data!K144&gt;0,Data!K144-4,"")</f>
        <v>2</v>
      </c>
      <c r="L144" s="1">
        <f>IF(Data!L144&gt;0,4-Data!L144,"")</f>
        <v>2</v>
      </c>
      <c r="M144" s="1">
        <f>IF(Data!M144&gt;0,Data!M144-4,"")</f>
        <v>2</v>
      </c>
      <c r="N144" s="1">
        <f>IF(Data!N144&gt;0,Data!N144-4,"")</f>
        <v>2</v>
      </c>
      <c r="O144" s="1">
        <f>IF(Data!O144&gt;0,Data!O144-4,"")</f>
        <v>2</v>
      </c>
      <c r="P144" s="1">
        <f>IF(Data!P144&gt;0,Data!P144-4,"")</f>
        <v>2</v>
      </c>
      <c r="Q144" s="1">
        <f>IF(Data!Q144&gt;0,4-Data!Q144,"")</f>
        <v>3</v>
      </c>
      <c r="R144" s="1">
        <f>IF(Data!R144&gt;0,4-Data!R144,"")</f>
        <v>3</v>
      </c>
      <c r="S144" s="1">
        <f>IF(Data!S144&gt;0,4-Data!S144,"")</f>
        <v>2</v>
      </c>
      <c r="T144" s="1">
        <f>IF(Data!T144&gt;0,Data!T144-4,"")</f>
        <v>2</v>
      </c>
      <c r="U144" s="1">
        <f>IF(Data!U144&gt;0,4-Data!U144,"")</f>
        <v>2</v>
      </c>
      <c r="V144" s="1">
        <f>IF(Data!V144&gt;0,Data!V144-4,"")</f>
        <v>3</v>
      </c>
      <c r="W144" s="1">
        <f>IF(Data!W144&gt;0,4-Data!W144,"")</f>
        <v>3</v>
      </c>
      <c r="X144" s="1">
        <f>IF(Data!X144&gt;0,4-Data!X144,"")</f>
        <v>3</v>
      </c>
      <c r="Y144" s="1">
        <f>IF(Data!Y144&gt;0,4-Data!Y144,"")</f>
        <v>3</v>
      </c>
      <c r="Z144" s="1">
        <f>IF(Data!Z144&gt;0,Data!Z144-4,"")</f>
        <v>0</v>
      </c>
      <c r="AC144" s="7">
        <f t="shared" si="12"/>
        <v>2.5</v>
      </c>
      <c r="AD144" s="7">
        <f t="shared" si="13"/>
        <v>2.25</v>
      </c>
      <c r="AE144" s="7">
        <f t="shared" si="14"/>
        <v>2.5</v>
      </c>
      <c r="AF144" s="7">
        <f t="shared" si="15"/>
        <v>1.75</v>
      </c>
      <c r="AG144" s="7">
        <f t="shared" si="16"/>
        <v>2.5</v>
      </c>
      <c r="AH144" s="7">
        <f t="shared" si="17"/>
        <v>1.75</v>
      </c>
    </row>
    <row r="145" spans="1:34">
      <c r="A145" s="1">
        <f>IF(Data!A145&gt;0,Data!A145-4,"")</f>
        <v>3</v>
      </c>
      <c r="B145" s="1">
        <f>IF(Data!B145&gt;0,Data!B145-4,"")</f>
        <v>3</v>
      </c>
      <c r="C145" s="1">
        <f>IF(Data!C145&gt;0,4-Data!C145,"")</f>
        <v>3</v>
      </c>
      <c r="D145" s="1">
        <f>IF(Data!D145&gt;0,4-Data!D145,"")</f>
        <v>3</v>
      </c>
      <c r="E145" s="1">
        <f>IF(Data!E145&gt;0,4-Data!E145,"")</f>
        <v>3</v>
      </c>
      <c r="F145" s="1">
        <f>IF(Data!F145&gt;0,Data!F145-4,"")</f>
        <v>2</v>
      </c>
      <c r="G145" s="1">
        <f>IF(Data!G145&gt;0,Data!G145-4,"")</f>
        <v>2</v>
      </c>
      <c r="H145" s="1">
        <f>IF(Data!H145&gt;0,Data!H145-4,"")</f>
        <v>0</v>
      </c>
      <c r="I145" s="1">
        <f>IF(Data!I145&gt;0,4-Data!I145,"")</f>
        <v>3</v>
      </c>
      <c r="J145" s="1">
        <f>IF(Data!J145&gt;0,4-Data!J145,"")</f>
        <v>-1</v>
      </c>
      <c r="K145" s="1">
        <f>IF(Data!K145&gt;0,Data!K145-4,"")</f>
        <v>2</v>
      </c>
      <c r="L145" s="1">
        <f>IF(Data!L145&gt;0,4-Data!L145,"")</f>
        <v>2</v>
      </c>
      <c r="M145" s="1">
        <f>IF(Data!M145&gt;0,Data!M145-4,"")</f>
        <v>2</v>
      </c>
      <c r="N145" s="1">
        <f>IF(Data!N145&gt;0,Data!N145-4,"")</f>
        <v>2</v>
      </c>
      <c r="O145" s="1">
        <f>IF(Data!O145&gt;0,Data!O145-4,"")</f>
        <v>1</v>
      </c>
      <c r="P145" s="1">
        <f>IF(Data!P145&gt;0,Data!P145-4,"")</f>
        <v>3</v>
      </c>
      <c r="Q145" s="1">
        <f>IF(Data!Q145&gt;0,4-Data!Q145,"")</f>
        <v>3</v>
      </c>
      <c r="R145" s="1">
        <f>IF(Data!R145&gt;0,4-Data!R145,"")</f>
        <v>2</v>
      </c>
      <c r="S145" s="1">
        <f>IF(Data!S145&gt;0,4-Data!S145,"")</f>
        <v>2</v>
      </c>
      <c r="T145" s="1">
        <f>IF(Data!T145&gt;0,Data!T145-4,"")</f>
        <v>2</v>
      </c>
      <c r="U145" s="1">
        <f>IF(Data!U145&gt;0,4-Data!U145,"")</f>
        <v>3</v>
      </c>
      <c r="V145" s="1">
        <f>IF(Data!V145&gt;0,Data!V145-4,"")</f>
        <v>2</v>
      </c>
      <c r="W145" s="1">
        <f>IF(Data!W145&gt;0,4-Data!W145,"")</f>
        <v>3</v>
      </c>
      <c r="X145" s="1">
        <f>IF(Data!X145&gt;0,4-Data!X145,"")</f>
        <v>3</v>
      </c>
      <c r="Y145" s="1">
        <f>IF(Data!Y145&gt;0,4-Data!Y145,"")</f>
        <v>3</v>
      </c>
      <c r="Z145" s="1">
        <f>IF(Data!Z145&gt;0,Data!Z145-4,"")</f>
        <v>-1</v>
      </c>
      <c r="AC145" s="7">
        <f t="shared" si="12"/>
        <v>2.6666666666666665</v>
      </c>
      <c r="AD145" s="7">
        <f t="shared" si="13"/>
        <v>2.75</v>
      </c>
      <c r="AE145" s="7">
        <f t="shared" si="14"/>
        <v>2.5</v>
      </c>
      <c r="AF145" s="7">
        <f t="shared" si="15"/>
        <v>1.75</v>
      </c>
      <c r="AG145" s="7">
        <f t="shared" si="16"/>
        <v>2.25</v>
      </c>
      <c r="AH145" s="7">
        <f t="shared" si="17"/>
        <v>0.5</v>
      </c>
    </row>
    <row r="146" spans="1:34">
      <c r="A146" s="1">
        <f>IF(Data!A146&gt;0,Data!A146-4,"")</f>
        <v>2</v>
      </c>
      <c r="B146" s="1">
        <f>IF(Data!B146&gt;0,Data!B146-4,"")</f>
        <v>2</v>
      </c>
      <c r="C146" s="1">
        <f>IF(Data!C146&gt;0,4-Data!C146,"")</f>
        <v>2</v>
      </c>
      <c r="D146" s="1">
        <f>IF(Data!D146&gt;0,4-Data!D146,"")</f>
        <v>3</v>
      </c>
      <c r="E146" s="1">
        <f>IF(Data!E146&gt;0,4-Data!E146,"")</f>
        <v>2</v>
      </c>
      <c r="F146" s="1">
        <f>IF(Data!F146&gt;0,Data!F146-4,"")</f>
        <v>1</v>
      </c>
      <c r="G146" s="1">
        <f>IF(Data!G146&gt;0,Data!G146-4,"")</f>
        <v>3</v>
      </c>
      <c r="H146" s="1">
        <f>IF(Data!H146&gt;0,Data!H146-4,"")</f>
        <v>-1</v>
      </c>
      <c r="I146" s="1">
        <f>IF(Data!I146&gt;0,4-Data!I146,"")</f>
        <v>2</v>
      </c>
      <c r="J146" s="1">
        <f>IF(Data!J146&gt;0,4-Data!J146,"")</f>
        <v>2</v>
      </c>
      <c r="K146" s="1">
        <f>IF(Data!K146&gt;0,Data!K146-4,"")</f>
        <v>1</v>
      </c>
      <c r="L146" s="1">
        <f>IF(Data!L146&gt;0,4-Data!L146,"")</f>
        <v>2</v>
      </c>
      <c r="M146" s="1">
        <f>IF(Data!M146&gt;0,Data!M146-4,"")</f>
        <v>1</v>
      </c>
      <c r="N146" s="1">
        <f>IF(Data!N146&gt;0,Data!N146-4,"")</f>
        <v>2</v>
      </c>
      <c r="O146" s="1">
        <f>IF(Data!O146&gt;0,Data!O146-4,"")</f>
        <v>2</v>
      </c>
      <c r="P146" s="1">
        <f>IF(Data!P146&gt;0,Data!P146-4,"")</f>
        <v>1</v>
      </c>
      <c r="Q146" s="1">
        <f>IF(Data!Q146&gt;0,4-Data!Q146,"")</f>
        <v>2</v>
      </c>
      <c r="R146" s="1">
        <f>IF(Data!R146&gt;0,4-Data!R146,"")</f>
        <v>1</v>
      </c>
      <c r="S146" s="1">
        <f>IF(Data!S146&gt;0,4-Data!S146,"")</f>
        <v>3</v>
      </c>
      <c r="T146" s="1">
        <f>IF(Data!T146&gt;0,Data!T146-4,"")</f>
        <v>2</v>
      </c>
      <c r="U146" s="1">
        <f>IF(Data!U146&gt;0,4-Data!U146,"")</f>
        <v>1</v>
      </c>
      <c r="V146" s="1">
        <f>IF(Data!V146&gt;0,Data!V146-4,"")</f>
        <v>2</v>
      </c>
      <c r="W146" s="1">
        <f>IF(Data!W146&gt;0,4-Data!W146,"")</f>
        <v>2</v>
      </c>
      <c r="X146" s="1">
        <f>IF(Data!X146&gt;0,4-Data!X146,"")</f>
        <v>2</v>
      </c>
      <c r="Y146" s="1">
        <f>IF(Data!Y146&gt;0,4-Data!Y146,"")</f>
        <v>2</v>
      </c>
      <c r="Z146" s="1">
        <f>IF(Data!Z146&gt;0,Data!Z146-4,"")</f>
        <v>2</v>
      </c>
      <c r="AC146" s="7">
        <f t="shared" si="12"/>
        <v>1.8333333333333333</v>
      </c>
      <c r="AD146" s="7">
        <f t="shared" si="13"/>
        <v>1.75</v>
      </c>
      <c r="AE146" s="7">
        <f t="shared" si="14"/>
        <v>2</v>
      </c>
      <c r="AF146" s="7">
        <f t="shared" si="15"/>
        <v>1.25</v>
      </c>
      <c r="AG146" s="7">
        <f t="shared" si="16"/>
        <v>1.75</v>
      </c>
      <c r="AH146" s="7">
        <f t="shared" si="17"/>
        <v>2</v>
      </c>
    </row>
    <row r="147" spans="1:34">
      <c r="A147" s="1">
        <f>IF(Data!A147&gt;0,Data!A147-4,"")</f>
        <v>1</v>
      </c>
      <c r="B147" s="1">
        <f>IF(Data!B147&gt;0,Data!B147-4,"")</f>
        <v>-2</v>
      </c>
      <c r="C147" s="1">
        <f>IF(Data!C147&gt;0,4-Data!C147,"")</f>
        <v>1</v>
      </c>
      <c r="D147" s="1">
        <f>IF(Data!D147&gt;0,4-Data!D147,"")</f>
        <v>-1</v>
      </c>
      <c r="E147" s="1">
        <f>IF(Data!E147&gt;0,4-Data!E147,"")</f>
        <v>-1</v>
      </c>
      <c r="F147" s="1">
        <f>IF(Data!F147&gt;0,Data!F147-4,"")</f>
        <v>-2</v>
      </c>
      <c r="G147" s="1">
        <f>IF(Data!G147&gt;0,Data!G147-4,"")</f>
        <v>-2</v>
      </c>
      <c r="H147" s="1">
        <f>IF(Data!H147&gt;0,Data!H147-4,"")</f>
        <v>-2</v>
      </c>
      <c r="I147" s="1">
        <f>IF(Data!I147&gt;0,4-Data!I147,"")</f>
        <v>0</v>
      </c>
      <c r="J147" s="1">
        <f>IF(Data!J147&gt;0,4-Data!J147,"")</f>
        <v>0</v>
      </c>
      <c r="K147" s="1">
        <f>IF(Data!K147&gt;0,Data!K147-4,"")</f>
        <v>-1</v>
      </c>
      <c r="L147" s="1">
        <f>IF(Data!L147&gt;0,4-Data!L147,"")</f>
        <v>-1</v>
      </c>
      <c r="M147" s="1">
        <f>IF(Data!M147&gt;0,Data!M147-4,"")</f>
        <v>-1</v>
      </c>
      <c r="N147" s="1">
        <f>IF(Data!N147&gt;0,Data!N147-4,"")</f>
        <v>-2</v>
      </c>
      <c r="O147" s="1">
        <f>IF(Data!O147&gt;0,Data!O147-4,"")</f>
        <v>-2</v>
      </c>
      <c r="P147" s="1">
        <f>IF(Data!P147&gt;0,Data!P147-4,"")</f>
        <v>-2</v>
      </c>
      <c r="Q147" s="1">
        <f>IF(Data!Q147&gt;0,4-Data!Q147,"")</f>
        <v>0</v>
      </c>
      <c r="R147" s="1">
        <f>IF(Data!R147&gt;0,4-Data!R147,"")</f>
        <v>2</v>
      </c>
      <c r="S147" s="1">
        <f>IF(Data!S147&gt;0,4-Data!S147,"")</f>
        <v>-1</v>
      </c>
      <c r="T147" s="1">
        <f>IF(Data!T147&gt;0,Data!T147-4,"")</f>
        <v>-2</v>
      </c>
      <c r="U147" s="1">
        <f>IF(Data!U147&gt;0,4-Data!U147,"")</f>
        <v>-1</v>
      </c>
      <c r="V147" s="1">
        <f>IF(Data!V147&gt;0,Data!V147-4,"")</f>
        <v>-2</v>
      </c>
      <c r="W147" s="1">
        <f>IF(Data!W147&gt;0,4-Data!W147,"")</f>
        <v>-1</v>
      </c>
      <c r="X147" s="1">
        <f>IF(Data!X147&gt;0,4-Data!X147,"")</f>
        <v>-1</v>
      </c>
      <c r="Y147" s="1">
        <f>IF(Data!Y147&gt;0,4-Data!Y147,"")</f>
        <v>-1</v>
      </c>
      <c r="Z147" s="1">
        <f>IF(Data!Z147&gt;0,Data!Z147-4,"")</f>
        <v>0</v>
      </c>
      <c r="AC147" s="7">
        <f t="shared" si="12"/>
        <v>-1</v>
      </c>
      <c r="AD147" s="7">
        <f t="shared" si="13"/>
        <v>-1.25</v>
      </c>
      <c r="AE147" s="7">
        <f t="shared" si="14"/>
        <v>-1.25</v>
      </c>
      <c r="AF147" s="7">
        <f t="shared" si="15"/>
        <v>-1</v>
      </c>
      <c r="AG147" s="7">
        <f t="shared" si="16"/>
        <v>-0.75</v>
      </c>
      <c r="AH147" s="7">
        <f t="shared" si="17"/>
        <v>-0.25</v>
      </c>
    </row>
    <row r="148" spans="1:34">
      <c r="A148" s="1">
        <f>IF(Data!A148&gt;0,Data!A148-4,"")</f>
        <v>-2</v>
      </c>
      <c r="B148" s="1">
        <f>IF(Data!B148&gt;0,Data!B148-4,"")</f>
        <v>0</v>
      </c>
      <c r="C148" s="1">
        <f>IF(Data!C148&gt;0,4-Data!C148,"")</f>
        <v>0</v>
      </c>
      <c r="D148" s="1">
        <f>IF(Data!D148&gt;0,4-Data!D148,"")</f>
        <v>-1</v>
      </c>
      <c r="E148" s="1">
        <f>IF(Data!E148&gt;0,4-Data!E148,"")</f>
        <v>1</v>
      </c>
      <c r="F148" s="1">
        <f>IF(Data!F148&gt;0,Data!F148-4,"")</f>
        <v>0</v>
      </c>
      <c r="G148" s="1">
        <f>IF(Data!G148&gt;0,Data!G148-4,"")</f>
        <v>0</v>
      </c>
      <c r="H148" s="1">
        <f>IF(Data!H148&gt;0,Data!H148-4,"")</f>
        <v>-1</v>
      </c>
      <c r="I148" s="1">
        <f>IF(Data!I148&gt;0,4-Data!I148,"")</f>
        <v>1</v>
      </c>
      <c r="J148" s="1">
        <f>IF(Data!J148&gt;0,4-Data!J148,"")</f>
        <v>1</v>
      </c>
      <c r="K148" s="1">
        <f>IF(Data!K148&gt;0,Data!K148-4,"")</f>
        <v>-1</v>
      </c>
      <c r="L148" s="1">
        <f>IF(Data!L148&gt;0,4-Data!L148,"")</f>
        <v>0</v>
      </c>
      <c r="M148" s="1">
        <f>IF(Data!M148&gt;0,Data!M148-4,"")</f>
        <v>-2</v>
      </c>
      <c r="N148" s="1">
        <f>IF(Data!N148&gt;0,Data!N148-4,"")</f>
        <v>-1</v>
      </c>
      <c r="O148" s="1">
        <f>IF(Data!O148&gt;0,Data!O148-4,"")</f>
        <v>1</v>
      </c>
      <c r="P148" s="1">
        <f>IF(Data!P148&gt;0,Data!P148-4,"")</f>
        <v>-1</v>
      </c>
      <c r="Q148" s="1">
        <f>IF(Data!Q148&gt;0,4-Data!Q148,"")</f>
        <v>1</v>
      </c>
      <c r="R148" s="1">
        <f>IF(Data!R148&gt;0,4-Data!R148,"")</f>
        <v>0</v>
      </c>
      <c r="S148" s="1">
        <f>IF(Data!S148&gt;0,4-Data!S148,"")</f>
        <v>-1</v>
      </c>
      <c r="T148" s="1">
        <f>IF(Data!T148&gt;0,Data!T148-4,"")</f>
        <v>-1</v>
      </c>
      <c r="U148" s="1">
        <f>IF(Data!U148&gt;0,4-Data!U148,"")</f>
        <v>-1</v>
      </c>
      <c r="V148" s="1">
        <f>IF(Data!V148&gt;0,Data!V148-4,"")</f>
        <v>1</v>
      </c>
      <c r="W148" s="1">
        <f>IF(Data!W148&gt;0,4-Data!W148,"")</f>
        <v>-2</v>
      </c>
      <c r="X148" s="1">
        <f>IF(Data!X148&gt;0,4-Data!X148,"")</f>
        <v>-1</v>
      </c>
      <c r="Y148" s="1">
        <f>IF(Data!Y148&gt;0,4-Data!Y148,"")</f>
        <v>0</v>
      </c>
      <c r="Z148" s="1">
        <f>IF(Data!Z148&gt;0,Data!Z148-4,"")</f>
        <v>2</v>
      </c>
      <c r="AC148" s="7">
        <f t="shared" si="12"/>
        <v>-0.83333333333333337</v>
      </c>
      <c r="AD148" s="7">
        <f t="shared" si="13"/>
        <v>-1</v>
      </c>
      <c r="AE148" s="7">
        <f t="shared" si="14"/>
        <v>-0.25</v>
      </c>
      <c r="AF148" s="7">
        <f t="shared" si="15"/>
        <v>-0.5</v>
      </c>
      <c r="AG148" s="7">
        <f t="shared" si="16"/>
        <v>0.25</v>
      </c>
      <c r="AH148" s="7">
        <f t="shared" si="17"/>
        <v>1</v>
      </c>
    </row>
    <row r="149" spans="1:34">
      <c r="A149" s="1">
        <f>IF(Data!A149&gt;0,Data!A149-4,"")</f>
        <v>1</v>
      </c>
      <c r="B149" s="1">
        <f>IF(Data!B149&gt;0,Data!B149-4,"")</f>
        <v>1</v>
      </c>
      <c r="C149" s="1">
        <f>IF(Data!C149&gt;0,4-Data!C149,"")</f>
        <v>0</v>
      </c>
      <c r="D149" s="1">
        <f>IF(Data!D149&gt;0,4-Data!D149,"")</f>
        <v>2</v>
      </c>
      <c r="E149" s="1">
        <f>IF(Data!E149&gt;0,4-Data!E149,"")</f>
        <v>2</v>
      </c>
      <c r="F149" s="1">
        <f>IF(Data!F149&gt;0,Data!F149-4,"")</f>
        <v>0</v>
      </c>
      <c r="G149" s="1">
        <f>IF(Data!G149&gt;0,Data!G149-4,"")</f>
        <v>1</v>
      </c>
      <c r="H149" s="1">
        <f>IF(Data!H149&gt;0,Data!H149-4,"")</f>
        <v>2</v>
      </c>
      <c r="I149" s="1">
        <f>IF(Data!I149&gt;0,4-Data!I149,"")</f>
        <v>2</v>
      </c>
      <c r="J149" s="1">
        <f>IF(Data!J149&gt;0,4-Data!J149,"")</f>
        <v>2</v>
      </c>
      <c r="K149" s="1">
        <f>IF(Data!K149&gt;0,Data!K149-4,"")</f>
        <v>1</v>
      </c>
      <c r="L149" s="1">
        <f>IF(Data!L149&gt;0,4-Data!L149,"")</f>
        <v>3</v>
      </c>
      <c r="M149" s="1">
        <f>IF(Data!M149&gt;0,Data!M149-4,"")</f>
        <v>2</v>
      </c>
      <c r="N149" s="1">
        <f>IF(Data!N149&gt;0,Data!N149-4,"")</f>
        <v>2</v>
      </c>
      <c r="O149" s="1">
        <f>IF(Data!O149&gt;0,Data!O149-4,"")</f>
        <v>2</v>
      </c>
      <c r="P149" s="1">
        <f>IF(Data!P149&gt;0,Data!P149-4,"")</f>
        <v>2</v>
      </c>
      <c r="Q149" s="1">
        <f>IF(Data!Q149&gt;0,4-Data!Q149,"")</f>
        <v>2</v>
      </c>
      <c r="R149" s="1">
        <f>IF(Data!R149&gt;0,4-Data!R149,"")</f>
        <v>2</v>
      </c>
      <c r="S149" s="1">
        <f>IF(Data!S149&gt;0,4-Data!S149,"")</f>
        <v>2</v>
      </c>
      <c r="T149" s="1">
        <f>IF(Data!T149&gt;0,Data!T149-4,"")</f>
        <v>2</v>
      </c>
      <c r="U149" s="1">
        <f>IF(Data!U149&gt;0,4-Data!U149,"")</f>
        <v>2</v>
      </c>
      <c r="V149" s="1">
        <f>IF(Data!V149&gt;0,Data!V149-4,"")</f>
        <v>1</v>
      </c>
      <c r="W149" s="1">
        <f>IF(Data!W149&gt;0,4-Data!W149,"")</f>
        <v>3</v>
      </c>
      <c r="X149" s="1">
        <f>IF(Data!X149&gt;0,4-Data!X149,"")</f>
        <v>2</v>
      </c>
      <c r="Y149" s="1">
        <f>IF(Data!Y149&gt;0,4-Data!Y149,"")</f>
        <v>3</v>
      </c>
      <c r="Z149" s="1">
        <f>IF(Data!Z149&gt;0,Data!Z149-4,"")</f>
        <v>1</v>
      </c>
      <c r="AC149" s="7">
        <f t="shared" si="12"/>
        <v>2.1666666666666665</v>
      </c>
      <c r="AD149" s="7">
        <f t="shared" si="13"/>
        <v>1.75</v>
      </c>
      <c r="AE149" s="7">
        <f t="shared" si="14"/>
        <v>2</v>
      </c>
      <c r="AF149" s="7">
        <f t="shared" si="15"/>
        <v>1.75</v>
      </c>
      <c r="AG149" s="7">
        <f t="shared" si="16"/>
        <v>1.25</v>
      </c>
      <c r="AH149" s="7">
        <f t="shared" si="17"/>
        <v>1.25</v>
      </c>
    </row>
    <row r="150" spans="1:34">
      <c r="A150" s="1">
        <f>IF(Data!A150&gt;0,Data!A150-4,"")</f>
        <v>1</v>
      </c>
      <c r="B150" s="1">
        <f>IF(Data!B150&gt;0,Data!B150-4,"")</f>
        <v>3</v>
      </c>
      <c r="C150" s="1">
        <f>IF(Data!C150&gt;0,4-Data!C150,"")</f>
        <v>0</v>
      </c>
      <c r="D150" s="1">
        <f>IF(Data!D150&gt;0,4-Data!D150,"")</f>
        <v>3</v>
      </c>
      <c r="E150" s="1">
        <f>IF(Data!E150&gt;0,4-Data!E150,"")</f>
        <v>3</v>
      </c>
      <c r="F150" s="1">
        <f>IF(Data!F150&gt;0,Data!F150-4,"")</f>
        <v>1</v>
      </c>
      <c r="G150" s="1">
        <f>IF(Data!G150&gt;0,Data!G150-4,"")</f>
        <v>1</v>
      </c>
      <c r="H150" s="1">
        <f>IF(Data!H150&gt;0,Data!H150-4,"")</f>
        <v>2</v>
      </c>
      <c r="I150" s="1">
        <f>IF(Data!I150&gt;0,4-Data!I150,"")</f>
        <v>3</v>
      </c>
      <c r="J150" s="1">
        <f>IF(Data!J150&gt;0,4-Data!J150,"")</f>
        <v>1</v>
      </c>
      <c r="K150" s="1">
        <f>IF(Data!K150&gt;0,Data!K150-4,"")</f>
        <v>1</v>
      </c>
      <c r="L150" s="1">
        <f>IF(Data!L150&gt;0,4-Data!L150,"")</f>
        <v>3</v>
      </c>
      <c r="M150" s="1">
        <f>IF(Data!M150&gt;0,Data!M150-4,"")</f>
        <v>3</v>
      </c>
      <c r="N150" s="1">
        <f>IF(Data!N150&gt;0,Data!N150-4,"")</f>
        <v>3</v>
      </c>
      <c r="O150" s="1">
        <f>IF(Data!O150&gt;0,Data!O150-4,"")</f>
        <v>1</v>
      </c>
      <c r="P150" s="1">
        <f>IF(Data!P150&gt;0,Data!P150-4,"")</f>
        <v>3</v>
      </c>
      <c r="Q150" s="1">
        <f>IF(Data!Q150&gt;0,4-Data!Q150,"")</f>
        <v>3</v>
      </c>
      <c r="R150" s="1">
        <f>IF(Data!R150&gt;0,4-Data!R150,"")</f>
        <v>2</v>
      </c>
      <c r="S150" s="1">
        <f>IF(Data!S150&gt;0,4-Data!S150,"")</f>
        <v>3</v>
      </c>
      <c r="T150" s="1">
        <f>IF(Data!T150&gt;0,Data!T150-4,"")</f>
        <v>3</v>
      </c>
      <c r="U150" s="1">
        <f>IF(Data!U150&gt;0,4-Data!U150,"")</f>
        <v>3</v>
      </c>
      <c r="V150" s="1">
        <f>IF(Data!V150&gt;0,Data!V150-4,"")</f>
        <v>3</v>
      </c>
      <c r="W150" s="1">
        <f>IF(Data!W150&gt;0,4-Data!W150,"")</f>
        <v>3</v>
      </c>
      <c r="X150" s="1">
        <f>IF(Data!X150&gt;0,4-Data!X150,"")</f>
        <v>3</v>
      </c>
      <c r="Y150" s="1">
        <f>IF(Data!Y150&gt;0,4-Data!Y150,"")</f>
        <v>0</v>
      </c>
      <c r="Z150" s="1">
        <f>IF(Data!Z150&gt;0,Data!Z150-4,"")</f>
        <v>0</v>
      </c>
      <c r="AC150" s="7">
        <f t="shared" si="12"/>
        <v>2.1666666666666665</v>
      </c>
      <c r="AD150" s="7">
        <f t="shared" si="13"/>
        <v>3</v>
      </c>
      <c r="AE150" s="7">
        <f t="shared" si="14"/>
        <v>3</v>
      </c>
      <c r="AF150" s="7">
        <f t="shared" si="15"/>
        <v>2.25</v>
      </c>
      <c r="AG150" s="7">
        <f t="shared" si="16"/>
        <v>1.75</v>
      </c>
      <c r="AH150" s="7">
        <f t="shared" si="17"/>
        <v>0.5</v>
      </c>
    </row>
    <row r="151" spans="1:34">
      <c r="A151" s="1">
        <f>IF(Data!A151&gt;0,Data!A151-4,"")</f>
        <v>1</v>
      </c>
      <c r="B151" s="1">
        <f>IF(Data!B151&gt;0,Data!B151-4,"")</f>
        <v>2</v>
      </c>
      <c r="C151" s="1">
        <f>IF(Data!C151&gt;0,4-Data!C151,"")</f>
        <v>1</v>
      </c>
      <c r="D151" s="1">
        <f>IF(Data!D151&gt;0,4-Data!D151,"")</f>
        <v>2</v>
      </c>
      <c r="E151" s="1">
        <f>IF(Data!E151&gt;0,4-Data!E151,"")</f>
        <v>2</v>
      </c>
      <c r="F151" s="1">
        <f>IF(Data!F151&gt;0,Data!F151-4,"")</f>
        <v>2</v>
      </c>
      <c r="G151" s="1">
        <f>IF(Data!G151&gt;0,Data!G151-4,"")</f>
        <v>2</v>
      </c>
      <c r="H151" s="1">
        <f>IF(Data!H151&gt;0,Data!H151-4,"")</f>
        <v>1</v>
      </c>
      <c r="I151" s="1">
        <f>IF(Data!I151&gt;0,4-Data!I151,"")</f>
        <v>1</v>
      </c>
      <c r="J151" s="1">
        <f>IF(Data!J151&gt;0,4-Data!J151,"")</f>
        <v>1</v>
      </c>
      <c r="K151" s="1">
        <f>IF(Data!K151&gt;0,Data!K151-4,"")</f>
        <v>-2</v>
      </c>
      <c r="L151" s="1">
        <f>IF(Data!L151&gt;0,4-Data!L151,"")</f>
        <v>2</v>
      </c>
      <c r="M151" s="1">
        <f>IF(Data!M151&gt;0,Data!M151-4,"")</f>
        <v>1</v>
      </c>
      <c r="N151" s="1">
        <f>IF(Data!N151&gt;0,Data!N151-4,"")</f>
        <v>2</v>
      </c>
      <c r="O151" s="1">
        <f>IF(Data!O151&gt;0,Data!O151-4,"")</f>
        <v>1</v>
      </c>
      <c r="P151" s="1">
        <f>IF(Data!P151&gt;0,Data!P151-4,"")</f>
        <v>2</v>
      </c>
      <c r="Q151" s="1">
        <f>IF(Data!Q151&gt;0,4-Data!Q151,"")</f>
        <v>0</v>
      </c>
      <c r="R151" s="1">
        <f>IF(Data!R151&gt;0,4-Data!R151,"")</f>
        <v>0</v>
      </c>
      <c r="S151" s="1">
        <f>IF(Data!S151&gt;0,4-Data!S151,"")</f>
        <v>2</v>
      </c>
      <c r="T151" s="1">
        <f>IF(Data!T151&gt;0,Data!T151-4,"")</f>
        <v>1</v>
      </c>
      <c r="U151" s="1">
        <f>IF(Data!U151&gt;0,4-Data!U151,"")</f>
        <v>2</v>
      </c>
      <c r="V151" s="1">
        <f>IF(Data!V151&gt;0,Data!V151-4,"")</f>
        <v>2</v>
      </c>
      <c r="W151" s="1">
        <f>IF(Data!W151&gt;0,4-Data!W151,"")</f>
        <v>1</v>
      </c>
      <c r="X151" s="1">
        <f>IF(Data!X151&gt;0,4-Data!X151,"")</f>
        <v>2</v>
      </c>
      <c r="Y151" s="1">
        <f>IF(Data!Y151&gt;0,4-Data!Y151,"")</f>
        <v>2</v>
      </c>
      <c r="Z151" s="1">
        <f>IF(Data!Z151&gt;0,Data!Z151-4,"")</f>
        <v>0</v>
      </c>
      <c r="AC151" s="7">
        <f t="shared" si="12"/>
        <v>1.8333333333333333</v>
      </c>
      <c r="AD151" s="7">
        <f t="shared" si="13"/>
        <v>1.75</v>
      </c>
      <c r="AE151" s="7">
        <f t="shared" si="14"/>
        <v>1.25</v>
      </c>
      <c r="AF151" s="7">
        <f t="shared" si="15"/>
        <v>0.25</v>
      </c>
      <c r="AG151" s="7">
        <f t="shared" si="16"/>
        <v>1.5</v>
      </c>
      <c r="AH151" s="7">
        <f t="shared" si="17"/>
        <v>0.75</v>
      </c>
    </row>
    <row r="152" spans="1:34">
      <c r="A152" s="1">
        <f>IF(Data!A152&gt;0,Data!A152-4,"")</f>
        <v>0</v>
      </c>
      <c r="B152" s="1">
        <f>IF(Data!B152&gt;0,Data!B152-4,"")</f>
        <v>3</v>
      </c>
      <c r="C152" s="1">
        <f>IF(Data!C152&gt;0,4-Data!C152,"")</f>
        <v>1</v>
      </c>
      <c r="D152" s="1">
        <f>IF(Data!D152&gt;0,4-Data!D152,"")</f>
        <v>3</v>
      </c>
      <c r="E152" s="1">
        <f>IF(Data!E152&gt;0,4-Data!E152,"")</f>
        <v>2</v>
      </c>
      <c r="F152" s="1">
        <f>IF(Data!F152&gt;0,Data!F152-4,"")</f>
        <v>0</v>
      </c>
      <c r="G152" s="1">
        <f>IF(Data!G152&gt;0,Data!G152-4,"")</f>
        <v>0</v>
      </c>
      <c r="H152" s="1">
        <f>IF(Data!H152&gt;0,Data!H152-4,"")</f>
        <v>0</v>
      </c>
      <c r="I152" s="1">
        <f>IF(Data!I152&gt;0,4-Data!I152,"")</f>
        <v>2</v>
      </c>
      <c r="J152" s="1">
        <f>IF(Data!J152&gt;0,4-Data!J152,"")</f>
        <v>0</v>
      </c>
      <c r="K152" s="1">
        <f>IF(Data!K152&gt;0,Data!K152-4,"")</f>
        <v>0</v>
      </c>
      <c r="L152" s="1">
        <f>IF(Data!L152&gt;0,4-Data!L152,"")</f>
        <v>2</v>
      </c>
      <c r="M152" s="1">
        <f>IF(Data!M152&gt;0,Data!M152-4,"")</f>
        <v>2</v>
      </c>
      <c r="N152" s="1">
        <f>IF(Data!N152&gt;0,Data!N152-4,"")</f>
        <v>1</v>
      </c>
      <c r="O152" s="1">
        <f>IF(Data!O152&gt;0,Data!O152-4,"")</f>
        <v>1</v>
      </c>
      <c r="P152" s="1">
        <f>IF(Data!P152&gt;0,Data!P152-4,"")</f>
        <v>2</v>
      </c>
      <c r="Q152" s="1">
        <f>IF(Data!Q152&gt;0,4-Data!Q152,"")</f>
        <v>3</v>
      </c>
      <c r="R152" s="1">
        <f>IF(Data!R152&gt;0,4-Data!R152,"")</f>
        <v>0</v>
      </c>
      <c r="S152" s="1">
        <f>IF(Data!S152&gt;0,4-Data!S152,"")</f>
        <v>2</v>
      </c>
      <c r="T152" s="1">
        <f>IF(Data!T152&gt;0,Data!T152-4,"")</f>
        <v>2</v>
      </c>
      <c r="U152" s="1">
        <f>IF(Data!U152&gt;0,4-Data!U152,"")</f>
        <v>2</v>
      </c>
      <c r="V152" s="1">
        <f>IF(Data!V152&gt;0,Data!V152-4,"")</f>
        <v>2</v>
      </c>
      <c r="W152" s="1">
        <f>IF(Data!W152&gt;0,4-Data!W152,"")</f>
        <v>2</v>
      </c>
      <c r="X152" s="1">
        <f>IF(Data!X152&gt;0,4-Data!X152,"")</f>
        <v>2</v>
      </c>
      <c r="Y152" s="1">
        <f>IF(Data!Y152&gt;0,4-Data!Y152,"")</f>
        <v>2</v>
      </c>
      <c r="Z152" s="1">
        <f>IF(Data!Z152&gt;0,Data!Z152-4,"")</f>
        <v>0</v>
      </c>
      <c r="AC152" s="7">
        <f t="shared" si="12"/>
        <v>1.5</v>
      </c>
      <c r="AD152" s="7">
        <f t="shared" si="13"/>
        <v>2.5</v>
      </c>
      <c r="AE152" s="7">
        <f t="shared" si="14"/>
        <v>2</v>
      </c>
      <c r="AF152" s="7">
        <f t="shared" si="15"/>
        <v>1.25</v>
      </c>
      <c r="AG152" s="7">
        <f t="shared" si="16"/>
        <v>0.5</v>
      </c>
      <c r="AH152" s="7">
        <f t="shared" si="17"/>
        <v>0.5</v>
      </c>
    </row>
    <row r="153" spans="1:34">
      <c r="A153" s="1">
        <f>IF(Data!A153&gt;0,Data!A153-4,"")</f>
        <v>2</v>
      </c>
      <c r="B153" s="1">
        <f>IF(Data!B153&gt;0,Data!B153-4,"")</f>
        <v>2</v>
      </c>
      <c r="C153" s="1">
        <f>IF(Data!C153&gt;0,4-Data!C153,"")</f>
        <v>2</v>
      </c>
      <c r="D153" s="1">
        <f>IF(Data!D153&gt;0,4-Data!D153,"")</f>
        <v>2</v>
      </c>
      <c r="E153" s="1">
        <f>IF(Data!E153&gt;0,4-Data!E153,"")</f>
        <v>3</v>
      </c>
      <c r="F153" s="1">
        <f>IF(Data!F153&gt;0,Data!F153-4,"")</f>
        <v>2</v>
      </c>
      <c r="G153" s="1">
        <f>IF(Data!G153&gt;0,Data!G153-4,"")</f>
        <v>1</v>
      </c>
      <c r="H153" s="1">
        <f>IF(Data!H153&gt;0,Data!H153-4,"")</f>
        <v>1</v>
      </c>
      <c r="I153" s="1">
        <f>IF(Data!I153&gt;0,4-Data!I153,"")</f>
        <v>2</v>
      </c>
      <c r="J153" s="1">
        <f>IF(Data!J153&gt;0,4-Data!J153,"")</f>
        <v>2</v>
      </c>
      <c r="K153" s="1">
        <f>IF(Data!K153&gt;0,Data!K153-4,"")</f>
        <v>2</v>
      </c>
      <c r="L153" s="1">
        <f>IF(Data!L153&gt;0,4-Data!L153,"")</f>
        <v>2</v>
      </c>
      <c r="M153" s="1">
        <f>IF(Data!M153&gt;0,Data!M153-4,"")</f>
        <v>1</v>
      </c>
      <c r="N153" s="1">
        <f>IF(Data!N153&gt;0,Data!N153-4,"")</f>
        <v>2</v>
      </c>
      <c r="O153" s="1">
        <f>IF(Data!O153&gt;0,Data!O153-4,"")</f>
        <v>2</v>
      </c>
      <c r="P153" s="1">
        <f>IF(Data!P153&gt;0,Data!P153-4,"")</f>
        <v>2</v>
      </c>
      <c r="Q153" s="1">
        <f>IF(Data!Q153&gt;0,4-Data!Q153,"")</f>
        <v>2</v>
      </c>
      <c r="R153" s="1">
        <f>IF(Data!R153&gt;0,4-Data!R153,"")</f>
        <v>2</v>
      </c>
      <c r="S153" s="1">
        <f>IF(Data!S153&gt;0,4-Data!S153,"")</f>
        <v>2</v>
      </c>
      <c r="T153" s="1">
        <f>IF(Data!T153&gt;0,Data!T153-4,"")</f>
        <v>2</v>
      </c>
      <c r="U153" s="1">
        <f>IF(Data!U153&gt;0,4-Data!U153,"")</f>
        <v>1</v>
      </c>
      <c r="V153" s="1">
        <f>IF(Data!V153&gt;0,Data!V153-4,"")</f>
        <v>2</v>
      </c>
      <c r="W153" s="1">
        <f>IF(Data!W153&gt;0,4-Data!W153,"")</f>
        <v>3</v>
      </c>
      <c r="X153" s="1">
        <f>IF(Data!X153&gt;0,4-Data!X153,"")</f>
        <v>2</v>
      </c>
      <c r="Y153" s="1">
        <f>IF(Data!Y153&gt;0,4-Data!Y153,"")</f>
        <v>2</v>
      </c>
      <c r="Z153" s="1">
        <f>IF(Data!Z153&gt;0,Data!Z153-4,"")</f>
        <v>2</v>
      </c>
      <c r="AC153" s="7">
        <f t="shared" si="12"/>
        <v>2</v>
      </c>
      <c r="AD153" s="7">
        <f t="shared" si="13"/>
        <v>1.5</v>
      </c>
      <c r="AE153" s="7">
        <f t="shared" si="14"/>
        <v>2.25</v>
      </c>
      <c r="AF153" s="7">
        <f t="shared" si="15"/>
        <v>1.75</v>
      </c>
      <c r="AG153" s="7">
        <f t="shared" si="16"/>
        <v>2</v>
      </c>
      <c r="AH153" s="7">
        <f t="shared" si="17"/>
        <v>2</v>
      </c>
    </row>
    <row r="154" spans="1:34">
      <c r="A154" s="1">
        <f>IF(Data!A154&gt;0,Data!A154-4,"")</f>
        <v>-1</v>
      </c>
      <c r="B154" s="1">
        <f>IF(Data!B154&gt;0,Data!B154-4,"")</f>
        <v>1</v>
      </c>
      <c r="C154" s="1">
        <f>IF(Data!C154&gt;0,4-Data!C154,"")</f>
        <v>0</v>
      </c>
      <c r="D154" s="1">
        <f>IF(Data!D154&gt;0,4-Data!D154,"")</f>
        <v>-1</v>
      </c>
      <c r="E154" s="1">
        <f>IF(Data!E154&gt;0,4-Data!E154,"")</f>
        <v>-1</v>
      </c>
      <c r="F154" s="1">
        <f>IF(Data!F154&gt;0,Data!F154-4,"")</f>
        <v>-1</v>
      </c>
      <c r="G154" s="1">
        <f>IF(Data!G154&gt;0,Data!G154-4,"")</f>
        <v>-1</v>
      </c>
      <c r="H154" s="1">
        <f>IF(Data!H154&gt;0,Data!H154-4,"")</f>
        <v>-1</v>
      </c>
      <c r="I154" s="1">
        <f>IF(Data!I154&gt;0,4-Data!I154,"")</f>
        <v>-1</v>
      </c>
      <c r="J154" s="1">
        <f>IF(Data!J154&gt;0,4-Data!J154,"")</f>
        <v>-1</v>
      </c>
      <c r="K154" s="1">
        <f>IF(Data!K154&gt;0,Data!K154-4,"")</f>
        <v>-2</v>
      </c>
      <c r="L154" s="1">
        <f>IF(Data!L154&gt;0,4-Data!L154,"")</f>
        <v>2</v>
      </c>
      <c r="M154" s="1">
        <f>IF(Data!M154&gt;0,Data!M154-4,"")</f>
        <v>2</v>
      </c>
      <c r="N154" s="1">
        <f>IF(Data!N154&gt;0,Data!N154-4,"")</f>
        <v>1</v>
      </c>
      <c r="O154" s="1">
        <f>IF(Data!O154&gt;0,Data!O154-4,"")</f>
        <v>0</v>
      </c>
      <c r="P154" s="1">
        <f>IF(Data!P154&gt;0,Data!P154-4,"")</f>
        <v>1</v>
      </c>
      <c r="Q154" s="1">
        <f>IF(Data!Q154&gt;0,4-Data!Q154,"")</f>
        <v>1</v>
      </c>
      <c r="R154" s="1">
        <f>IF(Data!R154&gt;0,4-Data!R154,"")</f>
        <v>1</v>
      </c>
      <c r="S154" s="1">
        <f>IF(Data!S154&gt;0,4-Data!S154,"")</f>
        <v>2</v>
      </c>
      <c r="T154" s="1">
        <f>IF(Data!T154&gt;0,Data!T154-4,"")</f>
        <v>1</v>
      </c>
      <c r="U154" s="1">
        <f>IF(Data!U154&gt;0,4-Data!U154,"")</f>
        <v>2</v>
      </c>
      <c r="V154" s="1">
        <f>IF(Data!V154&gt;0,Data!V154-4,"")</f>
        <v>2</v>
      </c>
      <c r="W154" s="1">
        <f>IF(Data!W154&gt;0,4-Data!W154,"")</f>
        <v>0</v>
      </c>
      <c r="X154" s="1">
        <f>IF(Data!X154&gt;0,4-Data!X154,"")</f>
        <v>2</v>
      </c>
      <c r="Y154" s="1">
        <f>IF(Data!Y154&gt;0,4-Data!Y154,"")</f>
        <v>2</v>
      </c>
      <c r="Z154" s="1">
        <f>IF(Data!Z154&gt;0,Data!Z154-4,"")</f>
        <v>0</v>
      </c>
      <c r="AC154" s="7">
        <f t="shared" si="12"/>
        <v>1.1666666666666667</v>
      </c>
      <c r="AD154" s="7">
        <f t="shared" si="13"/>
        <v>1</v>
      </c>
      <c r="AE154" s="7">
        <f t="shared" si="14"/>
        <v>0.5</v>
      </c>
      <c r="AF154" s="7">
        <f t="shared" si="15"/>
        <v>0</v>
      </c>
      <c r="AG154" s="7">
        <f t="shared" si="16"/>
        <v>-0.5</v>
      </c>
      <c r="AH154" s="7">
        <f t="shared" si="17"/>
        <v>-0.25</v>
      </c>
    </row>
    <row r="155" spans="1:34">
      <c r="A155" s="1">
        <f>IF(Data!A155&gt;0,Data!A155-4,"")</f>
        <v>1</v>
      </c>
      <c r="B155" s="1">
        <f>IF(Data!B155&gt;0,Data!B155-4,"")</f>
        <v>1</v>
      </c>
      <c r="C155" s="1">
        <f>IF(Data!C155&gt;0,4-Data!C155,"")</f>
        <v>2</v>
      </c>
      <c r="D155" s="1">
        <f>IF(Data!D155&gt;0,4-Data!D155,"")</f>
        <v>2</v>
      </c>
      <c r="E155" s="1">
        <f>IF(Data!E155&gt;0,4-Data!E155,"")</f>
        <v>1</v>
      </c>
      <c r="F155" s="1">
        <f>IF(Data!F155&gt;0,Data!F155-4,"")</f>
        <v>1</v>
      </c>
      <c r="G155" s="1">
        <f>IF(Data!G155&gt;0,Data!G155-4,"")</f>
        <v>1</v>
      </c>
      <c r="H155" s="1">
        <f>IF(Data!H155&gt;0,Data!H155-4,"")</f>
        <v>0</v>
      </c>
      <c r="I155" s="1">
        <f>IF(Data!I155&gt;0,4-Data!I155,"")</f>
        <v>2</v>
      </c>
      <c r="J155" s="1">
        <f>IF(Data!J155&gt;0,4-Data!J155,"")</f>
        <v>2</v>
      </c>
      <c r="K155" s="1">
        <f>IF(Data!K155&gt;0,Data!K155-4,"")</f>
        <v>2</v>
      </c>
      <c r="L155" s="1">
        <f>IF(Data!L155&gt;0,4-Data!L155,"")</f>
        <v>2</v>
      </c>
      <c r="M155" s="1">
        <f>IF(Data!M155&gt;0,Data!M155-4,"")</f>
        <v>2</v>
      </c>
      <c r="N155" s="1">
        <f>IF(Data!N155&gt;0,Data!N155-4,"")</f>
        <v>1</v>
      </c>
      <c r="O155" s="1">
        <f>IF(Data!O155&gt;0,Data!O155-4,"")</f>
        <v>2</v>
      </c>
      <c r="P155" s="1">
        <f>IF(Data!P155&gt;0,Data!P155-4,"")</f>
        <v>2</v>
      </c>
      <c r="Q155" s="1">
        <f>IF(Data!Q155&gt;0,4-Data!Q155,"")</f>
        <v>2</v>
      </c>
      <c r="R155" s="1">
        <f>IF(Data!R155&gt;0,4-Data!R155,"")</f>
        <v>0</v>
      </c>
      <c r="S155" s="1">
        <f>IF(Data!S155&gt;0,4-Data!S155,"")</f>
        <v>1</v>
      </c>
      <c r="T155" s="1">
        <f>IF(Data!T155&gt;0,Data!T155-4,"")</f>
        <v>2</v>
      </c>
      <c r="U155" s="1">
        <f>IF(Data!U155&gt;0,4-Data!U155,"")</f>
        <v>1</v>
      </c>
      <c r="V155" s="1">
        <f>IF(Data!V155&gt;0,Data!V155-4,"")</f>
        <v>2</v>
      </c>
      <c r="W155" s="1">
        <f>IF(Data!W155&gt;0,4-Data!W155,"")</f>
        <v>-2</v>
      </c>
      <c r="X155" s="1">
        <f>IF(Data!X155&gt;0,4-Data!X155,"")</f>
        <v>0</v>
      </c>
      <c r="Y155" s="1">
        <f>IF(Data!Y155&gt;0,4-Data!Y155,"")</f>
        <v>0</v>
      </c>
      <c r="Z155" s="1">
        <f>IF(Data!Z155&gt;0,Data!Z155-4,"")</f>
        <v>2</v>
      </c>
      <c r="AC155" s="7">
        <f t="shared" si="12"/>
        <v>1</v>
      </c>
      <c r="AD155" s="7">
        <f t="shared" si="13"/>
        <v>1.5</v>
      </c>
      <c r="AE155" s="7">
        <f t="shared" si="14"/>
        <v>1</v>
      </c>
      <c r="AF155" s="7">
        <f t="shared" si="15"/>
        <v>1.25</v>
      </c>
      <c r="AG155" s="7">
        <f t="shared" si="16"/>
        <v>0.75</v>
      </c>
      <c r="AH155" s="7">
        <f t="shared" si="17"/>
        <v>2</v>
      </c>
    </row>
    <row r="156" spans="1:34">
      <c r="A156" s="1">
        <f>IF(Data!A156&gt;0,Data!A156-4,"")</f>
        <v>0</v>
      </c>
      <c r="B156" s="1">
        <f>IF(Data!B156&gt;0,Data!B156-4,"")</f>
        <v>1</v>
      </c>
      <c r="C156" s="1">
        <f>IF(Data!C156&gt;0,4-Data!C156,"")</f>
        <v>0</v>
      </c>
      <c r="D156" s="1">
        <f>IF(Data!D156&gt;0,4-Data!D156,"")</f>
        <v>0</v>
      </c>
      <c r="E156" s="1">
        <f>IF(Data!E156&gt;0,4-Data!E156,"")</f>
        <v>-2</v>
      </c>
      <c r="F156" s="1">
        <f>IF(Data!F156&gt;0,Data!F156-4,"")</f>
        <v>1</v>
      </c>
      <c r="G156" s="1">
        <f>IF(Data!G156&gt;0,Data!G156-4,"")</f>
        <v>1</v>
      </c>
      <c r="H156" s="1">
        <f>IF(Data!H156&gt;0,Data!H156-4,"")</f>
        <v>0</v>
      </c>
      <c r="I156" s="1">
        <f>IF(Data!I156&gt;0,4-Data!I156,"")</f>
        <v>0</v>
      </c>
      <c r="J156" s="1">
        <f>IF(Data!J156&gt;0,4-Data!J156,"")</f>
        <v>1</v>
      </c>
      <c r="K156" s="1">
        <f>IF(Data!K156&gt;0,Data!K156-4,"")</f>
        <v>1</v>
      </c>
      <c r="L156" s="1">
        <f>IF(Data!L156&gt;0,4-Data!L156,"")</f>
        <v>1</v>
      </c>
      <c r="M156" s="1">
        <f>IF(Data!M156&gt;0,Data!M156-4,"")</f>
        <v>1</v>
      </c>
      <c r="N156" s="1">
        <f>IF(Data!N156&gt;0,Data!N156-4,"")</f>
        <v>0</v>
      </c>
      <c r="O156" s="1">
        <f>IF(Data!O156&gt;0,Data!O156-4,"")</f>
        <v>0</v>
      </c>
      <c r="P156" s="1">
        <f>IF(Data!P156&gt;0,Data!P156-4,"")</f>
        <v>1</v>
      </c>
      <c r="Q156" s="1">
        <f>IF(Data!Q156&gt;0,4-Data!Q156,"")</f>
        <v>0</v>
      </c>
      <c r="R156" s="1">
        <f>IF(Data!R156&gt;0,4-Data!R156,"")</f>
        <v>1</v>
      </c>
      <c r="S156" s="1">
        <f>IF(Data!S156&gt;0,4-Data!S156,"")</f>
        <v>0</v>
      </c>
      <c r="T156" s="1">
        <f>IF(Data!T156&gt;0,Data!T156-4,"")</f>
        <v>1</v>
      </c>
      <c r="U156" s="1">
        <f>IF(Data!U156&gt;0,4-Data!U156,"")</f>
        <v>1</v>
      </c>
      <c r="V156" s="1">
        <f>IF(Data!V156&gt;0,Data!V156-4,"")</f>
        <v>1</v>
      </c>
      <c r="W156" s="1">
        <f>IF(Data!W156&gt;0,4-Data!W156,"")</f>
        <v>1</v>
      </c>
      <c r="X156" s="1">
        <f>IF(Data!X156&gt;0,4-Data!X156,"")</f>
        <v>-1</v>
      </c>
      <c r="Y156" s="1">
        <f>IF(Data!Y156&gt;0,4-Data!Y156,"")</f>
        <v>1</v>
      </c>
      <c r="Z156" s="1">
        <f>IF(Data!Z156&gt;0,Data!Z156-4,"")</f>
        <v>0</v>
      </c>
      <c r="AC156" s="7">
        <f t="shared" si="12"/>
        <v>0.33333333333333331</v>
      </c>
      <c r="AD156" s="7">
        <f t="shared" si="13"/>
        <v>0.75</v>
      </c>
      <c r="AE156" s="7">
        <f t="shared" si="14"/>
        <v>0.75</v>
      </c>
      <c r="AF156" s="7">
        <f t="shared" si="15"/>
        <v>0.25</v>
      </c>
      <c r="AG156" s="7">
        <f t="shared" si="16"/>
        <v>0.25</v>
      </c>
      <c r="AH156" s="7">
        <f t="shared" si="17"/>
        <v>0.25</v>
      </c>
    </row>
    <row r="157" spans="1:34">
      <c r="A157" s="1">
        <f>IF(Data!A157&gt;0,Data!A157-4,"")</f>
        <v>-2</v>
      </c>
      <c r="B157" s="1">
        <f>IF(Data!B157&gt;0,Data!B157-4,"")</f>
        <v>2</v>
      </c>
      <c r="C157" s="1">
        <f>IF(Data!C157&gt;0,4-Data!C157,"")</f>
        <v>1</v>
      </c>
      <c r="D157" s="1">
        <f>IF(Data!D157&gt;0,4-Data!D157,"")</f>
        <v>2</v>
      </c>
      <c r="E157" s="1">
        <f>IF(Data!E157&gt;0,4-Data!E157,"")</f>
        <v>2</v>
      </c>
      <c r="F157" s="1">
        <f>IF(Data!F157&gt;0,Data!F157-4,"")</f>
        <v>1</v>
      </c>
      <c r="G157" s="1">
        <f>IF(Data!G157&gt;0,Data!G157-4,"")</f>
        <v>2</v>
      </c>
      <c r="H157" s="1">
        <f>IF(Data!H157&gt;0,Data!H157-4,"")</f>
        <v>0</v>
      </c>
      <c r="I157" s="1">
        <f>IF(Data!I157&gt;0,4-Data!I157,"")</f>
        <v>1</v>
      </c>
      <c r="J157" s="1">
        <f>IF(Data!J157&gt;0,4-Data!J157,"")</f>
        <v>2</v>
      </c>
      <c r="K157" s="1">
        <f>IF(Data!K157&gt;0,Data!K157-4,"")</f>
        <v>1</v>
      </c>
      <c r="L157" s="1">
        <f>IF(Data!L157&gt;0,4-Data!L157,"")</f>
        <v>2</v>
      </c>
      <c r="M157" s="1">
        <f>IF(Data!M157&gt;0,Data!M157-4,"")</f>
        <v>2</v>
      </c>
      <c r="N157" s="1">
        <f>IF(Data!N157&gt;0,Data!N157-4,"")</f>
        <v>2</v>
      </c>
      <c r="O157" s="1">
        <f>IF(Data!O157&gt;0,Data!O157-4,"")</f>
        <v>2</v>
      </c>
      <c r="P157" s="1">
        <f>IF(Data!P157&gt;0,Data!P157-4,"")</f>
        <v>1</v>
      </c>
      <c r="Q157" s="1">
        <f>IF(Data!Q157&gt;0,4-Data!Q157,"")</f>
        <v>1</v>
      </c>
      <c r="R157" s="1">
        <f>IF(Data!R157&gt;0,4-Data!R157,"")</f>
        <v>1</v>
      </c>
      <c r="S157" s="1">
        <f>IF(Data!S157&gt;0,4-Data!S157,"")</f>
        <v>2</v>
      </c>
      <c r="T157" s="1">
        <f>IF(Data!T157&gt;0,Data!T157-4,"")</f>
        <v>2</v>
      </c>
      <c r="U157" s="1">
        <f>IF(Data!U157&gt;0,4-Data!U157,"")</f>
        <v>2</v>
      </c>
      <c r="V157" s="1">
        <f>IF(Data!V157&gt;0,Data!V157-4,"")</f>
        <v>2</v>
      </c>
      <c r="W157" s="1">
        <f>IF(Data!W157&gt;0,4-Data!W157,"")</f>
        <v>1</v>
      </c>
      <c r="X157" s="1">
        <f>IF(Data!X157&gt;0,4-Data!X157,"")</f>
        <v>1</v>
      </c>
      <c r="Y157" s="1">
        <f>IF(Data!Y157&gt;0,4-Data!Y157,"")</f>
        <v>0</v>
      </c>
      <c r="Z157" s="1">
        <f>IF(Data!Z157&gt;0,Data!Z157-4,"")</f>
        <v>2</v>
      </c>
      <c r="AC157" s="7">
        <f t="shared" si="12"/>
        <v>0.66666666666666663</v>
      </c>
      <c r="AD157" s="7">
        <f t="shared" si="13"/>
        <v>2</v>
      </c>
      <c r="AE157" s="7">
        <f t="shared" si="14"/>
        <v>1.5</v>
      </c>
      <c r="AF157" s="7">
        <f t="shared" si="15"/>
        <v>1</v>
      </c>
      <c r="AG157" s="7">
        <f t="shared" si="16"/>
        <v>1.5</v>
      </c>
      <c r="AH157" s="7">
        <f t="shared" si="17"/>
        <v>1.75</v>
      </c>
    </row>
    <row r="158" spans="1:34">
      <c r="A158" s="1">
        <f>IF(Data!A158&gt;0,Data!A158-4,"")</f>
        <v>0</v>
      </c>
      <c r="B158" s="1">
        <f>IF(Data!B158&gt;0,Data!B158-4,"")</f>
        <v>1</v>
      </c>
      <c r="C158" s="1">
        <f>IF(Data!C158&gt;0,4-Data!C158,"")</f>
        <v>-1</v>
      </c>
      <c r="D158" s="1">
        <f>IF(Data!D158&gt;0,4-Data!D158,"")</f>
        <v>1</v>
      </c>
      <c r="E158" s="1">
        <f>IF(Data!E158&gt;0,4-Data!E158,"")</f>
        <v>-1</v>
      </c>
      <c r="F158" s="1">
        <f>IF(Data!F158&gt;0,Data!F158-4,"")</f>
        <v>-1</v>
      </c>
      <c r="G158" s="1">
        <f>IF(Data!G158&gt;0,Data!G158-4,"")</f>
        <v>-1</v>
      </c>
      <c r="H158" s="1">
        <f>IF(Data!H158&gt;0,Data!H158-4,"")</f>
        <v>3</v>
      </c>
      <c r="I158" s="1">
        <f>IF(Data!I158&gt;0,4-Data!I158,"")</f>
        <v>0</v>
      </c>
      <c r="J158" s="1">
        <f>IF(Data!J158&gt;0,4-Data!J158,"")</f>
        <v>-1</v>
      </c>
      <c r="K158" s="1">
        <f>IF(Data!K158&gt;0,Data!K158-4,"")</f>
        <v>-1</v>
      </c>
      <c r="L158" s="1">
        <f>IF(Data!L158&gt;0,4-Data!L158,"")</f>
        <v>-1</v>
      </c>
      <c r="M158" s="1">
        <f>IF(Data!M158&gt;0,Data!M158-4,"")</f>
        <v>1</v>
      </c>
      <c r="N158" s="1">
        <f>IF(Data!N158&gt;0,Data!N158-4,"")</f>
        <v>-1</v>
      </c>
      <c r="O158" s="1">
        <f>IF(Data!O158&gt;0,Data!O158-4,"")</f>
        <v>-1</v>
      </c>
      <c r="P158" s="1">
        <f>IF(Data!P158&gt;0,Data!P158-4,"")</f>
        <v>-1</v>
      </c>
      <c r="Q158" s="1">
        <f>IF(Data!Q158&gt;0,4-Data!Q158,"")</f>
        <v>1</v>
      </c>
      <c r="R158" s="1">
        <f>IF(Data!R158&gt;0,4-Data!R158,"")</f>
        <v>-2</v>
      </c>
      <c r="S158" s="1">
        <f>IF(Data!S158&gt;0,4-Data!S158,"")</f>
        <v>0</v>
      </c>
      <c r="T158" s="1">
        <f>IF(Data!T158&gt;0,Data!T158-4,"")</f>
        <v>-3</v>
      </c>
      <c r="U158" s="1">
        <f>IF(Data!U158&gt;0,4-Data!U158,"")</f>
        <v>0</v>
      </c>
      <c r="V158" s="1">
        <f>IF(Data!V158&gt;0,Data!V158-4,"")</f>
        <v>2</v>
      </c>
      <c r="W158" s="1">
        <f>IF(Data!W158&gt;0,4-Data!W158,"")</f>
        <v>-2</v>
      </c>
      <c r="X158" s="1">
        <f>IF(Data!X158&gt;0,4-Data!X158,"")</f>
        <v>-2</v>
      </c>
      <c r="Y158" s="1">
        <f>IF(Data!Y158&gt;0,4-Data!Y158,"")</f>
        <v>-2</v>
      </c>
      <c r="Z158" s="1">
        <f>IF(Data!Z158&gt;0,Data!Z158-4,"")</f>
        <v>-1</v>
      </c>
      <c r="AC158" s="7">
        <f t="shared" si="12"/>
        <v>-1.1666666666666667</v>
      </c>
      <c r="AD158" s="7">
        <f t="shared" si="13"/>
        <v>0.75</v>
      </c>
      <c r="AE158" s="7">
        <f t="shared" si="14"/>
        <v>-0.75</v>
      </c>
      <c r="AF158" s="7">
        <f t="shared" si="15"/>
        <v>0.75</v>
      </c>
      <c r="AG158" s="7">
        <f t="shared" si="16"/>
        <v>-1.25</v>
      </c>
      <c r="AH158" s="7">
        <f t="shared" si="17"/>
        <v>-1</v>
      </c>
    </row>
    <row r="159" spans="1:34">
      <c r="A159" s="1">
        <f>IF(Data!A159&gt;0,Data!A159-4,"")</f>
        <v>-1</v>
      </c>
      <c r="B159" s="1">
        <f>IF(Data!B159&gt;0,Data!B159-4,"")</f>
        <v>0</v>
      </c>
      <c r="C159" s="1">
        <f>IF(Data!C159&gt;0,4-Data!C159,"")</f>
        <v>-1</v>
      </c>
      <c r="D159" s="1">
        <f>IF(Data!D159&gt;0,4-Data!D159,"")</f>
        <v>-2</v>
      </c>
      <c r="E159" s="1">
        <f>IF(Data!E159&gt;0,4-Data!E159,"")</f>
        <v>-1</v>
      </c>
      <c r="F159" s="1">
        <f>IF(Data!F159&gt;0,Data!F159-4,"")</f>
        <v>-1</v>
      </c>
      <c r="G159" s="1">
        <f>IF(Data!G159&gt;0,Data!G159-4,"")</f>
        <v>-2</v>
      </c>
      <c r="H159" s="1">
        <f>IF(Data!H159&gt;0,Data!H159-4,"")</f>
        <v>-1</v>
      </c>
      <c r="I159" s="1">
        <f>IF(Data!I159&gt;0,4-Data!I159,"")</f>
        <v>-1</v>
      </c>
      <c r="J159" s="1">
        <f>IF(Data!J159&gt;0,4-Data!J159,"")</f>
        <v>0</v>
      </c>
      <c r="K159" s="1">
        <f>IF(Data!K159&gt;0,Data!K159-4,"")</f>
        <v>-1</v>
      </c>
      <c r="L159" s="1">
        <f>IF(Data!L159&gt;0,4-Data!L159,"")</f>
        <v>-2</v>
      </c>
      <c r="M159" s="1">
        <f>IF(Data!M159&gt;0,Data!M159-4,"")</f>
        <v>-1</v>
      </c>
      <c r="N159" s="1">
        <f>IF(Data!N159&gt;0,Data!N159-4,"")</f>
        <v>2</v>
      </c>
      <c r="O159" s="1">
        <f>IF(Data!O159&gt;0,Data!O159-4,"")</f>
        <v>1</v>
      </c>
      <c r="P159" s="1">
        <f>IF(Data!P159&gt;0,Data!P159-4,"")</f>
        <v>1</v>
      </c>
      <c r="Q159" s="1">
        <f>IF(Data!Q159&gt;0,4-Data!Q159,"")</f>
        <v>2</v>
      </c>
      <c r="R159" s="1">
        <f>IF(Data!R159&gt;0,4-Data!R159,"")</f>
        <v>2</v>
      </c>
      <c r="S159" s="1">
        <f>IF(Data!S159&gt;0,4-Data!S159,"")</f>
        <v>2</v>
      </c>
      <c r="T159" s="1">
        <f>IF(Data!T159&gt;0,Data!T159-4,"")</f>
        <v>1</v>
      </c>
      <c r="U159" s="1">
        <f>IF(Data!U159&gt;0,4-Data!U159,"")</f>
        <v>1</v>
      </c>
      <c r="V159" s="1">
        <f>IF(Data!V159&gt;0,Data!V159-4,"")</f>
        <v>2</v>
      </c>
      <c r="W159" s="1">
        <f>IF(Data!W159&gt;0,4-Data!W159,"")</f>
        <v>2</v>
      </c>
      <c r="X159" s="1">
        <f>IF(Data!X159&gt;0,4-Data!X159,"")</f>
        <v>2</v>
      </c>
      <c r="Y159" s="1">
        <f>IF(Data!Y159&gt;0,4-Data!Y159,"")</f>
        <v>1</v>
      </c>
      <c r="Z159" s="1">
        <f>IF(Data!Z159&gt;0,Data!Z159-4,"")</f>
        <v>0</v>
      </c>
      <c r="AC159" s="7">
        <f t="shared" si="12"/>
        <v>0.5</v>
      </c>
      <c r="AD159" s="7">
        <f t="shared" si="13"/>
        <v>-0.5</v>
      </c>
      <c r="AE159" s="7">
        <f t="shared" si="14"/>
        <v>1</v>
      </c>
      <c r="AF159" s="7">
        <f t="shared" si="15"/>
        <v>0.5</v>
      </c>
      <c r="AG159" s="7">
        <f t="shared" si="16"/>
        <v>-0.5</v>
      </c>
      <c r="AH159" s="7">
        <f t="shared" si="17"/>
        <v>0</v>
      </c>
    </row>
    <row r="160" spans="1:34">
      <c r="A160" s="1">
        <f>IF(Data!A160&gt;0,Data!A160-4,"")</f>
        <v>2</v>
      </c>
      <c r="B160" s="1">
        <f>IF(Data!B160&gt;0,Data!B160-4,"")</f>
        <v>2</v>
      </c>
      <c r="C160" s="1">
        <f>IF(Data!C160&gt;0,4-Data!C160,"")</f>
        <v>-2</v>
      </c>
      <c r="D160" s="1">
        <f>IF(Data!D160&gt;0,4-Data!D160,"")</f>
        <v>3</v>
      </c>
      <c r="E160" s="1">
        <f>IF(Data!E160&gt;0,4-Data!E160,"")</f>
        <v>1</v>
      </c>
      <c r="F160" s="1">
        <f>IF(Data!F160&gt;0,Data!F160-4,"")</f>
        <v>2</v>
      </c>
      <c r="G160" s="1">
        <f>IF(Data!G160&gt;0,Data!G160-4,"")</f>
        <v>2</v>
      </c>
      <c r="H160" s="1">
        <f>IF(Data!H160&gt;0,Data!H160-4,"")</f>
        <v>0</v>
      </c>
      <c r="I160" s="1">
        <f>IF(Data!I160&gt;0,4-Data!I160,"")</f>
        <v>2</v>
      </c>
      <c r="J160" s="1">
        <f>IF(Data!J160&gt;0,4-Data!J160,"")</f>
        <v>2</v>
      </c>
      <c r="K160" s="1">
        <f>IF(Data!K160&gt;0,Data!K160-4,"")</f>
        <v>2</v>
      </c>
      <c r="L160" s="1">
        <f>IF(Data!L160&gt;0,4-Data!L160,"")</f>
        <v>2</v>
      </c>
      <c r="M160" s="1">
        <f>IF(Data!M160&gt;0,Data!M160-4,"")</f>
        <v>2</v>
      </c>
      <c r="N160" s="1">
        <f>IF(Data!N160&gt;0,Data!N160-4,"")</f>
        <v>2</v>
      </c>
      <c r="O160" s="1">
        <f>IF(Data!O160&gt;0,Data!O160-4,"")</f>
        <v>1</v>
      </c>
      <c r="P160" s="1">
        <f>IF(Data!P160&gt;0,Data!P160-4,"")</f>
        <v>2</v>
      </c>
      <c r="Q160" s="1">
        <f>IF(Data!Q160&gt;0,4-Data!Q160,"")</f>
        <v>2</v>
      </c>
      <c r="R160" s="1">
        <f>IF(Data!R160&gt;0,4-Data!R160,"")</f>
        <v>2</v>
      </c>
      <c r="S160" s="1">
        <f>IF(Data!S160&gt;0,4-Data!S160,"")</f>
        <v>2</v>
      </c>
      <c r="T160" s="1">
        <f>IF(Data!T160&gt;0,Data!T160-4,"")</f>
        <v>2</v>
      </c>
      <c r="U160" s="1">
        <f>IF(Data!U160&gt;0,4-Data!U160,"")</f>
        <v>1</v>
      </c>
      <c r="V160" s="1">
        <f>IF(Data!V160&gt;0,Data!V160-4,"")</f>
        <v>2</v>
      </c>
      <c r="W160" s="1">
        <f>IF(Data!W160&gt;0,4-Data!W160,"")</f>
        <v>2</v>
      </c>
      <c r="X160" s="1">
        <f>IF(Data!X160&gt;0,4-Data!X160,"")</f>
        <v>2</v>
      </c>
      <c r="Y160" s="1">
        <f>IF(Data!Y160&gt;0,4-Data!Y160,"")</f>
        <v>2</v>
      </c>
      <c r="Z160" s="1">
        <f>IF(Data!Z160&gt;0,Data!Z160-4,"")</f>
        <v>2</v>
      </c>
      <c r="AC160" s="7">
        <f t="shared" si="12"/>
        <v>2</v>
      </c>
      <c r="AD160" s="7">
        <f t="shared" si="13"/>
        <v>2</v>
      </c>
      <c r="AE160" s="7">
        <f t="shared" si="14"/>
        <v>2</v>
      </c>
      <c r="AF160" s="7">
        <f t="shared" si="15"/>
        <v>1.5</v>
      </c>
      <c r="AG160" s="7">
        <f t="shared" si="16"/>
        <v>1.75</v>
      </c>
      <c r="AH160" s="7">
        <f t="shared" si="17"/>
        <v>0.75</v>
      </c>
    </row>
    <row r="161" spans="1:34">
      <c r="A161" s="1">
        <f>IF(Data!A161&gt;0,Data!A161-4,"")</f>
        <v>2</v>
      </c>
      <c r="B161" s="1">
        <f>IF(Data!B161&gt;0,Data!B161-4,"")</f>
        <v>3</v>
      </c>
      <c r="C161" s="1">
        <f>IF(Data!C161&gt;0,4-Data!C161,"")</f>
        <v>0</v>
      </c>
      <c r="D161" s="1">
        <f>IF(Data!D161&gt;0,4-Data!D161,"")</f>
        <v>3</v>
      </c>
      <c r="E161" s="1">
        <f>IF(Data!E161&gt;0,4-Data!E161,"")</f>
        <v>2</v>
      </c>
      <c r="F161" s="1">
        <f>IF(Data!F161&gt;0,Data!F161-4,"")</f>
        <v>1</v>
      </c>
      <c r="G161" s="1">
        <f>IF(Data!G161&gt;0,Data!G161-4,"")</f>
        <v>1</v>
      </c>
      <c r="H161" s="1">
        <f>IF(Data!H161&gt;0,Data!H161-4,"")</f>
        <v>2</v>
      </c>
      <c r="I161" s="1">
        <f>IF(Data!I161&gt;0,4-Data!I161,"")</f>
        <v>3</v>
      </c>
      <c r="J161" s="1">
        <f>IF(Data!J161&gt;0,4-Data!J161,"")</f>
        <v>-2</v>
      </c>
      <c r="K161" s="1">
        <f>IF(Data!K161&gt;0,Data!K161-4,"")</f>
        <v>3</v>
      </c>
      <c r="L161" s="1">
        <f>IF(Data!L161&gt;0,4-Data!L161,"")</f>
        <v>3</v>
      </c>
      <c r="M161" s="1">
        <f>IF(Data!M161&gt;0,Data!M161-4,"")</f>
        <v>3</v>
      </c>
      <c r="N161" s="1">
        <f>IF(Data!N161&gt;0,Data!N161-4,"")</f>
        <v>3</v>
      </c>
      <c r="O161" s="1">
        <f>IF(Data!O161&gt;0,Data!O161-4,"")</f>
        <v>2</v>
      </c>
      <c r="P161" s="1">
        <f>IF(Data!P161&gt;0,Data!P161-4,"")</f>
        <v>2</v>
      </c>
      <c r="Q161" s="1">
        <f>IF(Data!Q161&gt;0,4-Data!Q161,"")</f>
        <v>3</v>
      </c>
      <c r="R161" s="1">
        <f>IF(Data!R161&gt;0,4-Data!R161,"")</f>
        <v>0</v>
      </c>
      <c r="S161" s="1">
        <f>IF(Data!S161&gt;0,4-Data!S161,"")</f>
        <v>2</v>
      </c>
      <c r="T161" s="1">
        <f>IF(Data!T161&gt;0,Data!T161-4,"")</f>
        <v>2</v>
      </c>
      <c r="U161" s="1">
        <f>IF(Data!U161&gt;0,4-Data!U161,"")</f>
        <v>3</v>
      </c>
      <c r="V161" s="1">
        <f>IF(Data!V161&gt;0,Data!V161-4,"")</f>
        <v>2</v>
      </c>
      <c r="W161" s="1">
        <f>IF(Data!W161&gt;0,4-Data!W161,"")</f>
        <v>2</v>
      </c>
      <c r="X161" s="1">
        <f>IF(Data!X161&gt;0,4-Data!X161,"")</f>
        <v>1</v>
      </c>
      <c r="Y161" s="1">
        <f>IF(Data!Y161&gt;0,4-Data!Y161,"")</f>
        <v>2</v>
      </c>
      <c r="Z161" s="1">
        <f>IF(Data!Z161&gt;0,Data!Z161-4,"")</f>
        <v>0</v>
      </c>
      <c r="AC161" s="7">
        <f t="shared" si="12"/>
        <v>2.1666666666666665</v>
      </c>
      <c r="AD161" s="7">
        <f t="shared" si="13"/>
        <v>3</v>
      </c>
      <c r="AE161" s="7">
        <f t="shared" si="14"/>
        <v>2.25</v>
      </c>
      <c r="AF161" s="7">
        <f t="shared" si="15"/>
        <v>2.5</v>
      </c>
      <c r="AG161" s="7">
        <f t="shared" si="16"/>
        <v>1</v>
      </c>
      <c r="AH161" s="7">
        <f t="shared" si="17"/>
        <v>0</v>
      </c>
    </row>
    <row r="162" spans="1:34">
      <c r="A162" s="1">
        <f>IF(Data!A162&gt;0,Data!A162-4,"")</f>
        <v>-2</v>
      </c>
      <c r="B162" s="1">
        <f>IF(Data!B162&gt;0,Data!B162-4,"")</f>
        <v>0</v>
      </c>
      <c r="C162" s="1">
        <f>IF(Data!C162&gt;0,4-Data!C162,"")</f>
        <v>-2</v>
      </c>
      <c r="D162" s="1">
        <f>IF(Data!D162&gt;0,4-Data!D162,"")</f>
        <v>-1</v>
      </c>
      <c r="E162" s="1">
        <f>IF(Data!E162&gt;0,4-Data!E162,"")</f>
        <v>0</v>
      </c>
      <c r="F162" s="1">
        <f>IF(Data!F162&gt;0,Data!F162-4,"")</f>
        <v>-2</v>
      </c>
      <c r="G162" s="1">
        <f>IF(Data!G162&gt;0,Data!G162-4,"")</f>
        <v>-2</v>
      </c>
      <c r="H162" s="1">
        <f>IF(Data!H162&gt;0,Data!H162-4,"")</f>
        <v>2</v>
      </c>
      <c r="I162" s="1">
        <f>IF(Data!I162&gt;0,4-Data!I162,"")</f>
        <v>-1</v>
      </c>
      <c r="J162" s="1">
        <f>IF(Data!J162&gt;0,4-Data!J162,"")</f>
        <v>0</v>
      </c>
      <c r="K162" s="1">
        <f>IF(Data!K162&gt;0,Data!K162-4,"")</f>
        <v>-1</v>
      </c>
      <c r="L162" s="1">
        <f>IF(Data!L162&gt;0,4-Data!L162,"")</f>
        <v>-1</v>
      </c>
      <c r="M162" s="1">
        <f>IF(Data!M162&gt;0,Data!M162-4,"")</f>
        <v>-2</v>
      </c>
      <c r="N162" s="1">
        <f>IF(Data!N162&gt;0,Data!N162-4,"")</f>
        <v>-2</v>
      </c>
      <c r="O162" s="1">
        <f>IF(Data!O162&gt;0,Data!O162-4,"")</f>
        <v>-1</v>
      </c>
      <c r="P162" s="1">
        <f>IF(Data!P162&gt;0,Data!P162-4,"")</f>
        <v>0</v>
      </c>
      <c r="Q162" s="1">
        <f>IF(Data!Q162&gt;0,4-Data!Q162,"")</f>
        <v>0</v>
      </c>
      <c r="R162" s="1">
        <f>IF(Data!R162&gt;0,4-Data!R162,"")</f>
        <v>-1</v>
      </c>
      <c r="S162" s="1">
        <f>IF(Data!S162&gt;0,4-Data!S162,"")</f>
        <v>-2</v>
      </c>
      <c r="T162" s="1">
        <f>IF(Data!T162&gt;0,Data!T162-4,"")</f>
        <v>-1</v>
      </c>
      <c r="U162" s="1">
        <f>IF(Data!U162&gt;0,4-Data!U162,"")</f>
        <v>-2</v>
      </c>
      <c r="V162" s="1">
        <f>IF(Data!V162&gt;0,Data!V162-4,"")</f>
        <v>-1</v>
      </c>
      <c r="W162" s="1">
        <f>IF(Data!W162&gt;0,4-Data!W162,"")</f>
        <v>-3</v>
      </c>
      <c r="X162" s="1">
        <f>IF(Data!X162&gt;0,4-Data!X162,"")</f>
        <v>-2</v>
      </c>
      <c r="Y162" s="1">
        <f>IF(Data!Y162&gt;0,4-Data!Y162,"")</f>
        <v>-2</v>
      </c>
      <c r="Z162" s="1">
        <f>IF(Data!Z162&gt;0,Data!Z162-4,"")</f>
        <v>2</v>
      </c>
      <c r="AC162" s="7">
        <f t="shared" si="12"/>
        <v>-1.5</v>
      </c>
      <c r="AD162" s="7">
        <f t="shared" si="13"/>
        <v>-1.25</v>
      </c>
      <c r="AE162" s="7">
        <f t="shared" si="14"/>
        <v>-1.5</v>
      </c>
      <c r="AF162" s="7">
        <f t="shared" si="15"/>
        <v>-0.25</v>
      </c>
      <c r="AG162" s="7">
        <f t="shared" si="16"/>
        <v>-1.25</v>
      </c>
      <c r="AH162" s="7">
        <f t="shared" si="17"/>
        <v>-0.25</v>
      </c>
    </row>
    <row r="163" spans="1:34">
      <c r="A163" s="1">
        <f>IF(Data!A163&gt;0,Data!A163-4,"")</f>
        <v>3</v>
      </c>
      <c r="B163" s="1">
        <f>IF(Data!B163&gt;0,Data!B163-4,"")</f>
        <v>3</v>
      </c>
      <c r="C163" s="1">
        <f>IF(Data!C163&gt;0,4-Data!C163,"")</f>
        <v>3</v>
      </c>
      <c r="D163" s="1">
        <f>IF(Data!D163&gt;0,4-Data!D163,"")</f>
        <v>2</v>
      </c>
      <c r="E163" s="1">
        <f>IF(Data!E163&gt;0,4-Data!E163,"")</f>
        <v>3</v>
      </c>
      <c r="F163" s="1">
        <f>IF(Data!F163&gt;0,Data!F163-4,"")</f>
        <v>2</v>
      </c>
      <c r="G163" s="1">
        <f>IF(Data!G163&gt;0,Data!G163-4,"")</f>
        <v>3</v>
      </c>
      <c r="H163" s="1">
        <f>IF(Data!H163&gt;0,Data!H163-4,"")</f>
        <v>2</v>
      </c>
      <c r="I163" s="1">
        <f>IF(Data!I163&gt;0,4-Data!I163,"")</f>
        <v>2</v>
      </c>
      <c r="J163" s="1">
        <f>IF(Data!J163&gt;0,4-Data!J163,"")</f>
        <v>-2</v>
      </c>
      <c r="K163" s="1">
        <f>IF(Data!K163&gt;0,Data!K163-4,"")</f>
        <v>2</v>
      </c>
      <c r="L163" s="1">
        <f>IF(Data!L163&gt;0,4-Data!L163,"")</f>
        <v>3</v>
      </c>
      <c r="M163" s="1">
        <f>IF(Data!M163&gt;0,Data!M163-4,"")</f>
        <v>2</v>
      </c>
      <c r="N163" s="1">
        <f>IF(Data!N163&gt;0,Data!N163-4,"")</f>
        <v>2</v>
      </c>
      <c r="O163" s="1">
        <f>IF(Data!O163&gt;0,Data!O163-4,"")</f>
        <v>-1</v>
      </c>
      <c r="P163" s="1">
        <f>IF(Data!P163&gt;0,Data!P163-4,"")</f>
        <v>2</v>
      </c>
      <c r="Q163" s="1">
        <f>IF(Data!Q163&gt;0,4-Data!Q163,"")</f>
        <v>3</v>
      </c>
      <c r="R163" s="1">
        <f>IF(Data!R163&gt;0,4-Data!R163,"")</f>
        <v>2</v>
      </c>
      <c r="S163" s="1">
        <f>IF(Data!S163&gt;0,4-Data!S163,"")</f>
        <v>2</v>
      </c>
      <c r="T163" s="1">
        <f>IF(Data!T163&gt;0,Data!T163-4,"")</f>
        <v>3</v>
      </c>
      <c r="U163" s="1">
        <f>IF(Data!U163&gt;0,4-Data!U163,"")</f>
        <v>3</v>
      </c>
      <c r="V163" s="1">
        <f>IF(Data!V163&gt;0,Data!V163-4,"")</f>
        <v>2</v>
      </c>
      <c r="W163" s="1">
        <f>IF(Data!W163&gt;0,4-Data!W163,"")</f>
        <v>3</v>
      </c>
      <c r="X163" s="1">
        <f>IF(Data!X163&gt;0,4-Data!X163,"")</f>
        <v>3</v>
      </c>
      <c r="Y163" s="1">
        <f>IF(Data!Y163&gt;0,4-Data!Y163,"")</f>
        <v>3</v>
      </c>
      <c r="Z163" s="1">
        <f>IF(Data!Z163&gt;0,Data!Z163-4,"")</f>
        <v>0</v>
      </c>
      <c r="AC163" s="7">
        <f t="shared" si="12"/>
        <v>2.6666666666666665</v>
      </c>
      <c r="AD163" s="7">
        <f t="shared" si="13"/>
        <v>2.5</v>
      </c>
      <c r="AE163" s="7">
        <f t="shared" si="14"/>
        <v>2.5</v>
      </c>
      <c r="AF163" s="7">
        <f t="shared" si="15"/>
        <v>2.25</v>
      </c>
      <c r="AG163" s="7">
        <f t="shared" si="16"/>
        <v>2.5</v>
      </c>
      <c r="AH163" s="7">
        <f t="shared" si="17"/>
        <v>0</v>
      </c>
    </row>
    <row r="164" spans="1:34">
      <c r="A164" s="1">
        <f>IF(Data!A164&gt;0,Data!A164-4,"")</f>
        <v>2</v>
      </c>
      <c r="B164" s="1">
        <f>IF(Data!B164&gt;0,Data!B164-4,"")</f>
        <v>2</v>
      </c>
      <c r="C164" s="1">
        <f>IF(Data!C164&gt;0,4-Data!C164,"")</f>
        <v>-2</v>
      </c>
      <c r="D164" s="1">
        <f>IF(Data!D164&gt;0,4-Data!D164,"")</f>
        <v>0</v>
      </c>
      <c r="E164" s="1">
        <f>IF(Data!E164&gt;0,4-Data!E164,"")</f>
        <v>1</v>
      </c>
      <c r="F164" s="1">
        <f>IF(Data!F164&gt;0,Data!F164-4,"")</f>
        <v>2</v>
      </c>
      <c r="G164" s="1">
        <f>IF(Data!G164&gt;0,Data!G164-4,"")</f>
        <v>2</v>
      </c>
      <c r="H164" s="1">
        <f>IF(Data!H164&gt;0,Data!H164-4,"")</f>
        <v>0</v>
      </c>
      <c r="I164" s="1">
        <f>IF(Data!I164&gt;0,4-Data!I164,"")</f>
        <v>0</v>
      </c>
      <c r="J164" s="1">
        <f>IF(Data!J164&gt;0,4-Data!J164,"")</f>
        <v>0</v>
      </c>
      <c r="K164" s="1">
        <f>IF(Data!K164&gt;0,Data!K164-4,"")</f>
        <v>0</v>
      </c>
      <c r="L164" s="1">
        <f>IF(Data!L164&gt;0,4-Data!L164,"")</f>
        <v>2</v>
      </c>
      <c r="M164" s="1">
        <f>IF(Data!M164&gt;0,Data!M164-4,"")</f>
        <v>2</v>
      </c>
      <c r="N164" s="1">
        <f>IF(Data!N164&gt;0,Data!N164-4,"")</f>
        <v>2</v>
      </c>
      <c r="O164" s="1">
        <f>IF(Data!O164&gt;0,Data!O164-4,"")</f>
        <v>1</v>
      </c>
      <c r="P164" s="1">
        <f>IF(Data!P164&gt;0,Data!P164-4,"")</f>
        <v>2</v>
      </c>
      <c r="Q164" s="1">
        <f>IF(Data!Q164&gt;0,4-Data!Q164,"")</f>
        <v>1</v>
      </c>
      <c r="R164" s="1">
        <f>IF(Data!R164&gt;0,4-Data!R164,"")</f>
        <v>1</v>
      </c>
      <c r="S164" s="1">
        <f>IF(Data!S164&gt;0,4-Data!S164,"")</f>
        <v>2</v>
      </c>
      <c r="T164" s="1">
        <f>IF(Data!T164&gt;0,Data!T164-4,"")</f>
        <v>1</v>
      </c>
      <c r="U164" s="1">
        <f>IF(Data!U164&gt;0,4-Data!U164,"")</f>
        <v>1</v>
      </c>
      <c r="V164" s="1">
        <f>IF(Data!V164&gt;0,Data!V164-4,"")</f>
        <v>1</v>
      </c>
      <c r="W164" s="1">
        <f>IF(Data!W164&gt;0,4-Data!W164,"")</f>
        <v>1</v>
      </c>
      <c r="X164" s="1">
        <f>IF(Data!X164&gt;0,4-Data!X164,"")</f>
        <v>2</v>
      </c>
      <c r="Y164" s="1">
        <f>IF(Data!Y164&gt;0,4-Data!Y164,"")</f>
        <v>2</v>
      </c>
      <c r="Z164" s="1">
        <f>IF(Data!Z164&gt;0,Data!Z164-4,"")</f>
        <v>-1</v>
      </c>
      <c r="AC164" s="7">
        <f t="shared" si="12"/>
        <v>2</v>
      </c>
      <c r="AD164" s="7">
        <f t="shared" si="13"/>
        <v>1.25</v>
      </c>
      <c r="AE164" s="7">
        <f t="shared" si="14"/>
        <v>0.75</v>
      </c>
      <c r="AF164" s="7">
        <f t="shared" si="15"/>
        <v>0.75</v>
      </c>
      <c r="AG164" s="7">
        <f t="shared" si="16"/>
        <v>1.5</v>
      </c>
      <c r="AH164" s="7">
        <f t="shared" si="17"/>
        <v>-0.5</v>
      </c>
    </row>
    <row r="165" spans="1:34">
      <c r="A165" s="1">
        <f>IF(Data!A165&gt;0,Data!A165-4,"")</f>
        <v>3</v>
      </c>
      <c r="B165" s="1">
        <f>IF(Data!B165&gt;0,Data!B165-4,"")</f>
        <v>2</v>
      </c>
      <c r="C165" s="1">
        <f>IF(Data!C165&gt;0,4-Data!C165,"")</f>
        <v>3</v>
      </c>
      <c r="D165" s="1">
        <f>IF(Data!D165&gt;0,4-Data!D165,"")</f>
        <v>2</v>
      </c>
      <c r="E165" s="1">
        <f>IF(Data!E165&gt;0,4-Data!E165,"")</f>
        <v>3</v>
      </c>
      <c r="F165" s="1">
        <f>IF(Data!F165&gt;0,Data!F165-4,"")</f>
        <v>3</v>
      </c>
      <c r="G165" s="1">
        <f>IF(Data!G165&gt;0,Data!G165-4,"")</f>
        <v>3</v>
      </c>
      <c r="H165" s="1">
        <f>IF(Data!H165&gt;0,Data!H165-4,"")</f>
        <v>0</v>
      </c>
      <c r="I165" s="1">
        <f>IF(Data!I165&gt;0,4-Data!I165,"")</f>
        <v>2</v>
      </c>
      <c r="J165" s="1">
        <f>IF(Data!J165&gt;0,4-Data!J165,"")</f>
        <v>3</v>
      </c>
      <c r="K165" s="1">
        <f>IF(Data!K165&gt;0,Data!K165-4,"")</f>
        <v>3</v>
      </c>
      <c r="L165" s="1">
        <f>IF(Data!L165&gt;0,4-Data!L165,"")</f>
        <v>3</v>
      </c>
      <c r="M165" s="1">
        <f>IF(Data!M165&gt;0,Data!M165-4,"")</f>
        <v>2</v>
      </c>
      <c r="N165" s="1">
        <f>IF(Data!N165&gt;0,Data!N165-4,"")</f>
        <v>3</v>
      </c>
      <c r="O165" s="1">
        <f>IF(Data!O165&gt;0,Data!O165-4,"")</f>
        <v>2</v>
      </c>
      <c r="P165" s="1">
        <f>IF(Data!P165&gt;0,Data!P165-4,"")</f>
        <v>3</v>
      </c>
      <c r="Q165" s="1">
        <f>IF(Data!Q165&gt;0,4-Data!Q165,"")</f>
        <v>1</v>
      </c>
      <c r="R165" s="1">
        <f>IF(Data!R165&gt;0,4-Data!R165,"")</f>
        <v>0</v>
      </c>
      <c r="S165" s="1">
        <f>IF(Data!S165&gt;0,4-Data!S165,"")</f>
        <v>3</v>
      </c>
      <c r="T165" s="1">
        <f>IF(Data!T165&gt;0,Data!T165-4,"")</f>
        <v>3</v>
      </c>
      <c r="U165" s="1">
        <f>IF(Data!U165&gt;0,4-Data!U165,"")</f>
        <v>3</v>
      </c>
      <c r="V165" s="1">
        <f>IF(Data!V165&gt;0,Data!V165-4,"")</f>
        <v>3</v>
      </c>
      <c r="W165" s="1">
        <f>IF(Data!W165&gt;0,4-Data!W165,"")</f>
        <v>3</v>
      </c>
      <c r="X165" s="1">
        <f>IF(Data!X165&gt;0,4-Data!X165,"")</f>
        <v>3</v>
      </c>
      <c r="Y165" s="1">
        <f>IF(Data!Y165&gt;0,4-Data!Y165,"")</f>
        <v>3</v>
      </c>
      <c r="Z165" s="1">
        <f>IF(Data!Z165&gt;0,Data!Z165-4,"")</f>
        <v>3</v>
      </c>
      <c r="AC165" s="7">
        <f t="shared" si="12"/>
        <v>3</v>
      </c>
      <c r="AD165" s="7">
        <f t="shared" si="13"/>
        <v>2.25</v>
      </c>
      <c r="AE165" s="7">
        <f t="shared" si="14"/>
        <v>2.75</v>
      </c>
      <c r="AF165" s="7">
        <f t="shared" si="15"/>
        <v>1.75</v>
      </c>
      <c r="AG165" s="7">
        <f t="shared" si="16"/>
        <v>2.25</v>
      </c>
      <c r="AH165" s="7">
        <f t="shared" si="17"/>
        <v>2.75</v>
      </c>
    </row>
    <row r="166" spans="1:34">
      <c r="A166" s="1">
        <f>IF(Data!A166&gt;0,Data!A166-4,"")</f>
        <v>2</v>
      </c>
      <c r="B166" s="1">
        <f>IF(Data!B166&gt;0,Data!B166-4,"")</f>
        <v>1</v>
      </c>
      <c r="C166" s="1">
        <f>IF(Data!C166&gt;0,4-Data!C166,"")</f>
        <v>0</v>
      </c>
      <c r="D166" s="1">
        <f>IF(Data!D166&gt;0,4-Data!D166,"")</f>
        <v>0</v>
      </c>
      <c r="E166" s="1">
        <f>IF(Data!E166&gt;0,4-Data!E166,"")</f>
        <v>0</v>
      </c>
      <c r="F166" s="1">
        <f>IF(Data!F166&gt;0,Data!F166-4,"")</f>
        <v>0</v>
      </c>
      <c r="G166" s="1">
        <f>IF(Data!G166&gt;0,Data!G166-4,"")</f>
        <v>1</v>
      </c>
      <c r="H166" s="1">
        <f>IF(Data!H166&gt;0,Data!H166-4,"")</f>
        <v>2</v>
      </c>
      <c r="I166" s="1">
        <f>IF(Data!I166&gt;0,4-Data!I166,"")</f>
        <v>1</v>
      </c>
      <c r="J166" s="1">
        <f>IF(Data!J166&gt;0,4-Data!J166,"")</f>
        <v>-2</v>
      </c>
      <c r="K166" s="1">
        <f>IF(Data!K166&gt;0,Data!K166-4,"")</f>
        <v>1</v>
      </c>
      <c r="L166" s="1">
        <f>IF(Data!L166&gt;0,4-Data!L166,"")</f>
        <v>2</v>
      </c>
      <c r="M166" s="1">
        <f>IF(Data!M166&gt;0,Data!M166-4,"")</f>
        <v>3</v>
      </c>
      <c r="N166" s="1">
        <f>IF(Data!N166&gt;0,Data!N166-4,"")</f>
        <v>3</v>
      </c>
      <c r="O166" s="1">
        <f>IF(Data!O166&gt;0,Data!O166-4,"")</f>
        <v>0</v>
      </c>
      <c r="P166" s="1">
        <f>IF(Data!P166&gt;0,Data!P166-4,"")</f>
        <v>-3</v>
      </c>
      <c r="Q166" s="1">
        <f>IF(Data!Q166&gt;0,4-Data!Q166,"")</f>
        <v>0</v>
      </c>
      <c r="R166" s="1">
        <f>IF(Data!R166&gt;0,4-Data!R166,"")</f>
        <v>0</v>
      </c>
      <c r="S166" s="1">
        <f>IF(Data!S166&gt;0,4-Data!S166,"")</f>
        <v>0</v>
      </c>
      <c r="T166" s="1">
        <f>IF(Data!T166&gt;0,Data!T166-4,"")</f>
        <v>-1</v>
      </c>
      <c r="U166" s="1">
        <f>IF(Data!U166&gt;0,4-Data!U166,"")</f>
        <v>0</v>
      </c>
      <c r="V166" s="1">
        <f>IF(Data!V166&gt;0,Data!V166-4,"")</f>
        <v>0</v>
      </c>
      <c r="W166" s="1">
        <f>IF(Data!W166&gt;0,4-Data!W166,"")</f>
        <v>0</v>
      </c>
      <c r="X166" s="1">
        <f>IF(Data!X166&gt;0,4-Data!X166,"")</f>
        <v>3</v>
      </c>
      <c r="Y166" s="1">
        <f>IF(Data!Y166&gt;0,4-Data!Y166,"")</f>
        <v>3</v>
      </c>
      <c r="Z166" s="1">
        <f>IF(Data!Z166&gt;0,Data!Z166-4,"")</f>
        <v>0</v>
      </c>
      <c r="AC166" s="7">
        <f t="shared" si="12"/>
        <v>1.6666666666666667</v>
      </c>
      <c r="AD166" s="7">
        <f t="shared" si="13"/>
        <v>1</v>
      </c>
      <c r="AE166" s="7">
        <f t="shared" si="14"/>
        <v>0</v>
      </c>
      <c r="AF166" s="7">
        <f t="shared" si="15"/>
        <v>0.75</v>
      </c>
      <c r="AG166" s="7">
        <f t="shared" si="16"/>
        <v>0.25</v>
      </c>
      <c r="AH166" s="7">
        <f t="shared" si="17"/>
        <v>-0.5</v>
      </c>
    </row>
    <row r="167" spans="1:34">
      <c r="A167" s="1">
        <f>IF(Data!A167&gt;0,Data!A167-4,"")</f>
        <v>2</v>
      </c>
      <c r="B167" s="1">
        <f>IF(Data!B167&gt;0,Data!B167-4,"")</f>
        <v>-2</v>
      </c>
      <c r="C167" s="1">
        <f>IF(Data!C167&gt;0,4-Data!C167,"")</f>
        <v>-1</v>
      </c>
      <c r="D167" s="1">
        <f>IF(Data!D167&gt;0,4-Data!D167,"")</f>
        <v>-2</v>
      </c>
      <c r="E167" s="1">
        <f>IF(Data!E167&gt;0,4-Data!E167,"")</f>
        <v>-2</v>
      </c>
      <c r="F167" s="1">
        <f>IF(Data!F167&gt;0,Data!F167-4,"")</f>
        <v>-1</v>
      </c>
      <c r="G167" s="1">
        <f>IF(Data!G167&gt;0,Data!G167-4,"")</f>
        <v>-1</v>
      </c>
      <c r="H167" s="1">
        <f>IF(Data!H167&gt;0,Data!H167-4,"")</f>
        <v>-1</v>
      </c>
      <c r="I167" s="1">
        <f>IF(Data!I167&gt;0,4-Data!I167,"")</f>
        <v>-2</v>
      </c>
      <c r="J167" s="1">
        <f>IF(Data!J167&gt;0,4-Data!J167,"")</f>
        <v>-2</v>
      </c>
      <c r="K167" s="1">
        <f>IF(Data!K167&gt;0,Data!K167-4,"")</f>
        <v>-2</v>
      </c>
      <c r="L167" s="1">
        <f>IF(Data!L167&gt;0,4-Data!L167,"")</f>
        <v>-2</v>
      </c>
      <c r="M167" s="1">
        <f>IF(Data!M167&gt;0,Data!M167-4,"")</f>
        <v>-2</v>
      </c>
      <c r="N167" s="1">
        <f>IF(Data!N167&gt;0,Data!N167-4,"")</f>
        <v>-2</v>
      </c>
      <c r="O167" s="1">
        <f>IF(Data!O167&gt;0,Data!O167-4,"")</f>
        <v>-2</v>
      </c>
      <c r="P167" s="1">
        <f>IF(Data!P167&gt;0,Data!P167-4,"")</f>
        <v>-2</v>
      </c>
      <c r="Q167" s="1">
        <f>IF(Data!Q167&gt;0,4-Data!Q167,"")</f>
        <v>-2</v>
      </c>
      <c r="R167" s="1">
        <f>IF(Data!R167&gt;0,4-Data!R167,"")</f>
        <v>-1</v>
      </c>
      <c r="S167" s="1">
        <f>IF(Data!S167&gt;0,4-Data!S167,"")</f>
        <v>-1</v>
      </c>
      <c r="T167" s="1">
        <f>IF(Data!T167&gt;0,Data!T167-4,"")</f>
        <v>-2</v>
      </c>
      <c r="U167" s="1">
        <f>IF(Data!U167&gt;0,4-Data!U167,"")</f>
        <v>-2</v>
      </c>
      <c r="V167" s="1">
        <f>IF(Data!V167&gt;0,Data!V167-4,"")</f>
        <v>-2</v>
      </c>
      <c r="W167" s="1">
        <f>IF(Data!W167&gt;0,4-Data!W167,"")</f>
        <v>-2</v>
      </c>
      <c r="X167" s="1">
        <f>IF(Data!X167&gt;0,4-Data!X167,"")</f>
        <v>-2</v>
      </c>
      <c r="Y167" s="1">
        <f>IF(Data!Y167&gt;0,4-Data!Y167,"")</f>
        <v>-2</v>
      </c>
      <c r="Z167" s="1">
        <f>IF(Data!Z167&gt;0,Data!Z167-4,"")</f>
        <v>-1</v>
      </c>
      <c r="AC167" s="7">
        <f t="shared" si="12"/>
        <v>-1.3333333333333333</v>
      </c>
      <c r="AD167" s="7">
        <f t="shared" si="13"/>
        <v>-2</v>
      </c>
      <c r="AE167" s="7">
        <f t="shared" si="14"/>
        <v>-2</v>
      </c>
      <c r="AF167" s="7">
        <f t="shared" si="15"/>
        <v>-1.5</v>
      </c>
      <c r="AG167" s="7">
        <f t="shared" si="16"/>
        <v>-1.25</v>
      </c>
      <c r="AH167" s="7">
        <f t="shared" si="17"/>
        <v>-1.5</v>
      </c>
    </row>
    <row r="168" spans="1:34">
      <c r="A168" s="1">
        <f>IF(Data!A168&gt;0,Data!A168-4,"")</f>
        <v>1</v>
      </c>
      <c r="B168" s="1">
        <f>IF(Data!B168&gt;0,Data!B168-4,"")</f>
        <v>0</v>
      </c>
      <c r="C168" s="1">
        <f>IF(Data!C168&gt;0,4-Data!C168,"")</f>
        <v>0</v>
      </c>
      <c r="D168" s="1">
        <f>IF(Data!D168&gt;0,4-Data!D168,"")</f>
        <v>-1</v>
      </c>
      <c r="E168" s="1">
        <f>IF(Data!E168&gt;0,4-Data!E168,"")</f>
        <v>0</v>
      </c>
      <c r="F168" s="1">
        <f>IF(Data!F168&gt;0,Data!F168-4,"")</f>
        <v>1</v>
      </c>
      <c r="G168" s="1">
        <f>IF(Data!G168&gt;0,Data!G168-4,"")</f>
        <v>1</v>
      </c>
      <c r="H168" s="1">
        <f>IF(Data!H168&gt;0,Data!H168-4,"")</f>
        <v>0</v>
      </c>
      <c r="I168" s="1">
        <f>IF(Data!I168&gt;0,4-Data!I168,"")</f>
        <v>2</v>
      </c>
      <c r="J168" s="1">
        <f>IF(Data!J168&gt;0,4-Data!J168,"")</f>
        <v>2</v>
      </c>
      <c r="K168" s="1">
        <f>IF(Data!K168&gt;0,Data!K168-4,"")</f>
        <v>0</v>
      </c>
      <c r="L168" s="1">
        <f>IF(Data!L168&gt;0,4-Data!L168,"")</f>
        <v>0</v>
      </c>
      <c r="M168" s="1">
        <f>IF(Data!M168&gt;0,Data!M168-4,"")</f>
        <v>1</v>
      </c>
      <c r="N168" s="1">
        <f>IF(Data!N168&gt;0,Data!N168-4,"")</f>
        <v>1</v>
      </c>
      <c r="O168" s="1">
        <f>IF(Data!O168&gt;0,Data!O168-4,"")</f>
        <v>0</v>
      </c>
      <c r="P168" s="1">
        <f>IF(Data!P168&gt;0,Data!P168-4,"")</f>
        <v>0</v>
      </c>
      <c r="Q168" s="1">
        <f>IF(Data!Q168&gt;0,4-Data!Q168,"")</f>
        <v>1</v>
      </c>
      <c r="R168" s="1">
        <f>IF(Data!R168&gt;0,4-Data!R168,"")</f>
        <v>0</v>
      </c>
      <c r="S168" s="1">
        <f>IF(Data!S168&gt;0,4-Data!S168,"")</f>
        <v>2</v>
      </c>
      <c r="T168" s="1">
        <f>IF(Data!T168&gt;0,Data!T168-4,"")</f>
        <v>2</v>
      </c>
      <c r="U168" s="1">
        <f>IF(Data!U168&gt;0,4-Data!U168,"")</f>
        <v>1</v>
      </c>
      <c r="V168" s="1">
        <f>IF(Data!V168&gt;0,Data!V168-4,"")</f>
        <v>2</v>
      </c>
      <c r="W168" s="1">
        <f>IF(Data!W168&gt;0,4-Data!W168,"")</f>
        <v>0</v>
      </c>
      <c r="X168" s="1">
        <f>IF(Data!X168&gt;0,4-Data!X168,"")</f>
        <v>1</v>
      </c>
      <c r="Y168" s="1">
        <f>IF(Data!Y168&gt;0,4-Data!Y168,"")</f>
        <v>1</v>
      </c>
      <c r="Z168" s="1">
        <f>IF(Data!Z168&gt;0,Data!Z168-4,"")</f>
        <v>0</v>
      </c>
      <c r="AC168" s="7">
        <f t="shared" si="12"/>
        <v>0.66666666666666663</v>
      </c>
      <c r="AD168" s="7">
        <f t="shared" si="13"/>
        <v>0.25</v>
      </c>
      <c r="AE168" s="7">
        <f t="shared" si="14"/>
        <v>1.5</v>
      </c>
      <c r="AF168" s="7">
        <f t="shared" si="15"/>
        <v>0.75</v>
      </c>
      <c r="AG168" s="7">
        <f t="shared" si="16"/>
        <v>0.5</v>
      </c>
      <c r="AH168" s="7">
        <f t="shared" si="17"/>
        <v>0.5</v>
      </c>
    </row>
    <row r="169" spans="1:34">
      <c r="A169" s="1">
        <f>IF(Data!A169&gt;0,Data!A169-4,"")</f>
        <v>3</v>
      </c>
      <c r="B169" s="1">
        <f>IF(Data!B169&gt;0,Data!B169-4,"")</f>
        <v>3</v>
      </c>
      <c r="C169" s="1">
        <f>IF(Data!C169&gt;0,4-Data!C169,"")</f>
        <v>3</v>
      </c>
      <c r="D169" s="1">
        <f>IF(Data!D169&gt;0,4-Data!D169,"")</f>
        <v>1</v>
      </c>
      <c r="E169" s="1">
        <f>IF(Data!E169&gt;0,4-Data!E169,"")</f>
        <v>1</v>
      </c>
      <c r="F169" s="1">
        <f>IF(Data!F169&gt;0,Data!F169-4,"")</f>
        <v>3</v>
      </c>
      <c r="G169" s="1">
        <f>IF(Data!G169&gt;0,Data!G169-4,"")</f>
        <v>3</v>
      </c>
      <c r="H169" s="1">
        <f>IF(Data!H169&gt;0,Data!H169-4,"")</f>
        <v>1</v>
      </c>
      <c r="I169" s="1">
        <f>IF(Data!I169&gt;0,4-Data!I169,"")</f>
        <v>1</v>
      </c>
      <c r="J169" s="1">
        <f>IF(Data!J169&gt;0,4-Data!J169,"")</f>
        <v>0</v>
      </c>
      <c r="K169" s="1">
        <f>IF(Data!K169&gt;0,Data!K169-4,"")</f>
        <v>0</v>
      </c>
      <c r="L169" s="1">
        <f>IF(Data!L169&gt;0,4-Data!L169,"")</f>
        <v>1</v>
      </c>
      <c r="M169" s="1">
        <f>IF(Data!M169&gt;0,Data!M169-4,"")</f>
        <v>2</v>
      </c>
      <c r="N169" s="1">
        <f>IF(Data!N169&gt;0,Data!N169-4,"")</f>
        <v>1</v>
      </c>
      <c r="O169" s="1">
        <f>IF(Data!O169&gt;0,Data!O169-4,"")</f>
        <v>0</v>
      </c>
      <c r="P169" s="1">
        <f>IF(Data!P169&gt;0,Data!P169-4,"")</f>
        <v>3</v>
      </c>
      <c r="Q169" s="1">
        <f>IF(Data!Q169&gt;0,4-Data!Q169,"")</f>
        <v>3</v>
      </c>
      <c r="R169" s="1">
        <f>IF(Data!R169&gt;0,4-Data!R169,"")</f>
        <v>2</v>
      </c>
      <c r="S169" s="1">
        <f>IF(Data!S169&gt;0,4-Data!S169,"")</f>
        <v>2</v>
      </c>
      <c r="T169" s="1">
        <f>IF(Data!T169&gt;0,Data!T169-4,"")</f>
        <v>2</v>
      </c>
      <c r="U169" s="1">
        <f>IF(Data!U169&gt;0,4-Data!U169,"")</f>
        <v>1</v>
      </c>
      <c r="V169" s="1">
        <f>IF(Data!V169&gt;0,Data!V169-4,"")</f>
        <v>2</v>
      </c>
      <c r="W169" s="1">
        <f>IF(Data!W169&gt;0,4-Data!W169,"")</f>
        <v>1</v>
      </c>
      <c r="X169" s="1">
        <f>IF(Data!X169&gt;0,4-Data!X169,"")</f>
        <v>1</v>
      </c>
      <c r="Y169" s="1">
        <f>IF(Data!Y169&gt;0,4-Data!Y169,"")</f>
        <v>2</v>
      </c>
      <c r="Z169" s="1">
        <f>IF(Data!Z169&gt;0,Data!Z169-4,"")</f>
        <v>1</v>
      </c>
      <c r="AC169" s="7">
        <f t="shared" si="12"/>
        <v>1.8333333333333333</v>
      </c>
      <c r="AD169" s="7">
        <f t="shared" si="13"/>
        <v>1.75</v>
      </c>
      <c r="AE169" s="7">
        <f t="shared" si="14"/>
        <v>1.5</v>
      </c>
      <c r="AF169" s="7">
        <f t="shared" si="15"/>
        <v>1.5</v>
      </c>
      <c r="AG169" s="7">
        <f t="shared" si="16"/>
        <v>2.25</v>
      </c>
      <c r="AH169" s="7">
        <f t="shared" si="17"/>
        <v>1</v>
      </c>
    </row>
    <row r="170" spans="1:34">
      <c r="A170" s="1">
        <f>IF(Data!A170&gt;0,Data!A170-4,"")</f>
        <v>-3</v>
      </c>
      <c r="B170" s="1">
        <f>IF(Data!B170&gt;0,Data!B170-4,"")</f>
        <v>-3</v>
      </c>
      <c r="C170" s="1">
        <f>IF(Data!C170&gt;0,4-Data!C170,"")</f>
        <v>3</v>
      </c>
      <c r="D170" s="1">
        <f>IF(Data!D170&gt;0,4-Data!D170,"")</f>
        <v>3</v>
      </c>
      <c r="E170" s="1">
        <f>IF(Data!E170&gt;0,4-Data!E170,"")</f>
        <v>3</v>
      </c>
      <c r="F170" s="1">
        <f>IF(Data!F170&gt;0,Data!F170-4,"")</f>
        <v>2</v>
      </c>
      <c r="G170" s="1">
        <f>IF(Data!G170&gt;0,Data!G170-4,"")</f>
        <v>3</v>
      </c>
      <c r="H170" s="1">
        <f>IF(Data!H170&gt;0,Data!H170-4,"")</f>
        <v>-1</v>
      </c>
      <c r="I170" s="1">
        <f>IF(Data!I170&gt;0,4-Data!I170,"")</f>
        <v>3</v>
      </c>
      <c r="J170" s="1">
        <f>IF(Data!J170&gt;0,4-Data!J170,"")</f>
        <v>3</v>
      </c>
      <c r="K170" s="1">
        <f>IF(Data!K170&gt;0,Data!K170-4,"")</f>
        <v>3</v>
      </c>
      <c r="L170" s="1">
        <f>IF(Data!L170&gt;0,4-Data!L170,"")</f>
        <v>3</v>
      </c>
      <c r="M170" s="1">
        <f>IF(Data!M170&gt;0,Data!M170-4,"")</f>
        <v>1</v>
      </c>
      <c r="N170" s="1">
        <f>IF(Data!N170&gt;0,Data!N170-4,"")</f>
        <v>3</v>
      </c>
      <c r="O170" s="1">
        <f>IF(Data!O170&gt;0,Data!O170-4,"")</f>
        <v>3</v>
      </c>
      <c r="P170" s="1">
        <f>IF(Data!P170&gt;0,Data!P170-4,"")</f>
        <v>3</v>
      </c>
      <c r="Q170" s="1">
        <f>IF(Data!Q170&gt;0,4-Data!Q170,"")</f>
        <v>3</v>
      </c>
      <c r="R170" s="1">
        <f>IF(Data!R170&gt;0,4-Data!R170,"")</f>
        <v>2</v>
      </c>
      <c r="S170" s="1">
        <f>IF(Data!S170&gt;0,4-Data!S170,"")</f>
        <v>3</v>
      </c>
      <c r="T170" s="1">
        <f>IF(Data!T170&gt;0,Data!T170-4,"")</f>
        <v>3</v>
      </c>
      <c r="U170" s="1">
        <f>IF(Data!U170&gt;0,4-Data!U170,"")</f>
        <v>3</v>
      </c>
      <c r="V170" s="1">
        <f>IF(Data!V170&gt;0,Data!V170-4,"")</f>
        <v>3</v>
      </c>
      <c r="W170" s="1">
        <f>IF(Data!W170&gt;0,4-Data!W170,"")</f>
        <v>3</v>
      </c>
      <c r="X170" s="1">
        <f>IF(Data!X170&gt;0,4-Data!X170,"")</f>
        <v>3</v>
      </c>
      <c r="Y170" s="1">
        <f>IF(Data!Y170&gt;0,4-Data!Y170,"")</f>
        <v>3</v>
      </c>
      <c r="Z170" s="1">
        <f>IF(Data!Z170&gt;0,Data!Z170-4,"")</f>
        <v>2</v>
      </c>
      <c r="AC170" s="7">
        <f t="shared" si="12"/>
        <v>2</v>
      </c>
      <c r="AD170" s="7">
        <f t="shared" si="13"/>
        <v>1</v>
      </c>
      <c r="AE170" s="7">
        <f t="shared" si="14"/>
        <v>3</v>
      </c>
      <c r="AF170" s="7">
        <f t="shared" si="15"/>
        <v>2</v>
      </c>
      <c r="AG170" s="7">
        <f t="shared" si="16"/>
        <v>2.5</v>
      </c>
      <c r="AH170" s="7">
        <f t="shared" si="17"/>
        <v>2.75</v>
      </c>
    </row>
    <row r="171" spans="1:34">
      <c r="A171" s="1">
        <f>IF(Data!A171&gt;0,Data!A171-4,"")</f>
        <v>-1</v>
      </c>
      <c r="B171" s="1">
        <f>IF(Data!B171&gt;0,Data!B171-4,"")</f>
        <v>3</v>
      </c>
      <c r="C171" s="1">
        <f>IF(Data!C171&gt;0,4-Data!C171,"")</f>
        <v>-1</v>
      </c>
      <c r="D171" s="1">
        <f>IF(Data!D171&gt;0,4-Data!D171,"")</f>
        <v>3</v>
      </c>
      <c r="E171" s="1">
        <f>IF(Data!E171&gt;0,4-Data!E171,"")</f>
        <v>1</v>
      </c>
      <c r="F171" s="1">
        <f>IF(Data!F171&gt;0,Data!F171-4,"")</f>
        <v>0</v>
      </c>
      <c r="G171" s="1">
        <f>IF(Data!G171&gt;0,Data!G171-4,"")</f>
        <v>0</v>
      </c>
      <c r="H171" s="1">
        <f>IF(Data!H171&gt;0,Data!H171-4,"")</f>
        <v>0</v>
      </c>
      <c r="I171" s="1">
        <f>IF(Data!I171&gt;0,4-Data!I171,"")</f>
        <v>-2</v>
      </c>
      <c r="J171" s="1">
        <f>IF(Data!J171&gt;0,4-Data!J171,"")</f>
        <v>0</v>
      </c>
      <c r="K171" s="1">
        <f>IF(Data!K171&gt;0,Data!K171-4,"")</f>
        <v>0</v>
      </c>
      <c r="L171" s="1">
        <f>IF(Data!L171&gt;0,4-Data!L171,"")</f>
        <v>1</v>
      </c>
      <c r="M171" s="1">
        <f>IF(Data!M171&gt;0,Data!M171-4,"")</f>
        <v>-1</v>
      </c>
      <c r="N171" s="1">
        <f>IF(Data!N171&gt;0,Data!N171-4,"")</f>
        <v>0</v>
      </c>
      <c r="O171" s="1">
        <f>IF(Data!O171&gt;0,Data!O171-4,"")</f>
        <v>-3</v>
      </c>
      <c r="P171" s="1">
        <f>IF(Data!P171&gt;0,Data!P171-4,"")</f>
        <v>3</v>
      </c>
      <c r="Q171" s="1">
        <f>IF(Data!Q171&gt;0,4-Data!Q171,"")</f>
        <v>0</v>
      </c>
      <c r="R171" s="1">
        <f>IF(Data!R171&gt;0,4-Data!R171,"")</f>
        <v>1</v>
      </c>
      <c r="S171" s="1">
        <f>IF(Data!S171&gt;0,4-Data!S171,"")</f>
        <v>-1</v>
      </c>
      <c r="T171" s="1">
        <f>IF(Data!T171&gt;0,Data!T171-4,"")</f>
        <v>1</v>
      </c>
      <c r="U171" s="1">
        <f>IF(Data!U171&gt;0,4-Data!U171,"")</f>
        <v>0</v>
      </c>
      <c r="V171" s="1">
        <f>IF(Data!V171&gt;0,Data!V171-4,"")</f>
        <v>1</v>
      </c>
      <c r="W171" s="1">
        <f>IF(Data!W171&gt;0,4-Data!W171,"")</f>
        <v>1</v>
      </c>
      <c r="X171" s="1">
        <f>IF(Data!X171&gt;0,4-Data!X171,"")</f>
        <v>1</v>
      </c>
      <c r="Y171" s="1">
        <f>IF(Data!Y171&gt;0,4-Data!Y171,"")</f>
        <v>0</v>
      </c>
      <c r="Z171" s="1">
        <f>IF(Data!Z171&gt;0,Data!Z171-4,"")</f>
        <v>0</v>
      </c>
      <c r="AC171" s="7">
        <f t="shared" si="12"/>
        <v>0.66666666666666663</v>
      </c>
      <c r="AD171" s="7">
        <f t="shared" si="13"/>
        <v>1.25</v>
      </c>
      <c r="AE171" s="7">
        <f t="shared" si="14"/>
        <v>0.25</v>
      </c>
      <c r="AF171" s="7">
        <f t="shared" si="15"/>
        <v>-0.25</v>
      </c>
      <c r="AG171" s="7">
        <f t="shared" si="16"/>
        <v>0.5</v>
      </c>
      <c r="AH171" s="7">
        <f t="shared" si="17"/>
        <v>-1</v>
      </c>
    </row>
    <row r="172" spans="1:34">
      <c r="A172" s="1">
        <f>IF(Data!A172&gt;0,Data!A172-4,"")</f>
        <v>1</v>
      </c>
      <c r="B172" s="1">
        <f>IF(Data!B172&gt;0,Data!B172-4,"")</f>
        <v>1</v>
      </c>
      <c r="C172" s="1">
        <f>IF(Data!C172&gt;0,4-Data!C172,"")</f>
        <v>1</v>
      </c>
      <c r="D172" s="1">
        <f>IF(Data!D172&gt;0,4-Data!D172,"")</f>
        <v>1</v>
      </c>
      <c r="E172" s="1">
        <f>IF(Data!E172&gt;0,4-Data!E172,"")</f>
        <v>1</v>
      </c>
      <c r="F172" s="1">
        <f>IF(Data!F172&gt;0,Data!F172-4,"")</f>
        <v>1</v>
      </c>
      <c r="G172" s="1">
        <f>IF(Data!G172&gt;0,Data!G172-4,"")</f>
        <v>1</v>
      </c>
      <c r="H172" s="1">
        <f>IF(Data!H172&gt;0,Data!H172-4,"")</f>
        <v>0</v>
      </c>
      <c r="I172" s="1">
        <f>IF(Data!I172&gt;0,4-Data!I172,"")</f>
        <v>1</v>
      </c>
      <c r="J172" s="1">
        <f>IF(Data!J172&gt;0,4-Data!J172,"")</f>
        <v>1</v>
      </c>
      <c r="K172" s="1">
        <f>IF(Data!K172&gt;0,Data!K172-4,"")</f>
        <v>1</v>
      </c>
      <c r="L172" s="1">
        <f>IF(Data!L172&gt;0,4-Data!L172,"")</f>
        <v>0</v>
      </c>
      <c r="M172" s="1">
        <f>IF(Data!M172&gt;0,Data!M172-4,"")</f>
        <v>1</v>
      </c>
      <c r="N172" s="1">
        <f>IF(Data!N172&gt;0,Data!N172-4,"")</f>
        <v>1</v>
      </c>
      <c r="O172" s="1">
        <f>IF(Data!O172&gt;0,Data!O172-4,"")</f>
        <v>1</v>
      </c>
      <c r="P172" s="1">
        <f>IF(Data!P172&gt;0,Data!P172-4,"")</f>
        <v>1</v>
      </c>
      <c r="Q172" s="1">
        <f>IF(Data!Q172&gt;0,4-Data!Q172,"")</f>
        <v>0</v>
      </c>
      <c r="R172" s="1">
        <f>IF(Data!R172&gt;0,4-Data!R172,"")</f>
        <v>0</v>
      </c>
      <c r="S172" s="1">
        <f>IF(Data!S172&gt;0,4-Data!S172,"")</f>
        <v>2</v>
      </c>
      <c r="T172" s="1">
        <f>IF(Data!T172&gt;0,Data!T172-4,"")</f>
        <v>1</v>
      </c>
      <c r="U172" s="1">
        <f>IF(Data!U172&gt;0,4-Data!U172,"")</f>
        <v>1</v>
      </c>
      <c r="V172" s="1">
        <f>IF(Data!V172&gt;0,Data!V172-4,"")</f>
        <v>1</v>
      </c>
      <c r="W172" s="1">
        <f>IF(Data!W172&gt;0,4-Data!W172,"")</f>
        <v>1</v>
      </c>
      <c r="X172" s="1">
        <f>IF(Data!X172&gt;0,4-Data!X172,"")</f>
        <v>0</v>
      </c>
      <c r="Y172" s="1">
        <f>IF(Data!Y172&gt;0,4-Data!Y172,"")</f>
        <v>0</v>
      </c>
      <c r="Z172" s="1">
        <f>IF(Data!Z172&gt;0,Data!Z172-4,"")</f>
        <v>1</v>
      </c>
      <c r="AC172" s="7">
        <f t="shared" si="12"/>
        <v>0.5</v>
      </c>
      <c r="AD172" s="7">
        <f t="shared" si="13"/>
        <v>1</v>
      </c>
      <c r="AE172" s="7">
        <f t="shared" si="14"/>
        <v>1</v>
      </c>
      <c r="AF172" s="7">
        <f t="shared" si="15"/>
        <v>0.75</v>
      </c>
      <c r="AG172" s="7">
        <f t="shared" si="16"/>
        <v>0.75</v>
      </c>
      <c r="AH172" s="7">
        <f t="shared" si="17"/>
        <v>1</v>
      </c>
    </row>
    <row r="173" spans="1:34">
      <c r="A173" s="1">
        <f>IF(Data!A173&gt;0,Data!A173-4,"")</f>
        <v>2</v>
      </c>
      <c r="B173" s="1">
        <f>IF(Data!B173&gt;0,Data!B173-4,"")</f>
        <v>2</v>
      </c>
      <c r="C173" s="1">
        <f>IF(Data!C173&gt;0,4-Data!C173,"")</f>
        <v>1</v>
      </c>
      <c r="D173" s="1">
        <f>IF(Data!D173&gt;0,4-Data!D173,"")</f>
        <v>2</v>
      </c>
      <c r="E173" s="1">
        <f>IF(Data!E173&gt;0,4-Data!E173,"")</f>
        <v>2</v>
      </c>
      <c r="F173" s="1">
        <f>IF(Data!F173&gt;0,Data!F173-4,"")</f>
        <v>0</v>
      </c>
      <c r="G173" s="1">
        <f>IF(Data!G173&gt;0,Data!G173-4,"")</f>
        <v>2</v>
      </c>
      <c r="H173" s="1">
        <f>IF(Data!H173&gt;0,Data!H173-4,"")</f>
        <v>-1</v>
      </c>
      <c r="I173" s="1">
        <f>IF(Data!I173&gt;0,4-Data!I173,"")</f>
        <v>3</v>
      </c>
      <c r="J173" s="1">
        <f>IF(Data!J173&gt;0,4-Data!J173,"")</f>
        <v>1</v>
      </c>
      <c r="K173" s="1">
        <f>IF(Data!K173&gt;0,Data!K173-4,"")</f>
        <v>2</v>
      </c>
      <c r="L173" s="1">
        <f>IF(Data!L173&gt;0,4-Data!L173,"")</f>
        <v>3</v>
      </c>
      <c r="M173" s="1">
        <f>IF(Data!M173&gt;0,Data!M173-4,"")</f>
        <v>2</v>
      </c>
      <c r="N173" s="1">
        <f>IF(Data!N173&gt;0,Data!N173-4,"")</f>
        <v>1</v>
      </c>
      <c r="O173" s="1">
        <f>IF(Data!O173&gt;0,Data!O173-4,"")</f>
        <v>0</v>
      </c>
      <c r="P173" s="1">
        <f>IF(Data!P173&gt;0,Data!P173-4,"")</f>
        <v>2</v>
      </c>
      <c r="Q173" s="1">
        <f>IF(Data!Q173&gt;0,4-Data!Q173,"")</f>
        <v>3</v>
      </c>
      <c r="R173" s="1">
        <f>IF(Data!R173&gt;0,4-Data!R173,"")</f>
        <v>0</v>
      </c>
      <c r="S173" s="1">
        <f>IF(Data!S173&gt;0,4-Data!S173,"")</f>
        <v>3</v>
      </c>
      <c r="T173" s="1">
        <f>IF(Data!T173&gt;0,Data!T173-4,"")</f>
        <v>3</v>
      </c>
      <c r="U173" s="1">
        <f>IF(Data!U173&gt;0,4-Data!U173,"")</f>
        <v>3</v>
      </c>
      <c r="V173" s="1">
        <f>IF(Data!V173&gt;0,Data!V173-4,"")</f>
        <v>2</v>
      </c>
      <c r="W173" s="1">
        <f>IF(Data!W173&gt;0,4-Data!W173,"")</f>
        <v>3</v>
      </c>
      <c r="X173" s="1">
        <f>IF(Data!X173&gt;0,4-Data!X173,"")</f>
        <v>1</v>
      </c>
      <c r="Y173" s="1">
        <f>IF(Data!Y173&gt;0,4-Data!Y173,"")</f>
        <v>2</v>
      </c>
      <c r="Z173" s="1">
        <f>IF(Data!Z173&gt;0,Data!Z173-4,"")</f>
        <v>1</v>
      </c>
      <c r="AC173" s="7">
        <f t="shared" si="12"/>
        <v>1.8333333333333333</v>
      </c>
      <c r="AD173" s="7">
        <f t="shared" si="13"/>
        <v>2.25</v>
      </c>
      <c r="AE173" s="7">
        <f t="shared" si="14"/>
        <v>2.75</v>
      </c>
      <c r="AF173" s="7">
        <f t="shared" si="15"/>
        <v>1.75</v>
      </c>
      <c r="AG173" s="7">
        <f t="shared" si="16"/>
        <v>1</v>
      </c>
      <c r="AH173" s="7">
        <f t="shared" si="17"/>
        <v>0.75</v>
      </c>
    </row>
    <row r="174" spans="1:34">
      <c r="A174" s="1">
        <f>IF(Data!A174&gt;0,Data!A174-4,"")</f>
        <v>1</v>
      </c>
      <c r="B174" s="1">
        <f>IF(Data!B174&gt;0,Data!B174-4,"")</f>
        <v>3</v>
      </c>
      <c r="C174" s="1">
        <f>IF(Data!C174&gt;0,4-Data!C174,"")</f>
        <v>0</v>
      </c>
      <c r="D174" s="1">
        <f>IF(Data!D174&gt;0,4-Data!D174,"")</f>
        <v>2</v>
      </c>
      <c r="E174" s="1">
        <f>IF(Data!E174&gt;0,4-Data!E174,"")</f>
        <v>0</v>
      </c>
      <c r="F174" s="1">
        <f>IF(Data!F174&gt;0,Data!F174-4,"")</f>
        <v>-1</v>
      </c>
      <c r="G174" s="1">
        <f>IF(Data!G174&gt;0,Data!G174-4,"")</f>
        <v>-1</v>
      </c>
      <c r="H174" s="1">
        <f>IF(Data!H174&gt;0,Data!H174-4,"")</f>
        <v>2</v>
      </c>
      <c r="I174" s="1">
        <f>IF(Data!I174&gt;0,4-Data!I174,"")</f>
        <v>0</v>
      </c>
      <c r="J174" s="1">
        <f>IF(Data!J174&gt;0,4-Data!J174,"")</f>
        <v>-2</v>
      </c>
      <c r="K174" s="1">
        <f>IF(Data!K174&gt;0,Data!K174-4,"")</f>
        <v>0</v>
      </c>
      <c r="L174" s="1">
        <f>IF(Data!L174&gt;0,4-Data!L174,"")</f>
        <v>0</v>
      </c>
      <c r="M174" s="1">
        <f>IF(Data!M174&gt;0,Data!M174-4,"")</f>
        <v>2</v>
      </c>
      <c r="N174" s="1">
        <f>IF(Data!N174&gt;0,Data!N174-4,"")</f>
        <v>2</v>
      </c>
      <c r="O174" s="1">
        <f>IF(Data!O174&gt;0,Data!O174-4,"")</f>
        <v>0</v>
      </c>
      <c r="P174" s="1">
        <f>IF(Data!P174&gt;0,Data!P174-4,"")</f>
        <v>1</v>
      </c>
      <c r="Q174" s="1">
        <f>IF(Data!Q174&gt;0,4-Data!Q174,"")</f>
        <v>2</v>
      </c>
      <c r="R174" s="1">
        <f>IF(Data!R174&gt;0,4-Data!R174,"")</f>
        <v>0</v>
      </c>
      <c r="S174" s="1">
        <f>IF(Data!S174&gt;0,4-Data!S174,"")</f>
        <v>1</v>
      </c>
      <c r="T174" s="1">
        <f>IF(Data!T174&gt;0,Data!T174-4,"")</f>
        <v>0</v>
      </c>
      <c r="U174" s="1">
        <f>IF(Data!U174&gt;0,4-Data!U174,"")</f>
        <v>2</v>
      </c>
      <c r="V174" s="1">
        <f>IF(Data!V174&gt;0,Data!V174-4,"")</f>
        <v>2</v>
      </c>
      <c r="W174" s="1">
        <f>IF(Data!W174&gt;0,4-Data!W174,"")</f>
        <v>-2</v>
      </c>
      <c r="X174" s="1">
        <f>IF(Data!X174&gt;0,4-Data!X174,"")</f>
        <v>0</v>
      </c>
      <c r="Y174" s="1">
        <f>IF(Data!Y174&gt;0,4-Data!Y174,"")</f>
        <v>0</v>
      </c>
      <c r="Z174" s="1">
        <f>IF(Data!Z174&gt;0,Data!Z174-4,"")</f>
        <v>0</v>
      </c>
      <c r="AC174" s="7">
        <f t="shared" si="12"/>
        <v>0.66666666666666663</v>
      </c>
      <c r="AD174" s="7">
        <f t="shared" si="13"/>
        <v>2.25</v>
      </c>
      <c r="AE174" s="7">
        <f t="shared" si="14"/>
        <v>0</v>
      </c>
      <c r="AF174" s="7">
        <f t="shared" si="15"/>
        <v>1.25</v>
      </c>
      <c r="AG174" s="7">
        <f t="shared" si="16"/>
        <v>-0.5</v>
      </c>
      <c r="AH174" s="7">
        <f t="shared" si="17"/>
        <v>-0.5</v>
      </c>
    </row>
    <row r="175" spans="1:34">
      <c r="A175" s="1">
        <f>IF(Data!A175&gt;0,Data!A175-4,"")</f>
        <v>2</v>
      </c>
      <c r="B175" s="1">
        <f>IF(Data!B175&gt;0,Data!B175-4,"")</f>
        <v>3</v>
      </c>
      <c r="C175" s="1">
        <f>IF(Data!C175&gt;0,4-Data!C175,"")</f>
        <v>2</v>
      </c>
      <c r="D175" s="1">
        <f>IF(Data!D175&gt;0,4-Data!D175,"")</f>
        <v>2</v>
      </c>
      <c r="E175" s="1">
        <f>IF(Data!E175&gt;0,4-Data!E175,"")</f>
        <v>2</v>
      </c>
      <c r="F175" s="1">
        <f>IF(Data!F175&gt;0,Data!F175-4,"")</f>
        <v>0</v>
      </c>
      <c r="G175" s="1">
        <f>IF(Data!G175&gt;0,Data!G175-4,"")</f>
        <v>1</v>
      </c>
      <c r="H175" s="1">
        <f>IF(Data!H175&gt;0,Data!H175-4,"")</f>
        <v>0</v>
      </c>
      <c r="I175" s="1">
        <f>IF(Data!I175&gt;0,4-Data!I175,"")</f>
        <v>2</v>
      </c>
      <c r="J175" s="1">
        <f>IF(Data!J175&gt;0,4-Data!J175,"")</f>
        <v>2</v>
      </c>
      <c r="K175" s="1">
        <f>IF(Data!K175&gt;0,Data!K175-4,"")</f>
        <v>1</v>
      </c>
      <c r="L175" s="1">
        <f>IF(Data!L175&gt;0,4-Data!L175,"")</f>
        <v>1</v>
      </c>
      <c r="M175" s="1">
        <f>IF(Data!M175&gt;0,Data!M175-4,"")</f>
        <v>2</v>
      </c>
      <c r="N175" s="1">
        <f>IF(Data!N175&gt;0,Data!N175-4,"")</f>
        <v>1</v>
      </c>
      <c r="O175" s="1">
        <f>IF(Data!O175&gt;0,Data!O175-4,"")</f>
        <v>2</v>
      </c>
      <c r="P175" s="1">
        <f>IF(Data!P175&gt;0,Data!P175-4,"")</f>
        <v>1</v>
      </c>
      <c r="Q175" s="1">
        <f>IF(Data!Q175&gt;0,4-Data!Q175,"")</f>
        <v>1</v>
      </c>
      <c r="R175" s="1">
        <f>IF(Data!R175&gt;0,4-Data!R175,"")</f>
        <v>0</v>
      </c>
      <c r="S175" s="1">
        <f>IF(Data!S175&gt;0,4-Data!S175,"")</f>
        <v>3</v>
      </c>
      <c r="T175" s="1">
        <f>IF(Data!T175&gt;0,Data!T175-4,"")</f>
        <v>3</v>
      </c>
      <c r="U175" s="1">
        <f>IF(Data!U175&gt;0,4-Data!U175,"")</f>
        <v>2</v>
      </c>
      <c r="V175" s="1">
        <f>IF(Data!V175&gt;0,Data!V175-4,"")</f>
        <v>2</v>
      </c>
      <c r="W175" s="1">
        <f>IF(Data!W175&gt;0,4-Data!W175,"")</f>
        <v>1</v>
      </c>
      <c r="X175" s="1">
        <f>IF(Data!X175&gt;0,4-Data!X175,"")</f>
        <v>1</v>
      </c>
      <c r="Y175" s="1">
        <f>IF(Data!Y175&gt;0,4-Data!Y175,"")</f>
        <v>1</v>
      </c>
      <c r="Z175" s="1">
        <f>IF(Data!Z175&gt;0,Data!Z175-4,"")</f>
        <v>2</v>
      </c>
      <c r="AC175" s="7">
        <f t="shared" si="12"/>
        <v>1.1666666666666667</v>
      </c>
      <c r="AD175" s="7">
        <f t="shared" si="13"/>
        <v>2.25</v>
      </c>
      <c r="AE175" s="7">
        <f t="shared" si="14"/>
        <v>2</v>
      </c>
      <c r="AF175" s="7">
        <f t="shared" si="15"/>
        <v>1.25</v>
      </c>
      <c r="AG175" s="7">
        <f t="shared" si="16"/>
        <v>0.75</v>
      </c>
      <c r="AH175" s="7">
        <f t="shared" si="17"/>
        <v>2</v>
      </c>
    </row>
    <row r="176" spans="1:34">
      <c r="A176" s="1">
        <f>IF(Data!A176&gt;0,Data!A176-4,"")</f>
        <v>0</v>
      </c>
      <c r="B176" s="1">
        <f>IF(Data!B176&gt;0,Data!B176-4,"")</f>
        <v>0</v>
      </c>
      <c r="C176" s="1">
        <f>IF(Data!C176&gt;0,4-Data!C176,"")</f>
        <v>0</v>
      </c>
      <c r="D176" s="1">
        <f>IF(Data!D176&gt;0,4-Data!D176,"")</f>
        <v>2</v>
      </c>
      <c r="E176" s="1">
        <f>IF(Data!E176&gt;0,4-Data!E176,"")</f>
        <v>1</v>
      </c>
      <c r="F176" s="1">
        <f>IF(Data!F176&gt;0,Data!F176-4,"")</f>
        <v>0</v>
      </c>
      <c r="G176" s="1">
        <f>IF(Data!G176&gt;0,Data!G176-4,"")</f>
        <v>0</v>
      </c>
      <c r="H176" s="1">
        <f>IF(Data!H176&gt;0,Data!H176-4,"")</f>
        <v>0</v>
      </c>
      <c r="I176" s="1">
        <f>IF(Data!I176&gt;0,4-Data!I176,"")</f>
        <v>1</v>
      </c>
      <c r="J176" s="1">
        <f>IF(Data!J176&gt;0,4-Data!J176,"")</f>
        <v>1</v>
      </c>
      <c r="K176" s="1">
        <f>IF(Data!K176&gt;0,Data!K176-4,"")</f>
        <v>0</v>
      </c>
      <c r="L176" s="1">
        <f>IF(Data!L176&gt;0,4-Data!L176,"")</f>
        <v>0</v>
      </c>
      <c r="M176" s="1">
        <f>IF(Data!M176&gt;0,Data!M176-4,"")</f>
        <v>1</v>
      </c>
      <c r="N176" s="1">
        <f>IF(Data!N176&gt;0,Data!N176-4,"")</f>
        <v>0</v>
      </c>
      <c r="O176" s="1">
        <f>IF(Data!O176&gt;0,Data!O176-4,"")</f>
        <v>1</v>
      </c>
      <c r="P176" s="1">
        <f>IF(Data!P176&gt;0,Data!P176-4,"")</f>
        <v>1</v>
      </c>
      <c r="Q176" s="1">
        <f>IF(Data!Q176&gt;0,4-Data!Q176,"")</f>
        <v>0</v>
      </c>
      <c r="R176" s="1">
        <f>IF(Data!R176&gt;0,4-Data!R176,"")</f>
        <v>0</v>
      </c>
      <c r="S176" s="1">
        <f>IF(Data!S176&gt;0,4-Data!S176,"")</f>
        <v>2</v>
      </c>
      <c r="T176" s="1">
        <f>IF(Data!T176&gt;0,Data!T176-4,"")</f>
        <v>1</v>
      </c>
      <c r="U176" s="1">
        <f>IF(Data!U176&gt;0,4-Data!U176,"")</f>
        <v>1</v>
      </c>
      <c r="V176" s="1">
        <f>IF(Data!V176&gt;0,Data!V176-4,"")</f>
        <v>1</v>
      </c>
      <c r="W176" s="1">
        <f>IF(Data!W176&gt;0,4-Data!W176,"")</f>
        <v>0</v>
      </c>
      <c r="X176" s="1">
        <f>IF(Data!X176&gt;0,4-Data!X176,"")</f>
        <v>-1</v>
      </c>
      <c r="Y176" s="1">
        <f>IF(Data!Y176&gt;0,4-Data!Y176,"")</f>
        <v>1</v>
      </c>
      <c r="Z176" s="1">
        <f>IF(Data!Z176&gt;0,Data!Z176-4,"")</f>
        <v>1</v>
      </c>
      <c r="AC176" s="7">
        <f t="shared" si="12"/>
        <v>0.16666666666666666</v>
      </c>
      <c r="AD176" s="7">
        <f t="shared" si="13"/>
        <v>1</v>
      </c>
      <c r="AE176" s="7">
        <f t="shared" si="14"/>
        <v>0.75</v>
      </c>
      <c r="AF176" s="7">
        <f t="shared" si="15"/>
        <v>0.5</v>
      </c>
      <c r="AG176" s="7">
        <f t="shared" si="16"/>
        <v>0.25</v>
      </c>
      <c r="AH176" s="7">
        <f t="shared" si="17"/>
        <v>0.75</v>
      </c>
    </row>
    <row r="177" spans="1:34">
      <c r="A177" s="1">
        <f>IF(Data!A177&gt;0,Data!A177-4,"")</f>
        <v>-2</v>
      </c>
      <c r="B177" s="1">
        <f>IF(Data!B177&gt;0,Data!B177-4,"")</f>
        <v>-2</v>
      </c>
      <c r="C177" s="1">
        <f>IF(Data!C177&gt;0,4-Data!C177,"")</f>
        <v>-3</v>
      </c>
      <c r="D177" s="1">
        <f>IF(Data!D177&gt;0,4-Data!D177,"")</f>
        <v>-1</v>
      </c>
      <c r="E177" s="1">
        <f>IF(Data!E177&gt;0,4-Data!E177,"")</f>
        <v>-1</v>
      </c>
      <c r="F177" s="1">
        <f>IF(Data!F177&gt;0,Data!F177-4,"")</f>
        <v>-2</v>
      </c>
      <c r="G177" s="1">
        <f>IF(Data!G177&gt;0,Data!G177-4,"")</f>
        <v>-2</v>
      </c>
      <c r="H177" s="1">
        <f>IF(Data!H177&gt;0,Data!H177-4,"")</f>
        <v>0</v>
      </c>
      <c r="I177" s="1">
        <f>IF(Data!I177&gt;0,4-Data!I177,"")</f>
        <v>1</v>
      </c>
      <c r="J177" s="1">
        <f>IF(Data!J177&gt;0,4-Data!J177,"")</f>
        <v>-2</v>
      </c>
      <c r="K177" s="1">
        <f>IF(Data!K177&gt;0,Data!K177-4,"")</f>
        <v>-2</v>
      </c>
      <c r="L177" s="1">
        <f>IF(Data!L177&gt;0,4-Data!L177,"")</f>
        <v>-2</v>
      </c>
      <c r="M177" s="1">
        <f>IF(Data!M177&gt;0,Data!M177-4,"")</f>
        <v>0</v>
      </c>
      <c r="N177" s="1">
        <f>IF(Data!N177&gt;0,Data!N177-4,"")</f>
        <v>-3</v>
      </c>
      <c r="O177" s="1">
        <f>IF(Data!O177&gt;0,Data!O177-4,"")</f>
        <v>-2</v>
      </c>
      <c r="P177" s="1">
        <f>IF(Data!P177&gt;0,Data!P177-4,"")</f>
        <v>-2</v>
      </c>
      <c r="Q177" s="1">
        <f>IF(Data!Q177&gt;0,4-Data!Q177,"")</f>
        <v>0</v>
      </c>
      <c r="R177" s="1">
        <f>IF(Data!R177&gt;0,4-Data!R177,"")</f>
        <v>-2</v>
      </c>
      <c r="S177" s="1">
        <f>IF(Data!S177&gt;0,4-Data!S177,"")</f>
        <v>-2</v>
      </c>
      <c r="T177" s="1">
        <f>IF(Data!T177&gt;0,Data!T177-4,"")</f>
        <v>-2</v>
      </c>
      <c r="U177" s="1">
        <f>IF(Data!U177&gt;0,4-Data!U177,"")</f>
        <v>-2</v>
      </c>
      <c r="V177" s="1">
        <f>IF(Data!V177&gt;0,Data!V177-4,"")</f>
        <v>-1</v>
      </c>
      <c r="W177" s="1">
        <f>IF(Data!W177&gt;0,4-Data!W177,"")</f>
        <v>1</v>
      </c>
      <c r="X177" s="1">
        <f>IF(Data!X177&gt;0,4-Data!X177,"")</f>
        <v>-1</v>
      </c>
      <c r="Y177" s="1">
        <f>IF(Data!Y177&gt;0,4-Data!Y177,"")</f>
        <v>-1</v>
      </c>
      <c r="Z177" s="1">
        <f>IF(Data!Z177&gt;0,Data!Z177-4,"")</f>
        <v>-2</v>
      </c>
      <c r="AC177" s="7">
        <f t="shared" si="12"/>
        <v>-1.8333333333333333</v>
      </c>
      <c r="AD177" s="7">
        <f t="shared" si="13"/>
        <v>-1.25</v>
      </c>
      <c r="AE177" s="7">
        <f t="shared" si="14"/>
        <v>-0.25</v>
      </c>
      <c r="AF177" s="7">
        <f t="shared" si="15"/>
        <v>-1</v>
      </c>
      <c r="AG177" s="7">
        <f t="shared" si="16"/>
        <v>-1.75</v>
      </c>
      <c r="AH177" s="7">
        <f t="shared" si="17"/>
        <v>-2.25</v>
      </c>
    </row>
    <row r="178" spans="1:34">
      <c r="A178" s="1">
        <f>IF(Data!A178&gt;0,Data!A178-4,"")</f>
        <v>2</v>
      </c>
      <c r="B178" s="1">
        <f>IF(Data!B178&gt;0,Data!B178-4,"")</f>
        <v>2</v>
      </c>
      <c r="C178" s="1">
        <f>IF(Data!C178&gt;0,4-Data!C178,"")</f>
        <v>1</v>
      </c>
      <c r="D178" s="1">
        <f>IF(Data!D178&gt;0,4-Data!D178,"")</f>
        <v>2</v>
      </c>
      <c r="E178" s="1">
        <f>IF(Data!E178&gt;0,4-Data!E178,"")</f>
        <v>1</v>
      </c>
      <c r="F178" s="1">
        <f>IF(Data!F178&gt;0,Data!F178-4,"")</f>
        <v>1</v>
      </c>
      <c r="G178" s="1">
        <f>IF(Data!G178&gt;0,Data!G178-4,"")</f>
        <v>2</v>
      </c>
      <c r="H178" s="1">
        <f>IF(Data!H178&gt;0,Data!H178-4,"")</f>
        <v>0</v>
      </c>
      <c r="I178" s="1">
        <f>IF(Data!I178&gt;0,4-Data!I178,"")</f>
        <v>1</v>
      </c>
      <c r="J178" s="1">
        <f>IF(Data!J178&gt;0,4-Data!J178,"")</f>
        <v>1</v>
      </c>
      <c r="K178" s="1">
        <f>IF(Data!K178&gt;0,Data!K178-4,"")</f>
        <v>1</v>
      </c>
      <c r="L178" s="1">
        <f>IF(Data!L178&gt;0,4-Data!L178,"")</f>
        <v>1</v>
      </c>
      <c r="M178" s="1">
        <f>IF(Data!M178&gt;0,Data!M178-4,"")</f>
        <v>2</v>
      </c>
      <c r="N178" s="1">
        <f>IF(Data!N178&gt;0,Data!N178-4,"")</f>
        <v>1</v>
      </c>
      <c r="O178" s="1">
        <f>IF(Data!O178&gt;0,Data!O178-4,"")</f>
        <v>1</v>
      </c>
      <c r="P178" s="1">
        <f>IF(Data!P178&gt;0,Data!P178-4,"")</f>
        <v>1</v>
      </c>
      <c r="Q178" s="1">
        <f>IF(Data!Q178&gt;0,4-Data!Q178,"")</f>
        <v>1</v>
      </c>
      <c r="R178" s="1">
        <f>IF(Data!R178&gt;0,4-Data!R178,"")</f>
        <v>0</v>
      </c>
      <c r="S178" s="1">
        <f>IF(Data!S178&gt;0,4-Data!S178,"")</f>
        <v>2</v>
      </c>
      <c r="T178" s="1">
        <f>IF(Data!T178&gt;0,Data!T178-4,"")</f>
        <v>0</v>
      </c>
      <c r="U178" s="1">
        <f>IF(Data!U178&gt;0,4-Data!U178,"")</f>
        <v>2</v>
      </c>
      <c r="V178" s="1">
        <f>IF(Data!V178&gt;0,Data!V178-4,"")</f>
        <v>1</v>
      </c>
      <c r="W178" s="1">
        <f>IF(Data!W178&gt;0,4-Data!W178,"")</f>
        <v>1</v>
      </c>
      <c r="X178" s="1">
        <f>IF(Data!X178&gt;0,4-Data!X178,"")</f>
        <v>2</v>
      </c>
      <c r="Y178" s="1">
        <f>IF(Data!Y178&gt;0,4-Data!Y178,"")</f>
        <v>3</v>
      </c>
      <c r="Z178" s="1">
        <f>IF(Data!Z178&gt;0,Data!Z178-4,"")</f>
        <v>1</v>
      </c>
      <c r="AC178" s="7">
        <f t="shared" si="12"/>
        <v>1.6666666666666667</v>
      </c>
      <c r="AD178" s="7">
        <f t="shared" si="13"/>
        <v>2</v>
      </c>
      <c r="AE178" s="7">
        <f t="shared" si="14"/>
        <v>0.75</v>
      </c>
      <c r="AF178" s="7">
        <f t="shared" si="15"/>
        <v>1</v>
      </c>
      <c r="AG178" s="7">
        <f t="shared" si="16"/>
        <v>1</v>
      </c>
      <c r="AH178" s="7">
        <f t="shared" si="17"/>
        <v>1</v>
      </c>
    </row>
    <row r="179" spans="1:34">
      <c r="A179" s="1">
        <f>IF(Data!A179&gt;0,Data!A179-4,"")</f>
        <v>2</v>
      </c>
      <c r="B179" s="1">
        <f>IF(Data!B179&gt;0,Data!B179-4,"")</f>
        <v>1</v>
      </c>
      <c r="C179" s="1">
        <f>IF(Data!C179&gt;0,4-Data!C179,"")</f>
        <v>-1</v>
      </c>
      <c r="D179" s="1">
        <f>IF(Data!D179&gt;0,4-Data!D179,"")</f>
        <v>2</v>
      </c>
      <c r="E179" s="1">
        <f>IF(Data!E179&gt;0,4-Data!E179,"")</f>
        <v>2</v>
      </c>
      <c r="F179" s="1">
        <f>IF(Data!F179&gt;0,Data!F179-4,"")</f>
        <v>2</v>
      </c>
      <c r="G179" s="1">
        <f>IF(Data!G179&gt;0,Data!G179-4,"")</f>
        <v>2</v>
      </c>
      <c r="H179" s="1">
        <f>IF(Data!H179&gt;0,Data!H179-4,"")</f>
        <v>-1</v>
      </c>
      <c r="I179" s="1">
        <f>IF(Data!I179&gt;0,4-Data!I179,"")</f>
        <v>2</v>
      </c>
      <c r="J179" s="1">
        <f>IF(Data!J179&gt;0,4-Data!J179,"")</f>
        <v>2</v>
      </c>
      <c r="K179" s="1">
        <f>IF(Data!K179&gt;0,Data!K179-4,"")</f>
        <v>1</v>
      </c>
      <c r="L179" s="1">
        <f>IF(Data!L179&gt;0,4-Data!L179,"")</f>
        <v>2</v>
      </c>
      <c r="M179" s="1">
        <f>IF(Data!M179&gt;0,Data!M179-4,"")</f>
        <v>2</v>
      </c>
      <c r="N179" s="1">
        <f>IF(Data!N179&gt;0,Data!N179-4,"")</f>
        <v>2</v>
      </c>
      <c r="O179" s="1">
        <f>IF(Data!O179&gt;0,Data!O179-4,"")</f>
        <v>2</v>
      </c>
      <c r="P179" s="1">
        <f>IF(Data!P179&gt;0,Data!P179-4,"")</f>
        <v>2</v>
      </c>
      <c r="Q179" s="1">
        <f>IF(Data!Q179&gt;0,4-Data!Q179,"")</f>
        <v>1</v>
      </c>
      <c r="R179" s="1">
        <f>IF(Data!R179&gt;0,4-Data!R179,"")</f>
        <v>1</v>
      </c>
      <c r="S179" s="1">
        <f>IF(Data!S179&gt;0,4-Data!S179,"")</f>
        <v>2</v>
      </c>
      <c r="T179" s="1">
        <f>IF(Data!T179&gt;0,Data!T179-4,"")</f>
        <v>2</v>
      </c>
      <c r="U179" s="1">
        <f>IF(Data!U179&gt;0,4-Data!U179,"")</f>
        <v>2</v>
      </c>
      <c r="V179" s="1">
        <f>IF(Data!V179&gt;0,Data!V179-4,"")</f>
        <v>2</v>
      </c>
      <c r="W179" s="1">
        <f>IF(Data!W179&gt;0,4-Data!W179,"")</f>
        <v>1</v>
      </c>
      <c r="X179" s="1">
        <f>IF(Data!X179&gt;0,4-Data!X179,"")</f>
        <v>1</v>
      </c>
      <c r="Y179" s="1">
        <f>IF(Data!Y179&gt;0,4-Data!Y179,"")</f>
        <v>2</v>
      </c>
      <c r="Z179" s="1">
        <f>IF(Data!Z179&gt;0,Data!Z179-4,"")</f>
        <v>2</v>
      </c>
      <c r="AC179" s="7">
        <f t="shared" si="12"/>
        <v>1.8333333333333333</v>
      </c>
      <c r="AD179" s="7">
        <f t="shared" si="13"/>
        <v>1.75</v>
      </c>
      <c r="AE179" s="7">
        <f t="shared" si="14"/>
        <v>1.75</v>
      </c>
      <c r="AF179" s="7">
        <f t="shared" si="15"/>
        <v>0.75</v>
      </c>
      <c r="AG179" s="7">
        <f t="shared" si="16"/>
        <v>1.75</v>
      </c>
      <c r="AH179" s="7">
        <f t="shared" si="17"/>
        <v>1.25</v>
      </c>
    </row>
    <row r="180" spans="1:34">
      <c r="A180" s="1">
        <f>IF(Data!A180&gt;0,Data!A180-4,"")</f>
        <v>2</v>
      </c>
      <c r="B180" s="1">
        <f>IF(Data!B180&gt;0,Data!B180-4,"")</f>
        <v>3</v>
      </c>
      <c r="C180" s="1">
        <f>IF(Data!C180&gt;0,4-Data!C180,"")</f>
        <v>1</v>
      </c>
      <c r="D180" s="1">
        <f>IF(Data!D180&gt;0,4-Data!D180,"")</f>
        <v>3</v>
      </c>
      <c r="E180" s="1">
        <f>IF(Data!E180&gt;0,4-Data!E180,"")</f>
        <v>3</v>
      </c>
      <c r="F180" s="1">
        <f>IF(Data!F180&gt;0,Data!F180-4,"")</f>
        <v>1</v>
      </c>
      <c r="G180" s="1">
        <f>IF(Data!G180&gt;0,Data!G180-4,"")</f>
        <v>1</v>
      </c>
      <c r="H180" s="1">
        <f>IF(Data!H180&gt;0,Data!H180-4,"")</f>
        <v>0</v>
      </c>
      <c r="I180" s="1">
        <f>IF(Data!I180&gt;0,4-Data!I180,"")</f>
        <v>0</v>
      </c>
      <c r="J180" s="1">
        <f>IF(Data!J180&gt;0,4-Data!J180,"")</f>
        <v>1</v>
      </c>
      <c r="K180" s="1">
        <f>IF(Data!K180&gt;0,Data!K180-4,"")</f>
        <v>0</v>
      </c>
      <c r="L180" s="1">
        <f>IF(Data!L180&gt;0,4-Data!L180,"")</f>
        <v>0</v>
      </c>
      <c r="M180" s="1">
        <f>IF(Data!M180&gt;0,Data!M180-4,"")</f>
        <v>3</v>
      </c>
      <c r="N180" s="1">
        <f>IF(Data!N180&gt;0,Data!N180-4,"")</f>
        <v>1</v>
      </c>
      <c r="O180" s="1">
        <f>IF(Data!O180&gt;0,Data!O180-4,"")</f>
        <v>1</v>
      </c>
      <c r="P180" s="1">
        <f>IF(Data!P180&gt;0,Data!P180-4,"")</f>
        <v>2</v>
      </c>
      <c r="Q180" s="1">
        <f>IF(Data!Q180&gt;0,4-Data!Q180,"")</f>
        <v>0</v>
      </c>
      <c r="R180" s="1">
        <f>IF(Data!R180&gt;0,4-Data!R180,"")</f>
        <v>0</v>
      </c>
      <c r="S180" s="1">
        <f>IF(Data!S180&gt;0,4-Data!S180,"")</f>
        <v>2</v>
      </c>
      <c r="T180" s="1">
        <f>IF(Data!T180&gt;0,Data!T180-4,"")</f>
        <v>1</v>
      </c>
      <c r="U180" s="1">
        <f>IF(Data!U180&gt;0,4-Data!U180,"")</f>
        <v>3</v>
      </c>
      <c r="V180" s="1">
        <f>IF(Data!V180&gt;0,Data!V180-4,"")</f>
        <v>2</v>
      </c>
      <c r="W180" s="1">
        <f>IF(Data!W180&gt;0,4-Data!W180,"")</f>
        <v>0</v>
      </c>
      <c r="X180" s="1">
        <f>IF(Data!X180&gt;0,4-Data!X180,"")</f>
        <v>0</v>
      </c>
      <c r="Y180" s="1">
        <f>IF(Data!Y180&gt;0,4-Data!Y180,"")</f>
        <v>1</v>
      </c>
      <c r="Z180" s="1">
        <f>IF(Data!Z180&gt;0,Data!Z180-4,"")</f>
        <v>1</v>
      </c>
      <c r="AC180" s="7">
        <f t="shared" si="12"/>
        <v>1</v>
      </c>
      <c r="AD180" s="7">
        <f t="shared" si="13"/>
        <v>3</v>
      </c>
      <c r="AE180" s="7">
        <f t="shared" si="14"/>
        <v>0.75</v>
      </c>
      <c r="AF180" s="7">
        <f t="shared" si="15"/>
        <v>0.5</v>
      </c>
      <c r="AG180" s="7">
        <f t="shared" si="16"/>
        <v>1.25</v>
      </c>
      <c r="AH180" s="7">
        <f t="shared" si="17"/>
        <v>1</v>
      </c>
    </row>
    <row r="181" spans="1:34">
      <c r="A181" s="1">
        <f>IF(Data!A181&gt;0,Data!A181-4,"")</f>
        <v>2</v>
      </c>
      <c r="B181" s="1">
        <f>IF(Data!B181&gt;0,Data!B181-4,"")</f>
        <v>3</v>
      </c>
      <c r="C181" s="1">
        <f>IF(Data!C181&gt;0,4-Data!C181,"")</f>
        <v>2</v>
      </c>
      <c r="D181" s="1">
        <f>IF(Data!D181&gt;0,4-Data!D181,"")</f>
        <v>3</v>
      </c>
      <c r="E181" s="1">
        <f>IF(Data!E181&gt;0,4-Data!E181,"")</f>
        <v>2</v>
      </c>
      <c r="F181" s="1">
        <f>IF(Data!F181&gt;0,Data!F181-4,"")</f>
        <v>1</v>
      </c>
      <c r="G181" s="1">
        <f>IF(Data!G181&gt;0,Data!G181-4,"")</f>
        <v>1</v>
      </c>
      <c r="H181" s="1">
        <f>IF(Data!H181&gt;0,Data!H181-4,"")</f>
        <v>1</v>
      </c>
      <c r="I181" s="1">
        <f>IF(Data!I181&gt;0,4-Data!I181,"")</f>
        <v>-1</v>
      </c>
      <c r="J181" s="1">
        <f>IF(Data!J181&gt;0,4-Data!J181,"")</f>
        <v>0</v>
      </c>
      <c r="K181" s="1">
        <f>IF(Data!K181&gt;0,Data!K181-4,"")</f>
        <v>0</v>
      </c>
      <c r="L181" s="1">
        <f>IF(Data!L181&gt;0,4-Data!L181,"")</f>
        <v>2</v>
      </c>
      <c r="M181" s="1">
        <f>IF(Data!M181&gt;0,Data!M181-4,"")</f>
        <v>0</v>
      </c>
      <c r="N181" s="1">
        <f>IF(Data!N181&gt;0,Data!N181-4,"")</f>
        <v>0</v>
      </c>
      <c r="O181" s="1">
        <f>IF(Data!O181&gt;0,Data!O181-4,"")</f>
        <v>1</v>
      </c>
      <c r="P181" s="1">
        <f>IF(Data!P181&gt;0,Data!P181-4,"")</f>
        <v>-2</v>
      </c>
      <c r="Q181" s="1">
        <f>IF(Data!Q181&gt;0,4-Data!Q181,"")</f>
        <v>1</v>
      </c>
      <c r="R181" s="1">
        <f>IF(Data!R181&gt;0,4-Data!R181,"")</f>
        <v>0</v>
      </c>
      <c r="S181" s="1">
        <f>IF(Data!S181&gt;0,4-Data!S181,"")</f>
        <v>2</v>
      </c>
      <c r="T181" s="1">
        <f>IF(Data!T181&gt;0,Data!T181-4,"")</f>
        <v>2</v>
      </c>
      <c r="U181" s="1">
        <f>IF(Data!U181&gt;0,4-Data!U181,"")</f>
        <v>0</v>
      </c>
      <c r="V181" s="1">
        <f>IF(Data!V181&gt;0,Data!V181-4,"")</f>
        <v>2</v>
      </c>
      <c r="W181" s="1">
        <f>IF(Data!W181&gt;0,4-Data!W181,"")</f>
        <v>-1</v>
      </c>
      <c r="X181" s="1">
        <f>IF(Data!X181&gt;0,4-Data!X181,"")</f>
        <v>0</v>
      </c>
      <c r="Y181" s="1">
        <f>IF(Data!Y181&gt;0,4-Data!Y181,"")</f>
        <v>0</v>
      </c>
      <c r="Z181" s="1">
        <f>IF(Data!Z181&gt;0,Data!Z181-4,"")</f>
        <v>1</v>
      </c>
      <c r="AC181" s="7">
        <f t="shared" si="12"/>
        <v>0.33333333333333331</v>
      </c>
      <c r="AD181" s="7">
        <f t="shared" si="13"/>
        <v>1.5</v>
      </c>
      <c r="AE181" s="7">
        <f t="shared" si="14"/>
        <v>0.5</v>
      </c>
      <c r="AF181" s="7">
        <f t="shared" si="15"/>
        <v>1</v>
      </c>
      <c r="AG181" s="7">
        <f t="shared" si="16"/>
        <v>1</v>
      </c>
      <c r="AH181" s="7">
        <f t="shared" si="17"/>
        <v>1</v>
      </c>
    </row>
    <row r="182" spans="1:34">
      <c r="A182" s="1">
        <f>IF(Data!A182&gt;0,Data!A182-4,"")</f>
        <v>3</v>
      </c>
      <c r="B182" s="1">
        <f>IF(Data!B182&gt;0,Data!B182-4,"")</f>
        <v>3</v>
      </c>
      <c r="C182" s="1">
        <f>IF(Data!C182&gt;0,4-Data!C182,"")</f>
        <v>0</v>
      </c>
      <c r="D182" s="1">
        <f>IF(Data!D182&gt;0,4-Data!D182,"")</f>
        <v>3</v>
      </c>
      <c r="E182" s="1">
        <f>IF(Data!E182&gt;0,4-Data!E182,"")</f>
        <v>3</v>
      </c>
      <c r="F182" s="1">
        <f>IF(Data!F182&gt;0,Data!F182-4,"")</f>
        <v>1</v>
      </c>
      <c r="G182" s="1">
        <f>IF(Data!G182&gt;0,Data!G182-4,"")</f>
        <v>2</v>
      </c>
      <c r="H182" s="1">
        <f>IF(Data!H182&gt;0,Data!H182-4,"")</f>
        <v>2</v>
      </c>
      <c r="I182" s="1">
        <f>IF(Data!I182&gt;0,4-Data!I182,"")</f>
        <v>3</v>
      </c>
      <c r="J182" s="1">
        <f>IF(Data!J182&gt;0,4-Data!J182,"")</f>
        <v>1</v>
      </c>
      <c r="K182" s="1">
        <f>IF(Data!K182&gt;0,Data!K182-4,"")</f>
        <v>2</v>
      </c>
      <c r="L182" s="1">
        <f>IF(Data!L182&gt;0,4-Data!L182,"")</f>
        <v>3</v>
      </c>
      <c r="M182" s="1">
        <f>IF(Data!M182&gt;0,Data!M182-4,"")</f>
        <v>3</v>
      </c>
      <c r="N182" s="1">
        <f>IF(Data!N182&gt;0,Data!N182-4,"")</f>
        <v>3</v>
      </c>
      <c r="O182" s="1">
        <f>IF(Data!O182&gt;0,Data!O182-4,"")</f>
        <v>1</v>
      </c>
      <c r="P182" s="1">
        <f>IF(Data!P182&gt;0,Data!P182-4,"")</f>
        <v>2</v>
      </c>
      <c r="Q182" s="1">
        <f>IF(Data!Q182&gt;0,4-Data!Q182,"")</f>
        <v>3</v>
      </c>
      <c r="R182" s="1">
        <f>IF(Data!R182&gt;0,4-Data!R182,"")</f>
        <v>2</v>
      </c>
      <c r="S182" s="1">
        <f>IF(Data!S182&gt;0,4-Data!S182,"")</f>
        <v>3</v>
      </c>
      <c r="T182" s="1">
        <f>IF(Data!T182&gt;0,Data!T182-4,"")</f>
        <v>3</v>
      </c>
      <c r="U182" s="1">
        <f>IF(Data!U182&gt;0,4-Data!U182,"")</f>
        <v>3</v>
      </c>
      <c r="V182" s="1">
        <f>IF(Data!V182&gt;0,Data!V182-4,"")</f>
        <v>3</v>
      </c>
      <c r="W182" s="1">
        <f>IF(Data!W182&gt;0,4-Data!W182,"")</f>
        <v>3</v>
      </c>
      <c r="X182" s="1">
        <f>IF(Data!X182&gt;0,4-Data!X182,"")</f>
        <v>1</v>
      </c>
      <c r="Y182" s="1">
        <f>IF(Data!Y182&gt;0,4-Data!Y182,"")</f>
        <v>1</v>
      </c>
      <c r="Z182" s="1">
        <f>IF(Data!Z182&gt;0,Data!Z182-4,"")</f>
        <v>0</v>
      </c>
      <c r="AC182" s="7">
        <f t="shared" si="12"/>
        <v>2.1666666666666665</v>
      </c>
      <c r="AD182" s="7">
        <f t="shared" si="13"/>
        <v>3</v>
      </c>
      <c r="AE182" s="7">
        <f t="shared" si="14"/>
        <v>3</v>
      </c>
      <c r="AF182" s="7">
        <f t="shared" si="15"/>
        <v>2.5</v>
      </c>
      <c r="AG182" s="7">
        <f t="shared" si="16"/>
        <v>2</v>
      </c>
      <c r="AH182" s="7">
        <f t="shared" si="17"/>
        <v>0.5</v>
      </c>
    </row>
    <row r="183" spans="1:34">
      <c r="A183" s="1">
        <f>IF(Data!A183&gt;0,Data!A183-4,"")</f>
        <v>2</v>
      </c>
      <c r="B183" s="1">
        <f>IF(Data!B183&gt;0,Data!B183-4,"")</f>
        <v>1</v>
      </c>
      <c r="C183" s="1">
        <f>IF(Data!C183&gt;0,4-Data!C183,"")</f>
        <v>1</v>
      </c>
      <c r="D183" s="1">
        <f>IF(Data!D183&gt;0,4-Data!D183,"")</f>
        <v>1</v>
      </c>
      <c r="E183" s="1">
        <f>IF(Data!E183&gt;0,4-Data!E183,"")</f>
        <v>2</v>
      </c>
      <c r="F183" s="1">
        <f>IF(Data!F183&gt;0,Data!F183-4,"")</f>
        <v>0</v>
      </c>
      <c r="G183" s="1">
        <f>IF(Data!G183&gt;0,Data!G183-4,"")</f>
        <v>1</v>
      </c>
      <c r="H183" s="1">
        <f>IF(Data!H183&gt;0,Data!H183-4,"")</f>
        <v>2</v>
      </c>
      <c r="I183" s="1">
        <f>IF(Data!I183&gt;0,4-Data!I183,"")</f>
        <v>2</v>
      </c>
      <c r="J183" s="1">
        <f>IF(Data!J183&gt;0,4-Data!J183,"")</f>
        <v>1</v>
      </c>
      <c r="K183" s="1">
        <f>IF(Data!K183&gt;0,Data!K183-4,"")</f>
        <v>0</v>
      </c>
      <c r="L183" s="1">
        <f>IF(Data!L183&gt;0,4-Data!L183,"")</f>
        <v>1</v>
      </c>
      <c r="M183" s="1">
        <f>IF(Data!M183&gt;0,Data!M183-4,"")</f>
        <v>0</v>
      </c>
      <c r="N183" s="1">
        <f>IF(Data!N183&gt;0,Data!N183-4,"")</f>
        <v>1</v>
      </c>
      <c r="O183" s="1">
        <f>IF(Data!O183&gt;0,Data!O183-4,"")</f>
        <v>-2</v>
      </c>
      <c r="P183" s="1">
        <f>IF(Data!P183&gt;0,Data!P183-4,"")</f>
        <v>1</v>
      </c>
      <c r="Q183" s="1">
        <f>IF(Data!Q183&gt;0,4-Data!Q183,"")</f>
        <v>0</v>
      </c>
      <c r="R183" s="1">
        <f>IF(Data!R183&gt;0,4-Data!R183,"")</f>
        <v>0</v>
      </c>
      <c r="S183" s="1">
        <f>IF(Data!S183&gt;0,4-Data!S183,"")</f>
        <v>1</v>
      </c>
      <c r="T183" s="1">
        <f>IF(Data!T183&gt;0,Data!T183-4,"")</f>
        <v>1</v>
      </c>
      <c r="U183" s="1">
        <f>IF(Data!U183&gt;0,4-Data!U183,"")</f>
        <v>1</v>
      </c>
      <c r="V183" s="1">
        <f>IF(Data!V183&gt;0,Data!V183-4,"")</f>
        <v>2</v>
      </c>
      <c r="W183" s="1">
        <f>IF(Data!W183&gt;0,4-Data!W183,"")</f>
        <v>-1</v>
      </c>
      <c r="X183" s="1">
        <f>IF(Data!X183&gt;0,4-Data!X183,"")</f>
        <v>-1</v>
      </c>
      <c r="Y183" s="1">
        <f>IF(Data!Y183&gt;0,4-Data!Y183,"")</f>
        <v>-1</v>
      </c>
      <c r="Z183" s="1">
        <f>IF(Data!Z183&gt;0,Data!Z183-4,"")</f>
        <v>0</v>
      </c>
      <c r="AC183" s="7">
        <f t="shared" si="12"/>
        <v>0.5</v>
      </c>
      <c r="AD183" s="7">
        <f t="shared" si="13"/>
        <v>0.75</v>
      </c>
      <c r="AE183" s="7">
        <f t="shared" si="14"/>
        <v>1</v>
      </c>
      <c r="AF183" s="7">
        <f t="shared" si="15"/>
        <v>0.75</v>
      </c>
      <c r="AG183" s="7">
        <f t="shared" si="16"/>
        <v>0.75</v>
      </c>
      <c r="AH183" s="7">
        <f t="shared" si="17"/>
        <v>0</v>
      </c>
    </row>
    <row r="184" spans="1:34">
      <c r="A184" s="1">
        <f>IF(Data!A184&gt;0,Data!A184-4,"")</f>
        <v>1</v>
      </c>
      <c r="B184" s="1">
        <f>IF(Data!B184&gt;0,Data!B184-4,"")</f>
        <v>2</v>
      </c>
      <c r="C184" s="1">
        <f>IF(Data!C184&gt;0,4-Data!C184,"")</f>
        <v>0</v>
      </c>
      <c r="D184" s="1">
        <f>IF(Data!D184&gt;0,4-Data!D184,"")</f>
        <v>3</v>
      </c>
      <c r="E184" s="1">
        <f>IF(Data!E184&gt;0,4-Data!E184,"")</f>
        <v>2</v>
      </c>
      <c r="F184" s="1">
        <f>IF(Data!F184&gt;0,Data!F184-4,"")</f>
        <v>0</v>
      </c>
      <c r="G184" s="1">
        <f>IF(Data!G184&gt;0,Data!G184-4,"")</f>
        <v>0</v>
      </c>
      <c r="H184" s="1">
        <f>IF(Data!H184&gt;0,Data!H184-4,"")</f>
        <v>2</v>
      </c>
      <c r="I184" s="1">
        <f>IF(Data!I184&gt;0,4-Data!I184,"")</f>
        <v>1</v>
      </c>
      <c r="J184" s="1">
        <f>IF(Data!J184&gt;0,4-Data!J184,"")</f>
        <v>0</v>
      </c>
      <c r="K184" s="1">
        <f>IF(Data!K184&gt;0,Data!K184-4,"")</f>
        <v>1</v>
      </c>
      <c r="L184" s="1">
        <f>IF(Data!L184&gt;0,4-Data!L184,"")</f>
        <v>2</v>
      </c>
      <c r="M184" s="1">
        <f>IF(Data!M184&gt;0,Data!M184-4,"")</f>
        <v>3</v>
      </c>
      <c r="N184" s="1">
        <f>IF(Data!N184&gt;0,Data!N184-4,"")</f>
        <v>2</v>
      </c>
      <c r="O184" s="1">
        <f>IF(Data!O184&gt;0,Data!O184-4,"")</f>
        <v>0</v>
      </c>
      <c r="P184" s="1">
        <f>IF(Data!P184&gt;0,Data!P184-4,"")</f>
        <v>2</v>
      </c>
      <c r="Q184" s="1">
        <f>IF(Data!Q184&gt;0,4-Data!Q184,"")</f>
        <v>3</v>
      </c>
      <c r="R184" s="1">
        <f>IF(Data!R184&gt;0,4-Data!R184,"")</f>
        <v>0</v>
      </c>
      <c r="S184" s="1">
        <f>IF(Data!S184&gt;0,4-Data!S184,"")</f>
        <v>2</v>
      </c>
      <c r="T184" s="1">
        <f>IF(Data!T184&gt;0,Data!T184-4,"")</f>
        <v>1</v>
      </c>
      <c r="U184" s="1">
        <f>IF(Data!U184&gt;0,4-Data!U184,"")</f>
        <v>1</v>
      </c>
      <c r="V184" s="1">
        <f>IF(Data!V184&gt;0,Data!V184-4,"")</f>
        <v>2</v>
      </c>
      <c r="W184" s="1">
        <f>IF(Data!W184&gt;0,4-Data!W184,"")</f>
        <v>2</v>
      </c>
      <c r="X184" s="1">
        <f>IF(Data!X184&gt;0,4-Data!X184,"")</f>
        <v>0</v>
      </c>
      <c r="Y184" s="1">
        <f>IF(Data!Y184&gt;0,4-Data!Y184,"")</f>
        <v>1</v>
      </c>
      <c r="Z184" s="1">
        <f>IF(Data!Z184&gt;0,Data!Z184-4,"")</f>
        <v>0</v>
      </c>
      <c r="AC184" s="7">
        <f t="shared" si="12"/>
        <v>1.3333333333333333</v>
      </c>
      <c r="AD184" s="7">
        <f t="shared" si="13"/>
        <v>2.25</v>
      </c>
      <c r="AE184" s="7">
        <f t="shared" si="14"/>
        <v>1.5</v>
      </c>
      <c r="AF184" s="7">
        <f t="shared" si="15"/>
        <v>2</v>
      </c>
      <c r="AG184" s="7">
        <f t="shared" si="16"/>
        <v>0.5</v>
      </c>
      <c r="AH184" s="7">
        <f t="shared" si="17"/>
        <v>0</v>
      </c>
    </row>
    <row r="185" spans="1:34">
      <c r="A185" s="1">
        <f>IF(Data!A185&gt;0,Data!A185-4,"")</f>
        <v>3</v>
      </c>
      <c r="B185" s="1">
        <f>IF(Data!B185&gt;0,Data!B185-4,"")</f>
        <v>3</v>
      </c>
      <c r="C185" s="1">
        <f>IF(Data!C185&gt;0,4-Data!C185,"")</f>
        <v>3</v>
      </c>
      <c r="D185" s="1">
        <f>IF(Data!D185&gt;0,4-Data!D185,"")</f>
        <v>3</v>
      </c>
      <c r="E185" s="1">
        <f>IF(Data!E185&gt;0,4-Data!E185,"")</f>
        <v>3</v>
      </c>
      <c r="F185" s="1">
        <f>IF(Data!F185&gt;0,Data!F185-4,"")</f>
        <v>2</v>
      </c>
      <c r="G185" s="1">
        <f>IF(Data!G185&gt;0,Data!G185-4,"")</f>
        <v>2</v>
      </c>
      <c r="H185" s="1">
        <f>IF(Data!H185&gt;0,Data!H185-4,"")</f>
        <v>2</v>
      </c>
      <c r="I185" s="1">
        <f>IF(Data!I185&gt;0,4-Data!I185,"")</f>
        <v>2</v>
      </c>
      <c r="J185" s="1">
        <f>IF(Data!J185&gt;0,4-Data!J185,"")</f>
        <v>2</v>
      </c>
      <c r="K185" s="1">
        <f>IF(Data!K185&gt;0,Data!K185-4,"")</f>
        <v>2</v>
      </c>
      <c r="L185" s="1">
        <f>IF(Data!L185&gt;0,4-Data!L185,"")</f>
        <v>3</v>
      </c>
      <c r="M185" s="1">
        <f>IF(Data!M185&gt;0,Data!M185-4,"")</f>
        <v>3</v>
      </c>
      <c r="N185" s="1">
        <f>IF(Data!N185&gt;0,Data!N185-4,"")</f>
        <v>3</v>
      </c>
      <c r="O185" s="1">
        <f>IF(Data!O185&gt;0,Data!O185-4,"")</f>
        <v>2</v>
      </c>
      <c r="P185" s="1">
        <f>IF(Data!P185&gt;0,Data!P185-4,"")</f>
        <v>3</v>
      </c>
      <c r="Q185" s="1">
        <f>IF(Data!Q185&gt;0,4-Data!Q185,"")</f>
        <v>3</v>
      </c>
      <c r="R185" s="1">
        <f>IF(Data!R185&gt;0,4-Data!R185,"")</f>
        <v>2</v>
      </c>
      <c r="S185" s="1">
        <f>IF(Data!S185&gt;0,4-Data!S185,"")</f>
        <v>2</v>
      </c>
      <c r="T185" s="1">
        <f>IF(Data!T185&gt;0,Data!T185-4,"")</f>
        <v>2</v>
      </c>
      <c r="U185" s="1">
        <f>IF(Data!U185&gt;0,4-Data!U185,"")</f>
        <v>2</v>
      </c>
      <c r="V185" s="1">
        <f>IF(Data!V185&gt;0,Data!V185-4,"")</f>
        <v>2</v>
      </c>
      <c r="W185" s="1">
        <f>IF(Data!W185&gt;0,4-Data!W185,"")</f>
        <v>2</v>
      </c>
      <c r="X185" s="1">
        <f>IF(Data!X185&gt;0,4-Data!X185,"")</f>
        <v>2</v>
      </c>
      <c r="Y185" s="1">
        <f>IF(Data!Y185&gt;0,4-Data!Y185,"")</f>
        <v>2</v>
      </c>
      <c r="Z185" s="1">
        <f>IF(Data!Z185&gt;0,Data!Z185-4,"")</f>
        <v>1</v>
      </c>
      <c r="AC185" s="7">
        <f t="shared" si="12"/>
        <v>2.6666666666666665</v>
      </c>
      <c r="AD185" s="7">
        <f t="shared" si="13"/>
        <v>2.75</v>
      </c>
      <c r="AE185" s="7">
        <f t="shared" si="14"/>
        <v>2</v>
      </c>
      <c r="AF185" s="7">
        <f t="shared" si="15"/>
        <v>2.25</v>
      </c>
      <c r="AG185" s="7">
        <f t="shared" si="16"/>
        <v>2.25</v>
      </c>
      <c r="AH185" s="7">
        <f t="shared" si="17"/>
        <v>2</v>
      </c>
    </row>
    <row r="186" spans="1:34">
      <c r="A186" s="1">
        <f>IF(Data!A186&gt;0,Data!A186-4,"")</f>
        <v>3</v>
      </c>
      <c r="B186" s="1">
        <f>IF(Data!B186&gt;0,Data!B186-4,"")</f>
        <v>3</v>
      </c>
      <c r="C186" s="1">
        <f>IF(Data!C186&gt;0,4-Data!C186,"")</f>
        <v>3</v>
      </c>
      <c r="D186" s="1">
        <f>IF(Data!D186&gt;0,4-Data!D186,"")</f>
        <v>1</v>
      </c>
      <c r="E186" s="1">
        <f>IF(Data!E186&gt;0,4-Data!E186,"")</f>
        <v>0</v>
      </c>
      <c r="F186" s="1">
        <f>IF(Data!F186&gt;0,Data!F186-4,"")</f>
        <v>1</v>
      </c>
      <c r="G186" s="1">
        <f>IF(Data!G186&gt;0,Data!G186-4,"")</f>
        <v>0</v>
      </c>
      <c r="H186" s="1">
        <f>IF(Data!H186&gt;0,Data!H186-4,"")</f>
        <v>3</v>
      </c>
      <c r="I186" s="1">
        <f>IF(Data!I186&gt;0,4-Data!I186,"")</f>
        <v>-1</v>
      </c>
      <c r="J186" s="1">
        <f>IF(Data!J186&gt;0,4-Data!J186,"")</f>
        <v>0</v>
      </c>
      <c r="K186" s="1">
        <f>IF(Data!K186&gt;0,Data!K186-4,"")</f>
        <v>1</v>
      </c>
      <c r="L186" s="1">
        <f>IF(Data!L186&gt;0,4-Data!L186,"")</f>
        <v>3</v>
      </c>
      <c r="M186" s="1">
        <f>IF(Data!M186&gt;0,Data!M186-4,"")</f>
        <v>1</v>
      </c>
      <c r="N186" s="1">
        <f>IF(Data!N186&gt;0,Data!N186-4,"")</f>
        <v>0</v>
      </c>
      <c r="O186" s="1">
        <f>IF(Data!O186&gt;0,Data!O186-4,"")</f>
        <v>0</v>
      </c>
      <c r="P186" s="1">
        <f>IF(Data!P186&gt;0,Data!P186-4,"")</f>
        <v>0</v>
      </c>
      <c r="Q186" s="1">
        <f>IF(Data!Q186&gt;0,4-Data!Q186,"")</f>
        <v>-1</v>
      </c>
      <c r="R186" s="1">
        <f>IF(Data!R186&gt;0,4-Data!R186,"")</f>
        <v>1</v>
      </c>
      <c r="S186" s="1">
        <f>IF(Data!S186&gt;0,4-Data!S186,"")</f>
        <v>1</v>
      </c>
      <c r="T186" s="1">
        <f>IF(Data!T186&gt;0,Data!T186-4,"")</f>
        <v>0</v>
      </c>
      <c r="U186" s="1">
        <f>IF(Data!U186&gt;0,4-Data!U186,"")</f>
        <v>0</v>
      </c>
      <c r="V186" s="1">
        <f>IF(Data!V186&gt;0,Data!V186-4,"")</f>
        <v>0</v>
      </c>
      <c r="W186" s="1">
        <f>IF(Data!W186&gt;0,4-Data!W186,"")</f>
        <v>0</v>
      </c>
      <c r="X186" s="1">
        <f>IF(Data!X186&gt;0,4-Data!X186,"")</f>
        <v>3</v>
      </c>
      <c r="Y186" s="1">
        <f>IF(Data!Y186&gt;0,4-Data!Y186,"")</f>
        <v>3</v>
      </c>
      <c r="Z186" s="1">
        <f>IF(Data!Z186&gt;0,Data!Z186-4,"")</f>
        <v>-3</v>
      </c>
      <c r="AC186" s="7">
        <f t="shared" si="12"/>
        <v>2</v>
      </c>
      <c r="AD186" s="7">
        <f t="shared" si="13"/>
        <v>1.25</v>
      </c>
      <c r="AE186" s="7">
        <f t="shared" si="14"/>
        <v>-0.25</v>
      </c>
      <c r="AF186" s="7">
        <f t="shared" si="15"/>
        <v>1</v>
      </c>
      <c r="AG186" s="7">
        <f t="shared" si="16"/>
        <v>0.5</v>
      </c>
      <c r="AH186" s="7">
        <f t="shared" si="17"/>
        <v>0</v>
      </c>
    </row>
    <row r="187" spans="1:34">
      <c r="A187" s="1">
        <f>IF(Data!A187&gt;0,Data!A187-4,"")</f>
        <v>2</v>
      </c>
      <c r="B187" s="1">
        <f>IF(Data!B187&gt;0,Data!B187-4,"")</f>
        <v>2</v>
      </c>
      <c r="C187" s="1">
        <f>IF(Data!C187&gt;0,4-Data!C187,"")</f>
        <v>1</v>
      </c>
      <c r="D187" s="1">
        <f>IF(Data!D187&gt;0,4-Data!D187,"")</f>
        <v>3</v>
      </c>
      <c r="E187" s="1">
        <f>IF(Data!E187&gt;0,4-Data!E187,"")</f>
        <v>3</v>
      </c>
      <c r="F187" s="1">
        <f>IF(Data!F187&gt;0,Data!F187-4,"")</f>
        <v>1</v>
      </c>
      <c r="G187" s="1">
        <f>IF(Data!G187&gt;0,Data!G187-4,"")</f>
        <v>2</v>
      </c>
      <c r="H187" s="1">
        <f>IF(Data!H187&gt;0,Data!H187-4,"")</f>
        <v>3</v>
      </c>
      <c r="I187" s="1">
        <f>IF(Data!I187&gt;0,4-Data!I187,"")</f>
        <v>2</v>
      </c>
      <c r="J187" s="1">
        <f>IF(Data!J187&gt;0,4-Data!J187,"")</f>
        <v>-3</v>
      </c>
      <c r="K187" s="1">
        <f>IF(Data!K187&gt;0,Data!K187-4,"")</f>
        <v>0</v>
      </c>
      <c r="L187" s="1">
        <f>IF(Data!L187&gt;0,4-Data!L187,"")</f>
        <v>1</v>
      </c>
      <c r="M187" s="1">
        <f>IF(Data!M187&gt;0,Data!M187-4,"")</f>
        <v>1</v>
      </c>
      <c r="N187" s="1">
        <f>IF(Data!N187&gt;0,Data!N187-4,"")</f>
        <v>1</v>
      </c>
      <c r="O187" s="1">
        <f>IF(Data!O187&gt;0,Data!O187-4,"")</f>
        <v>-2</v>
      </c>
      <c r="P187" s="1">
        <f>IF(Data!P187&gt;0,Data!P187-4,"")</f>
        <v>1</v>
      </c>
      <c r="Q187" s="1">
        <f>IF(Data!Q187&gt;0,4-Data!Q187,"")</f>
        <v>3</v>
      </c>
      <c r="R187" s="1">
        <f>IF(Data!R187&gt;0,4-Data!R187,"")</f>
        <v>1</v>
      </c>
      <c r="S187" s="1">
        <f>IF(Data!S187&gt;0,4-Data!S187,"")</f>
        <v>2</v>
      </c>
      <c r="T187" s="1">
        <f>IF(Data!T187&gt;0,Data!T187-4,"")</f>
        <v>2</v>
      </c>
      <c r="U187" s="1">
        <f>IF(Data!U187&gt;0,4-Data!U187,"")</f>
        <v>3</v>
      </c>
      <c r="V187" s="1">
        <f>IF(Data!V187&gt;0,Data!V187-4,"")</f>
        <v>3</v>
      </c>
      <c r="W187" s="1">
        <f>IF(Data!W187&gt;0,4-Data!W187,"")</f>
        <v>3</v>
      </c>
      <c r="X187" s="1">
        <f>IF(Data!X187&gt;0,4-Data!X187,"")</f>
        <v>1</v>
      </c>
      <c r="Y187" s="1">
        <f>IF(Data!Y187&gt;0,4-Data!Y187,"")</f>
        <v>0</v>
      </c>
      <c r="Z187" s="1">
        <f>IF(Data!Z187&gt;0,Data!Z187-4,"")</f>
        <v>1</v>
      </c>
      <c r="AC187" s="7">
        <f t="shared" si="12"/>
        <v>1</v>
      </c>
      <c r="AD187" s="7">
        <f t="shared" si="13"/>
        <v>2.25</v>
      </c>
      <c r="AE187" s="7">
        <f t="shared" si="14"/>
        <v>2.5</v>
      </c>
      <c r="AF187" s="7">
        <f t="shared" si="15"/>
        <v>2</v>
      </c>
      <c r="AG187" s="7">
        <f t="shared" si="16"/>
        <v>1.75</v>
      </c>
      <c r="AH187" s="7">
        <f t="shared" si="17"/>
        <v>-0.75</v>
      </c>
    </row>
    <row r="188" spans="1:34">
      <c r="A188" s="1">
        <f>IF(Data!A188&gt;0,Data!A188-4,"")</f>
        <v>3</v>
      </c>
      <c r="B188" s="1">
        <f>IF(Data!B188&gt;0,Data!B188-4,"")</f>
        <v>3</v>
      </c>
      <c r="C188" s="1">
        <f>IF(Data!C188&gt;0,4-Data!C188,"")</f>
        <v>2</v>
      </c>
      <c r="D188" s="1">
        <f>IF(Data!D188&gt;0,4-Data!D188,"")</f>
        <v>2</v>
      </c>
      <c r="E188" s="1">
        <f>IF(Data!E188&gt;0,4-Data!E188,"")</f>
        <v>2</v>
      </c>
      <c r="F188" s="1">
        <f>IF(Data!F188&gt;0,Data!F188-4,"")</f>
        <v>2</v>
      </c>
      <c r="G188" s="1">
        <f>IF(Data!G188&gt;0,Data!G188-4,"")</f>
        <v>2</v>
      </c>
      <c r="H188" s="1">
        <f>IF(Data!H188&gt;0,Data!H188-4,"")</f>
        <v>2</v>
      </c>
      <c r="I188" s="1">
        <f>IF(Data!I188&gt;0,4-Data!I188,"")</f>
        <v>2</v>
      </c>
      <c r="J188" s="1">
        <f>IF(Data!J188&gt;0,4-Data!J188,"")</f>
        <v>2</v>
      </c>
      <c r="K188" s="1">
        <f>IF(Data!K188&gt;0,Data!K188-4,"")</f>
        <v>2</v>
      </c>
      <c r="L188" s="1">
        <f>IF(Data!L188&gt;0,4-Data!L188,"")</f>
        <v>2</v>
      </c>
      <c r="M188" s="1">
        <f>IF(Data!M188&gt;0,Data!M188-4,"")</f>
        <v>2</v>
      </c>
      <c r="N188" s="1">
        <f>IF(Data!N188&gt;0,Data!N188-4,"")</f>
        <v>2</v>
      </c>
      <c r="O188" s="1">
        <f>IF(Data!O188&gt;0,Data!O188-4,"")</f>
        <v>2</v>
      </c>
      <c r="P188" s="1">
        <f>IF(Data!P188&gt;0,Data!P188-4,"")</f>
        <v>2</v>
      </c>
      <c r="Q188" s="1">
        <f>IF(Data!Q188&gt;0,4-Data!Q188,"")</f>
        <v>3</v>
      </c>
      <c r="R188" s="1">
        <f>IF(Data!R188&gt;0,4-Data!R188,"")</f>
        <v>2</v>
      </c>
      <c r="S188" s="1">
        <f>IF(Data!S188&gt;0,4-Data!S188,"")</f>
        <v>2</v>
      </c>
      <c r="T188" s="1">
        <f>IF(Data!T188&gt;0,Data!T188-4,"")</f>
        <v>2</v>
      </c>
      <c r="U188" s="1">
        <f>IF(Data!U188&gt;0,4-Data!U188,"")</f>
        <v>2</v>
      </c>
      <c r="V188" s="1">
        <f>IF(Data!V188&gt;0,Data!V188-4,"")</f>
        <v>2</v>
      </c>
      <c r="W188" s="1">
        <f>IF(Data!W188&gt;0,4-Data!W188,"")</f>
        <v>3</v>
      </c>
      <c r="X188" s="1">
        <f>IF(Data!X188&gt;0,4-Data!X188,"")</f>
        <v>2</v>
      </c>
      <c r="Y188" s="1">
        <f>IF(Data!Y188&gt;0,4-Data!Y188,"")</f>
        <v>2</v>
      </c>
      <c r="Z188" s="1">
        <f>IF(Data!Z188&gt;0,Data!Z188-4,"")</f>
        <v>2</v>
      </c>
      <c r="AC188" s="7">
        <f t="shared" si="12"/>
        <v>2.1666666666666665</v>
      </c>
      <c r="AD188" s="7">
        <f t="shared" si="13"/>
        <v>2.25</v>
      </c>
      <c r="AE188" s="7">
        <f t="shared" si="14"/>
        <v>2.25</v>
      </c>
      <c r="AF188" s="7">
        <f t="shared" si="15"/>
        <v>2.25</v>
      </c>
      <c r="AG188" s="7">
        <f t="shared" si="16"/>
        <v>2</v>
      </c>
      <c r="AH188" s="7">
        <f t="shared" si="17"/>
        <v>2</v>
      </c>
    </row>
    <row r="189" spans="1:34">
      <c r="A189" s="1">
        <f>IF(Data!A189&gt;0,Data!A189-4,"")</f>
        <v>2</v>
      </c>
      <c r="B189" s="1">
        <f>IF(Data!B189&gt;0,Data!B189-4,"")</f>
        <v>2</v>
      </c>
      <c r="C189" s="1">
        <f>IF(Data!C189&gt;0,4-Data!C189,"")</f>
        <v>2</v>
      </c>
      <c r="D189" s="1">
        <f>IF(Data!D189&gt;0,4-Data!D189,"")</f>
        <v>2</v>
      </c>
      <c r="E189" s="1">
        <f>IF(Data!E189&gt;0,4-Data!E189,"")</f>
        <v>2</v>
      </c>
      <c r="F189" s="1">
        <f>IF(Data!F189&gt;0,Data!F189-4,"")</f>
        <v>2</v>
      </c>
      <c r="G189" s="1">
        <f>IF(Data!G189&gt;0,Data!G189-4,"")</f>
        <v>2</v>
      </c>
      <c r="H189" s="1">
        <f>IF(Data!H189&gt;0,Data!H189-4,"")</f>
        <v>-1</v>
      </c>
      <c r="I189" s="1">
        <f>IF(Data!I189&gt;0,4-Data!I189,"")</f>
        <v>3</v>
      </c>
      <c r="J189" s="1">
        <f>IF(Data!J189&gt;0,4-Data!J189,"")</f>
        <v>3</v>
      </c>
      <c r="K189" s="1">
        <f>IF(Data!K189&gt;0,Data!K189-4,"")</f>
        <v>2</v>
      </c>
      <c r="L189" s="1">
        <f>IF(Data!L189&gt;0,4-Data!L189,"")</f>
        <v>2</v>
      </c>
      <c r="M189" s="1">
        <f>IF(Data!M189&gt;0,Data!M189-4,"")</f>
        <v>2</v>
      </c>
      <c r="N189" s="1">
        <f>IF(Data!N189&gt;0,Data!N189-4,"")</f>
        <v>2</v>
      </c>
      <c r="O189" s="1">
        <f>IF(Data!O189&gt;0,Data!O189-4,"")</f>
        <v>2</v>
      </c>
      <c r="P189" s="1">
        <f>IF(Data!P189&gt;0,Data!P189-4,"")</f>
        <v>2</v>
      </c>
      <c r="Q189" s="1">
        <f>IF(Data!Q189&gt;0,4-Data!Q189,"")</f>
        <v>2</v>
      </c>
      <c r="R189" s="1">
        <f>IF(Data!R189&gt;0,4-Data!R189,"")</f>
        <v>2</v>
      </c>
      <c r="S189" s="1">
        <f>IF(Data!S189&gt;0,4-Data!S189,"")</f>
        <v>2</v>
      </c>
      <c r="T189" s="1">
        <f>IF(Data!T189&gt;0,Data!T189-4,"")</f>
        <v>2</v>
      </c>
      <c r="U189" s="1">
        <f>IF(Data!U189&gt;0,4-Data!U189,"")</f>
        <v>2</v>
      </c>
      <c r="V189" s="1">
        <f>IF(Data!V189&gt;0,Data!V189-4,"")</f>
        <v>2</v>
      </c>
      <c r="W189" s="1">
        <f>IF(Data!W189&gt;0,4-Data!W189,"")</f>
        <v>2</v>
      </c>
      <c r="X189" s="1">
        <f>IF(Data!X189&gt;0,4-Data!X189,"")</f>
        <v>2</v>
      </c>
      <c r="Y189" s="1">
        <f>IF(Data!Y189&gt;0,4-Data!Y189,"")</f>
        <v>2</v>
      </c>
      <c r="Z189" s="1">
        <f>IF(Data!Z189&gt;0,Data!Z189-4,"")</f>
        <v>2</v>
      </c>
      <c r="AC189" s="7">
        <f t="shared" si="12"/>
        <v>2</v>
      </c>
      <c r="AD189" s="7">
        <f t="shared" si="13"/>
        <v>2</v>
      </c>
      <c r="AE189" s="7">
        <f t="shared" si="14"/>
        <v>2.25</v>
      </c>
      <c r="AF189" s="7">
        <f t="shared" si="15"/>
        <v>1.25</v>
      </c>
      <c r="AG189" s="7">
        <f t="shared" si="16"/>
        <v>2</v>
      </c>
      <c r="AH189" s="7">
        <f t="shared" si="17"/>
        <v>2.25</v>
      </c>
    </row>
    <row r="190" spans="1:34">
      <c r="A190" s="1">
        <f>IF(Data!A190&gt;0,Data!A190-4,"")</f>
        <v>2</v>
      </c>
      <c r="B190" s="1">
        <f>IF(Data!B190&gt;0,Data!B190-4,"")</f>
        <v>1</v>
      </c>
      <c r="C190" s="1">
        <f>IF(Data!C190&gt;0,4-Data!C190,"")</f>
        <v>1</v>
      </c>
      <c r="D190" s="1">
        <f>IF(Data!D190&gt;0,4-Data!D190,"")</f>
        <v>1</v>
      </c>
      <c r="E190" s="1">
        <f>IF(Data!E190&gt;0,4-Data!E190,"")</f>
        <v>2</v>
      </c>
      <c r="F190" s="1">
        <f>IF(Data!F190&gt;0,Data!F190-4,"")</f>
        <v>2</v>
      </c>
      <c r="G190" s="1">
        <f>IF(Data!G190&gt;0,Data!G190-4,"")</f>
        <v>2</v>
      </c>
      <c r="H190" s="1">
        <f>IF(Data!H190&gt;0,Data!H190-4,"")</f>
        <v>-1</v>
      </c>
      <c r="I190" s="1">
        <f>IF(Data!I190&gt;0,4-Data!I190,"")</f>
        <v>2</v>
      </c>
      <c r="J190" s="1">
        <f>IF(Data!J190&gt;0,4-Data!J190,"")</f>
        <v>0</v>
      </c>
      <c r="K190" s="1">
        <f>IF(Data!K190&gt;0,Data!K190-4,"")</f>
        <v>1</v>
      </c>
      <c r="L190" s="1">
        <f>IF(Data!L190&gt;0,4-Data!L190,"")</f>
        <v>2</v>
      </c>
      <c r="M190" s="1">
        <f>IF(Data!M190&gt;0,Data!M190-4,"")</f>
        <v>2</v>
      </c>
      <c r="N190" s="1">
        <f>IF(Data!N190&gt;0,Data!N190-4,"")</f>
        <v>2</v>
      </c>
      <c r="O190" s="1">
        <f>IF(Data!O190&gt;0,Data!O190-4,"")</f>
        <v>2</v>
      </c>
      <c r="P190" s="1">
        <f>IF(Data!P190&gt;0,Data!P190-4,"")</f>
        <v>2</v>
      </c>
      <c r="Q190" s="1">
        <f>IF(Data!Q190&gt;0,4-Data!Q190,"")</f>
        <v>2</v>
      </c>
      <c r="R190" s="1">
        <f>IF(Data!R190&gt;0,4-Data!R190,"")</f>
        <v>0</v>
      </c>
      <c r="S190" s="1">
        <f>IF(Data!S190&gt;0,4-Data!S190,"")</f>
        <v>3</v>
      </c>
      <c r="T190" s="1">
        <f>IF(Data!T190&gt;0,Data!T190-4,"")</f>
        <v>2</v>
      </c>
      <c r="U190" s="1">
        <f>IF(Data!U190&gt;0,4-Data!U190,"")</f>
        <v>2</v>
      </c>
      <c r="V190" s="1">
        <f>IF(Data!V190&gt;0,Data!V190-4,"")</f>
        <v>2</v>
      </c>
      <c r="W190" s="1">
        <f>IF(Data!W190&gt;0,4-Data!W190,"")</f>
        <v>2</v>
      </c>
      <c r="X190" s="1">
        <f>IF(Data!X190&gt;0,4-Data!X190,"")</f>
        <v>2</v>
      </c>
      <c r="Y190" s="1">
        <f>IF(Data!Y190&gt;0,4-Data!Y190,"")</f>
        <v>2</v>
      </c>
      <c r="Z190" s="1">
        <f>IF(Data!Z190&gt;0,Data!Z190-4,"")</f>
        <v>2</v>
      </c>
      <c r="AC190" s="7">
        <f t="shared" si="12"/>
        <v>2</v>
      </c>
      <c r="AD190" s="7">
        <f t="shared" si="13"/>
        <v>1.5</v>
      </c>
      <c r="AE190" s="7">
        <f t="shared" si="14"/>
        <v>2</v>
      </c>
      <c r="AF190" s="7">
        <f t="shared" si="15"/>
        <v>1.25</v>
      </c>
      <c r="AG190" s="7">
        <f t="shared" si="16"/>
        <v>1.5</v>
      </c>
      <c r="AH190" s="7">
        <f t="shared" si="17"/>
        <v>1.25</v>
      </c>
    </row>
    <row r="191" spans="1:34">
      <c r="A191" s="1">
        <f>IF(Data!A191&gt;0,Data!A191-4,"")</f>
        <v>1</v>
      </c>
      <c r="B191" s="1">
        <f>IF(Data!B191&gt;0,Data!B191-4,"")</f>
        <v>2</v>
      </c>
      <c r="C191" s="1">
        <f>IF(Data!C191&gt;0,4-Data!C191,"")</f>
        <v>-2</v>
      </c>
      <c r="D191" s="1">
        <f>IF(Data!D191&gt;0,4-Data!D191,"")</f>
        <v>1</v>
      </c>
      <c r="E191" s="1">
        <f>IF(Data!E191&gt;0,4-Data!E191,"")</f>
        <v>2</v>
      </c>
      <c r="F191" s="1">
        <f>IF(Data!F191&gt;0,Data!F191-4,"")</f>
        <v>-1</v>
      </c>
      <c r="G191" s="1">
        <f>IF(Data!G191&gt;0,Data!G191-4,"")</f>
        <v>0</v>
      </c>
      <c r="H191" s="1">
        <f>IF(Data!H191&gt;0,Data!H191-4,"")</f>
        <v>2</v>
      </c>
      <c r="I191" s="1">
        <f>IF(Data!I191&gt;0,4-Data!I191,"")</f>
        <v>2</v>
      </c>
      <c r="J191" s="1">
        <f>IF(Data!J191&gt;0,4-Data!J191,"")</f>
        <v>1</v>
      </c>
      <c r="K191" s="1">
        <f>IF(Data!K191&gt;0,Data!K191-4,"")</f>
        <v>0</v>
      </c>
      <c r="L191" s="1">
        <f>IF(Data!L191&gt;0,4-Data!L191,"")</f>
        <v>1</v>
      </c>
      <c r="M191" s="1">
        <f>IF(Data!M191&gt;0,Data!M191-4,"")</f>
        <v>2</v>
      </c>
      <c r="N191" s="1">
        <f>IF(Data!N191&gt;0,Data!N191-4,"")</f>
        <v>1</v>
      </c>
      <c r="O191" s="1">
        <f>IF(Data!O191&gt;0,Data!O191-4,"")</f>
        <v>1</v>
      </c>
      <c r="P191" s="1">
        <f>IF(Data!P191&gt;0,Data!P191-4,"")</f>
        <v>2</v>
      </c>
      <c r="Q191" s="1">
        <f>IF(Data!Q191&gt;0,4-Data!Q191,"")</f>
        <v>2</v>
      </c>
      <c r="R191" s="1">
        <f>IF(Data!R191&gt;0,4-Data!R191,"")</f>
        <v>1</v>
      </c>
      <c r="S191" s="1">
        <f>IF(Data!S191&gt;0,4-Data!S191,"")</f>
        <v>1</v>
      </c>
      <c r="T191" s="1">
        <f>IF(Data!T191&gt;0,Data!T191-4,"")</f>
        <v>3</v>
      </c>
      <c r="U191" s="1">
        <f>IF(Data!U191&gt;0,4-Data!U191,"")</f>
        <v>2</v>
      </c>
      <c r="V191" s="1">
        <f>IF(Data!V191&gt;0,Data!V191-4,"")</f>
        <v>3</v>
      </c>
      <c r="W191" s="1">
        <f>IF(Data!W191&gt;0,4-Data!W191,"")</f>
        <v>-1</v>
      </c>
      <c r="X191" s="1">
        <f>IF(Data!X191&gt;0,4-Data!X191,"")</f>
        <v>-1</v>
      </c>
      <c r="Y191" s="1">
        <f>IF(Data!Y191&gt;0,4-Data!Y191,"")</f>
        <v>1</v>
      </c>
      <c r="Z191" s="1">
        <f>IF(Data!Z191&gt;0,Data!Z191-4,"")</f>
        <v>2</v>
      </c>
      <c r="AC191" s="7">
        <f t="shared" si="12"/>
        <v>0.83333333333333337</v>
      </c>
      <c r="AD191" s="7">
        <f t="shared" si="13"/>
        <v>1.75</v>
      </c>
      <c r="AE191" s="7">
        <f t="shared" si="14"/>
        <v>1.75</v>
      </c>
      <c r="AF191" s="7">
        <f t="shared" si="15"/>
        <v>1.25</v>
      </c>
      <c r="AG191" s="7">
        <f t="shared" si="16"/>
        <v>0.5</v>
      </c>
      <c r="AH191" s="7">
        <f t="shared" si="17"/>
        <v>0.5</v>
      </c>
    </row>
    <row r="192" spans="1:34">
      <c r="A192" s="1">
        <f>IF(Data!A192&gt;0,Data!A192-4,"")</f>
        <v>2</v>
      </c>
      <c r="B192" s="1">
        <f>IF(Data!B192&gt;0,Data!B192-4,"")</f>
        <v>1</v>
      </c>
      <c r="C192" s="1">
        <f>IF(Data!C192&gt;0,4-Data!C192,"")</f>
        <v>1</v>
      </c>
      <c r="D192" s="1">
        <f>IF(Data!D192&gt;0,4-Data!D192,"")</f>
        <v>2</v>
      </c>
      <c r="E192" s="1">
        <f>IF(Data!E192&gt;0,4-Data!E192,"")</f>
        <v>3</v>
      </c>
      <c r="F192" s="1">
        <f>IF(Data!F192&gt;0,Data!F192-4,"")</f>
        <v>1</v>
      </c>
      <c r="G192" s="1">
        <f>IF(Data!G192&gt;0,Data!G192-4,"")</f>
        <v>1</v>
      </c>
      <c r="H192" s="1">
        <f>IF(Data!H192&gt;0,Data!H192-4,"")</f>
        <v>1</v>
      </c>
      <c r="I192" s="1">
        <f>IF(Data!I192&gt;0,4-Data!I192,"")</f>
        <v>3</v>
      </c>
      <c r="J192" s="1">
        <f>IF(Data!J192&gt;0,4-Data!J192,"")</f>
        <v>2</v>
      </c>
      <c r="K192" s="1">
        <f>IF(Data!K192&gt;0,Data!K192-4,"")</f>
        <v>2</v>
      </c>
      <c r="L192" s="1">
        <f>IF(Data!L192&gt;0,4-Data!L192,"")</f>
        <v>2</v>
      </c>
      <c r="M192" s="1">
        <f>IF(Data!M192&gt;0,Data!M192-4,"")</f>
        <v>2</v>
      </c>
      <c r="N192" s="1">
        <f>IF(Data!N192&gt;0,Data!N192-4,"")</f>
        <v>1</v>
      </c>
      <c r="O192" s="1">
        <f>IF(Data!O192&gt;0,Data!O192-4,"")</f>
        <v>2</v>
      </c>
      <c r="P192" s="1">
        <f>IF(Data!P192&gt;0,Data!P192-4,"")</f>
        <v>2</v>
      </c>
      <c r="Q192" s="1">
        <f>IF(Data!Q192&gt;0,4-Data!Q192,"")</f>
        <v>3</v>
      </c>
      <c r="R192" s="1">
        <f>IF(Data!R192&gt;0,4-Data!R192,"")</f>
        <v>1</v>
      </c>
      <c r="S192" s="1">
        <f>IF(Data!S192&gt;0,4-Data!S192,"")</f>
        <v>3</v>
      </c>
      <c r="T192" s="1">
        <f>IF(Data!T192&gt;0,Data!T192-4,"")</f>
        <v>-1</v>
      </c>
      <c r="U192" s="1">
        <f>IF(Data!U192&gt;0,4-Data!U192,"")</f>
        <v>2</v>
      </c>
      <c r="V192" s="1">
        <f>IF(Data!V192&gt;0,Data!V192-4,"")</f>
        <v>2</v>
      </c>
      <c r="W192" s="1">
        <f>IF(Data!W192&gt;0,4-Data!W192,"")</f>
        <v>1</v>
      </c>
      <c r="X192" s="1">
        <f>IF(Data!X192&gt;0,4-Data!X192,"")</f>
        <v>1</v>
      </c>
      <c r="Y192" s="1">
        <f>IF(Data!Y192&gt;0,4-Data!Y192,"")</f>
        <v>3</v>
      </c>
      <c r="Z192" s="1">
        <f>IF(Data!Z192&gt;0,Data!Z192-4,"")</f>
        <v>1</v>
      </c>
      <c r="AC192" s="7">
        <f t="shared" si="12"/>
        <v>1.8333333333333333</v>
      </c>
      <c r="AD192" s="7">
        <f t="shared" si="13"/>
        <v>1.75</v>
      </c>
      <c r="AE192" s="7">
        <f t="shared" si="14"/>
        <v>1.25</v>
      </c>
      <c r="AF192" s="7">
        <f t="shared" si="15"/>
        <v>2.25</v>
      </c>
      <c r="AG192" s="7">
        <f t="shared" si="16"/>
        <v>1.5</v>
      </c>
      <c r="AH192" s="7">
        <f t="shared" si="17"/>
        <v>1.5</v>
      </c>
    </row>
    <row r="193" spans="1:34">
      <c r="A193" s="1">
        <f>IF(Data!A193&gt;0,Data!A193-4,"")</f>
        <v>1</v>
      </c>
      <c r="B193" s="1">
        <f>IF(Data!B193&gt;0,Data!B193-4,"")</f>
        <v>1</v>
      </c>
      <c r="C193" s="1">
        <f>IF(Data!C193&gt;0,4-Data!C193,"")</f>
        <v>0</v>
      </c>
      <c r="D193" s="1">
        <f>IF(Data!D193&gt;0,4-Data!D193,"")</f>
        <v>2</v>
      </c>
      <c r="E193" s="1">
        <f>IF(Data!E193&gt;0,4-Data!E193,"")</f>
        <v>2</v>
      </c>
      <c r="F193" s="1">
        <f>IF(Data!F193&gt;0,Data!F193-4,"")</f>
        <v>1</v>
      </c>
      <c r="G193" s="1">
        <f>IF(Data!G193&gt;0,Data!G193-4,"")</f>
        <v>1</v>
      </c>
      <c r="H193" s="1">
        <f>IF(Data!H193&gt;0,Data!H193-4,"")</f>
        <v>-1</v>
      </c>
      <c r="I193" s="1">
        <f>IF(Data!I193&gt;0,4-Data!I193,"")</f>
        <v>1</v>
      </c>
      <c r="J193" s="1">
        <f>IF(Data!J193&gt;0,4-Data!J193,"")</f>
        <v>1</v>
      </c>
      <c r="K193" s="1">
        <f>IF(Data!K193&gt;0,Data!K193-4,"")</f>
        <v>0</v>
      </c>
      <c r="L193" s="1">
        <f>IF(Data!L193&gt;0,4-Data!L193,"")</f>
        <v>0</v>
      </c>
      <c r="M193" s="1">
        <f>IF(Data!M193&gt;0,Data!M193-4,"")</f>
        <v>1</v>
      </c>
      <c r="N193" s="1">
        <f>IF(Data!N193&gt;0,Data!N193-4,"")</f>
        <v>1</v>
      </c>
      <c r="O193" s="1">
        <f>IF(Data!O193&gt;0,Data!O193-4,"")</f>
        <v>2</v>
      </c>
      <c r="P193" s="1">
        <f>IF(Data!P193&gt;0,Data!P193-4,"")</f>
        <v>0</v>
      </c>
      <c r="Q193" s="1">
        <f>IF(Data!Q193&gt;0,4-Data!Q193,"")</f>
        <v>1</v>
      </c>
      <c r="R193" s="1">
        <f>IF(Data!R193&gt;0,4-Data!R193,"")</f>
        <v>0</v>
      </c>
      <c r="S193" s="1">
        <f>IF(Data!S193&gt;0,4-Data!S193,"")</f>
        <v>2</v>
      </c>
      <c r="T193" s="1">
        <f>IF(Data!T193&gt;0,Data!T193-4,"")</f>
        <v>1</v>
      </c>
      <c r="U193" s="1">
        <f>IF(Data!U193&gt;0,4-Data!U193,"")</f>
        <v>2</v>
      </c>
      <c r="V193" s="1">
        <f>IF(Data!V193&gt;0,Data!V193-4,"")</f>
        <v>2</v>
      </c>
      <c r="W193" s="1">
        <f>IF(Data!W193&gt;0,4-Data!W193,"")</f>
        <v>1</v>
      </c>
      <c r="X193" s="1">
        <f>IF(Data!X193&gt;0,4-Data!X193,"")</f>
        <v>1</v>
      </c>
      <c r="Y193" s="1">
        <f>IF(Data!Y193&gt;0,4-Data!Y193,"")</f>
        <v>1</v>
      </c>
      <c r="Z193" s="1">
        <f>IF(Data!Z193&gt;0,Data!Z193-4,"")</f>
        <v>1</v>
      </c>
      <c r="AC193" s="7">
        <f t="shared" si="12"/>
        <v>0.66666666666666663</v>
      </c>
      <c r="AD193" s="7">
        <f t="shared" si="13"/>
        <v>1.5</v>
      </c>
      <c r="AE193" s="7">
        <f t="shared" si="14"/>
        <v>1.25</v>
      </c>
      <c r="AF193" s="7">
        <f t="shared" si="15"/>
        <v>0.5</v>
      </c>
      <c r="AG193" s="7">
        <f t="shared" si="16"/>
        <v>1</v>
      </c>
      <c r="AH193" s="7">
        <f t="shared" si="17"/>
        <v>1</v>
      </c>
    </row>
    <row r="194" spans="1:34">
      <c r="A194" s="1">
        <f>IF(Data!A194&gt;0,Data!A194-4,"")</f>
        <v>2</v>
      </c>
      <c r="B194" s="1">
        <f>IF(Data!B194&gt;0,Data!B194-4,"")</f>
        <v>1</v>
      </c>
      <c r="C194" s="1">
        <f>IF(Data!C194&gt;0,4-Data!C194,"")</f>
        <v>1</v>
      </c>
      <c r="D194" s="1">
        <f>IF(Data!D194&gt;0,4-Data!D194,"")</f>
        <v>0</v>
      </c>
      <c r="E194" s="1">
        <f>IF(Data!E194&gt;0,4-Data!E194,"")</f>
        <v>2</v>
      </c>
      <c r="F194" s="1">
        <f>IF(Data!F194&gt;0,Data!F194-4,"")</f>
        <v>2</v>
      </c>
      <c r="G194" s="1">
        <f>IF(Data!G194&gt;0,Data!G194-4,"")</f>
        <v>2</v>
      </c>
      <c r="H194" s="1">
        <f>IF(Data!H194&gt;0,Data!H194-4,"")</f>
        <v>0</v>
      </c>
      <c r="I194" s="1">
        <f>IF(Data!I194&gt;0,4-Data!I194,"")</f>
        <v>2</v>
      </c>
      <c r="J194" s="1">
        <f>IF(Data!J194&gt;0,4-Data!J194,"")</f>
        <v>2</v>
      </c>
      <c r="K194" s="1">
        <f>IF(Data!K194&gt;0,Data!K194-4,"")</f>
        <v>-1</v>
      </c>
      <c r="L194" s="1">
        <f>IF(Data!L194&gt;0,4-Data!L194,"")</f>
        <v>0</v>
      </c>
      <c r="M194" s="1">
        <f>IF(Data!M194&gt;0,Data!M194-4,"")</f>
        <v>-1</v>
      </c>
      <c r="N194" s="1">
        <f>IF(Data!N194&gt;0,Data!N194-4,"")</f>
        <v>1</v>
      </c>
      <c r="O194" s="1">
        <f>IF(Data!O194&gt;0,Data!O194-4,"")</f>
        <v>1</v>
      </c>
      <c r="P194" s="1">
        <f>IF(Data!P194&gt;0,Data!P194-4,"")</f>
        <v>2</v>
      </c>
      <c r="Q194" s="1">
        <f>IF(Data!Q194&gt;0,4-Data!Q194,"")</f>
        <v>1</v>
      </c>
      <c r="R194" s="1">
        <f>IF(Data!R194&gt;0,4-Data!R194,"")</f>
        <v>0</v>
      </c>
      <c r="S194" s="1">
        <f>IF(Data!S194&gt;0,4-Data!S194,"")</f>
        <v>2</v>
      </c>
      <c r="T194" s="1">
        <f>IF(Data!T194&gt;0,Data!T194-4,"")</f>
        <v>1</v>
      </c>
      <c r="U194" s="1">
        <f>IF(Data!U194&gt;0,4-Data!U194,"")</f>
        <v>1</v>
      </c>
      <c r="V194" s="1">
        <f>IF(Data!V194&gt;0,Data!V194-4,"")</f>
        <v>3</v>
      </c>
      <c r="W194" s="1">
        <f>IF(Data!W194&gt;0,4-Data!W194,"")</f>
        <v>1</v>
      </c>
      <c r="X194" s="1">
        <f>IF(Data!X194&gt;0,4-Data!X194,"")</f>
        <v>0</v>
      </c>
      <c r="Y194" s="1">
        <f>IF(Data!Y194&gt;0,4-Data!Y194,"")</f>
        <v>1</v>
      </c>
      <c r="Z194" s="1">
        <f>IF(Data!Z194&gt;0,Data!Z194-4,"")</f>
        <v>2</v>
      </c>
      <c r="AC194" s="7">
        <f t="shared" si="12"/>
        <v>1</v>
      </c>
      <c r="AD194" s="7">
        <f t="shared" si="13"/>
        <v>0.25</v>
      </c>
      <c r="AE194" s="7">
        <f t="shared" si="14"/>
        <v>1.75</v>
      </c>
      <c r="AF194" s="7">
        <f t="shared" si="15"/>
        <v>0.5</v>
      </c>
      <c r="AG194" s="7">
        <f t="shared" si="16"/>
        <v>1.5</v>
      </c>
      <c r="AH194" s="7">
        <f t="shared" si="17"/>
        <v>1.5</v>
      </c>
    </row>
    <row r="195" spans="1:34">
      <c r="A195" s="1">
        <f>IF(Data!A195&gt;0,Data!A195-4,"")</f>
        <v>3</v>
      </c>
      <c r="B195" s="1">
        <f>IF(Data!B195&gt;0,Data!B195-4,"")</f>
        <v>3</v>
      </c>
      <c r="C195" s="1">
        <f>IF(Data!C195&gt;0,4-Data!C195,"")</f>
        <v>3</v>
      </c>
      <c r="D195" s="1">
        <f>IF(Data!D195&gt;0,4-Data!D195,"")</f>
        <v>3</v>
      </c>
      <c r="E195" s="1">
        <f>IF(Data!E195&gt;0,4-Data!E195,"")</f>
        <v>3</v>
      </c>
      <c r="F195" s="1">
        <f>IF(Data!F195&gt;0,Data!F195-4,"")</f>
        <v>3</v>
      </c>
      <c r="G195" s="1">
        <f>IF(Data!G195&gt;0,Data!G195-4,"")</f>
        <v>3</v>
      </c>
      <c r="H195" s="1">
        <f>IF(Data!H195&gt;0,Data!H195-4,"")</f>
        <v>-3</v>
      </c>
      <c r="I195" s="1">
        <f>IF(Data!I195&gt;0,4-Data!I195,"")</f>
        <v>3</v>
      </c>
      <c r="J195" s="1">
        <f>IF(Data!J195&gt;0,4-Data!J195,"")</f>
        <v>3</v>
      </c>
      <c r="K195" s="1">
        <f>IF(Data!K195&gt;0,Data!K195-4,"")</f>
        <v>3</v>
      </c>
      <c r="L195" s="1">
        <f>IF(Data!L195&gt;0,4-Data!L195,"")</f>
        <v>3</v>
      </c>
      <c r="M195" s="1">
        <f>IF(Data!M195&gt;0,Data!M195-4,"")</f>
        <v>3</v>
      </c>
      <c r="N195" s="1">
        <f>IF(Data!N195&gt;0,Data!N195-4,"")</f>
        <v>3</v>
      </c>
      <c r="O195" s="1">
        <f>IF(Data!O195&gt;0,Data!O195-4,"")</f>
        <v>3</v>
      </c>
      <c r="P195" s="1">
        <f>IF(Data!P195&gt;0,Data!P195-4,"")</f>
        <v>3</v>
      </c>
      <c r="Q195" s="1">
        <f>IF(Data!Q195&gt;0,4-Data!Q195,"")</f>
        <v>3</v>
      </c>
      <c r="R195" s="1">
        <f>IF(Data!R195&gt;0,4-Data!R195,"")</f>
        <v>3</v>
      </c>
      <c r="S195" s="1">
        <f>IF(Data!S195&gt;0,4-Data!S195,"")</f>
        <v>3</v>
      </c>
      <c r="T195" s="1">
        <f>IF(Data!T195&gt;0,Data!T195-4,"")</f>
        <v>3</v>
      </c>
      <c r="U195" s="1">
        <f>IF(Data!U195&gt;0,4-Data!U195,"")</f>
        <v>3</v>
      </c>
      <c r="V195" s="1">
        <f>IF(Data!V195&gt;0,Data!V195-4,"")</f>
        <v>3</v>
      </c>
      <c r="W195" s="1">
        <f>IF(Data!W195&gt;0,4-Data!W195,"")</f>
        <v>3</v>
      </c>
      <c r="X195" s="1">
        <f>IF(Data!X195&gt;0,4-Data!X195,"")</f>
        <v>3</v>
      </c>
      <c r="Y195" s="1">
        <f>IF(Data!Y195&gt;0,4-Data!Y195,"")</f>
        <v>3</v>
      </c>
      <c r="Z195" s="1">
        <f>IF(Data!Z195&gt;0,Data!Z195-4,"")</f>
        <v>3</v>
      </c>
      <c r="AC195" s="7">
        <f t="shared" si="12"/>
        <v>3</v>
      </c>
      <c r="AD195" s="7">
        <f t="shared" si="13"/>
        <v>3</v>
      </c>
      <c r="AE195" s="7">
        <f t="shared" si="14"/>
        <v>3</v>
      </c>
      <c r="AF195" s="7">
        <f t="shared" si="15"/>
        <v>1.5</v>
      </c>
      <c r="AG195" s="7">
        <f t="shared" si="16"/>
        <v>3</v>
      </c>
      <c r="AH195" s="7">
        <f t="shared" si="17"/>
        <v>3</v>
      </c>
    </row>
    <row r="196" spans="1:34">
      <c r="A196" s="1">
        <f>IF(Data!A196&gt;0,Data!A196-4,"")</f>
        <v>2</v>
      </c>
      <c r="B196" s="1">
        <f>IF(Data!B196&gt;0,Data!B196-4,"")</f>
        <v>1</v>
      </c>
      <c r="C196" s="1">
        <f>IF(Data!C196&gt;0,4-Data!C196,"")</f>
        <v>1</v>
      </c>
      <c r="D196" s="1">
        <f>IF(Data!D196&gt;0,4-Data!D196,"")</f>
        <v>2</v>
      </c>
      <c r="E196" s="1">
        <f>IF(Data!E196&gt;0,4-Data!E196,"")</f>
        <v>1</v>
      </c>
      <c r="F196" s="1">
        <f>IF(Data!F196&gt;0,Data!F196-4,"")</f>
        <v>1</v>
      </c>
      <c r="G196" s="1">
        <f>IF(Data!G196&gt;0,Data!G196-4,"")</f>
        <v>1</v>
      </c>
      <c r="H196" s="1">
        <f>IF(Data!H196&gt;0,Data!H196-4,"")</f>
        <v>2</v>
      </c>
      <c r="I196" s="1">
        <f>IF(Data!I196&gt;0,4-Data!I196,"")</f>
        <v>1</v>
      </c>
      <c r="J196" s="1">
        <f>IF(Data!J196&gt;0,4-Data!J196,"")</f>
        <v>-1</v>
      </c>
      <c r="K196" s="1">
        <f>IF(Data!K196&gt;0,Data!K196-4,"")</f>
        <v>2</v>
      </c>
      <c r="L196" s="1">
        <f>IF(Data!L196&gt;0,4-Data!L196,"")</f>
        <v>2</v>
      </c>
      <c r="M196" s="1">
        <f>IF(Data!M196&gt;0,Data!M196-4,"")</f>
        <v>2</v>
      </c>
      <c r="N196" s="1">
        <f>IF(Data!N196&gt;0,Data!N196-4,"")</f>
        <v>2</v>
      </c>
      <c r="O196" s="1">
        <f>IF(Data!O196&gt;0,Data!O196-4,"")</f>
        <v>-2</v>
      </c>
      <c r="P196" s="1">
        <f>IF(Data!P196&gt;0,Data!P196-4,"")</f>
        <v>2</v>
      </c>
      <c r="Q196" s="1">
        <f>IF(Data!Q196&gt;0,4-Data!Q196,"")</f>
        <v>2</v>
      </c>
      <c r="R196" s="1">
        <f>IF(Data!R196&gt;0,4-Data!R196,"")</f>
        <v>0</v>
      </c>
      <c r="S196" s="1">
        <f>IF(Data!S196&gt;0,4-Data!S196,"")</f>
        <v>2</v>
      </c>
      <c r="T196" s="1">
        <f>IF(Data!T196&gt;0,Data!T196-4,"")</f>
        <v>1</v>
      </c>
      <c r="U196" s="1">
        <f>IF(Data!U196&gt;0,4-Data!U196,"")</f>
        <v>1</v>
      </c>
      <c r="V196" s="1">
        <f>IF(Data!V196&gt;0,Data!V196-4,"")</f>
        <v>2</v>
      </c>
      <c r="W196" s="1">
        <f>IF(Data!W196&gt;0,4-Data!W196,"")</f>
        <v>2</v>
      </c>
      <c r="X196" s="1">
        <f>IF(Data!X196&gt;0,4-Data!X196,"")</f>
        <v>2</v>
      </c>
      <c r="Y196" s="1">
        <f>IF(Data!Y196&gt;0,4-Data!Y196,"")</f>
        <v>1</v>
      </c>
      <c r="Z196" s="1">
        <f>IF(Data!Z196&gt;0,Data!Z196-4,"")</f>
        <v>0</v>
      </c>
      <c r="AC196" s="7">
        <f t="shared" si="12"/>
        <v>1.8333333333333333</v>
      </c>
      <c r="AD196" s="7">
        <f t="shared" si="13"/>
        <v>1.5</v>
      </c>
      <c r="AE196" s="7">
        <f t="shared" si="14"/>
        <v>1.5</v>
      </c>
      <c r="AF196" s="7">
        <f t="shared" si="15"/>
        <v>2</v>
      </c>
      <c r="AG196" s="7">
        <f t="shared" si="16"/>
        <v>0.75</v>
      </c>
      <c r="AH196" s="7">
        <f t="shared" si="17"/>
        <v>-0.5</v>
      </c>
    </row>
    <row r="197" spans="1:34">
      <c r="A197" s="1">
        <f>IF(Data!A197&gt;0,Data!A197-4,"")</f>
        <v>2</v>
      </c>
      <c r="B197" s="1">
        <f>IF(Data!B197&gt;0,Data!B197-4,"")</f>
        <v>1</v>
      </c>
      <c r="C197" s="1">
        <f>IF(Data!C197&gt;0,4-Data!C197,"")</f>
        <v>0</v>
      </c>
      <c r="D197" s="1">
        <f>IF(Data!D197&gt;0,4-Data!D197,"")</f>
        <v>2</v>
      </c>
      <c r="E197" s="1">
        <f>IF(Data!E197&gt;0,4-Data!E197,"")</f>
        <v>3</v>
      </c>
      <c r="F197" s="1">
        <f>IF(Data!F197&gt;0,Data!F197-4,"")</f>
        <v>2</v>
      </c>
      <c r="G197" s="1">
        <f>IF(Data!G197&gt;0,Data!G197-4,"")</f>
        <v>3</v>
      </c>
      <c r="H197" s="1">
        <f>IF(Data!H197&gt;0,Data!H197-4,"")</f>
        <v>-2</v>
      </c>
      <c r="I197" s="1">
        <f>IF(Data!I197&gt;0,4-Data!I197,"")</f>
        <v>3</v>
      </c>
      <c r="J197" s="1">
        <f>IF(Data!J197&gt;0,4-Data!J197,"")</f>
        <v>3</v>
      </c>
      <c r="K197" s="1">
        <f>IF(Data!K197&gt;0,Data!K197-4,"")</f>
        <v>0</v>
      </c>
      <c r="L197" s="1">
        <f>IF(Data!L197&gt;0,4-Data!L197,"")</f>
        <v>-1</v>
      </c>
      <c r="M197" s="1">
        <f>IF(Data!M197&gt;0,Data!M197-4,"")</f>
        <v>2</v>
      </c>
      <c r="N197" s="1">
        <f>IF(Data!N197&gt;0,Data!N197-4,"")</f>
        <v>0</v>
      </c>
      <c r="O197" s="1">
        <f>IF(Data!O197&gt;0,Data!O197-4,"")</f>
        <v>2</v>
      </c>
      <c r="P197" s="1">
        <f>IF(Data!P197&gt;0,Data!P197-4,"")</f>
        <v>2</v>
      </c>
      <c r="Q197" s="1">
        <f>IF(Data!Q197&gt;0,4-Data!Q197,"")</f>
        <v>2</v>
      </c>
      <c r="R197" s="1">
        <f>IF(Data!R197&gt;0,4-Data!R197,"")</f>
        <v>0</v>
      </c>
      <c r="S197" s="1">
        <f>IF(Data!S197&gt;0,4-Data!S197,"")</f>
        <v>3</v>
      </c>
      <c r="T197" s="1">
        <f>IF(Data!T197&gt;0,Data!T197-4,"")</f>
        <v>3</v>
      </c>
      <c r="U197" s="1">
        <f>IF(Data!U197&gt;0,4-Data!U197,"")</f>
        <v>3</v>
      </c>
      <c r="V197" s="1">
        <f>IF(Data!V197&gt;0,Data!V197-4,"")</f>
        <v>3</v>
      </c>
      <c r="W197" s="1">
        <f>IF(Data!W197&gt;0,4-Data!W197,"")</f>
        <v>-1</v>
      </c>
      <c r="X197" s="1">
        <f>IF(Data!X197&gt;0,4-Data!X197,"")</f>
        <v>1</v>
      </c>
      <c r="Y197" s="1">
        <f>IF(Data!Y197&gt;0,4-Data!Y197,"")</f>
        <v>0</v>
      </c>
      <c r="Z197" s="1">
        <f>IF(Data!Z197&gt;0,Data!Z197-4,"")</f>
        <v>2</v>
      </c>
      <c r="AC197" s="7">
        <f t="shared" ref="AC197:AC260" si="18">IF(COUNT(A197,L197,N197,P197,X197,Y197)&gt;0,AVERAGE(A197,L197,N197,P197,X197,Y197),"")</f>
        <v>0.66666666666666663</v>
      </c>
      <c r="AD197" s="7">
        <f t="shared" ref="AD197:AD260" si="19">IF(COUNT(B197,D197,M197,U197)&gt;0,AVERAGE(B197,D197,M197,U197),"")</f>
        <v>2</v>
      </c>
      <c r="AE197" s="7">
        <f t="shared" ref="AE197:AE260" si="20">IF(COUNT(I197,T197,V197,W197)&gt;0,AVERAGE(I197,T197,V197,W197),"")</f>
        <v>2</v>
      </c>
      <c r="AF197" s="7">
        <f t="shared" ref="AF197:AF260" si="21">IF(COUNT(H197,K197,Q197,S197)&gt;0,AVERAGE(H197,K197,Q197,S197),"")</f>
        <v>0.75</v>
      </c>
      <c r="AG197" s="7">
        <f t="shared" ref="AG197:AG260" si="22">IF(COUNT(E197,F197,G197,R197)&gt;0,AVERAGE(E197,F197,G197,R197),"")</f>
        <v>2</v>
      </c>
      <c r="AH197" s="7">
        <f t="shared" ref="AH197:AH260" si="23">IF(COUNT(C197,J197,O197,Z197)&gt;0,AVERAGE(C197,J197,O197,Z197),"")</f>
        <v>1.75</v>
      </c>
    </row>
    <row r="198" spans="1:34">
      <c r="A198" s="1">
        <f>IF(Data!A198&gt;0,Data!A198-4,"")</f>
        <v>3</v>
      </c>
      <c r="B198" s="1">
        <f>IF(Data!B198&gt;0,Data!B198-4,"")</f>
        <v>3</v>
      </c>
      <c r="C198" s="1">
        <f>IF(Data!C198&gt;0,4-Data!C198,"")</f>
        <v>2</v>
      </c>
      <c r="D198" s="1">
        <f>IF(Data!D198&gt;0,4-Data!D198,"")</f>
        <v>3</v>
      </c>
      <c r="E198" s="1">
        <f>IF(Data!E198&gt;0,4-Data!E198,"")</f>
        <v>3</v>
      </c>
      <c r="F198" s="1">
        <f>IF(Data!F198&gt;0,Data!F198-4,"")</f>
        <v>2</v>
      </c>
      <c r="G198" s="1">
        <f>IF(Data!G198&gt;0,Data!G198-4,"")</f>
        <v>2</v>
      </c>
      <c r="H198" s="1">
        <f>IF(Data!H198&gt;0,Data!H198-4,"")</f>
        <v>0</v>
      </c>
      <c r="I198" s="1">
        <f>IF(Data!I198&gt;0,4-Data!I198,"")</f>
        <v>2</v>
      </c>
      <c r="J198" s="1">
        <f>IF(Data!J198&gt;0,4-Data!J198,"")</f>
        <v>3</v>
      </c>
      <c r="K198" s="1">
        <f>IF(Data!K198&gt;0,Data!K198-4,"")</f>
        <v>2</v>
      </c>
      <c r="L198" s="1">
        <f>IF(Data!L198&gt;0,4-Data!L198,"")</f>
        <v>3</v>
      </c>
      <c r="M198" s="1">
        <f>IF(Data!M198&gt;0,Data!M198-4,"")</f>
        <v>3</v>
      </c>
      <c r="N198" s="1">
        <f>IF(Data!N198&gt;0,Data!N198-4,"")</f>
        <v>3</v>
      </c>
      <c r="O198" s="1">
        <f>IF(Data!O198&gt;0,Data!O198-4,"")</f>
        <v>1</v>
      </c>
      <c r="P198" s="1">
        <f>IF(Data!P198&gt;0,Data!P198-4,"")</f>
        <v>3</v>
      </c>
      <c r="Q198" s="1">
        <f>IF(Data!Q198&gt;0,4-Data!Q198,"")</f>
        <v>3</v>
      </c>
      <c r="R198" s="1">
        <f>IF(Data!R198&gt;0,4-Data!R198,"")</f>
        <v>2</v>
      </c>
      <c r="S198" s="1">
        <f>IF(Data!S198&gt;0,4-Data!S198,"")</f>
        <v>3</v>
      </c>
      <c r="T198" s="1">
        <f>IF(Data!T198&gt;0,Data!T198-4,"")</f>
        <v>3</v>
      </c>
      <c r="U198" s="1">
        <f>IF(Data!U198&gt;0,4-Data!U198,"")</f>
        <v>3</v>
      </c>
      <c r="V198" s="1">
        <f>IF(Data!V198&gt;0,Data!V198-4,"")</f>
        <v>3</v>
      </c>
      <c r="W198" s="1">
        <f>IF(Data!W198&gt;0,4-Data!W198,"")</f>
        <v>3</v>
      </c>
      <c r="X198" s="1">
        <f>IF(Data!X198&gt;0,4-Data!X198,"")</f>
        <v>1</v>
      </c>
      <c r="Y198" s="1">
        <f>IF(Data!Y198&gt;0,4-Data!Y198,"")</f>
        <v>3</v>
      </c>
      <c r="Z198" s="1">
        <f>IF(Data!Z198&gt;0,Data!Z198-4,"")</f>
        <v>3</v>
      </c>
      <c r="AC198" s="7">
        <f t="shared" si="18"/>
        <v>2.6666666666666665</v>
      </c>
      <c r="AD198" s="7">
        <f t="shared" si="19"/>
        <v>3</v>
      </c>
      <c r="AE198" s="7">
        <f t="shared" si="20"/>
        <v>2.75</v>
      </c>
      <c r="AF198" s="7">
        <f t="shared" si="21"/>
        <v>2</v>
      </c>
      <c r="AG198" s="7">
        <f t="shared" si="22"/>
        <v>2.25</v>
      </c>
      <c r="AH198" s="7">
        <f t="shared" si="23"/>
        <v>2.25</v>
      </c>
    </row>
    <row r="199" spans="1:34">
      <c r="A199" s="1">
        <f>IF(Data!A199&gt;0,Data!A199-4,"")</f>
        <v>2</v>
      </c>
      <c r="B199" s="1">
        <f>IF(Data!B199&gt;0,Data!B199-4,"")</f>
        <v>1</v>
      </c>
      <c r="C199" s="1">
        <f>IF(Data!C199&gt;0,4-Data!C199,"")</f>
        <v>1</v>
      </c>
      <c r="D199" s="1">
        <f>IF(Data!D199&gt;0,4-Data!D199,"")</f>
        <v>2</v>
      </c>
      <c r="E199" s="1">
        <f>IF(Data!E199&gt;0,4-Data!E199,"")</f>
        <v>2</v>
      </c>
      <c r="F199" s="1">
        <f>IF(Data!F199&gt;0,Data!F199-4,"")</f>
        <v>2</v>
      </c>
      <c r="G199" s="1">
        <f>IF(Data!G199&gt;0,Data!G199-4,"")</f>
        <v>1</v>
      </c>
      <c r="H199" s="1">
        <f>IF(Data!H199&gt;0,Data!H199-4,"")</f>
        <v>0</v>
      </c>
      <c r="I199" s="1">
        <f>IF(Data!I199&gt;0,4-Data!I199,"")</f>
        <v>2</v>
      </c>
      <c r="J199" s="1">
        <f>IF(Data!J199&gt;0,4-Data!J199,"")</f>
        <v>-1</v>
      </c>
      <c r="K199" s="1">
        <f>IF(Data!K199&gt;0,Data!K199-4,"")</f>
        <v>2</v>
      </c>
      <c r="L199" s="1">
        <f>IF(Data!L199&gt;0,4-Data!L199,"")</f>
        <v>1</v>
      </c>
      <c r="M199" s="1">
        <f>IF(Data!M199&gt;0,Data!M199-4,"")</f>
        <v>2</v>
      </c>
      <c r="N199" s="1">
        <f>IF(Data!N199&gt;0,Data!N199-4,"")</f>
        <v>1</v>
      </c>
      <c r="O199" s="1">
        <f>IF(Data!O199&gt;0,Data!O199-4,"")</f>
        <v>2</v>
      </c>
      <c r="P199" s="1">
        <f>IF(Data!P199&gt;0,Data!P199-4,"")</f>
        <v>2</v>
      </c>
      <c r="Q199" s="1">
        <f>IF(Data!Q199&gt;0,4-Data!Q199,"")</f>
        <v>2</v>
      </c>
      <c r="R199" s="1">
        <f>IF(Data!R199&gt;0,4-Data!R199,"")</f>
        <v>1</v>
      </c>
      <c r="S199" s="1">
        <f>IF(Data!S199&gt;0,4-Data!S199,"")</f>
        <v>2</v>
      </c>
      <c r="T199" s="1">
        <f>IF(Data!T199&gt;0,Data!T199-4,"")</f>
        <v>2</v>
      </c>
      <c r="U199" s="1">
        <f>IF(Data!U199&gt;0,4-Data!U199,"")</f>
        <v>2</v>
      </c>
      <c r="V199" s="1">
        <f>IF(Data!V199&gt;0,Data!V199-4,"")</f>
        <v>1</v>
      </c>
      <c r="W199" s="1">
        <f>IF(Data!W199&gt;0,4-Data!W199,"")</f>
        <v>2</v>
      </c>
      <c r="X199" s="1">
        <f>IF(Data!X199&gt;0,4-Data!X199,"")</f>
        <v>1</v>
      </c>
      <c r="Y199" s="1">
        <f>IF(Data!Y199&gt;0,4-Data!Y199,"")</f>
        <v>0</v>
      </c>
      <c r="Z199" s="1">
        <f>IF(Data!Z199&gt;0,Data!Z199-4,"")</f>
        <v>2</v>
      </c>
      <c r="AC199" s="7">
        <f t="shared" si="18"/>
        <v>1.1666666666666667</v>
      </c>
      <c r="AD199" s="7">
        <f t="shared" si="19"/>
        <v>1.75</v>
      </c>
      <c r="AE199" s="7">
        <f t="shared" si="20"/>
        <v>1.75</v>
      </c>
      <c r="AF199" s="7">
        <f t="shared" si="21"/>
        <v>1.5</v>
      </c>
      <c r="AG199" s="7">
        <f t="shared" si="22"/>
        <v>1.5</v>
      </c>
      <c r="AH199" s="7">
        <f t="shared" si="23"/>
        <v>1</v>
      </c>
    </row>
    <row r="200" spans="1:34">
      <c r="A200" s="1">
        <f>IF(Data!A200&gt;0,Data!A200-4,"")</f>
        <v>1</v>
      </c>
      <c r="B200" s="1">
        <f>IF(Data!B200&gt;0,Data!B200-4,"")</f>
        <v>2</v>
      </c>
      <c r="C200" s="1">
        <f>IF(Data!C200&gt;0,4-Data!C200,"")</f>
        <v>-1</v>
      </c>
      <c r="D200" s="1">
        <f>IF(Data!D200&gt;0,4-Data!D200,"")</f>
        <v>1</v>
      </c>
      <c r="E200" s="1">
        <f>IF(Data!E200&gt;0,4-Data!E200,"")</f>
        <v>2</v>
      </c>
      <c r="F200" s="1">
        <f>IF(Data!F200&gt;0,Data!F200-4,"")</f>
        <v>0</v>
      </c>
      <c r="G200" s="1">
        <f>IF(Data!G200&gt;0,Data!G200-4,"")</f>
        <v>0</v>
      </c>
      <c r="H200" s="1">
        <f>IF(Data!H200&gt;0,Data!H200-4,"")</f>
        <v>1</v>
      </c>
      <c r="I200" s="1">
        <f>IF(Data!I200&gt;0,4-Data!I200,"")</f>
        <v>-1</v>
      </c>
      <c r="J200" s="1">
        <f>IF(Data!J200&gt;0,4-Data!J200,"")</f>
        <v>-1</v>
      </c>
      <c r="K200" s="1">
        <f>IF(Data!K200&gt;0,Data!K200-4,"")</f>
        <v>-1</v>
      </c>
      <c r="L200" s="1">
        <f>IF(Data!L200&gt;0,4-Data!L200,"")</f>
        <v>0</v>
      </c>
      <c r="M200" s="1">
        <f>IF(Data!M200&gt;0,Data!M200-4,"")</f>
        <v>1</v>
      </c>
      <c r="N200" s="1">
        <f>IF(Data!N200&gt;0,Data!N200-4,"")</f>
        <v>-1</v>
      </c>
      <c r="O200" s="1">
        <f>IF(Data!O200&gt;0,Data!O200-4,"")</f>
        <v>0</v>
      </c>
      <c r="P200" s="1">
        <f>IF(Data!P200&gt;0,Data!P200-4,"")</f>
        <v>0</v>
      </c>
      <c r="Q200" s="1">
        <f>IF(Data!Q200&gt;0,4-Data!Q200,"")</f>
        <v>1</v>
      </c>
      <c r="R200" s="1">
        <f>IF(Data!R200&gt;0,4-Data!R200,"")</f>
        <v>0</v>
      </c>
      <c r="S200" s="1">
        <f>IF(Data!S200&gt;0,4-Data!S200,"")</f>
        <v>2</v>
      </c>
      <c r="T200" s="1">
        <f>IF(Data!T200&gt;0,Data!T200-4,"")</f>
        <v>1</v>
      </c>
      <c r="U200" s="1">
        <f>IF(Data!U200&gt;0,4-Data!U200,"")</f>
        <v>1</v>
      </c>
      <c r="V200" s="1">
        <f>IF(Data!V200&gt;0,Data!V200-4,"")</f>
        <v>2</v>
      </c>
      <c r="W200" s="1">
        <f>IF(Data!W200&gt;0,4-Data!W200,"")</f>
        <v>1</v>
      </c>
      <c r="X200" s="1">
        <f>IF(Data!X200&gt;0,4-Data!X200,"")</f>
        <v>1</v>
      </c>
      <c r="Y200" s="1">
        <f>IF(Data!Y200&gt;0,4-Data!Y200,"")</f>
        <v>0</v>
      </c>
      <c r="Z200" s="1">
        <f>IF(Data!Z200&gt;0,Data!Z200-4,"")</f>
        <v>0</v>
      </c>
      <c r="AC200" s="7">
        <f t="shared" si="18"/>
        <v>0.16666666666666666</v>
      </c>
      <c r="AD200" s="7">
        <f t="shared" si="19"/>
        <v>1.25</v>
      </c>
      <c r="AE200" s="7">
        <f t="shared" si="20"/>
        <v>0.75</v>
      </c>
      <c r="AF200" s="7">
        <f t="shared" si="21"/>
        <v>0.75</v>
      </c>
      <c r="AG200" s="7">
        <f t="shared" si="22"/>
        <v>0.5</v>
      </c>
      <c r="AH200" s="7">
        <f t="shared" si="23"/>
        <v>-0.5</v>
      </c>
    </row>
    <row r="201" spans="1:34">
      <c r="A201" s="1">
        <f>IF(Data!A201&gt;0,Data!A201-4,"")</f>
        <v>2</v>
      </c>
      <c r="B201" s="1">
        <f>IF(Data!B201&gt;0,Data!B201-4,"")</f>
        <v>3</v>
      </c>
      <c r="C201" s="1">
        <f>IF(Data!C201&gt;0,4-Data!C201,"")</f>
        <v>0</v>
      </c>
      <c r="D201" s="1">
        <f>IF(Data!D201&gt;0,4-Data!D201,"")</f>
        <v>-2</v>
      </c>
      <c r="E201" s="1">
        <f>IF(Data!E201&gt;0,4-Data!E201,"")</f>
        <v>0</v>
      </c>
      <c r="F201" s="1">
        <f>IF(Data!F201&gt;0,Data!F201-4,"")</f>
        <v>0</v>
      </c>
      <c r="G201" s="1">
        <f>IF(Data!G201&gt;0,Data!G201-4,"")</f>
        <v>0</v>
      </c>
      <c r="H201" s="1">
        <f>IF(Data!H201&gt;0,Data!H201-4,"")</f>
        <v>0</v>
      </c>
      <c r="I201" s="1">
        <f>IF(Data!I201&gt;0,4-Data!I201,"")</f>
        <v>0</v>
      </c>
      <c r="J201" s="1">
        <f>IF(Data!J201&gt;0,4-Data!J201,"")</f>
        <v>-1</v>
      </c>
      <c r="K201" s="1">
        <f>IF(Data!K201&gt;0,Data!K201-4,"")</f>
        <v>0</v>
      </c>
      <c r="L201" s="1">
        <f>IF(Data!L201&gt;0,4-Data!L201,"")</f>
        <v>3</v>
      </c>
      <c r="M201" s="1">
        <f>IF(Data!M201&gt;0,Data!M201-4,"")</f>
        <v>3</v>
      </c>
      <c r="N201" s="1">
        <f>IF(Data!N201&gt;0,Data!N201-4,"")</f>
        <v>3</v>
      </c>
      <c r="O201" s="1">
        <f>IF(Data!O201&gt;0,Data!O201-4,"")</f>
        <v>2</v>
      </c>
      <c r="P201" s="1">
        <f>IF(Data!P201&gt;0,Data!P201-4,"")</f>
        <v>3</v>
      </c>
      <c r="Q201" s="1">
        <f>IF(Data!Q201&gt;0,4-Data!Q201,"")</f>
        <v>3</v>
      </c>
      <c r="R201" s="1">
        <f>IF(Data!R201&gt;0,4-Data!R201,"")</f>
        <v>0</v>
      </c>
      <c r="S201" s="1">
        <f>IF(Data!S201&gt;0,4-Data!S201,"")</f>
        <v>3</v>
      </c>
      <c r="T201" s="1">
        <f>IF(Data!T201&gt;0,Data!T201-4,"")</f>
        <v>2</v>
      </c>
      <c r="U201" s="1">
        <f>IF(Data!U201&gt;0,4-Data!U201,"")</f>
        <v>-3</v>
      </c>
      <c r="V201" s="1">
        <f>IF(Data!V201&gt;0,Data!V201-4,"")</f>
        <v>3</v>
      </c>
      <c r="W201" s="1">
        <f>IF(Data!W201&gt;0,4-Data!W201,"")</f>
        <v>-2</v>
      </c>
      <c r="X201" s="1">
        <f>IF(Data!X201&gt;0,4-Data!X201,"")</f>
        <v>-1</v>
      </c>
      <c r="Y201" s="1">
        <f>IF(Data!Y201&gt;0,4-Data!Y201,"")</f>
        <v>0</v>
      </c>
      <c r="Z201" s="1">
        <f>IF(Data!Z201&gt;0,Data!Z201-4,"")</f>
        <v>0</v>
      </c>
      <c r="AC201" s="7">
        <f t="shared" si="18"/>
        <v>1.6666666666666667</v>
      </c>
      <c r="AD201" s="7">
        <f t="shared" si="19"/>
        <v>0.25</v>
      </c>
      <c r="AE201" s="7">
        <f t="shared" si="20"/>
        <v>0.75</v>
      </c>
      <c r="AF201" s="7">
        <f t="shared" si="21"/>
        <v>1.5</v>
      </c>
      <c r="AG201" s="7">
        <f t="shared" si="22"/>
        <v>0</v>
      </c>
      <c r="AH201" s="7">
        <f t="shared" si="23"/>
        <v>0.25</v>
      </c>
    </row>
    <row r="202" spans="1:34">
      <c r="A202" s="1">
        <f>IF(Data!A202&gt;0,Data!A202-4,"")</f>
        <v>1</v>
      </c>
      <c r="B202" s="1">
        <f>IF(Data!B202&gt;0,Data!B202-4,"")</f>
        <v>2</v>
      </c>
      <c r="C202" s="1">
        <f>IF(Data!C202&gt;0,4-Data!C202,"")</f>
        <v>1</v>
      </c>
      <c r="D202" s="1">
        <f>IF(Data!D202&gt;0,4-Data!D202,"")</f>
        <v>3</v>
      </c>
      <c r="E202" s="1">
        <f>IF(Data!E202&gt;0,4-Data!E202,"")</f>
        <v>1</v>
      </c>
      <c r="F202" s="1">
        <f>IF(Data!F202&gt;0,Data!F202-4,"")</f>
        <v>2</v>
      </c>
      <c r="G202" s="1">
        <f>IF(Data!G202&gt;0,Data!G202-4,"")</f>
        <v>1</v>
      </c>
      <c r="H202" s="1">
        <f>IF(Data!H202&gt;0,Data!H202-4,"")</f>
        <v>2</v>
      </c>
      <c r="I202" s="1">
        <f>IF(Data!I202&gt;0,4-Data!I202,"")</f>
        <v>1</v>
      </c>
      <c r="J202" s="1">
        <f>IF(Data!J202&gt;0,4-Data!J202,"")</f>
        <v>0</v>
      </c>
      <c r="K202" s="1">
        <f>IF(Data!K202&gt;0,Data!K202-4,"")</f>
        <v>1</v>
      </c>
      <c r="L202" s="1">
        <f>IF(Data!L202&gt;0,4-Data!L202,"")</f>
        <v>2</v>
      </c>
      <c r="M202" s="1">
        <f>IF(Data!M202&gt;0,Data!M202-4,"")</f>
        <v>2</v>
      </c>
      <c r="N202" s="1">
        <f>IF(Data!N202&gt;0,Data!N202-4,"")</f>
        <v>2</v>
      </c>
      <c r="O202" s="1">
        <f>IF(Data!O202&gt;0,Data!O202-4,"")</f>
        <v>1</v>
      </c>
      <c r="P202" s="1">
        <f>IF(Data!P202&gt;0,Data!P202-4,"")</f>
        <v>2</v>
      </c>
      <c r="Q202" s="1">
        <f>IF(Data!Q202&gt;0,4-Data!Q202,"")</f>
        <v>1</v>
      </c>
      <c r="R202" s="1">
        <f>IF(Data!R202&gt;0,4-Data!R202,"")</f>
        <v>1</v>
      </c>
      <c r="S202" s="1">
        <f>IF(Data!S202&gt;0,4-Data!S202,"")</f>
        <v>2</v>
      </c>
      <c r="T202" s="1">
        <f>IF(Data!T202&gt;0,Data!T202-4,"")</f>
        <v>2</v>
      </c>
      <c r="U202" s="1">
        <f>IF(Data!U202&gt;0,4-Data!U202,"")</f>
        <v>2</v>
      </c>
      <c r="V202" s="1">
        <f>IF(Data!V202&gt;0,Data!V202-4,"")</f>
        <v>2</v>
      </c>
      <c r="W202" s="1">
        <f>IF(Data!W202&gt;0,4-Data!W202,"")</f>
        <v>0</v>
      </c>
      <c r="X202" s="1">
        <f>IF(Data!X202&gt;0,4-Data!X202,"")</f>
        <v>1</v>
      </c>
      <c r="Y202" s="1">
        <f>IF(Data!Y202&gt;0,4-Data!Y202,"")</f>
        <v>2</v>
      </c>
      <c r="Z202" s="1">
        <f>IF(Data!Z202&gt;0,Data!Z202-4,"")</f>
        <v>-1</v>
      </c>
      <c r="AC202" s="7">
        <f t="shared" si="18"/>
        <v>1.6666666666666667</v>
      </c>
      <c r="AD202" s="7">
        <f t="shared" si="19"/>
        <v>2.25</v>
      </c>
      <c r="AE202" s="7">
        <f t="shared" si="20"/>
        <v>1.25</v>
      </c>
      <c r="AF202" s="7">
        <f t="shared" si="21"/>
        <v>1.5</v>
      </c>
      <c r="AG202" s="7">
        <f t="shared" si="22"/>
        <v>1.25</v>
      </c>
      <c r="AH202" s="7">
        <f t="shared" si="23"/>
        <v>0.25</v>
      </c>
    </row>
    <row r="203" spans="1:34">
      <c r="A203" s="1">
        <f>IF(Data!A203&gt;0,Data!A203-4,"")</f>
        <v>2</v>
      </c>
      <c r="B203" s="1">
        <f>IF(Data!B203&gt;0,Data!B203-4,"")</f>
        <v>2</v>
      </c>
      <c r="C203" s="1">
        <f>IF(Data!C203&gt;0,4-Data!C203,"")</f>
        <v>0</v>
      </c>
      <c r="D203" s="1">
        <f>IF(Data!D203&gt;0,4-Data!D203,"")</f>
        <v>-1</v>
      </c>
      <c r="E203" s="1">
        <f>IF(Data!E203&gt;0,4-Data!E203,"")</f>
        <v>-2</v>
      </c>
      <c r="F203" s="1">
        <f>IF(Data!F203&gt;0,Data!F203-4,"")</f>
        <v>2</v>
      </c>
      <c r="G203" s="1">
        <f>IF(Data!G203&gt;0,Data!G203-4,"")</f>
        <v>2</v>
      </c>
      <c r="H203" s="1">
        <f>IF(Data!H203&gt;0,Data!H203-4,"")</f>
        <v>2</v>
      </c>
      <c r="I203" s="1">
        <f>IF(Data!I203&gt;0,4-Data!I203,"")</f>
        <v>1</v>
      </c>
      <c r="J203" s="1">
        <f>IF(Data!J203&gt;0,4-Data!J203,"")</f>
        <v>1</v>
      </c>
      <c r="K203" s="1">
        <f>IF(Data!K203&gt;0,Data!K203-4,"")</f>
        <v>1</v>
      </c>
      <c r="L203" s="1">
        <f>IF(Data!L203&gt;0,4-Data!L203,"")</f>
        <v>2</v>
      </c>
      <c r="M203" s="1">
        <f>IF(Data!M203&gt;0,Data!M203-4,"")</f>
        <v>0</v>
      </c>
      <c r="N203" s="1">
        <f>IF(Data!N203&gt;0,Data!N203-4,"")</f>
        <v>1</v>
      </c>
      <c r="O203" s="1">
        <f>IF(Data!O203&gt;0,Data!O203-4,"")</f>
        <v>2</v>
      </c>
      <c r="P203" s="1">
        <f>IF(Data!P203&gt;0,Data!P203-4,"")</f>
        <v>1</v>
      </c>
      <c r="Q203" s="1">
        <f>IF(Data!Q203&gt;0,4-Data!Q203,"")</f>
        <v>1</v>
      </c>
      <c r="R203" s="1">
        <f>IF(Data!R203&gt;0,4-Data!R203,"")</f>
        <v>0</v>
      </c>
      <c r="S203" s="1">
        <f>IF(Data!S203&gt;0,4-Data!S203,"")</f>
        <v>-2</v>
      </c>
      <c r="T203" s="1">
        <f>IF(Data!T203&gt;0,Data!T203-4,"")</f>
        <v>2</v>
      </c>
      <c r="U203" s="1">
        <f>IF(Data!U203&gt;0,4-Data!U203,"")</f>
        <v>1</v>
      </c>
      <c r="V203" s="1">
        <f>IF(Data!V203&gt;0,Data!V203-4,"")</f>
        <v>2</v>
      </c>
      <c r="W203" s="1">
        <f>IF(Data!W203&gt;0,4-Data!W203,"")</f>
        <v>-2</v>
      </c>
      <c r="X203" s="1">
        <f>IF(Data!X203&gt;0,4-Data!X203,"")</f>
        <v>1</v>
      </c>
      <c r="Y203" s="1">
        <f>IF(Data!Y203&gt;0,4-Data!Y203,"")</f>
        <v>0</v>
      </c>
      <c r="Z203" s="1">
        <f>IF(Data!Z203&gt;0,Data!Z203-4,"")</f>
        <v>2</v>
      </c>
      <c r="AC203" s="7">
        <f t="shared" si="18"/>
        <v>1.1666666666666667</v>
      </c>
      <c r="AD203" s="7">
        <f t="shared" si="19"/>
        <v>0.5</v>
      </c>
      <c r="AE203" s="7">
        <f t="shared" si="20"/>
        <v>0.75</v>
      </c>
      <c r="AF203" s="7">
        <f t="shared" si="21"/>
        <v>0.5</v>
      </c>
      <c r="AG203" s="7">
        <f t="shared" si="22"/>
        <v>0.5</v>
      </c>
      <c r="AH203" s="7">
        <f t="shared" si="23"/>
        <v>1.25</v>
      </c>
    </row>
    <row r="204" spans="1:34">
      <c r="A204" s="1">
        <f>IF(Data!A204&gt;0,Data!A204-4,"")</f>
        <v>1</v>
      </c>
      <c r="B204" s="1">
        <f>IF(Data!B204&gt;0,Data!B204-4,"")</f>
        <v>2</v>
      </c>
      <c r="C204" s="1">
        <f>IF(Data!C204&gt;0,4-Data!C204,"")</f>
        <v>0</v>
      </c>
      <c r="D204" s="1">
        <f>IF(Data!D204&gt;0,4-Data!D204,"")</f>
        <v>2</v>
      </c>
      <c r="E204" s="1">
        <f>IF(Data!E204&gt;0,4-Data!E204,"")</f>
        <v>2</v>
      </c>
      <c r="F204" s="1">
        <f>IF(Data!F204&gt;0,Data!F204-4,"")</f>
        <v>0</v>
      </c>
      <c r="G204" s="1">
        <f>IF(Data!G204&gt;0,Data!G204-4,"")</f>
        <v>1</v>
      </c>
      <c r="H204" s="1">
        <f>IF(Data!H204&gt;0,Data!H204-4,"")</f>
        <v>2</v>
      </c>
      <c r="I204" s="1">
        <f>IF(Data!I204&gt;0,4-Data!I204,"")</f>
        <v>2</v>
      </c>
      <c r="J204" s="1">
        <f>IF(Data!J204&gt;0,4-Data!J204,"")</f>
        <v>0</v>
      </c>
      <c r="K204" s="1">
        <f>IF(Data!K204&gt;0,Data!K204-4,"")</f>
        <v>1</v>
      </c>
      <c r="L204" s="1">
        <f>IF(Data!L204&gt;0,4-Data!L204,"")</f>
        <v>2</v>
      </c>
      <c r="M204" s="1">
        <f>IF(Data!M204&gt;0,Data!M204-4,"")</f>
        <v>2</v>
      </c>
      <c r="N204" s="1">
        <f>IF(Data!N204&gt;0,Data!N204-4,"")</f>
        <v>2</v>
      </c>
      <c r="O204" s="1">
        <f>IF(Data!O204&gt;0,Data!O204-4,"")</f>
        <v>0</v>
      </c>
      <c r="P204" s="1">
        <f>IF(Data!P204&gt;0,Data!P204-4,"")</f>
        <v>2</v>
      </c>
      <c r="Q204" s="1">
        <f>IF(Data!Q204&gt;0,4-Data!Q204,"")</f>
        <v>2</v>
      </c>
      <c r="R204" s="1">
        <f>IF(Data!R204&gt;0,4-Data!R204,"")</f>
        <v>1</v>
      </c>
      <c r="S204" s="1">
        <f>IF(Data!S204&gt;0,4-Data!S204,"")</f>
        <v>2</v>
      </c>
      <c r="T204" s="1">
        <f>IF(Data!T204&gt;0,Data!T204-4,"")</f>
        <v>2</v>
      </c>
      <c r="U204" s="1">
        <f>IF(Data!U204&gt;0,4-Data!U204,"")</f>
        <v>1</v>
      </c>
      <c r="V204" s="1">
        <f>IF(Data!V204&gt;0,Data!V204-4,"")</f>
        <v>2</v>
      </c>
      <c r="W204" s="1">
        <f>IF(Data!W204&gt;0,4-Data!W204,"")</f>
        <v>2</v>
      </c>
      <c r="X204" s="1">
        <f>IF(Data!X204&gt;0,4-Data!X204,"")</f>
        <v>0</v>
      </c>
      <c r="Y204" s="1">
        <f>IF(Data!Y204&gt;0,4-Data!Y204,"")</f>
        <v>1</v>
      </c>
      <c r="Z204" s="1">
        <f>IF(Data!Z204&gt;0,Data!Z204-4,"")</f>
        <v>-2</v>
      </c>
      <c r="AC204" s="7">
        <f t="shared" si="18"/>
        <v>1.3333333333333333</v>
      </c>
      <c r="AD204" s="7">
        <f t="shared" si="19"/>
        <v>1.75</v>
      </c>
      <c r="AE204" s="7">
        <f t="shared" si="20"/>
        <v>2</v>
      </c>
      <c r="AF204" s="7">
        <f t="shared" si="21"/>
        <v>1.75</v>
      </c>
      <c r="AG204" s="7">
        <f t="shared" si="22"/>
        <v>1</v>
      </c>
      <c r="AH204" s="7">
        <f t="shared" si="23"/>
        <v>-0.5</v>
      </c>
    </row>
    <row r="205" spans="1:34">
      <c r="A205" s="1">
        <f>IF(Data!A205&gt;0,Data!A205-4,"")</f>
        <v>-2</v>
      </c>
      <c r="B205" s="1">
        <f>IF(Data!B205&gt;0,Data!B205-4,"")</f>
        <v>-2</v>
      </c>
      <c r="C205" s="1">
        <f>IF(Data!C205&gt;0,4-Data!C205,"")</f>
        <v>-1</v>
      </c>
      <c r="D205" s="1">
        <f>IF(Data!D205&gt;0,4-Data!D205,"")</f>
        <v>-1</v>
      </c>
      <c r="E205" s="1">
        <f>IF(Data!E205&gt;0,4-Data!E205,"")</f>
        <v>-2</v>
      </c>
      <c r="F205" s="1">
        <f>IF(Data!F205&gt;0,Data!F205-4,"")</f>
        <v>-1</v>
      </c>
      <c r="G205" s="1">
        <f>IF(Data!G205&gt;0,Data!G205-4,"")</f>
        <v>-1</v>
      </c>
      <c r="H205" s="1">
        <f>IF(Data!H205&gt;0,Data!H205-4,"")</f>
        <v>-1</v>
      </c>
      <c r="I205" s="1">
        <f>IF(Data!I205&gt;0,4-Data!I205,"")</f>
        <v>-1</v>
      </c>
      <c r="J205" s="1">
        <f>IF(Data!J205&gt;0,4-Data!J205,"")</f>
        <v>-1</v>
      </c>
      <c r="K205" s="1">
        <f>IF(Data!K205&gt;0,Data!K205-4,"")</f>
        <v>-1</v>
      </c>
      <c r="L205" s="1">
        <f>IF(Data!L205&gt;0,4-Data!L205,"")</f>
        <v>-1</v>
      </c>
      <c r="M205" s="1">
        <f>IF(Data!M205&gt;0,Data!M205-4,"")</f>
        <v>-2</v>
      </c>
      <c r="N205" s="1">
        <f>IF(Data!N205&gt;0,Data!N205-4,"")</f>
        <v>-2</v>
      </c>
      <c r="O205" s="1">
        <f>IF(Data!O205&gt;0,Data!O205-4,"")</f>
        <v>-1</v>
      </c>
      <c r="P205" s="1">
        <f>IF(Data!P205&gt;0,Data!P205-4,"")</f>
        <v>-2</v>
      </c>
      <c r="Q205" s="1">
        <f>IF(Data!Q205&gt;0,4-Data!Q205,"")</f>
        <v>-1</v>
      </c>
      <c r="R205" s="1">
        <f>IF(Data!R205&gt;0,4-Data!R205,"")</f>
        <v>3</v>
      </c>
      <c r="S205" s="1">
        <f>IF(Data!S205&gt;0,4-Data!S205,"")</f>
        <v>-1</v>
      </c>
      <c r="T205" s="1">
        <f>IF(Data!T205&gt;0,Data!T205-4,"")</f>
        <v>-2</v>
      </c>
      <c r="U205" s="1">
        <f>IF(Data!U205&gt;0,4-Data!U205,"")</f>
        <v>2</v>
      </c>
      <c r="V205" s="1">
        <f>IF(Data!V205&gt;0,Data!V205-4,"")</f>
        <v>-2</v>
      </c>
      <c r="W205" s="1">
        <f>IF(Data!W205&gt;0,4-Data!W205,"")</f>
        <v>-1</v>
      </c>
      <c r="X205" s="1">
        <f>IF(Data!X205&gt;0,4-Data!X205,"")</f>
        <v>0</v>
      </c>
      <c r="Y205" s="1">
        <f>IF(Data!Y205&gt;0,4-Data!Y205,"")</f>
        <v>1</v>
      </c>
      <c r="Z205" s="1">
        <f>IF(Data!Z205&gt;0,Data!Z205-4,"")</f>
        <v>-1</v>
      </c>
      <c r="AC205" s="7">
        <f t="shared" si="18"/>
        <v>-1</v>
      </c>
      <c r="AD205" s="7">
        <f t="shared" si="19"/>
        <v>-0.75</v>
      </c>
      <c r="AE205" s="7">
        <f t="shared" si="20"/>
        <v>-1.5</v>
      </c>
      <c r="AF205" s="7">
        <f t="shared" si="21"/>
        <v>-1</v>
      </c>
      <c r="AG205" s="7">
        <f t="shared" si="22"/>
        <v>-0.25</v>
      </c>
      <c r="AH205" s="7">
        <f t="shared" si="23"/>
        <v>-1</v>
      </c>
    </row>
    <row r="206" spans="1:34">
      <c r="A206" s="1">
        <f>IF(Data!A206&gt;0,Data!A206-4,"")</f>
        <v>-1</v>
      </c>
      <c r="B206" s="1">
        <f>IF(Data!B206&gt;0,Data!B206-4,"")</f>
        <v>1</v>
      </c>
      <c r="C206" s="1">
        <f>IF(Data!C206&gt;0,4-Data!C206,"")</f>
        <v>2</v>
      </c>
      <c r="D206" s="1">
        <f>IF(Data!D206&gt;0,4-Data!D206,"")</f>
        <v>2</v>
      </c>
      <c r="E206" s="1">
        <f>IF(Data!E206&gt;0,4-Data!E206,"")</f>
        <v>2</v>
      </c>
      <c r="F206" s="1">
        <f>IF(Data!F206&gt;0,Data!F206-4,"")</f>
        <v>1</v>
      </c>
      <c r="G206" s="1">
        <f>IF(Data!G206&gt;0,Data!G206-4,"")</f>
        <v>-1</v>
      </c>
      <c r="H206" s="1">
        <f>IF(Data!H206&gt;0,Data!H206-4,"")</f>
        <v>1</v>
      </c>
      <c r="I206" s="1">
        <f>IF(Data!I206&gt;0,4-Data!I206,"")</f>
        <v>2</v>
      </c>
      <c r="J206" s="1">
        <f>IF(Data!J206&gt;0,4-Data!J206,"")</f>
        <v>0</v>
      </c>
      <c r="K206" s="1">
        <f>IF(Data!K206&gt;0,Data!K206-4,"")</f>
        <v>0</v>
      </c>
      <c r="L206" s="1">
        <f>IF(Data!L206&gt;0,4-Data!L206,"")</f>
        <v>1</v>
      </c>
      <c r="M206" s="1">
        <f>IF(Data!M206&gt;0,Data!M206-4,"")</f>
        <v>1</v>
      </c>
      <c r="N206" s="1">
        <f>IF(Data!N206&gt;0,Data!N206-4,"")</f>
        <v>1</v>
      </c>
      <c r="O206" s="1">
        <f>IF(Data!O206&gt;0,Data!O206-4,"")</f>
        <v>1</v>
      </c>
      <c r="P206" s="1">
        <f>IF(Data!P206&gt;0,Data!P206-4,"")</f>
        <v>1</v>
      </c>
      <c r="Q206" s="1">
        <f>IF(Data!Q206&gt;0,4-Data!Q206,"")</f>
        <v>2</v>
      </c>
      <c r="R206" s="1">
        <f>IF(Data!R206&gt;0,4-Data!R206,"")</f>
        <v>0</v>
      </c>
      <c r="S206" s="1">
        <f>IF(Data!S206&gt;0,4-Data!S206,"")</f>
        <v>2</v>
      </c>
      <c r="T206" s="1">
        <f>IF(Data!T206&gt;0,Data!T206-4,"")</f>
        <v>1</v>
      </c>
      <c r="U206" s="1">
        <f>IF(Data!U206&gt;0,4-Data!U206,"")</f>
        <v>-1</v>
      </c>
      <c r="V206" s="1">
        <f>IF(Data!V206&gt;0,Data!V206-4,"")</f>
        <v>1</v>
      </c>
      <c r="W206" s="1">
        <f>IF(Data!W206&gt;0,4-Data!W206,"")</f>
        <v>1</v>
      </c>
      <c r="X206" s="1">
        <f>IF(Data!X206&gt;0,4-Data!X206,"")</f>
        <v>1</v>
      </c>
      <c r="Y206" s="1">
        <f>IF(Data!Y206&gt;0,4-Data!Y206,"")</f>
        <v>1</v>
      </c>
      <c r="Z206" s="1">
        <f>IF(Data!Z206&gt;0,Data!Z206-4,"")</f>
        <v>1</v>
      </c>
      <c r="AC206" s="7">
        <f t="shared" si="18"/>
        <v>0.66666666666666663</v>
      </c>
      <c r="AD206" s="7">
        <f t="shared" si="19"/>
        <v>0.75</v>
      </c>
      <c r="AE206" s="7">
        <f t="shared" si="20"/>
        <v>1.25</v>
      </c>
      <c r="AF206" s="7">
        <f t="shared" si="21"/>
        <v>1.25</v>
      </c>
      <c r="AG206" s="7">
        <f t="shared" si="22"/>
        <v>0.5</v>
      </c>
      <c r="AH206" s="7">
        <f t="shared" si="23"/>
        <v>1</v>
      </c>
    </row>
    <row r="207" spans="1:34">
      <c r="A207" s="1">
        <f>IF(Data!A207&gt;0,Data!A207-4,"")</f>
        <v>2</v>
      </c>
      <c r="B207" s="1">
        <f>IF(Data!B207&gt;0,Data!B207-4,"")</f>
        <v>2</v>
      </c>
      <c r="C207" s="1">
        <f>IF(Data!C207&gt;0,4-Data!C207,"")</f>
        <v>0</v>
      </c>
      <c r="D207" s="1">
        <f>IF(Data!D207&gt;0,4-Data!D207,"")</f>
        <v>2</v>
      </c>
      <c r="E207" s="1">
        <f>IF(Data!E207&gt;0,4-Data!E207,"")</f>
        <v>3</v>
      </c>
      <c r="F207" s="1">
        <f>IF(Data!F207&gt;0,Data!F207-4,"")</f>
        <v>0</v>
      </c>
      <c r="G207" s="1">
        <f>IF(Data!G207&gt;0,Data!G207-4,"")</f>
        <v>0</v>
      </c>
      <c r="H207" s="1">
        <f>IF(Data!H207&gt;0,Data!H207-4,"")</f>
        <v>2</v>
      </c>
      <c r="I207" s="1">
        <f>IF(Data!I207&gt;0,4-Data!I207,"")</f>
        <v>2</v>
      </c>
      <c r="J207" s="1">
        <f>IF(Data!J207&gt;0,4-Data!J207,"")</f>
        <v>1</v>
      </c>
      <c r="K207" s="1">
        <f>IF(Data!K207&gt;0,Data!K207-4,"")</f>
        <v>0</v>
      </c>
      <c r="L207" s="1">
        <f>IF(Data!L207&gt;0,4-Data!L207,"")</f>
        <v>3</v>
      </c>
      <c r="M207" s="1">
        <f>IF(Data!M207&gt;0,Data!M207-4,"")</f>
        <v>2</v>
      </c>
      <c r="N207" s="1">
        <f>IF(Data!N207&gt;0,Data!N207-4,"")</f>
        <v>2</v>
      </c>
      <c r="O207" s="1">
        <f>IF(Data!O207&gt;0,Data!O207-4,"")</f>
        <v>1</v>
      </c>
      <c r="P207" s="1">
        <f>IF(Data!P207&gt;0,Data!P207-4,"")</f>
        <v>2</v>
      </c>
      <c r="Q207" s="1">
        <f>IF(Data!Q207&gt;0,4-Data!Q207,"")</f>
        <v>2</v>
      </c>
      <c r="R207" s="1">
        <f>IF(Data!R207&gt;0,4-Data!R207,"")</f>
        <v>0</v>
      </c>
      <c r="S207" s="1">
        <f>IF(Data!S207&gt;0,4-Data!S207,"")</f>
        <v>3</v>
      </c>
      <c r="T207" s="1">
        <f>IF(Data!T207&gt;0,Data!T207-4,"")</f>
        <v>3</v>
      </c>
      <c r="U207" s="1">
        <f>IF(Data!U207&gt;0,4-Data!U207,"")</f>
        <v>2</v>
      </c>
      <c r="V207" s="1">
        <f>IF(Data!V207&gt;0,Data!V207-4,"")</f>
        <v>3</v>
      </c>
      <c r="W207" s="1">
        <f>IF(Data!W207&gt;0,4-Data!W207,"")</f>
        <v>1</v>
      </c>
      <c r="X207" s="1">
        <f>IF(Data!X207&gt;0,4-Data!X207,"")</f>
        <v>0</v>
      </c>
      <c r="Y207" s="1">
        <f>IF(Data!Y207&gt;0,4-Data!Y207,"")</f>
        <v>2</v>
      </c>
      <c r="Z207" s="1">
        <f>IF(Data!Z207&gt;0,Data!Z207-4,"")</f>
        <v>1</v>
      </c>
      <c r="AC207" s="7">
        <f t="shared" si="18"/>
        <v>1.8333333333333333</v>
      </c>
      <c r="AD207" s="7">
        <f t="shared" si="19"/>
        <v>2</v>
      </c>
      <c r="AE207" s="7">
        <f t="shared" si="20"/>
        <v>2.25</v>
      </c>
      <c r="AF207" s="7">
        <f t="shared" si="21"/>
        <v>1.75</v>
      </c>
      <c r="AG207" s="7">
        <f t="shared" si="22"/>
        <v>0.75</v>
      </c>
      <c r="AH207" s="7">
        <f t="shared" si="23"/>
        <v>0.75</v>
      </c>
    </row>
    <row r="208" spans="1:34">
      <c r="A208" s="1">
        <f>IF(Data!A208&gt;0,Data!A208-4,"")</f>
        <v>2</v>
      </c>
      <c r="B208" s="1">
        <f>IF(Data!B208&gt;0,Data!B208-4,"")</f>
        <v>2</v>
      </c>
      <c r="C208" s="1">
        <f>IF(Data!C208&gt;0,4-Data!C208,"")</f>
        <v>1</v>
      </c>
      <c r="D208" s="1">
        <f>IF(Data!D208&gt;0,4-Data!D208,"")</f>
        <v>2</v>
      </c>
      <c r="E208" s="1">
        <f>IF(Data!E208&gt;0,4-Data!E208,"")</f>
        <v>2</v>
      </c>
      <c r="F208" s="1">
        <f>IF(Data!F208&gt;0,Data!F208-4,"")</f>
        <v>0</v>
      </c>
      <c r="G208" s="1">
        <f>IF(Data!G208&gt;0,Data!G208-4,"")</f>
        <v>0</v>
      </c>
      <c r="H208" s="1">
        <f>IF(Data!H208&gt;0,Data!H208-4,"")</f>
        <v>2</v>
      </c>
      <c r="I208" s="1">
        <f>IF(Data!I208&gt;0,4-Data!I208,"")</f>
        <v>1</v>
      </c>
      <c r="J208" s="1">
        <f>IF(Data!J208&gt;0,4-Data!J208,"")</f>
        <v>0</v>
      </c>
      <c r="K208" s="1">
        <f>IF(Data!K208&gt;0,Data!K208-4,"")</f>
        <v>1</v>
      </c>
      <c r="L208" s="1">
        <f>IF(Data!L208&gt;0,4-Data!L208,"")</f>
        <v>2</v>
      </c>
      <c r="M208" s="1">
        <f>IF(Data!M208&gt;0,Data!M208-4,"")</f>
        <v>2</v>
      </c>
      <c r="N208" s="1">
        <f>IF(Data!N208&gt;0,Data!N208-4,"")</f>
        <v>2</v>
      </c>
      <c r="O208" s="1">
        <f>IF(Data!O208&gt;0,Data!O208-4,"")</f>
        <v>1</v>
      </c>
      <c r="P208" s="1">
        <f>IF(Data!P208&gt;0,Data!P208-4,"")</f>
        <v>0</v>
      </c>
      <c r="Q208" s="1">
        <f>IF(Data!Q208&gt;0,4-Data!Q208,"")</f>
        <v>1</v>
      </c>
      <c r="R208" s="1">
        <f>IF(Data!R208&gt;0,4-Data!R208,"")</f>
        <v>1</v>
      </c>
      <c r="S208" s="1">
        <f>IF(Data!S208&gt;0,4-Data!S208,"")</f>
        <v>2</v>
      </c>
      <c r="T208" s="1">
        <f>IF(Data!T208&gt;0,Data!T208-4,"")</f>
        <v>1</v>
      </c>
      <c r="U208" s="1">
        <f>IF(Data!U208&gt;0,4-Data!U208,"")</f>
        <v>1</v>
      </c>
      <c r="V208" s="1">
        <f>IF(Data!V208&gt;0,Data!V208-4,"")</f>
        <v>2</v>
      </c>
      <c r="W208" s="1">
        <f>IF(Data!W208&gt;0,4-Data!W208,"")</f>
        <v>-1</v>
      </c>
      <c r="X208" s="1">
        <f>IF(Data!X208&gt;0,4-Data!X208,"")</f>
        <v>2</v>
      </c>
      <c r="Y208" s="1">
        <f>IF(Data!Y208&gt;0,4-Data!Y208,"")</f>
        <v>2</v>
      </c>
      <c r="Z208" s="1">
        <f>IF(Data!Z208&gt;0,Data!Z208-4,"")</f>
        <v>0</v>
      </c>
      <c r="AC208" s="7">
        <f t="shared" si="18"/>
        <v>1.6666666666666667</v>
      </c>
      <c r="AD208" s="7">
        <f t="shared" si="19"/>
        <v>1.75</v>
      </c>
      <c r="AE208" s="7">
        <f t="shared" si="20"/>
        <v>0.75</v>
      </c>
      <c r="AF208" s="7">
        <f t="shared" si="21"/>
        <v>1.5</v>
      </c>
      <c r="AG208" s="7">
        <f t="shared" si="22"/>
        <v>0.75</v>
      </c>
      <c r="AH208" s="7">
        <f t="shared" si="23"/>
        <v>0.5</v>
      </c>
    </row>
    <row r="209" spans="1:34">
      <c r="A209" s="1">
        <f>IF(Data!A209&gt;0,Data!A209-4,"")</f>
        <v>0</v>
      </c>
      <c r="B209" s="1">
        <f>IF(Data!B209&gt;0,Data!B209-4,"")</f>
        <v>2</v>
      </c>
      <c r="C209" s="1">
        <f>IF(Data!C209&gt;0,4-Data!C209,"")</f>
        <v>-1</v>
      </c>
      <c r="D209" s="1">
        <f>IF(Data!D209&gt;0,4-Data!D209,"")</f>
        <v>-2</v>
      </c>
      <c r="E209" s="1">
        <f>IF(Data!E209&gt;0,4-Data!E209,"")</f>
        <v>-1</v>
      </c>
      <c r="F209" s="1">
        <f>IF(Data!F209&gt;0,Data!F209-4,"")</f>
        <v>0</v>
      </c>
      <c r="G209" s="1">
        <f>IF(Data!G209&gt;0,Data!G209-4,"")</f>
        <v>1</v>
      </c>
      <c r="H209" s="1">
        <f>IF(Data!H209&gt;0,Data!H209-4,"")</f>
        <v>1</v>
      </c>
      <c r="I209" s="1">
        <f>IF(Data!I209&gt;0,4-Data!I209,"")</f>
        <v>-1</v>
      </c>
      <c r="J209" s="1">
        <f>IF(Data!J209&gt;0,4-Data!J209,"")</f>
        <v>0</v>
      </c>
      <c r="K209" s="1">
        <f>IF(Data!K209&gt;0,Data!K209-4,"")</f>
        <v>1</v>
      </c>
      <c r="L209" s="1">
        <f>IF(Data!L209&gt;0,4-Data!L209,"")</f>
        <v>2</v>
      </c>
      <c r="M209" s="1">
        <f>IF(Data!M209&gt;0,Data!M209-4,"")</f>
        <v>2</v>
      </c>
      <c r="N209" s="1">
        <f>IF(Data!N209&gt;0,Data!N209-4,"")</f>
        <v>1</v>
      </c>
      <c r="O209" s="1">
        <f>IF(Data!O209&gt;0,Data!O209-4,"")</f>
        <v>1</v>
      </c>
      <c r="P209" s="1">
        <f>IF(Data!P209&gt;0,Data!P209-4,"")</f>
        <v>1</v>
      </c>
      <c r="Q209" s="1">
        <f>IF(Data!Q209&gt;0,4-Data!Q209,"")</f>
        <v>2</v>
      </c>
      <c r="R209" s="1">
        <f>IF(Data!R209&gt;0,4-Data!R209,"")</f>
        <v>0</v>
      </c>
      <c r="S209" s="1">
        <f>IF(Data!S209&gt;0,4-Data!S209,"")</f>
        <v>2</v>
      </c>
      <c r="T209" s="1">
        <f>IF(Data!T209&gt;0,Data!T209-4,"")</f>
        <v>1</v>
      </c>
      <c r="U209" s="1">
        <f>IF(Data!U209&gt;0,4-Data!U209,"")</f>
        <v>2</v>
      </c>
      <c r="V209" s="1">
        <f>IF(Data!V209&gt;0,Data!V209-4,"")</f>
        <v>1</v>
      </c>
      <c r="W209" s="1">
        <f>IF(Data!W209&gt;0,4-Data!W209,"")</f>
        <v>2</v>
      </c>
      <c r="X209" s="1">
        <f>IF(Data!X209&gt;0,4-Data!X209,"")</f>
        <v>1</v>
      </c>
      <c r="Y209" s="1">
        <f>IF(Data!Y209&gt;0,4-Data!Y209,"")</f>
        <v>2</v>
      </c>
      <c r="Z209" s="1">
        <f>IF(Data!Z209&gt;0,Data!Z209-4,"")</f>
        <v>0</v>
      </c>
      <c r="AC209" s="7">
        <f t="shared" si="18"/>
        <v>1.1666666666666667</v>
      </c>
      <c r="AD209" s="7">
        <f t="shared" si="19"/>
        <v>1</v>
      </c>
      <c r="AE209" s="7">
        <f t="shared" si="20"/>
        <v>0.75</v>
      </c>
      <c r="AF209" s="7">
        <f t="shared" si="21"/>
        <v>1.5</v>
      </c>
      <c r="AG209" s="7">
        <f t="shared" si="22"/>
        <v>0</v>
      </c>
      <c r="AH209" s="7">
        <f t="shared" si="23"/>
        <v>0</v>
      </c>
    </row>
    <row r="210" spans="1:34">
      <c r="A210" s="1">
        <f>IF(Data!A210&gt;0,Data!A210-4,"")</f>
        <v>2</v>
      </c>
      <c r="B210" s="1">
        <f>IF(Data!B210&gt;0,Data!B210-4,"")</f>
        <v>2</v>
      </c>
      <c r="C210" s="1">
        <f>IF(Data!C210&gt;0,4-Data!C210,"")</f>
        <v>1</v>
      </c>
      <c r="D210" s="1">
        <f>IF(Data!D210&gt;0,4-Data!D210,"")</f>
        <v>2</v>
      </c>
      <c r="E210" s="1">
        <f>IF(Data!E210&gt;0,4-Data!E210,"")</f>
        <v>3</v>
      </c>
      <c r="F210" s="1">
        <f>IF(Data!F210&gt;0,Data!F210-4,"")</f>
        <v>1</v>
      </c>
      <c r="G210" s="1">
        <f>IF(Data!G210&gt;0,Data!G210-4,"")</f>
        <v>1</v>
      </c>
      <c r="H210" s="1">
        <f>IF(Data!H210&gt;0,Data!H210-4,"")</f>
        <v>0</v>
      </c>
      <c r="I210" s="1">
        <f>IF(Data!I210&gt;0,4-Data!I210,"")</f>
        <v>2</v>
      </c>
      <c r="J210" s="1">
        <f>IF(Data!J210&gt;0,4-Data!J210,"")</f>
        <v>2</v>
      </c>
      <c r="K210" s="1">
        <f>IF(Data!K210&gt;0,Data!K210-4,"")</f>
        <v>3</v>
      </c>
      <c r="L210" s="1">
        <f>IF(Data!L210&gt;0,4-Data!L210,"")</f>
        <v>-1</v>
      </c>
      <c r="M210" s="1">
        <f>IF(Data!M210&gt;0,Data!M210-4,"")</f>
        <v>2</v>
      </c>
      <c r="N210" s="1">
        <f>IF(Data!N210&gt;0,Data!N210-4,"")</f>
        <v>1</v>
      </c>
      <c r="O210" s="1">
        <f>IF(Data!O210&gt;0,Data!O210-4,"")</f>
        <v>2</v>
      </c>
      <c r="P210" s="1">
        <f>IF(Data!P210&gt;0,Data!P210-4,"")</f>
        <v>2</v>
      </c>
      <c r="Q210" s="1">
        <f>IF(Data!Q210&gt;0,4-Data!Q210,"")</f>
        <v>-2</v>
      </c>
      <c r="R210" s="1">
        <f>IF(Data!R210&gt;0,4-Data!R210,"")</f>
        <v>-1</v>
      </c>
      <c r="S210" s="1">
        <f>IF(Data!S210&gt;0,4-Data!S210,"")</f>
        <v>2</v>
      </c>
      <c r="T210" s="1">
        <f>IF(Data!T210&gt;0,Data!T210-4,"")</f>
        <v>3</v>
      </c>
      <c r="U210" s="1">
        <f>IF(Data!U210&gt;0,4-Data!U210,"")</f>
        <v>-2</v>
      </c>
      <c r="V210" s="1">
        <f>IF(Data!V210&gt;0,Data!V210-4,"")</f>
        <v>1</v>
      </c>
      <c r="W210" s="1">
        <f>IF(Data!W210&gt;0,4-Data!W210,"")</f>
        <v>2</v>
      </c>
      <c r="X210" s="1">
        <f>IF(Data!X210&gt;0,4-Data!X210,"")</f>
        <v>1</v>
      </c>
      <c r="Y210" s="1">
        <f>IF(Data!Y210&gt;0,4-Data!Y210,"")</f>
        <v>2</v>
      </c>
      <c r="Z210" s="1">
        <f>IF(Data!Z210&gt;0,Data!Z210-4,"")</f>
        <v>2</v>
      </c>
      <c r="AC210" s="7">
        <f t="shared" si="18"/>
        <v>1.1666666666666667</v>
      </c>
      <c r="AD210" s="7">
        <f t="shared" si="19"/>
        <v>1</v>
      </c>
      <c r="AE210" s="7">
        <f t="shared" si="20"/>
        <v>2</v>
      </c>
      <c r="AF210" s="7">
        <f t="shared" si="21"/>
        <v>0.75</v>
      </c>
      <c r="AG210" s="7">
        <f t="shared" si="22"/>
        <v>1</v>
      </c>
      <c r="AH210" s="7">
        <f t="shared" si="23"/>
        <v>1.75</v>
      </c>
    </row>
    <row r="211" spans="1:34">
      <c r="A211" s="1">
        <f>IF(Data!A211&gt;0,Data!A211-4,"")</f>
        <v>1</v>
      </c>
      <c r="B211" s="1">
        <f>IF(Data!B211&gt;0,Data!B211-4,"")</f>
        <v>-1</v>
      </c>
      <c r="C211" s="1">
        <f>IF(Data!C211&gt;0,4-Data!C211,"")</f>
        <v>-1</v>
      </c>
      <c r="D211" s="1">
        <f>IF(Data!D211&gt;0,4-Data!D211,"")</f>
        <v>1</v>
      </c>
      <c r="E211" s="1">
        <f>IF(Data!E211&gt;0,4-Data!E211,"")</f>
        <v>0</v>
      </c>
      <c r="F211" s="1">
        <f>IF(Data!F211&gt;0,Data!F211-4,"")</f>
        <v>0</v>
      </c>
      <c r="G211" s="1">
        <f>IF(Data!G211&gt;0,Data!G211-4,"")</f>
        <v>0</v>
      </c>
      <c r="H211" s="1">
        <f>IF(Data!H211&gt;0,Data!H211-4,"")</f>
        <v>-1</v>
      </c>
      <c r="I211" s="1">
        <f>IF(Data!I211&gt;0,4-Data!I211,"")</f>
        <v>-1</v>
      </c>
      <c r="J211" s="1">
        <f>IF(Data!J211&gt;0,4-Data!J211,"")</f>
        <v>-1</v>
      </c>
      <c r="K211" s="1">
        <f>IF(Data!K211&gt;0,Data!K211-4,"")</f>
        <v>-1</v>
      </c>
      <c r="L211" s="1">
        <f>IF(Data!L211&gt;0,4-Data!L211,"")</f>
        <v>0</v>
      </c>
      <c r="M211" s="1">
        <f>IF(Data!M211&gt;0,Data!M211-4,"")</f>
        <v>1</v>
      </c>
      <c r="N211" s="1">
        <f>IF(Data!N211&gt;0,Data!N211-4,"")</f>
        <v>1</v>
      </c>
      <c r="O211" s="1">
        <f>IF(Data!O211&gt;0,Data!O211-4,"")</f>
        <v>-1</v>
      </c>
      <c r="P211" s="1">
        <f>IF(Data!P211&gt;0,Data!P211-4,"")</f>
        <v>0</v>
      </c>
      <c r="Q211" s="1">
        <f>IF(Data!Q211&gt;0,4-Data!Q211,"")</f>
        <v>-1</v>
      </c>
      <c r="R211" s="1">
        <f>IF(Data!R211&gt;0,4-Data!R211,"")</f>
        <v>-1</v>
      </c>
      <c r="S211" s="1">
        <f>IF(Data!S211&gt;0,4-Data!S211,"")</f>
        <v>-1</v>
      </c>
      <c r="T211" s="1">
        <f>IF(Data!T211&gt;0,Data!T211-4,"")</f>
        <v>-1</v>
      </c>
      <c r="U211" s="1">
        <f>IF(Data!U211&gt;0,4-Data!U211,"")</f>
        <v>-1</v>
      </c>
      <c r="V211" s="1">
        <f>IF(Data!V211&gt;0,Data!V211-4,"")</f>
        <v>0</v>
      </c>
      <c r="W211" s="1">
        <f>IF(Data!W211&gt;0,4-Data!W211,"")</f>
        <v>-3</v>
      </c>
      <c r="X211" s="1">
        <f>IF(Data!X211&gt;0,4-Data!X211,"")</f>
        <v>-1</v>
      </c>
      <c r="Y211" s="1">
        <f>IF(Data!Y211&gt;0,4-Data!Y211,"")</f>
        <v>-2</v>
      </c>
      <c r="Z211" s="1">
        <f>IF(Data!Z211&gt;0,Data!Z211-4,"")</f>
        <v>-1</v>
      </c>
      <c r="AC211" s="7">
        <f t="shared" si="18"/>
        <v>-0.16666666666666666</v>
      </c>
      <c r="AD211" s="7">
        <f t="shared" si="19"/>
        <v>0</v>
      </c>
      <c r="AE211" s="7">
        <f t="shared" si="20"/>
        <v>-1.25</v>
      </c>
      <c r="AF211" s="7">
        <f t="shared" si="21"/>
        <v>-1</v>
      </c>
      <c r="AG211" s="7">
        <f t="shared" si="22"/>
        <v>-0.25</v>
      </c>
      <c r="AH211" s="7">
        <f t="shared" si="23"/>
        <v>-1</v>
      </c>
    </row>
    <row r="212" spans="1:34">
      <c r="A212" s="1">
        <f>IF(Data!A212&gt;0,Data!A212-4,"")</f>
        <v>1</v>
      </c>
      <c r="B212" s="1">
        <f>IF(Data!B212&gt;0,Data!B212-4,"")</f>
        <v>1</v>
      </c>
      <c r="C212" s="1">
        <f>IF(Data!C212&gt;0,4-Data!C212,"")</f>
        <v>-2</v>
      </c>
      <c r="D212" s="1">
        <f>IF(Data!D212&gt;0,4-Data!D212,"")</f>
        <v>-1</v>
      </c>
      <c r="E212" s="1">
        <f>IF(Data!E212&gt;0,4-Data!E212,"")</f>
        <v>-1</v>
      </c>
      <c r="F212" s="1">
        <f>IF(Data!F212&gt;0,Data!F212-4,"")</f>
        <v>0</v>
      </c>
      <c r="G212" s="1">
        <f>IF(Data!G212&gt;0,Data!G212-4,"")</f>
        <v>0</v>
      </c>
      <c r="H212" s="1">
        <f>IF(Data!H212&gt;0,Data!H212-4,"")</f>
        <v>0</v>
      </c>
      <c r="I212" s="1">
        <f>IF(Data!I212&gt;0,4-Data!I212,"")</f>
        <v>-1</v>
      </c>
      <c r="J212" s="1">
        <f>IF(Data!J212&gt;0,4-Data!J212,"")</f>
        <v>-1</v>
      </c>
      <c r="K212" s="1">
        <f>IF(Data!K212&gt;0,Data!K212-4,"")</f>
        <v>0</v>
      </c>
      <c r="L212" s="1">
        <f>IF(Data!L212&gt;0,4-Data!L212,"")</f>
        <v>0</v>
      </c>
      <c r="M212" s="1">
        <f>IF(Data!M212&gt;0,Data!M212-4,"")</f>
        <v>0</v>
      </c>
      <c r="N212" s="1">
        <f>IF(Data!N212&gt;0,Data!N212-4,"")</f>
        <v>0</v>
      </c>
      <c r="O212" s="1">
        <f>IF(Data!O212&gt;0,Data!O212-4,"")</f>
        <v>0</v>
      </c>
      <c r="P212" s="1">
        <f>IF(Data!P212&gt;0,Data!P212-4,"")</f>
        <v>-1</v>
      </c>
      <c r="Q212" s="1">
        <f>IF(Data!Q212&gt;0,4-Data!Q212,"")</f>
        <v>-2</v>
      </c>
      <c r="R212" s="1">
        <f>IF(Data!R212&gt;0,4-Data!R212,"")</f>
        <v>0</v>
      </c>
      <c r="S212" s="1">
        <f>IF(Data!S212&gt;0,4-Data!S212,"")</f>
        <v>0</v>
      </c>
      <c r="T212" s="1">
        <f>IF(Data!T212&gt;0,Data!T212-4,"")</f>
        <v>0</v>
      </c>
      <c r="U212" s="1">
        <f>IF(Data!U212&gt;0,4-Data!U212,"")</f>
        <v>1</v>
      </c>
      <c r="V212" s="1">
        <f>IF(Data!V212&gt;0,Data!V212-4,"")</f>
        <v>1</v>
      </c>
      <c r="W212" s="1">
        <f>IF(Data!W212&gt;0,4-Data!W212,"")</f>
        <v>-1</v>
      </c>
      <c r="X212" s="1">
        <f>IF(Data!X212&gt;0,4-Data!X212,"")</f>
        <v>0</v>
      </c>
      <c r="Y212" s="1">
        <f>IF(Data!Y212&gt;0,4-Data!Y212,"")</f>
        <v>0</v>
      </c>
      <c r="Z212" s="1">
        <f>IF(Data!Z212&gt;0,Data!Z212-4,"")</f>
        <v>1</v>
      </c>
      <c r="AC212" s="7">
        <f t="shared" si="18"/>
        <v>0</v>
      </c>
      <c r="AD212" s="7">
        <f t="shared" si="19"/>
        <v>0.25</v>
      </c>
      <c r="AE212" s="7">
        <f t="shared" si="20"/>
        <v>-0.25</v>
      </c>
      <c r="AF212" s="7">
        <f t="shared" si="21"/>
        <v>-0.5</v>
      </c>
      <c r="AG212" s="7">
        <f t="shared" si="22"/>
        <v>-0.25</v>
      </c>
      <c r="AH212" s="7">
        <f t="shared" si="23"/>
        <v>-0.5</v>
      </c>
    </row>
    <row r="213" spans="1:34">
      <c r="A213" s="1">
        <f>IF(Data!A213&gt;0,Data!A213-4,"")</f>
        <v>2</v>
      </c>
      <c r="B213" s="1">
        <f>IF(Data!B213&gt;0,Data!B213-4,"")</f>
        <v>2</v>
      </c>
      <c r="C213" s="1">
        <f>IF(Data!C213&gt;0,4-Data!C213,"")</f>
        <v>3</v>
      </c>
      <c r="D213" s="1">
        <f>IF(Data!D213&gt;0,4-Data!D213,"")</f>
        <v>3</v>
      </c>
      <c r="E213" s="1">
        <f>IF(Data!E213&gt;0,4-Data!E213,"")</f>
        <v>3</v>
      </c>
      <c r="F213" s="1">
        <f>IF(Data!F213&gt;0,Data!F213-4,"")</f>
        <v>3</v>
      </c>
      <c r="G213" s="1">
        <f>IF(Data!G213&gt;0,Data!G213-4,"")</f>
        <v>2</v>
      </c>
      <c r="H213" s="1">
        <f>IF(Data!H213&gt;0,Data!H213-4,"")</f>
        <v>-1</v>
      </c>
      <c r="I213" s="1">
        <f>IF(Data!I213&gt;0,4-Data!I213,"")</f>
        <v>2</v>
      </c>
      <c r="J213" s="1">
        <f>IF(Data!J213&gt;0,4-Data!J213,"")</f>
        <v>3</v>
      </c>
      <c r="K213" s="1">
        <f>IF(Data!K213&gt;0,Data!K213-4,"")</f>
        <v>2</v>
      </c>
      <c r="L213" s="1">
        <f>IF(Data!L213&gt;0,4-Data!L213,"")</f>
        <v>3</v>
      </c>
      <c r="M213" s="1">
        <f>IF(Data!M213&gt;0,Data!M213-4,"")</f>
        <v>2</v>
      </c>
      <c r="N213" s="1">
        <f>IF(Data!N213&gt;0,Data!N213-4,"")</f>
        <v>2</v>
      </c>
      <c r="O213" s="1">
        <f>IF(Data!O213&gt;0,Data!O213-4,"")</f>
        <v>2</v>
      </c>
      <c r="P213" s="1">
        <f>IF(Data!P213&gt;0,Data!P213-4,"")</f>
        <v>2</v>
      </c>
      <c r="Q213" s="1">
        <f>IF(Data!Q213&gt;0,4-Data!Q213,"")</f>
        <v>2</v>
      </c>
      <c r="R213" s="1">
        <f>IF(Data!R213&gt;0,4-Data!R213,"")</f>
        <v>3</v>
      </c>
      <c r="S213" s="1">
        <f>IF(Data!S213&gt;0,4-Data!S213,"")</f>
        <v>3</v>
      </c>
      <c r="T213" s="1">
        <f>IF(Data!T213&gt;0,Data!T213-4,"")</f>
        <v>2</v>
      </c>
      <c r="U213" s="1">
        <f>IF(Data!U213&gt;0,4-Data!U213,"")</f>
        <v>3</v>
      </c>
      <c r="V213" s="1">
        <f>IF(Data!V213&gt;0,Data!V213-4,"")</f>
        <v>2</v>
      </c>
      <c r="W213" s="1">
        <f>IF(Data!W213&gt;0,4-Data!W213,"")</f>
        <v>3</v>
      </c>
      <c r="X213" s="1">
        <f>IF(Data!X213&gt;0,4-Data!X213,"")</f>
        <v>3</v>
      </c>
      <c r="Y213" s="1">
        <f>IF(Data!Y213&gt;0,4-Data!Y213,"")</f>
        <v>3</v>
      </c>
      <c r="Z213" s="1">
        <f>IF(Data!Z213&gt;0,Data!Z213-4,"")</f>
        <v>3</v>
      </c>
      <c r="AC213" s="7">
        <f t="shared" si="18"/>
        <v>2.5</v>
      </c>
      <c r="AD213" s="7">
        <f t="shared" si="19"/>
        <v>2.5</v>
      </c>
      <c r="AE213" s="7">
        <f t="shared" si="20"/>
        <v>2.25</v>
      </c>
      <c r="AF213" s="7">
        <f t="shared" si="21"/>
        <v>1.5</v>
      </c>
      <c r="AG213" s="7">
        <f t="shared" si="22"/>
        <v>2.75</v>
      </c>
      <c r="AH213" s="7">
        <f t="shared" si="23"/>
        <v>2.75</v>
      </c>
    </row>
    <row r="214" spans="1:34">
      <c r="A214" s="1">
        <f>IF(Data!A214&gt;0,Data!A214-4,"")</f>
        <v>2</v>
      </c>
      <c r="B214" s="1">
        <f>IF(Data!B214&gt;0,Data!B214-4,"")</f>
        <v>2</v>
      </c>
      <c r="C214" s="1">
        <f>IF(Data!C214&gt;0,4-Data!C214,"")</f>
        <v>0</v>
      </c>
      <c r="D214" s="1">
        <f>IF(Data!D214&gt;0,4-Data!D214,"")</f>
        <v>2</v>
      </c>
      <c r="E214" s="1">
        <f>IF(Data!E214&gt;0,4-Data!E214,"")</f>
        <v>1</v>
      </c>
      <c r="F214" s="1">
        <f>IF(Data!F214&gt;0,Data!F214-4,"")</f>
        <v>1</v>
      </c>
      <c r="G214" s="1">
        <f>IF(Data!G214&gt;0,Data!G214-4,"")</f>
        <v>1</v>
      </c>
      <c r="H214" s="1">
        <f>IF(Data!H214&gt;0,Data!H214-4,"")</f>
        <v>0</v>
      </c>
      <c r="I214" s="1">
        <f>IF(Data!I214&gt;0,4-Data!I214,"")</f>
        <v>2</v>
      </c>
      <c r="J214" s="1">
        <f>IF(Data!J214&gt;0,4-Data!J214,"")</f>
        <v>1</v>
      </c>
      <c r="K214" s="1">
        <f>IF(Data!K214&gt;0,Data!K214-4,"")</f>
        <v>1</v>
      </c>
      <c r="L214" s="1">
        <f>IF(Data!L214&gt;0,4-Data!L214,"")</f>
        <v>2</v>
      </c>
      <c r="M214" s="1">
        <f>IF(Data!M214&gt;0,Data!M214-4,"")</f>
        <v>2</v>
      </c>
      <c r="N214" s="1">
        <f>IF(Data!N214&gt;0,Data!N214-4,"")</f>
        <v>2</v>
      </c>
      <c r="O214" s="1">
        <f>IF(Data!O214&gt;0,Data!O214-4,"")</f>
        <v>1</v>
      </c>
      <c r="P214" s="1">
        <f>IF(Data!P214&gt;0,Data!P214-4,"")</f>
        <v>1</v>
      </c>
      <c r="Q214" s="1">
        <f>IF(Data!Q214&gt;0,4-Data!Q214,"")</f>
        <v>1</v>
      </c>
      <c r="R214" s="1">
        <f>IF(Data!R214&gt;0,4-Data!R214,"")</f>
        <v>1</v>
      </c>
      <c r="S214" s="1">
        <f>IF(Data!S214&gt;0,4-Data!S214,"")</f>
        <v>1</v>
      </c>
      <c r="T214" s="1">
        <f>IF(Data!T214&gt;0,Data!T214-4,"")</f>
        <v>2</v>
      </c>
      <c r="U214" s="1">
        <f>IF(Data!U214&gt;0,4-Data!U214,"")</f>
        <v>1</v>
      </c>
      <c r="V214" s="1">
        <f>IF(Data!V214&gt;0,Data!V214-4,"")</f>
        <v>2</v>
      </c>
      <c r="W214" s="1">
        <f>IF(Data!W214&gt;0,4-Data!W214,"")</f>
        <v>2</v>
      </c>
      <c r="X214" s="1">
        <f>IF(Data!X214&gt;0,4-Data!X214,"")</f>
        <v>1</v>
      </c>
      <c r="Y214" s="1">
        <f>IF(Data!Y214&gt;0,4-Data!Y214,"")</f>
        <v>1</v>
      </c>
      <c r="Z214" s="1">
        <f>IF(Data!Z214&gt;0,Data!Z214-4,"")</f>
        <v>2</v>
      </c>
      <c r="AC214" s="7">
        <f t="shared" si="18"/>
        <v>1.5</v>
      </c>
      <c r="AD214" s="7">
        <f t="shared" si="19"/>
        <v>1.75</v>
      </c>
      <c r="AE214" s="7">
        <f t="shared" si="20"/>
        <v>2</v>
      </c>
      <c r="AF214" s="7">
        <f t="shared" si="21"/>
        <v>0.75</v>
      </c>
      <c r="AG214" s="7">
        <f t="shared" si="22"/>
        <v>1</v>
      </c>
      <c r="AH214" s="7">
        <f t="shared" si="23"/>
        <v>1</v>
      </c>
    </row>
    <row r="215" spans="1:34">
      <c r="A215" s="1">
        <f>IF(Data!A215&gt;0,Data!A215-4,"")</f>
        <v>-1</v>
      </c>
      <c r="B215" s="1">
        <f>IF(Data!B215&gt;0,Data!B215-4,"")</f>
        <v>2</v>
      </c>
      <c r="C215" s="1">
        <f>IF(Data!C215&gt;0,4-Data!C215,"")</f>
        <v>1</v>
      </c>
      <c r="D215" s="1">
        <f>IF(Data!D215&gt;0,4-Data!D215,"")</f>
        <v>1</v>
      </c>
      <c r="E215" s="1">
        <f>IF(Data!E215&gt;0,4-Data!E215,"")</f>
        <v>1</v>
      </c>
      <c r="F215" s="1">
        <f>IF(Data!F215&gt;0,Data!F215-4,"")</f>
        <v>0</v>
      </c>
      <c r="G215" s="1">
        <f>IF(Data!G215&gt;0,Data!G215-4,"")</f>
        <v>1</v>
      </c>
      <c r="H215" s="1">
        <f>IF(Data!H215&gt;0,Data!H215-4,"")</f>
        <v>1</v>
      </c>
      <c r="I215" s="1">
        <f>IF(Data!I215&gt;0,4-Data!I215,"")</f>
        <v>1</v>
      </c>
      <c r="J215" s="1">
        <f>IF(Data!J215&gt;0,4-Data!J215,"")</f>
        <v>1</v>
      </c>
      <c r="K215" s="1">
        <f>IF(Data!K215&gt;0,Data!K215-4,"")</f>
        <v>2</v>
      </c>
      <c r="L215" s="1">
        <f>IF(Data!L215&gt;0,4-Data!L215,"")</f>
        <v>2</v>
      </c>
      <c r="M215" s="1">
        <f>IF(Data!M215&gt;0,Data!M215-4,"")</f>
        <v>-1</v>
      </c>
      <c r="N215" s="1">
        <f>IF(Data!N215&gt;0,Data!N215-4,"")</f>
        <v>1</v>
      </c>
      <c r="O215" s="1">
        <f>IF(Data!O215&gt;0,Data!O215-4,"")</f>
        <v>0</v>
      </c>
      <c r="P215" s="1">
        <f>IF(Data!P215&gt;0,Data!P215-4,"")</f>
        <v>1</v>
      </c>
      <c r="Q215" s="1">
        <f>IF(Data!Q215&gt;0,4-Data!Q215,"")</f>
        <v>1</v>
      </c>
      <c r="R215" s="1">
        <f>IF(Data!R215&gt;0,4-Data!R215,"")</f>
        <v>0</v>
      </c>
      <c r="S215" s="1">
        <f>IF(Data!S215&gt;0,4-Data!S215,"")</f>
        <v>1</v>
      </c>
      <c r="T215" s="1">
        <f>IF(Data!T215&gt;0,Data!T215-4,"")</f>
        <v>-1</v>
      </c>
      <c r="U215" s="1">
        <f>IF(Data!U215&gt;0,4-Data!U215,"")</f>
        <v>0</v>
      </c>
      <c r="V215" s="1">
        <f>IF(Data!V215&gt;0,Data!V215-4,"")</f>
        <v>-1</v>
      </c>
      <c r="W215" s="1">
        <f>IF(Data!W215&gt;0,4-Data!W215,"")</f>
        <v>1</v>
      </c>
      <c r="X215" s="1">
        <f>IF(Data!X215&gt;0,4-Data!X215,"")</f>
        <v>1</v>
      </c>
      <c r="Y215" s="1">
        <f>IF(Data!Y215&gt;0,4-Data!Y215,"")</f>
        <v>2</v>
      </c>
      <c r="Z215" s="1">
        <f>IF(Data!Z215&gt;0,Data!Z215-4,"")</f>
        <v>-2</v>
      </c>
      <c r="AC215" s="7">
        <f t="shared" si="18"/>
        <v>1</v>
      </c>
      <c r="AD215" s="7">
        <f t="shared" si="19"/>
        <v>0.5</v>
      </c>
      <c r="AE215" s="7">
        <f t="shared" si="20"/>
        <v>0</v>
      </c>
      <c r="AF215" s="7">
        <f t="shared" si="21"/>
        <v>1.25</v>
      </c>
      <c r="AG215" s="7">
        <f t="shared" si="22"/>
        <v>0.5</v>
      </c>
      <c r="AH215" s="7">
        <f t="shared" si="23"/>
        <v>0</v>
      </c>
    </row>
    <row r="216" spans="1:34">
      <c r="A216" s="1">
        <f>IF(Data!A216&gt;0,Data!A216-4,"")</f>
        <v>2</v>
      </c>
      <c r="B216" s="1">
        <f>IF(Data!B216&gt;0,Data!B216-4,"")</f>
        <v>3</v>
      </c>
      <c r="C216" s="1">
        <f>IF(Data!C216&gt;0,4-Data!C216,"")</f>
        <v>2</v>
      </c>
      <c r="D216" s="1">
        <f>IF(Data!D216&gt;0,4-Data!D216,"")</f>
        <v>3</v>
      </c>
      <c r="E216" s="1">
        <f>IF(Data!E216&gt;0,4-Data!E216,"")</f>
        <v>3</v>
      </c>
      <c r="F216" s="1">
        <f>IF(Data!F216&gt;0,Data!F216-4,"")</f>
        <v>2</v>
      </c>
      <c r="G216" s="1">
        <f>IF(Data!G216&gt;0,Data!G216-4,"")</f>
        <v>2</v>
      </c>
      <c r="H216" s="1">
        <f>IF(Data!H216&gt;0,Data!H216-4,"")</f>
        <v>0</v>
      </c>
      <c r="I216" s="1">
        <f>IF(Data!I216&gt;0,4-Data!I216,"")</f>
        <v>3</v>
      </c>
      <c r="J216" s="1">
        <f>IF(Data!J216&gt;0,4-Data!J216,"")</f>
        <v>2</v>
      </c>
      <c r="K216" s="1">
        <f>IF(Data!K216&gt;0,Data!K216-4,"")</f>
        <v>2</v>
      </c>
      <c r="L216" s="1">
        <f>IF(Data!L216&gt;0,4-Data!L216,"")</f>
        <v>2</v>
      </c>
      <c r="M216" s="1">
        <f>IF(Data!M216&gt;0,Data!M216-4,"")</f>
        <v>2</v>
      </c>
      <c r="N216" s="1">
        <f>IF(Data!N216&gt;0,Data!N216-4,"")</f>
        <v>2</v>
      </c>
      <c r="O216" s="1">
        <f>IF(Data!O216&gt;0,Data!O216-4,"")</f>
        <v>2</v>
      </c>
      <c r="P216" s="1">
        <f>IF(Data!P216&gt;0,Data!P216-4,"")</f>
        <v>2</v>
      </c>
      <c r="Q216" s="1">
        <f>IF(Data!Q216&gt;0,4-Data!Q216,"")</f>
        <v>2</v>
      </c>
      <c r="R216" s="1">
        <f>IF(Data!R216&gt;0,4-Data!R216,"")</f>
        <v>1</v>
      </c>
      <c r="S216" s="1">
        <f>IF(Data!S216&gt;0,4-Data!S216,"")</f>
        <v>2</v>
      </c>
      <c r="T216" s="1">
        <f>IF(Data!T216&gt;0,Data!T216-4,"")</f>
        <v>2</v>
      </c>
      <c r="U216" s="1">
        <f>IF(Data!U216&gt;0,4-Data!U216,"")</f>
        <v>2</v>
      </c>
      <c r="V216" s="1">
        <f>IF(Data!V216&gt;0,Data!V216-4,"")</f>
        <v>2</v>
      </c>
      <c r="W216" s="1">
        <f>IF(Data!W216&gt;0,4-Data!W216,"")</f>
        <v>2</v>
      </c>
      <c r="X216" s="1">
        <f>IF(Data!X216&gt;0,4-Data!X216,"")</f>
        <v>3</v>
      </c>
      <c r="Y216" s="1">
        <f>IF(Data!Y216&gt;0,4-Data!Y216,"")</f>
        <v>2</v>
      </c>
      <c r="Z216" s="1">
        <f>IF(Data!Z216&gt;0,Data!Z216-4,"")</f>
        <v>2</v>
      </c>
      <c r="AC216" s="7">
        <f t="shared" si="18"/>
        <v>2.1666666666666665</v>
      </c>
      <c r="AD216" s="7">
        <f t="shared" si="19"/>
        <v>2.5</v>
      </c>
      <c r="AE216" s="7">
        <f t="shared" si="20"/>
        <v>2.25</v>
      </c>
      <c r="AF216" s="7">
        <f t="shared" si="21"/>
        <v>1.5</v>
      </c>
      <c r="AG216" s="7">
        <f t="shared" si="22"/>
        <v>2</v>
      </c>
      <c r="AH216" s="7">
        <f t="shared" si="23"/>
        <v>2</v>
      </c>
    </row>
    <row r="217" spans="1:34">
      <c r="A217" s="1">
        <f>IF(Data!A217&gt;0,Data!A217-4,"")</f>
        <v>2</v>
      </c>
      <c r="B217" s="1">
        <f>IF(Data!B217&gt;0,Data!B217-4,"")</f>
        <v>2</v>
      </c>
      <c r="C217" s="1">
        <f>IF(Data!C217&gt;0,4-Data!C217,"")</f>
        <v>2</v>
      </c>
      <c r="D217" s="1">
        <f>IF(Data!D217&gt;0,4-Data!D217,"")</f>
        <v>2</v>
      </c>
      <c r="E217" s="1">
        <f>IF(Data!E217&gt;0,4-Data!E217,"")</f>
        <v>2</v>
      </c>
      <c r="F217" s="1">
        <f>IF(Data!F217&gt;0,Data!F217-4,"")</f>
        <v>2</v>
      </c>
      <c r="G217" s="1">
        <f>IF(Data!G217&gt;0,Data!G217-4,"")</f>
        <v>2</v>
      </c>
      <c r="H217" s="1">
        <f>IF(Data!H217&gt;0,Data!H217-4,"")</f>
        <v>-2</v>
      </c>
      <c r="I217" s="1">
        <f>IF(Data!I217&gt;0,4-Data!I217,"")</f>
        <v>2</v>
      </c>
      <c r="J217" s="1">
        <f>IF(Data!J217&gt;0,4-Data!J217,"")</f>
        <v>2</v>
      </c>
      <c r="K217" s="1">
        <f>IF(Data!K217&gt;0,Data!K217-4,"")</f>
        <v>2</v>
      </c>
      <c r="L217" s="1">
        <f>IF(Data!L217&gt;0,4-Data!L217,"")</f>
        <v>2</v>
      </c>
      <c r="M217" s="1">
        <f>IF(Data!M217&gt;0,Data!M217-4,"")</f>
        <v>2</v>
      </c>
      <c r="N217" s="1">
        <f>IF(Data!N217&gt;0,Data!N217-4,"")</f>
        <v>2</v>
      </c>
      <c r="O217" s="1">
        <f>IF(Data!O217&gt;0,Data!O217-4,"")</f>
        <v>2</v>
      </c>
      <c r="P217" s="1">
        <f>IF(Data!P217&gt;0,Data!P217-4,"")</f>
        <v>2</v>
      </c>
      <c r="Q217" s="1">
        <f>IF(Data!Q217&gt;0,4-Data!Q217,"")</f>
        <v>2</v>
      </c>
      <c r="R217" s="1">
        <f>IF(Data!R217&gt;0,4-Data!R217,"")</f>
        <v>2</v>
      </c>
      <c r="S217" s="1">
        <f>IF(Data!S217&gt;0,4-Data!S217,"")</f>
        <v>2</v>
      </c>
      <c r="T217" s="1">
        <f>IF(Data!T217&gt;0,Data!T217-4,"")</f>
        <v>2</v>
      </c>
      <c r="U217" s="1">
        <f>IF(Data!U217&gt;0,4-Data!U217,"")</f>
        <v>1</v>
      </c>
      <c r="V217" s="1">
        <f>IF(Data!V217&gt;0,Data!V217-4,"")</f>
        <v>2</v>
      </c>
      <c r="W217" s="1">
        <f>IF(Data!W217&gt;0,4-Data!W217,"")</f>
        <v>2</v>
      </c>
      <c r="X217" s="1">
        <f>IF(Data!X217&gt;0,4-Data!X217,"")</f>
        <v>2</v>
      </c>
      <c r="Y217" s="1">
        <f>IF(Data!Y217&gt;0,4-Data!Y217,"")</f>
        <v>2</v>
      </c>
      <c r="Z217" s="1">
        <f>IF(Data!Z217&gt;0,Data!Z217-4,"")</f>
        <v>0</v>
      </c>
      <c r="AC217" s="7">
        <f t="shared" si="18"/>
        <v>2</v>
      </c>
      <c r="AD217" s="7">
        <f t="shared" si="19"/>
        <v>1.75</v>
      </c>
      <c r="AE217" s="7">
        <f t="shared" si="20"/>
        <v>2</v>
      </c>
      <c r="AF217" s="7">
        <f t="shared" si="21"/>
        <v>1</v>
      </c>
      <c r="AG217" s="7">
        <f t="shared" si="22"/>
        <v>2</v>
      </c>
      <c r="AH217" s="7">
        <f t="shared" si="23"/>
        <v>1.5</v>
      </c>
    </row>
    <row r="218" spans="1:34">
      <c r="A218" s="1">
        <f>IF(Data!A218&gt;0,Data!A218-4,"")</f>
        <v>2</v>
      </c>
      <c r="B218" s="1">
        <f>IF(Data!B218&gt;0,Data!B218-4,"")</f>
        <v>3</v>
      </c>
      <c r="C218" s="1">
        <f>IF(Data!C218&gt;0,4-Data!C218,"")</f>
        <v>2</v>
      </c>
      <c r="D218" s="1">
        <f>IF(Data!D218&gt;0,4-Data!D218,"")</f>
        <v>2</v>
      </c>
      <c r="E218" s="1">
        <f>IF(Data!E218&gt;0,4-Data!E218,"")</f>
        <v>2</v>
      </c>
      <c r="F218" s="1">
        <f>IF(Data!F218&gt;0,Data!F218-4,"")</f>
        <v>2</v>
      </c>
      <c r="G218" s="1">
        <f>IF(Data!G218&gt;0,Data!G218-4,"")</f>
        <v>2</v>
      </c>
      <c r="H218" s="1">
        <f>IF(Data!H218&gt;0,Data!H218-4,"")</f>
        <v>0</v>
      </c>
      <c r="I218" s="1">
        <f>IF(Data!I218&gt;0,4-Data!I218,"")</f>
        <v>2</v>
      </c>
      <c r="J218" s="1">
        <f>IF(Data!J218&gt;0,4-Data!J218,"")</f>
        <v>2</v>
      </c>
      <c r="K218" s="1">
        <f>IF(Data!K218&gt;0,Data!K218-4,"")</f>
        <v>2</v>
      </c>
      <c r="L218" s="1">
        <f>IF(Data!L218&gt;0,4-Data!L218,"")</f>
        <v>3</v>
      </c>
      <c r="M218" s="1">
        <f>IF(Data!M218&gt;0,Data!M218-4,"")</f>
        <v>2</v>
      </c>
      <c r="N218" s="1">
        <f>IF(Data!N218&gt;0,Data!N218-4,"")</f>
        <v>2</v>
      </c>
      <c r="O218" s="1">
        <f>IF(Data!O218&gt;0,Data!O218-4,"")</f>
        <v>2</v>
      </c>
      <c r="P218" s="1">
        <f>IF(Data!P218&gt;0,Data!P218-4,"")</f>
        <v>2</v>
      </c>
      <c r="Q218" s="1">
        <f>IF(Data!Q218&gt;0,4-Data!Q218,"")</f>
        <v>2</v>
      </c>
      <c r="R218" s="1">
        <f>IF(Data!R218&gt;0,4-Data!R218,"")</f>
        <v>2</v>
      </c>
      <c r="S218" s="1">
        <f>IF(Data!S218&gt;0,4-Data!S218,"")</f>
        <v>2</v>
      </c>
      <c r="T218" s="1">
        <f>IF(Data!T218&gt;0,Data!T218-4,"")</f>
        <v>2</v>
      </c>
      <c r="U218" s="1">
        <f>IF(Data!U218&gt;0,4-Data!U218,"")</f>
        <v>2</v>
      </c>
      <c r="V218" s="1">
        <f>IF(Data!V218&gt;0,Data!V218-4,"")</f>
        <v>2</v>
      </c>
      <c r="W218" s="1">
        <f>IF(Data!W218&gt;0,4-Data!W218,"")</f>
        <v>0</v>
      </c>
      <c r="X218" s="1">
        <f>IF(Data!X218&gt;0,4-Data!X218,"")</f>
        <v>2</v>
      </c>
      <c r="Y218" s="1">
        <f>IF(Data!Y218&gt;0,4-Data!Y218,"")</f>
        <v>2</v>
      </c>
      <c r="Z218" s="1">
        <f>IF(Data!Z218&gt;0,Data!Z218-4,"")</f>
        <v>2</v>
      </c>
      <c r="AC218" s="7">
        <f t="shared" si="18"/>
        <v>2.1666666666666665</v>
      </c>
      <c r="AD218" s="7">
        <f t="shared" si="19"/>
        <v>2.25</v>
      </c>
      <c r="AE218" s="7">
        <f t="shared" si="20"/>
        <v>1.5</v>
      </c>
      <c r="AF218" s="7">
        <f t="shared" si="21"/>
        <v>1.5</v>
      </c>
      <c r="AG218" s="7">
        <f t="shared" si="22"/>
        <v>2</v>
      </c>
      <c r="AH218" s="7">
        <f t="shared" si="23"/>
        <v>2</v>
      </c>
    </row>
    <row r="219" spans="1:34">
      <c r="A219" s="1">
        <f>IF(Data!A219&gt;0,Data!A219-4,"")</f>
        <v>1</v>
      </c>
      <c r="B219" s="1">
        <f>IF(Data!B219&gt;0,Data!B219-4,"")</f>
        <v>2</v>
      </c>
      <c r="C219" s="1">
        <f>IF(Data!C219&gt;0,4-Data!C219,"")</f>
        <v>2</v>
      </c>
      <c r="D219" s="1">
        <f>IF(Data!D219&gt;0,4-Data!D219,"")</f>
        <v>2</v>
      </c>
      <c r="E219" s="1">
        <f>IF(Data!E219&gt;0,4-Data!E219,"")</f>
        <v>2</v>
      </c>
      <c r="F219" s="1">
        <f>IF(Data!F219&gt;0,Data!F219-4,"")</f>
        <v>1</v>
      </c>
      <c r="G219" s="1">
        <f>IF(Data!G219&gt;0,Data!G219-4,"")</f>
        <v>2</v>
      </c>
      <c r="H219" s="1">
        <f>IF(Data!H219&gt;0,Data!H219-4,"")</f>
        <v>-1</v>
      </c>
      <c r="I219" s="1">
        <f>IF(Data!I219&gt;0,4-Data!I219,"")</f>
        <v>1</v>
      </c>
      <c r="J219" s="1">
        <f>IF(Data!J219&gt;0,4-Data!J219,"")</f>
        <v>2</v>
      </c>
      <c r="K219" s="1">
        <f>IF(Data!K219&gt;0,Data!K219-4,"")</f>
        <v>0</v>
      </c>
      <c r="L219" s="1">
        <f>IF(Data!L219&gt;0,4-Data!L219,"")</f>
        <v>1</v>
      </c>
      <c r="M219" s="1">
        <f>IF(Data!M219&gt;0,Data!M219-4,"")</f>
        <v>-2</v>
      </c>
      <c r="N219" s="1">
        <f>IF(Data!N219&gt;0,Data!N219-4,"")</f>
        <v>1</v>
      </c>
      <c r="O219" s="1">
        <f>IF(Data!O219&gt;0,Data!O219-4,"")</f>
        <v>3</v>
      </c>
      <c r="P219" s="1">
        <f>IF(Data!P219&gt;0,Data!P219-4,"")</f>
        <v>1</v>
      </c>
      <c r="Q219" s="1">
        <f>IF(Data!Q219&gt;0,4-Data!Q219,"")</f>
        <v>1</v>
      </c>
      <c r="R219" s="1">
        <f>IF(Data!R219&gt;0,4-Data!R219,"")</f>
        <v>2</v>
      </c>
      <c r="S219" s="1">
        <f>IF(Data!S219&gt;0,4-Data!S219,"")</f>
        <v>2</v>
      </c>
      <c r="T219" s="1">
        <f>IF(Data!T219&gt;0,Data!T219-4,"")</f>
        <v>2</v>
      </c>
      <c r="U219" s="1">
        <f>IF(Data!U219&gt;0,4-Data!U219,"")</f>
        <v>2</v>
      </c>
      <c r="V219" s="1">
        <f>IF(Data!V219&gt;0,Data!V219-4,"")</f>
        <v>2</v>
      </c>
      <c r="W219" s="1">
        <f>IF(Data!W219&gt;0,4-Data!W219,"")</f>
        <v>1</v>
      </c>
      <c r="X219" s="1">
        <f>IF(Data!X219&gt;0,4-Data!X219,"")</f>
        <v>1</v>
      </c>
      <c r="Y219" s="1">
        <f>IF(Data!Y219&gt;0,4-Data!Y219,"")</f>
        <v>1</v>
      </c>
      <c r="Z219" s="1">
        <f>IF(Data!Z219&gt;0,Data!Z219-4,"")</f>
        <v>3</v>
      </c>
      <c r="AC219" s="7">
        <f t="shared" si="18"/>
        <v>1</v>
      </c>
      <c r="AD219" s="7">
        <f t="shared" si="19"/>
        <v>1</v>
      </c>
      <c r="AE219" s="7">
        <f t="shared" si="20"/>
        <v>1.5</v>
      </c>
      <c r="AF219" s="7">
        <f t="shared" si="21"/>
        <v>0.5</v>
      </c>
      <c r="AG219" s="7">
        <f t="shared" si="22"/>
        <v>1.75</v>
      </c>
      <c r="AH219" s="7">
        <f t="shared" si="23"/>
        <v>2.5</v>
      </c>
    </row>
    <row r="220" spans="1:34">
      <c r="A220" s="1">
        <f>IF(Data!A220&gt;0,Data!A220-4,"")</f>
        <v>3</v>
      </c>
      <c r="B220" s="1">
        <f>IF(Data!B220&gt;0,Data!B220-4,"")</f>
        <v>2</v>
      </c>
      <c r="C220" s="1">
        <f>IF(Data!C220&gt;0,4-Data!C220,"")</f>
        <v>2</v>
      </c>
      <c r="D220" s="1">
        <f>IF(Data!D220&gt;0,4-Data!D220,"")</f>
        <v>2</v>
      </c>
      <c r="E220" s="1">
        <f>IF(Data!E220&gt;0,4-Data!E220,"")</f>
        <v>2</v>
      </c>
      <c r="F220" s="1">
        <f>IF(Data!F220&gt;0,Data!F220-4,"")</f>
        <v>2</v>
      </c>
      <c r="G220" s="1">
        <f>IF(Data!G220&gt;0,Data!G220-4,"")</f>
        <v>2</v>
      </c>
      <c r="H220" s="1">
        <f>IF(Data!H220&gt;0,Data!H220-4,"")</f>
        <v>-1</v>
      </c>
      <c r="I220" s="1">
        <f>IF(Data!I220&gt;0,4-Data!I220,"")</f>
        <v>2</v>
      </c>
      <c r="J220" s="1">
        <f>IF(Data!J220&gt;0,4-Data!J220,"")</f>
        <v>2</v>
      </c>
      <c r="K220" s="1">
        <f>IF(Data!K220&gt;0,Data!K220-4,"")</f>
        <v>1</v>
      </c>
      <c r="L220" s="1">
        <f>IF(Data!L220&gt;0,4-Data!L220,"")</f>
        <v>2</v>
      </c>
      <c r="M220" s="1">
        <f>IF(Data!M220&gt;0,Data!M220-4,"")</f>
        <v>1</v>
      </c>
      <c r="N220" s="1">
        <f>IF(Data!N220&gt;0,Data!N220-4,"")</f>
        <v>2</v>
      </c>
      <c r="O220" s="1">
        <f>IF(Data!O220&gt;0,Data!O220-4,"")</f>
        <v>2</v>
      </c>
      <c r="P220" s="1">
        <f>IF(Data!P220&gt;0,Data!P220-4,"")</f>
        <v>2</v>
      </c>
      <c r="Q220" s="1">
        <f>IF(Data!Q220&gt;0,4-Data!Q220,"")</f>
        <v>3</v>
      </c>
      <c r="R220" s="1">
        <f>IF(Data!R220&gt;0,4-Data!R220,"")</f>
        <v>1</v>
      </c>
      <c r="S220" s="1">
        <f>IF(Data!S220&gt;0,4-Data!S220,"")</f>
        <v>2</v>
      </c>
      <c r="T220" s="1">
        <f>IF(Data!T220&gt;0,Data!T220-4,"")</f>
        <v>2</v>
      </c>
      <c r="U220" s="1">
        <f>IF(Data!U220&gt;0,4-Data!U220,"")</f>
        <v>2</v>
      </c>
      <c r="V220" s="1">
        <f>IF(Data!V220&gt;0,Data!V220-4,"")</f>
        <v>2</v>
      </c>
      <c r="W220" s="1">
        <f>IF(Data!W220&gt;0,4-Data!W220,"")</f>
        <v>3</v>
      </c>
      <c r="X220" s="1">
        <f>IF(Data!X220&gt;0,4-Data!X220,"")</f>
        <v>1</v>
      </c>
      <c r="Y220" s="1">
        <f>IF(Data!Y220&gt;0,4-Data!Y220,"")</f>
        <v>2</v>
      </c>
      <c r="Z220" s="1">
        <f>IF(Data!Z220&gt;0,Data!Z220-4,"")</f>
        <v>2</v>
      </c>
      <c r="AC220" s="7">
        <f t="shared" si="18"/>
        <v>2</v>
      </c>
      <c r="AD220" s="7">
        <f t="shared" si="19"/>
        <v>1.75</v>
      </c>
      <c r="AE220" s="7">
        <f t="shared" si="20"/>
        <v>2.25</v>
      </c>
      <c r="AF220" s="7">
        <f t="shared" si="21"/>
        <v>1.25</v>
      </c>
      <c r="AG220" s="7">
        <f t="shared" si="22"/>
        <v>1.75</v>
      </c>
      <c r="AH220" s="7">
        <f t="shared" si="23"/>
        <v>2</v>
      </c>
    </row>
    <row r="221" spans="1:34">
      <c r="A221" s="1">
        <f>IF(Data!A221&gt;0,Data!A221-4,"")</f>
        <v>1</v>
      </c>
      <c r="B221" s="1">
        <f>IF(Data!B221&gt;0,Data!B221-4,"")</f>
        <v>3</v>
      </c>
      <c r="C221" s="1">
        <f>IF(Data!C221&gt;0,4-Data!C221,"")</f>
        <v>0</v>
      </c>
      <c r="D221" s="1">
        <f>IF(Data!D221&gt;0,4-Data!D221,"")</f>
        <v>3</v>
      </c>
      <c r="E221" s="1">
        <f>IF(Data!E221&gt;0,4-Data!E221,"")</f>
        <v>2</v>
      </c>
      <c r="F221" s="1">
        <f>IF(Data!F221&gt;0,Data!F221-4,"")</f>
        <v>-1</v>
      </c>
      <c r="G221" s="1">
        <f>IF(Data!G221&gt;0,Data!G221-4,"")</f>
        <v>1</v>
      </c>
      <c r="H221" s="1">
        <f>IF(Data!H221&gt;0,Data!H221-4,"")</f>
        <v>2</v>
      </c>
      <c r="I221" s="1">
        <f>IF(Data!I221&gt;0,4-Data!I221,"")</f>
        <v>3</v>
      </c>
      <c r="J221" s="1">
        <f>IF(Data!J221&gt;0,4-Data!J221,"")</f>
        <v>0</v>
      </c>
      <c r="K221" s="1">
        <f>IF(Data!K221&gt;0,Data!K221-4,"")</f>
        <v>2</v>
      </c>
      <c r="L221" s="1">
        <f>IF(Data!L221&gt;0,4-Data!L221,"")</f>
        <v>3</v>
      </c>
      <c r="M221" s="1">
        <f>IF(Data!M221&gt;0,Data!M221-4,"")</f>
        <v>2</v>
      </c>
      <c r="N221" s="1">
        <f>IF(Data!N221&gt;0,Data!N221-4,"")</f>
        <v>2</v>
      </c>
      <c r="O221" s="1">
        <f>IF(Data!O221&gt;0,Data!O221-4,"")</f>
        <v>-3</v>
      </c>
      <c r="P221" s="1">
        <f>IF(Data!P221&gt;0,Data!P221-4,"")</f>
        <v>2</v>
      </c>
      <c r="Q221" s="1">
        <f>IF(Data!Q221&gt;0,4-Data!Q221,"")</f>
        <v>2</v>
      </c>
      <c r="R221" s="1">
        <f>IF(Data!R221&gt;0,4-Data!R221,"")</f>
        <v>1</v>
      </c>
      <c r="S221" s="1">
        <f>IF(Data!S221&gt;0,4-Data!S221,"")</f>
        <v>3</v>
      </c>
      <c r="T221" s="1">
        <f>IF(Data!T221&gt;0,Data!T221-4,"")</f>
        <v>3</v>
      </c>
      <c r="U221" s="1">
        <f>IF(Data!U221&gt;0,4-Data!U221,"")</f>
        <v>2</v>
      </c>
      <c r="V221" s="1">
        <f>IF(Data!V221&gt;0,Data!V221-4,"")</f>
        <v>3</v>
      </c>
      <c r="W221" s="1">
        <f>IF(Data!W221&gt;0,4-Data!W221,"")</f>
        <v>1</v>
      </c>
      <c r="X221" s="1">
        <f>IF(Data!X221&gt;0,4-Data!X221,"")</f>
        <v>-1</v>
      </c>
      <c r="Y221" s="1">
        <f>IF(Data!Y221&gt;0,4-Data!Y221,"")</f>
        <v>1</v>
      </c>
      <c r="Z221" s="1">
        <f>IF(Data!Z221&gt;0,Data!Z221-4,"")</f>
        <v>0</v>
      </c>
      <c r="AC221" s="7">
        <f t="shared" si="18"/>
        <v>1.3333333333333333</v>
      </c>
      <c r="AD221" s="7">
        <f t="shared" si="19"/>
        <v>2.5</v>
      </c>
      <c r="AE221" s="7">
        <f t="shared" si="20"/>
        <v>2.5</v>
      </c>
      <c r="AF221" s="7">
        <f t="shared" si="21"/>
        <v>2.25</v>
      </c>
      <c r="AG221" s="7">
        <f t="shared" si="22"/>
        <v>0.75</v>
      </c>
      <c r="AH221" s="7">
        <f t="shared" si="23"/>
        <v>-0.75</v>
      </c>
    </row>
    <row r="222" spans="1:34">
      <c r="A222" s="1">
        <f>IF(Data!A222&gt;0,Data!A222-4,"")</f>
        <v>3</v>
      </c>
      <c r="B222" s="1">
        <f>IF(Data!B222&gt;0,Data!B222-4,"")</f>
        <v>3</v>
      </c>
      <c r="C222" s="1">
        <f>IF(Data!C222&gt;0,4-Data!C222,"")</f>
        <v>0</v>
      </c>
      <c r="D222" s="1">
        <f>IF(Data!D222&gt;0,4-Data!D222,"")</f>
        <v>1</v>
      </c>
      <c r="E222" s="1">
        <f>IF(Data!E222&gt;0,4-Data!E222,"")</f>
        <v>3</v>
      </c>
      <c r="F222" s="1">
        <f>IF(Data!F222&gt;0,Data!F222-4,"")</f>
        <v>2</v>
      </c>
      <c r="G222" s="1">
        <f>IF(Data!G222&gt;0,Data!G222-4,"")</f>
        <v>2</v>
      </c>
      <c r="H222" s="1">
        <f>IF(Data!H222&gt;0,Data!H222-4,"")</f>
        <v>2</v>
      </c>
      <c r="I222" s="1">
        <f>IF(Data!I222&gt;0,4-Data!I222,"")</f>
        <v>2</v>
      </c>
      <c r="J222" s="1">
        <f>IF(Data!J222&gt;0,4-Data!J222,"")</f>
        <v>2</v>
      </c>
      <c r="K222" s="1">
        <f>IF(Data!K222&gt;0,Data!K222-4,"")</f>
        <v>3</v>
      </c>
      <c r="L222" s="1">
        <f>IF(Data!L222&gt;0,4-Data!L222,"")</f>
        <v>3</v>
      </c>
      <c r="M222" s="1">
        <f>IF(Data!M222&gt;0,Data!M222-4,"")</f>
        <v>2</v>
      </c>
      <c r="N222" s="1">
        <f>IF(Data!N222&gt;0,Data!N222-4,"")</f>
        <v>3</v>
      </c>
      <c r="O222" s="1">
        <f>IF(Data!O222&gt;0,Data!O222-4,"")</f>
        <v>2</v>
      </c>
      <c r="P222" s="1">
        <f>IF(Data!P222&gt;0,Data!P222-4,"")</f>
        <v>3</v>
      </c>
      <c r="Q222" s="1">
        <f>IF(Data!Q222&gt;0,4-Data!Q222,"")</f>
        <v>3</v>
      </c>
      <c r="R222" s="1">
        <f>IF(Data!R222&gt;0,4-Data!R222,"")</f>
        <v>2</v>
      </c>
      <c r="S222" s="1">
        <f>IF(Data!S222&gt;0,4-Data!S222,"")</f>
        <v>3</v>
      </c>
      <c r="T222" s="1">
        <f>IF(Data!T222&gt;0,Data!T222-4,"")</f>
        <v>3</v>
      </c>
      <c r="U222" s="1">
        <f>IF(Data!U222&gt;0,4-Data!U222,"")</f>
        <v>3</v>
      </c>
      <c r="V222" s="1">
        <f>IF(Data!V222&gt;0,Data!V222-4,"")</f>
        <v>3</v>
      </c>
      <c r="W222" s="1">
        <f>IF(Data!W222&gt;0,4-Data!W222,"")</f>
        <v>2</v>
      </c>
      <c r="X222" s="1">
        <f>IF(Data!X222&gt;0,4-Data!X222,"")</f>
        <v>2</v>
      </c>
      <c r="Y222" s="1">
        <f>IF(Data!Y222&gt;0,4-Data!Y222,"")</f>
        <v>3</v>
      </c>
      <c r="Z222" s="1">
        <f>IF(Data!Z222&gt;0,Data!Z222-4,"")</f>
        <v>1</v>
      </c>
      <c r="AC222" s="7">
        <f t="shared" si="18"/>
        <v>2.8333333333333335</v>
      </c>
      <c r="AD222" s="7">
        <f t="shared" si="19"/>
        <v>2.25</v>
      </c>
      <c r="AE222" s="7">
        <f t="shared" si="20"/>
        <v>2.5</v>
      </c>
      <c r="AF222" s="7">
        <f t="shared" si="21"/>
        <v>2.75</v>
      </c>
      <c r="AG222" s="7">
        <f t="shared" si="22"/>
        <v>2.25</v>
      </c>
      <c r="AH222" s="7">
        <f t="shared" si="23"/>
        <v>1.25</v>
      </c>
    </row>
    <row r="223" spans="1:34">
      <c r="A223" s="1">
        <f>IF(Data!A223&gt;0,Data!A223-4,"")</f>
        <v>3</v>
      </c>
      <c r="B223" s="1">
        <f>IF(Data!B223&gt;0,Data!B223-4,"")</f>
        <v>-3</v>
      </c>
      <c r="C223" s="1">
        <f>IF(Data!C223&gt;0,4-Data!C223,"")</f>
        <v>-1</v>
      </c>
      <c r="D223" s="1">
        <f>IF(Data!D223&gt;0,4-Data!D223,"")</f>
        <v>-1</v>
      </c>
      <c r="E223" s="1">
        <f>IF(Data!E223&gt;0,4-Data!E223,"")</f>
        <v>-2</v>
      </c>
      <c r="F223" s="1">
        <f>IF(Data!F223&gt;0,Data!F223-4,"")</f>
        <v>-2</v>
      </c>
      <c r="G223" s="1">
        <f>IF(Data!G223&gt;0,Data!G223-4,"")</f>
        <v>-2</v>
      </c>
      <c r="H223" s="1">
        <f>IF(Data!H223&gt;0,Data!H223-4,"")</f>
        <v>0</v>
      </c>
      <c r="I223" s="1">
        <f>IF(Data!I223&gt;0,4-Data!I223,"")</f>
        <v>-1</v>
      </c>
      <c r="J223" s="1">
        <f>IF(Data!J223&gt;0,4-Data!J223,"")</f>
        <v>-1</v>
      </c>
      <c r="K223" s="1">
        <f>IF(Data!K223&gt;0,Data!K223-4,"")</f>
        <v>-1</v>
      </c>
      <c r="L223" s="1">
        <f>IF(Data!L223&gt;0,4-Data!L223,"")</f>
        <v>-1</v>
      </c>
      <c r="M223" s="1">
        <f>IF(Data!M223&gt;0,Data!M223-4,"")</f>
        <v>-2</v>
      </c>
      <c r="N223" s="1">
        <f>IF(Data!N223&gt;0,Data!N223-4,"")</f>
        <v>-2</v>
      </c>
      <c r="O223" s="1">
        <f>IF(Data!O223&gt;0,Data!O223-4,"")</f>
        <v>2</v>
      </c>
      <c r="P223" s="1">
        <f>IF(Data!P223&gt;0,Data!P223-4,"")</f>
        <v>-2</v>
      </c>
      <c r="Q223" s="1">
        <f>IF(Data!Q223&gt;0,4-Data!Q223,"")</f>
        <v>-1</v>
      </c>
      <c r="R223" s="1">
        <f>IF(Data!R223&gt;0,4-Data!R223,"")</f>
        <v>0</v>
      </c>
      <c r="S223" s="1">
        <f>IF(Data!S223&gt;0,4-Data!S223,"")</f>
        <v>-2</v>
      </c>
      <c r="T223" s="1">
        <f>IF(Data!T223&gt;0,Data!T223-4,"")</f>
        <v>-2</v>
      </c>
      <c r="U223" s="1">
        <f>IF(Data!U223&gt;0,4-Data!U223,"")</f>
        <v>-1</v>
      </c>
      <c r="V223" s="1">
        <f>IF(Data!V223&gt;0,Data!V223-4,"")</f>
        <v>0</v>
      </c>
      <c r="W223" s="1">
        <f>IF(Data!W223&gt;0,4-Data!W223,"")</f>
        <v>-1</v>
      </c>
      <c r="X223" s="1">
        <f>IF(Data!X223&gt;0,4-Data!X223,"")</f>
        <v>1</v>
      </c>
      <c r="Y223" s="1">
        <f>IF(Data!Y223&gt;0,4-Data!Y223,"")</f>
        <v>0</v>
      </c>
      <c r="Z223" s="1">
        <f>IF(Data!Z223&gt;0,Data!Z223-4,"")</f>
        <v>-2</v>
      </c>
      <c r="AC223" s="7">
        <f t="shared" si="18"/>
        <v>-0.16666666666666666</v>
      </c>
      <c r="AD223" s="7">
        <f t="shared" si="19"/>
        <v>-1.75</v>
      </c>
      <c r="AE223" s="7">
        <f t="shared" si="20"/>
        <v>-1</v>
      </c>
      <c r="AF223" s="7">
        <f t="shared" si="21"/>
        <v>-1</v>
      </c>
      <c r="AG223" s="7">
        <f t="shared" si="22"/>
        <v>-1.5</v>
      </c>
      <c r="AH223" s="7">
        <f t="shared" si="23"/>
        <v>-0.5</v>
      </c>
    </row>
    <row r="224" spans="1:34">
      <c r="A224" s="1">
        <f>IF(Data!A224&gt;0,Data!A224-4,"")</f>
        <v>3</v>
      </c>
      <c r="B224" s="1">
        <f>IF(Data!B224&gt;0,Data!B224-4,"")</f>
        <v>3</v>
      </c>
      <c r="C224" s="1">
        <f>IF(Data!C224&gt;0,4-Data!C224,"")</f>
        <v>3</v>
      </c>
      <c r="D224" s="1">
        <f>IF(Data!D224&gt;0,4-Data!D224,"")</f>
        <v>3</v>
      </c>
      <c r="E224" s="1">
        <f>IF(Data!E224&gt;0,4-Data!E224,"")</f>
        <v>3</v>
      </c>
      <c r="F224" s="1">
        <f>IF(Data!F224&gt;0,Data!F224-4,"")</f>
        <v>3</v>
      </c>
      <c r="G224" s="1">
        <f>IF(Data!G224&gt;0,Data!G224-4,"")</f>
        <v>3</v>
      </c>
      <c r="H224" s="1">
        <f>IF(Data!H224&gt;0,Data!H224-4,"")</f>
        <v>3</v>
      </c>
      <c r="I224" s="1">
        <f>IF(Data!I224&gt;0,4-Data!I224,"")</f>
        <v>3</v>
      </c>
      <c r="J224" s="1">
        <f>IF(Data!J224&gt;0,4-Data!J224,"")</f>
        <v>0</v>
      </c>
      <c r="K224" s="1">
        <f>IF(Data!K224&gt;0,Data!K224-4,"")</f>
        <v>0</v>
      </c>
      <c r="L224" s="1">
        <f>IF(Data!L224&gt;0,4-Data!L224,"")</f>
        <v>3</v>
      </c>
      <c r="M224" s="1">
        <f>IF(Data!M224&gt;0,Data!M224-4,"")</f>
        <v>3</v>
      </c>
      <c r="N224" s="1">
        <f>IF(Data!N224&gt;0,Data!N224-4,"")</f>
        <v>3</v>
      </c>
      <c r="O224" s="1">
        <f>IF(Data!O224&gt;0,Data!O224-4,"")</f>
        <v>-3</v>
      </c>
      <c r="P224" s="1">
        <f>IF(Data!P224&gt;0,Data!P224-4,"")</f>
        <v>3</v>
      </c>
      <c r="Q224" s="1">
        <f>IF(Data!Q224&gt;0,4-Data!Q224,"")</f>
        <v>3</v>
      </c>
      <c r="R224" s="1">
        <f>IF(Data!R224&gt;0,4-Data!R224,"")</f>
        <v>2</v>
      </c>
      <c r="S224" s="1">
        <f>IF(Data!S224&gt;0,4-Data!S224,"")</f>
        <v>2</v>
      </c>
      <c r="T224" s="1">
        <f>IF(Data!T224&gt;0,Data!T224-4,"")</f>
        <v>2</v>
      </c>
      <c r="U224" s="1">
        <f>IF(Data!U224&gt;0,4-Data!U224,"")</f>
        <v>3</v>
      </c>
      <c r="V224" s="1">
        <f>IF(Data!V224&gt;0,Data!V224-4,"")</f>
        <v>3</v>
      </c>
      <c r="W224" s="1">
        <f>IF(Data!W224&gt;0,4-Data!W224,"")</f>
        <v>3</v>
      </c>
      <c r="X224" s="1">
        <f>IF(Data!X224&gt;0,4-Data!X224,"")</f>
        <v>3</v>
      </c>
      <c r="Y224" s="1">
        <f>IF(Data!Y224&gt;0,4-Data!Y224,"")</f>
        <v>3</v>
      </c>
      <c r="Z224" s="1">
        <f>IF(Data!Z224&gt;0,Data!Z224-4,"")</f>
        <v>-3</v>
      </c>
      <c r="AC224" s="7">
        <f t="shared" si="18"/>
        <v>3</v>
      </c>
      <c r="AD224" s="7">
        <f t="shared" si="19"/>
        <v>3</v>
      </c>
      <c r="AE224" s="7">
        <f t="shared" si="20"/>
        <v>2.75</v>
      </c>
      <c r="AF224" s="7">
        <f t="shared" si="21"/>
        <v>2</v>
      </c>
      <c r="AG224" s="7">
        <f t="shared" si="22"/>
        <v>2.75</v>
      </c>
      <c r="AH224" s="7">
        <f t="shared" si="23"/>
        <v>-0.75</v>
      </c>
    </row>
    <row r="225" spans="1:34">
      <c r="A225" s="1">
        <f>IF(Data!A225&gt;0,Data!A225-4,"")</f>
        <v>1</v>
      </c>
      <c r="B225" s="1">
        <f>IF(Data!B225&gt;0,Data!B225-4,"")</f>
        <v>1</v>
      </c>
      <c r="C225" s="1">
        <f>IF(Data!C225&gt;0,4-Data!C225,"")</f>
        <v>1</v>
      </c>
      <c r="D225" s="1">
        <f>IF(Data!D225&gt;0,4-Data!D225,"")</f>
        <v>2</v>
      </c>
      <c r="E225" s="1">
        <f>IF(Data!E225&gt;0,4-Data!E225,"")</f>
        <v>3</v>
      </c>
      <c r="F225" s="1">
        <f>IF(Data!F225&gt;0,Data!F225-4,"")</f>
        <v>1</v>
      </c>
      <c r="G225" s="1">
        <f>IF(Data!G225&gt;0,Data!G225-4,"")</f>
        <v>1</v>
      </c>
      <c r="H225" s="1">
        <f>IF(Data!H225&gt;0,Data!H225-4,"")</f>
        <v>2</v>
      </c>
      <c r="I225" s="1">
        <f>IF(Data!I225&gt;0,4-Data!I225,"")</f>
        <v>1</v>
      </c>
      <c r="J225" s="1">
        <f>IF(Data!J225&gt;0,4-Data!J225,"")</f>
        <v>0</v>
      </c>
      <c r="K225" s="1">
        <f>IF(Data!K225&gt;0,Data!K225-4,"")</f>
        <v>2</v>
      </c>
      <c r="L225" s="1">
        <f>IF(Data!L225&gt;0,4-Data!L225,"")</f>
        <v>2</v>
      </c>
      <c r="M225" s="1">
        <f>IF(Data!M225&gt;0,Data!M225-4,"")</f>
        <v>1</v>
      </c>
      <c r="N225" s="1">
        <f>IF(Data!N225&gt;0,Data!N225-4,"")</f>
        <v>2</v>
      </c>
      <c r="O225" s="1">
        <f>IF(Data!O225&gt;0,Data!O225-4,"")</f>
        <v>2</v>
      </c>
      <c r="P225" s="1">
        <f>IF(Data!P225&gt;0,Data!P225-4,"")</f>
        <v>2</v>
      </c>
      <c r="Q225" s="1">
        <f>IF(Data!Q225&gt;0,4-Data!Q225,"")</f>
        <v>2</v>
      </c>
      <c r="R225" s="1">
        <f>IF(Data!R225&gt;0,4-Data!R225,"")</f>
        <v>1</v>
      </c>
      <c r="S225" s="1">
        <f>IF(Data!S225&gt;0,4-Data!S225,"")</f>
        <v>1</v>
      </c>
      <c r="T225" s="1">
        <f>IF(Data!T225&gt;0,Data!T225-4,"")</f>
        <v>1</v>
      </c>
      <c r="U225" s="1">
        <f>IF(Data!U225&gt;0,4-Data!U225,"")</f>
        <v>1</v>
      </c>
      <c r="V225" s="1">
        <f>IF(Data!V225&gt;0,Data!V225-4,"")</f>
        <v>2</v>
      </c>
      <c r="W225" s="1">
        <f>IF(Data!W225&gt;0,4-Data!W225,"")</f>
        <v>2</v>
      </c>
      <c r="X225" s="1">
        <f>IF(Data!X225&gt;0,4-Data!X225,"")</f>
        <v>2</v>
      </c>
      <c r="Y225" s="1">
        <f>IF(Data!Y225&gt;0,4-Data!Y225,"")</f>
        <v>2</v>
      </c>
      <c r="Z225" s="1">
        <f>IF(Data!Z225&gt;0,Data!Z225-4,"")</f>
        <v>2</v>
      </c>
      <c r="AC225" s="7">
        <f t="shared" si="18"/>
        <v>1.8333333333333333</v>
      </c>
      <c r="AD225" s="7">
        <f t="shared" si="19"/>
        <v>1.25</v>
      </c>
      <c r="AE225" s="7">
        <f t="shared" si="20"/>
        <v>1.5</v>
      </c>
      <c r="AF225" s="7">
        <f t="shared" si="21"/>
        <v>1.75</v>
      </c>
      <c r="AG225" s="7">
        <f t="shared" si="22"/>
        <v>1.5</v>
      </c>
      <c r="AH225" s="7">
        <f t="shared" si="23"/>
        <v>1.25</v>
      </c>
    </row>
    <row r="226" spans="1:34">
      <c r="A226" s="1">
        <f>IF(Data!A226&gt;0,Data!A226-4,"")</f>
        <v>2</v>
      </c>
      <c r="B226" s="1">
        <f>IF(Data!B226&gt;0,Data!B226-4,"")</f>
        <v>3</v>
      </c>
      <c r="C226" s="1">
        <f>IF(Data!C226&gt;0,4-Data!C226,"")</f>
        <v>0</v>
      </c>
      <c r="D226" s="1">
        <f>IF(Data!D226&gt;0,4-Data!D226,"")</f>
        <v>2</v>
      </c>
      <c r="E226" s="1">
        <f>IF(Data!E226&gt;0,4-Data!E226,"")</f>
        <v>2</v>
      </c>
      <c r="F226" s="1">
        <f>IF(Data!F226&gt;0,Data!F226-4,"")</f>
        <v>0</v>
      </c>
      <c r="G226" s="1">
        <f>IF(Data!G226&gt;0,Data!G226-4,"")</f>
        <v>2</v>
      </c>
      <c r="H226" s="1">
        <f>IF(Data!H226&gt;0,Data!H226-4,"")</f>
        <v>2</v>
      </c>
      <c r="I226" s="1">
        <f>IF(Data!I226&gt;0,4-Data!I226,"")</f>
        <v>3</v>
      </c>
      <c r="J226" s="1">
        <f>IF(Data!J226&gt;0,4-Data!J226,"")</f>
        <v>-2</v>
      </c>
      <c r="K226" s="1">
        <f>IF(Data!K226&gt;0,Data!K226-4,"")</f>
        <v>0</v>
      </c>
      <c r="L226" s="1">
        <f>IF(Data!L226&gt;0,4-Data!L226,"")</f>
        <v>1</v>
      </c>
      <c r="M226" s="1">
        <f>IF(Data!M226&gt;0,Data!M226-4,"")</f>
        <v>2</v>
      </c>
      <c r="N226" s="1">
        <f>IF(Data!N226&gt;0,Data!N226-4,"")</f>
        <v>2</v>
      </c>
      <c r="O226" s="1">
        <f>IF(Data!O226&gt;0,Data!O226-4,"")</f>
        <v>2</v>
      </c>
      <c r="P226" s="1">
        <f>IF(Data!P226&gt;0,Data!P226-4,"")</f>
        <v>0</v>
      </c>
      <c r="Q226" s="1">
        <f>IF(Data!Q226&gt;0,4-Data!Q226,"")</f>
        <v>1</v>
      </c>
      <c r="R226" s="1">
        <f>IF(Data!R226&gt;0,4-Data!R226,"")</f>
        <v>0</v>
      </c>
      <c r="S226" s="1">
        <f>IF(Data!S226&gt;0,4-Data!S226,"")</f>
        <v>3</v>
      </c>
      <c r="T226" s="1">
        <f>IF(Data!T226&gt;0,Data!T226-4,"")</f>
        <v>3</v>
      </c>
      <c r="U226" s="1">
        <f>IF(Data!U226&gt;0,4-Data!U226,"")</f>
        <v>2</v>
      </c>
      <c r="V226" s="1">
        <f>IF(Data!V226&gt;0,Data!V226-4,"")</f>
        <v>2</v>
      </c>
      <c r="W226" s="1">
        <f>IF(Data!W226&gt;0,4-Data!W226,"")</f>
        <v>2</v>
      </c>
      <c r="X226" s="1">
        <f>IF(Data!X226&gt;0,4-Data!X226,"")</f>
        <v>2</v>
      </c>
      <c r="Y226" s="1">
        <f>IF(Data!Y226&gt;0,4-Data!Y226,"")</f>
        <v>0</v>
      </c>
      <c r="Z226" s="1">
        <f>IF(Data!Z226&gt;0,Data!Z226-4,"")</f>
        <v>0</v>
      </c>
      <c r="AC226" s="7">
        <f t="shared" si="18"/>
        <v>1.1666666666666667</v>
      </c>
      <c r="AD226" s="7">
        <f t="shared" si="19"/>
        <v>2.25</v>
      </c>
      <c r="AE226" s="7">
        <f t="shared" si="20"/>
        <v>2.5</v>
      </c>
      <c r="AF226" s="7">
        <f t="shared" si="21"/>
        <v>1.5</v>
      </c>
      <c r="AG226" s="7">
        <f t="shared" si="22"/>
        <v>1</v>
      </c>
      <c r="AH226" s="7">
        <f t="shared" si="23"/>
        <v>0</v>
      </c>
    </row>
    <row r="227" spans="1:34">
      <c r="A227" s="1">
        <f>IF(Data!A227&gt;0,Data!A227-4,"")</f>
        <v>-1</v>
      </c>
      <c r="B227" s="1">
        <f>IF(Data!B227&gt;0,Data!B227-4,"")</f>
        <v>-2</v>
      </c>
      <c r="C227" s="1">
        <f>IF(Data!C227&gt;0,4-Data!C227,"")</f>
        <v>-2</v>
      </c>
      <c r="D227" s="1">
        <f>IF(Data!D227&gt;0,4-Data!D227,"")</f>
        <v>1</v>
      </c>
      <c r="E227" s="1">
        <f>IF(Data!E227&gt;0,4-Data!E227,"")</f>
        <v>-2</v>
      </c>
      <c r="F227" s="1">
        <f>IF(Data!F227&gt;0,Data!F227-4,"")</f>
        <v>-3</v>
      </c>
      <c r="G227" s="1">
        <f>IF(Data!G227&gt;0,Data!G227-4,"")</f>
        <v>-3</v>
      </c>
      <c r="H227" s="1">
        <f>IF(Data!H227&gt;0,Data!H227-4,"")</f>
        <v>-2</v>
      </c>
      <c r="I227" s="1">
        <f>IF(Data!I227&gt;0,4-Data!I227,"")</f>
        <v>2</v>
      </c>
      <c r="J227" s="1">
        <f>IF(Data!J227&gt;0,4-Data!J227,"")</f>
        <v>-1</v>
      </c>
      <c r="K227" s="1">
        <f>IF(Data!K227&gt;0,Data!K227-4,"")</f>
        <v>0</v>
      </c>
      <c r="L227" s="1">
        <f>IF(Data!L227&gt;0,4-Data!L227,"")</f>
        <v>0</v>
      </c>
      <c r="M227" s="1">
        <f>IF(Data!M227&gt;0,Data!M227-4,"")</f>
        <v>0</v>
      </c>
      <c r="N227" s="1">
        <f>IF(Data!N227&gt;0,Data!N227-4,"")</f>
        <v>-3</v>
      </c>
      <c r="O227" s="1">
        <f>IF(Data!O227&gt;0,Data!O227-4,"")</f>
        <v>-2</v>
      </c>
      <c r="P227" s="1">
        <f>IF(Data!P227&gt;0,Data!P227-4,"")</f>
        <v>-2</v>
      </c>
      <c r="Q227" s="1">
        <f>IF(Data!Q227&gt;0,4-Data!Q227,"")</f>
        <v>3</v>
      </c>
      <c r="R227" s="1">
        <f>IF(Data!R227&gt;0,4-Data!R227,"")</f>
        <v>-2</v>
      </c>
      <c r="S227" s="1">
        <f>IF(Data!S227&gt;0,4-Data!S227,"")</f>
        <v>-2</v>
      </c>
      <c r="T227" s="1">
        <f>IF(Data!T227&gt;0,Data!T227-4,"")</f>
        <v>-1</v>
      </c>
      <c r="U227" s="1">
        <f>IF(Data!U227&gt;0,4-Data!U227,"")</f>
        <v>-2</v>
      </c>
      <c r="V227" s="1">
        <f>IF(Data!V227&gt;0,Data!V227-4,"")</f>
        <v>-2</v>
      </c>
      <c r="W227" s="1">
        <f>IF(Data!W227&gt;0,4-Data!W227,"")</f>
        <v>-2</v>
      </c>
      <c r="X227" s="1">
        <f>IF(Data!X227&gt;0,4-Data!X227,"")</f>
        <v>-2</v>
      </c>
      <c r="Y227" s="1">
        <f>IF(Data!Y227&gt;0,4-Data!Y227,"")</f>
        <v>-2</v>
      </c>
      <c r="Z227" s="1">
        <f>IF(Data!Z227&gt;0,Data!Z227-4,"")</f>
        <v>0</v>
      </c>
      <c r="AC227" s="7">
        <f t="shared" si="18"/>
        <v>-1.6666666666666667</v>
      </c>
      <c r="AD227" s="7">
        <f t="shared" si="19"/>
        <v>-0.75</v>
      </c>
      <c r="AE227" s="7">
        <f t="shared" si="20"/>
        <v>-0.75</v>
      </c>
      <c r="AF227" s="7">
        <f t="shared" si="21"/>
        <v>-0.25</v>
      </c>
      <c r="AG227" s="7">
        <f t="shared" si="22"/>
        <v>-2.5</v>
      </c>
      <c r="AH227" s="7">
        <f t="shared" si="23"/>
        <v>-1.25</v>
      </c>
    </row>
    <row r="228" spans="1:34">
      <c r="A228" s="1">
        <f>IF(Data!A228&gt;0,Data!A228-4,"")</f>
        <v>3</v>
      </c>
      <c r="B228" s="1">
        <f>IF(Data!B228&gt;0,Data!B228-4,"")</f>
        <v>3</v>
      </c>
      <c r="C228" s="1">
        <f>IF(Data!C228&gt;0,4-Data!C228,"")</f>
        <v>3</v>
      </c>
      <c r="D228" s="1">
        <f>IF(Data!D228&gt;0,4-Data!D228,"")</f>
        <v>3</v>
      </c>
      <c r="E228" s="1">
        <f>IF(Data!E228&gt;0,4-Data!E228,"")</f>
        <v>3</v>
      </c>
      <c r="F228" s="1">
        <f>IF(Data!F228&gt;0,Data!F228-4,"")</f>
        <v>3</v>
      </c>
      <c r="G228" s="1">
        <f>IF(Data!G228&gt;0,Data!G228-4,"")</f>
        <v>3</v>
      </c>
      <c r="H228" s="1">
        <f>IF(Data!H228&gt;0,Data!H228-4,"")</f>
        <v>0</v>
      </c>
      <c r="I228" s="1">
        <f>IF(Data!I228&gt;0,4-Data!I228,"")</f>
        <v>2</v>
      </c>
      <c r="J228" s="1">
        <f>IF(Data!J228&gt;0,4-Data!J228,"")</f>
        <v>2</v>
      </c>
      <c r="K228" s="1">
        <f>IF(Data!K228&gt;0,Data!K228-4,"")</f>
        <v>-3</v>
      </c>
      <c r="L228" s="1">
        <f>IF(Data!L228&gt;0,4-Data!L228,"")</f>
        <v>3</v>
      </c>
      <c r="M228" s="1">
        <f>IF(Data!M228&gt;0,Data!M228-4,"")</f>
        <v>3</v>
      </c>
      <c r="N228" s="1">
        <f>IF(Data!N228&gt;0,Data!N228-4,"")</f>
        <v>3</v>
      </c>
      <c r="O228" s="1">
        <f>IF(Data!O228&gt;0,Data!O228-4,"")</f>
        <v>3</v>
      </c>
      <c r="P228" s="1">
        <f>IF(Data!P228&gt;0,Data!P228-4,"")</f>
        <v>3</v>
      </c>
      <c r="Q228" s="1">
        <f>IF(Data!Q228&gt;0,4-Data!Q228,"")</f>
        <v>3</v>
      </c>
      <c r="R228" s="1">
        <f>IF(Data!R228&gt;0,4-Data!R228,"")</f>
        <v>3</v>
      </c>
      <c r="S228" s="1">
        <f>IF(Data!S228&gt;0,4-Data!S228,"")</f>
        <v>3</v>
      </c>
      <c r="T228" s="1">
        <f>IF(Data!T228&gt;0,Data!T228-4,"")</f>
        <v>3</v>
      </c>
      <c r="U228" s="1">
        <f>IF(Data!U228&gt;0,4-Data!U228,"")</f>
        <v>3</v>
      </c>
      <c r="V228" s="1">
        <f>IF(Data!V228&gt;0,Data!V228-4,"")</f>
        <v>2</v>
      </c>
      <c r="W228" s="1">
        <f>IF(Data!W228&gt;0,4-Data!W228,"")</f>
        <v>2</v>
      </c>
      <c r="X228" s="1">
        <f>IF(Data!X228&gt;0,4-Data!X228,"")</f>
        <v>3</v>
      </c>
      <c r="Y228" s="1">
        <f>IF(Data!Y228&gt;0,4-Data!Y228,"")</f>
        <v>3</v>
      </c>
      <c r="Z228" s="1">
        <f>IF(Data!Z228&gt;0,Data!Z228-4,"")</f>
        <v>-3</v>
      </c>
      <c r="AC228" s="7">
        <f t="shared" si="18"/>
        <v>3</v>
      </c>
      <c r="AD228" s="7">
        <f t="shared" si="19"/>
        <v>3</v>
      </c>
      <c r="AE228" s="7">
        <f t="shared" si="20"/>
        <v>2.25</v>
      </c>
      <c r="AF228" s="7">
        <f t="shared" si="21"/>
        <v>0.75</v>
      </c>
      <c r="AG228" s="7">
        <f t="shared" si="22"/>
        <v>3</v>
      </c>
      <c r="AH228" s="7">
        <f t="shared" si="23"/>
        <v>1.25</v>
      </c>
    </row>
    <row r="229" spans="1:34">
      <c r="A229" s="1">
        <f>IF(Data!A229&gt;0,Data!A229-4,"")</f>
        <v>2</v>
      </c>
      <c r="B229" s="1">
        <f>IF(Data!B229&gt;0,Data!B229-4,"")</f>
        <v>3</v>
      </c>
      <c r="C229" s="1">
        <f>IF(Data!C229&gt;0,4-Data!C229,"")</f>
        <v>1</v>
      </c>
      <c r="D229" s="1">
        <f>IF(Data!D229&gt;0,4-Data!D229,"")</f>
        <v>3</v>
      </c>
      <c r="E229" s="1">
        <f>IF(Data!E229&gt;0,4-Data!E229,"")</f>
        <v>3</v>
      </c>
      <c r="F229" s="1">
        <f>IF(Data!F229&gt;0,Data!F229-4,"")</f>
        <v>2</v>
      </c>
      <c r="G229" s="1">
        <f>IF(Data!G229&gt;0,Data!G229-4,"")</f>
        <v>2</v>
      </c>
      <c r="H229" s="1">
        <f>IF(Data!H229&gt;0,Data!H229-4,"")</f>
        <v>0</v>
      </c>
      <c r="I229" s="1">
        <f>IF(Data!I229&gt;0,4-Data!I229,"")</f>
        <v>1</v>
      </c>
      <c r="J229" s="1">
        <f>IF(Data!J229&gt;0,4-Data!J229,"")</f>
        <v>1</v>
      </c>
      <c r="K229" s="1">
        <f>IF(Data!K229&gt;0,Data!K229-4,"")</f>
        <v>1</v>
      </c>
      <c r="L229" s="1">
        <f>IF(Data!L229&gt;0,4-Data!L229,"")</f>
        <v>2</v>
      </c>
      <c r="M229" s="1">
        <f>IF(Data!M229&gt;0,Data!M229-4,"")</f>
        <v>3</v>
      </c>
      <c r="N229" s="1">
        <f>IF(Data!N229&gt;0,Data!N229-4,"")</f>
        <v>1</v>
      </c>
      <c r="O229" s="1">
        <f>IF(Data!O229&gt;0,Data!O229-4,"")</f>
        <v>1</v>
      </c>
      <c r="P229" s="1">
        <f>IF(Data!P229&gt;0,Data!P229-4,"")</f>
        <v>2</v>
      </c>
      <c r="Q229" s="1">
        <f>IF(Data!Q229&gt;0,4-Data!Q229,"")</f>
        <v>2</v>
      </c>
      <c r="R229" s="1">
        <f>IF(Data!R229&gt;0,4-Data!R229,"")</f>
        <v>1</v>
      </c>
      <c r="S229" s="1">
        <f>IF(Data!S229&gt;0,4-Data!S229,"")</f>
        <v>1</v>
      </c>
      <c r="T229" s="1">
        <f>IF(Data!T229&gt;0,Data!T229-4,"")</f>
        <v>1</v>
      </c>
      <c r="U229" s="1">
        <f>IF(Data!U229&gt;0,4-Data!U229,"")</f>
        <v>1</v>
      </c>
      <c r="V229" s="1">
        <f>IF(Data!V229&gt;0,Data!V229-4,"")</f>
        <v>1</v>
      </c>
      <c r="W229" s="1">
        <f>IF(Data!W229&gt;0,4-Data!W229,"")</f>
        <v>1</v>
      </c>
      <c r="X229" s="1">
        <f>IF(Data!X229&gt;0,4-Data!X229,"")</f>
        <v>1</v>
      </c>
      <c r="Y229" s="1">
        <f>IF(Data!Y229&gt;0,4-Data!Y229,"")</f>
        <v>1</v>
      </c>
      <c r="Z229" s="1">
        <f>IF(Data!Z229&gt;0,Data!Z229-4,"")</f>
        <v>1</v>
      </c>
      <c r="AC229" s="7">
        <f t="shared" si="18"/>
        <v>1.5</v>
      </c>
      <c r="AD229" s="7">
        <f t="shared" si="19"/>
        <v>2.5</v>
      </c>
      <c r="AE229" s="7">
        <f t="shared" si="20"/>
        <v>1</v>
      </c>
      <c r="AF229" s="7">
        <f t="shared" si="21"/>
        <v>1</v>
      </c>
      <c r="AG229" s="7">
        <f t="shared" si="22"/>
        <v>2</v>
      </c>
      <c r="AH229" s="7">
        <f t="shared" si="23"/>
        <v>1</v>
      </c>
    </row>
    <row r="230" spans="1:34">
      <c r="A230" s="1">
        <f>IF(Data!A230&gt;0,Data!A230-4,"")</f>
        <v>3</v>
      </c>
      <c r="B230" s="1">
        <f>IF(Data!B230&gt;0,Data!B230-4,"")</f>
        <v>3</v>
      </c>
      <c r="C230" s="1">
        <f>IF(Data!C230&gt;0,4-Data!C230,"")</f>
        <v>3</v>
      </c>
      <c r="D230" s="1">
        <f>IF(Data!D230&gt;0,4-Data!D230,"")</f>
        <v>3</v>
      </c>
      <c r="E230" s="1">
        <f>IF(Data!E230&gt;0,4-Data!E230,"")</f>
        <v>3</v>
      </c>
      <c r="F230" s="1">
        <f>IF(Data!F230&gt;0,Data!F230-4,"")</f>
        <v>0</v>
      </c>
      <c r="G230" s="1">
        <f>IF(Data!G230&gt;0,Data!G230-4,"")</f>
        <v>3</v>
      </c>
      <c r="H230" s="1">
        <f>IF(Data!H230&gt;0,Data!H230-4,"")</f>
        <v>0</v>
      </c>
      <c r="I230" s="1">
        <f>IF(Data!I230&gt;0,4-Data!I230,"")</f>
        <v>0</v>
      </c>
      <c r="J230" s="1">
        <f>IF(Data!J230&gt;0,4-Data!J230,"")</f>
        <v>2</v>
      </c>
      <c r="K230" s="1">
        <f>IF(Data!K230&gt;0,Data!K230-4,"")</f>
        <v>2</v>
      </c>
      <c r="L230" s="1">
        <f>IF(Data!L230&gt;0,4-Data!L230,"")</f>
        <v>3</v>
      </c>
      <c r="M230" s="1">
        <f>IF(Data!M230&gt;0,Data!M230-4,"")</f>
        <v>3</v>
      </c>
      <c r="N230" s="1">
        <f>IF(Data!N230&gt;0,Data!N230-4,"")</f>
        <v>3</v>
      </c>
      <c r="O230" s="1">
        <f>IF(Data!O230&gt;0,Data!O230-4,"")</f>
        <v>2</v>
      </c>
      <c r="P230" s="1">
        <f>IF(Data!P230&gt;0,Data!P230-4,"")</f>
        <v>3</v>
      </c>
      <c r="Q230" s="1">
        <f>IF(Data!Q230&gt;0,4-Data!Q230,"")</f>
        <v>3</v>
      </c>
      <c r="R230" s="1">
        <f>IF(Data!R230&gt;0,4-Data!R230,"")</f>
        <v>0</v>
      </c>
      <c r="S230" s="1">
        <f>IF(Data!S230&gt;0,4-Data!S230,"")</f>
        <v>3</v>
      </c>
      <c r="T230" s="1">
        <f>IF(Data!T230&gt;0,Data!T230-4,"")</f>
        <v>2</v>
      </c>
      <c r="U230" s="1">
        <f>IF(Data!U230&gt;0,4-Data!U230,"")</f>
        <v>3</v>
      </c>
      <c r="V230" s="1">
        <f>IF(Data!V230&gt;0,Data!V230-4,"")</f>
        <v>3</v>
      </c>
      <c r="W230" s="1">
        <f>IF(Data!W230&gt;0,4-Data!W230,"")</f>
        <v>3</v>
      </c>
      <c r="X230" s="1">
        <f>IF(Data!X230&gt;0,4-Data!X230,"")</f>
        <v>3</v>
      </c>
      <c r="Y230" s="1">
        <f>IF(Data!Y230&gt;0,4-Data!Y230,"")</f>
        <v>3</v>
      </c>
      <c r="Z230" s="1">
        <f>IF(Data!Z230&gt;0,Data!Z230-4,"")</f>
        <v>3</v>
      </c>
      <c r="AC230" s="7">
        <f t="shared" si="18"/>
        <v>3</v>
      </c>
      <c r="AD230" s="7">
        <f t="shared" si="19"/>
        <v>3</v>
      </c>
      <c r="AE230" s="7">
        <f t="shared" si="20"/>
        <v>2</v>
      </c>
      <c r="AF230" s="7">
        <f t="shared" si="21"/>
        <v>2</v>
      </c>
      <c r="AG230" s="7">
        <f t="shared" si="22"/>
        <v>1.5</v>
      </c>
      <c r="AH230" s="7">
        <f t="shared" si="23"/>
        <v>2.5</v>
      </c>
    </row>
    <row r="231" spans="1:34">
      <c r="A231" s="1">
        <f>IF(Data!A231&gt;0,Data!A231-4,"")</f>
        <v>3</v>
      </c>
      <c r="B231" s="1">
        <f>IF(Data!B231&gt;0,Data!B231-4,"")</f>
        <v>3</v>
      </c>
      <c r="C231" s="1">
        <f>IF(Data!C231&gt;0,4-Data!C231,"")</f>
        <v>3</v>
      </c>
      <c r="D231" s="1">
        <f>IF(Data!D231&gt;0,4-Data!D231,"")</f>
        <v>3</v>
      </c>
      <c r="E231" s="1">
        <f>IF(Data!E231&gt;0,4-Data!E231,"")</f>
        <v>3</v>
      </c>
      <c r="F231" s="1">
        <f>IF(Data!F231&gt;0,Data!F231-4,"")</f>
        <v>1</v>
      </c>
      <c r="G231" s="1">
        <f>IF(Data!G231&gt;0,Data!G231-4,"")</f>
        <v>3</v>
      </c>
      <c r="H231" s="1">
        <f>IF(Data!H231&gt;0,Data!H231-4,"")</f>
        <v>3</v>
      </c>
      <c r="I231" s="1">
        <f>IF(Data!I231&gt;0,4-Data!I231,"")</f>
        <v>3</v>
      </c>
      <c r="J231" s="1">
        <f>IF(Data!J231&gt;0,4-Data!J231,"")</f>
        <v>3</v>
      </c>
      <c r="K231" s="1">
        <f>IF(Data!K231&gt;0,Data!K231-4,"")</f>
        <v>3</v>
      </c>
      <c r="L231" s="1">
        <f>IF(Data!L231&gt;0,4-Data!L231,"")</f>
        <v>3</v>
      </c>
      <c r="M231" s="1">
        <f>IF(Data!M231&gt;0,Data!M231-4,"")</f>
        <v>3</v>
      </c>
      <c r="N231" s="1">
        <f>IF(Data!N231&gt;0,Data!N231-4,"")</f>
        <v>3</v>
      </c>
      <c r="O231" s="1">
        <f>IF(Data!O231&gt;0,Data!O231-4,"")</f>
        <v>3</v>
      </c>
      <c r="P231" s="1">
        <f>IF(Data!P231&gt;0,Data!P231-4,"")</f>
        <v>3</v>
      </c>
      <c r="Q231" s="1">
        <f>IF(Data!Q231&gt;0,4-Data!Q231,"")</f>
        <v>3</v>
      </c>
      <c r="R231" s="1">
        <f>IF(Data!R231&gt;0,4-Data!R231,"")</f>
        <v>1</v>
      </c>
      <c r="S231" s="1">
        <f>IF(Data!S231&gt;0,4-Data!S231,"")</f>
        <v>3</v>
      </c>
      <c r="T231" s="1">
        <f>IF(Data!T231&gt;0,Data!T231-4,"")</f>
        <v>3</v>
      </c>
      <c r="U231" s="1">
        <f>IF(Data!U231&gt;0,4-Data!U231,"")</f>
        <v>3</v>
      </c>
      <c r="V231" s="1">
        <f>IF(Data!V231&gt;0,Data!V231-4,"")</f>
        <v>3</v>
      </c>
      <c r="W231" s="1">
        <f>IF(Data!W231&gt;0,4-Data!W231,"")</f>
        <v>3</v>
      </c>
      <c r="X231" s="1">
        <f>IF(Data!X231&gt;0,4-Data!X231,"")</f>
        <v>2</v>
      </c>
      <c r="Y231" s="1">
        <f>IF(Data!Y231&gt;0,4-Data!Y231,"")</f>
        <v>3</v>
      </c>
      <c r="Z231" s="1">
        <f>IF(Data!Z231&gt;0,Data!Z231-4,"")</f>
        <v>2</v>
      </c>
      <c r="AC231" s="7">
        <f t="shared" si="18"/>
        <v>2.8333333333333335</v>
      </c>
      <c r="AD231" s="7">
        <f t="shared" si="19"/>
        <v>3</v>
      </c>
      <c r="AE231" s="7">
        <f t="shared" si="20"/>
        <v>3</v>
      </c>
      <c r="AF231" s="7">
        <f t="shared" si="21"/>
        <v>3</v>
      </c>
      <c r="AG231" s="7">
        <f t="shared" si="22"/>
        <v>2</v>
      </c>
      <c r="AH231" s="7">
        <f t="shared" si="23"/>
        <v>2.75</v>
      </c>
    </row>
    <row r="232" spans="1:34">
      <c r="A232" s="1">
        <f>IF(Data!A232&gt;0,Data!A232-4,"")</f>
        <v>1</v>
      </c>
      <c r="B232" s="1">
        <f>IF(Data!B232&gt;0,Data!B232-4,"")</f>
        <v>0</v>
      </c>
      <c r="C232" s="1">
        <f>IF(Data!C232&gt;0,4-Data!C232,"")</f>
        <v>-1</v>
      </c>
      <c r="D232" s="1">
        <f>IF(Data!D232&gt;0,4-Data!D232,"")</f>
        <v>-1</v>
      </c>
      <c r="E232" s="1">
        <f>IF(Data!E232&gt;0,4-Data!E232,"")</f>
        <v>-1</v>
      </c>
      <c r="F232" s="1">
        <f>IF(Data!F232&gt;0,Data!F232-4,"")</f>
        <v>0</v>
      </c>
      <c r="G232" s="1">
        <f>IF(Data!G232&gt;0,Data!G232-4,"")</f>
        <v>0</v>
      </c>
      <c r="H232" s="1">
        <f>IF(Data!H232&gt;0,Data!H232-4,"")</f>
        <v>1</v>
      </c>
      <c r="I232" s="1">
        <f>IF(Data!I232&gt;0,4-Data!I232,"")</f>
        <v>-1</v>
      </c>
      <c r="J232" s="1">
        <f>IF(Data!J232&gt;0,4-Data!J232,"")</f>
        <v>0</v>
      </c>
      <c r="K232" s="1">
        <f>IF(Data!K232&gt;0,Data!K232-4,"")</f>
        <v>0</v>
      </c>
      <c r="L232" s="1">
        <f>IF(Data!L232&gt;0,4-Data!L232,"")</f>
        <v>-1</v>
      </c>
      <c r="M232" s="1">
        <f>IF(Data!M232&gt;0,Data!M232-4,"")</f>
        <v>1</v>
      </c>
      <c r="N232" s="1">
        <f>IF(Data!N232&gt;0,Data!N232-4,"")</f>
        <v>1</v>
      </c>
      <c r="O232" s="1">
        <f>IF(Data!O232&gt;0,Data!O232-4,"")</f>
        <v>1</v>
      </c>
      <c r="P232" s="1">
        <f>IF(Data!P232&gt;0,Data!P232-4,"")</f>
        <v>1</v>
      </c>
      <c r="Q232" s="1">
        <f>IF(Data!Q232&gt;0,4-Data!Q232,"")</f>
        <v>0</v>
      </c>
      <c r="R232" s="1">
        <f>IF(Data!R232&gt;0,4-Data!R232,"")</f>
        <v>0</v>
      </c>
      <c r="S232" s="1">
        <f>IF(Data!S232&gt;0,4-Data!S232,"")</f>
        <v>1</v>
      </c>
      <c r="T232" s="1">
        <f>IF(Data!T232&gt;0,Data!T232-4,"")</f>
        <v>-2</v>
      </c>
      <c r="U232" s="1">
        <f>IF(Data!U232&gt;0,4-Data!U232,"")</f>
        <v>1</v>
      </c>
      <c r="V232" s="1">
        <f>IF(Data!V232&gt;0,Data!V232-4,"")</f>
        <v>0</v>
      </c>
      <c r="W232" s="1">
        <f>IF(Data!W232&gt;0,4-Data!W232,"")</f>
        <v>0</v>
      </c>
      <c r="X232" s="1">
        <f>IF(Data!X232&gt;0,4-Data!X232,"")</f>
        <v>-1</v>
      </c>
      <c r="Y232" s="1">
        <f>IF(Data!Y232&gt;0,4-Data!Y232,"")</f>
        <v>-1</v>
      </c>
      <c r="Z232" s="1">
        <f>IF(Data!Z232&gt;0,Data!Z232-4,"")</f>
        <v>1</v>
      </c>
      <c r="AC232" s="7">
        <f t="shared" si="18"/>
        <v>0</v>
      </c>
      <c r="AD232" s="7">
        <f t="shared" si="19"/>
        <v>0.25</v>
      </c>
      <c r="AE232" s="7">
        <f t="shared" si="20"/>
        <v>-0.75</v>
      </c>
      <c r="AF232" s="7">
        <f t="shared" si="21"/>
        <v>0.5</v>
      </c>
      <c r="AG232" s="7">
        <f t="shared" si="22"/>
        <v>-0.25</v>
      </c>
      <c r="AH232" s="7">
        <f t="shared" si="23"/>
        <v>0.25</v>
      </c>
    </row>
    <row r="233" spans="1:34">
      <c r="A233" s="1">
        <f>IF(Data!A233&gt;0,Data!A233-4,"")</f>
        <v>3</v>
      </c>
      <c r="B233" s="1">
        <f>IF(Data!B233&gt;0,Data!B233-4,"")</f>
        <v>3</v>
      </c>
      <c r="C233" s="1">
        <f>IF(Data!C233&gt;0,4-Data!C233,"")</f>
        <v>1</v>
      </c>
      <c r="D233" s="1">
        <f>IF(Data!D233&gt;0,4-Data!D233,"")</f>
        <v>3</v>
      </c>
      <c r="E233" s="1">
        <f>IF(Data!E233&gt;0,4-Data!E233,"")</f>
        <v>2</v>
      </c>
      <c r="F233" s="1">
        <f>IF(Data!F233&gt;0,Data!F233-4,"")</f>
        <v>1</v>
      </c>
      <c r="G233" s="1">
        <f>IF(Data!G233&gt;0,Data!G233-4,"")</f>
        <v>2</v>
      </c>
      <c r="H233" s="1">
        <f>IF(Data!H233&gt;0,Data!H233-4,"")</f>
        <v>1</v>
      </c>
      <c r="I233" s="1">
        <f>IF(Data!I233&gt;0,4-Data!I233,"")</f>
        <v>1</v>
      </c>
      <c r="J233" s="1">
        <f>IF(Data!J233&gt;0,4-Data!J233,"")</f>
        <v>0</v>
      </c>
      <c r="K233" s="1">
        <f>IF(Data!K233&gt;0,Data!K233-4,"")</f>
        <v>2</v>
      </c>
      <c r="L233" s="1">
        <f>IF(Data!L233&gt;0,4-Data!L233,"")</f>
        <v>3</v>
      </c>
      <c r="M233" s="1">
        <f>IF(Data!M233&gt;0,Data!M233-4,"")</f>
        <v>2</v>
      </c>
      <c r="N233" s="1">
        <f>IF(Data!N233&gt;0,Data!N233-4,"")</f>
        <v>2</v>
      </c>
      <c r="O233" s="1">
        <f>IF(Data!O233&gt;0,Data!O233-4,"")</f>
        <v>2</v>
      </c>
      <c r="P233" s="1">
        <f>IF(Data!P233&gt;0,Data!P233-4,"")</f>
        <v>2</v>
      </c>
      <c r="Q233" s="1">
        <f>IF(Data!Q233&gt;0,4-Data!Q233,"")</f>
        <v>2</v>
      </c>
      <c r="R233" s="1">
        <f>IF(Data!R233&gt;0,4-Data!R233,"")</f>
        <v>1</v>
      </c>
      <c r="S233" s="1">
        <f>IF(Data!S233&gt;0,4-Data!S233,"")</f>
        <v>3</v>
      </c>
      <c r="T233" s="1">
        <f>IF(Data!T233&gt;0,Data!T233-4,"")</f>
        <v>3</v>
      </c>
      <c r="U233" s="1">
        <f>IF(Data!U233&gt;0,4-Data!U233,"")</f>
        <v>2</v>
      </c>
      <c r="V233" s="1">
        <f>IF(Data!V233&gt;0,Data!V233-4,"")</f>
        <v>2</v>
      </c>
      <c r="W233" s="1">
        <f>IF(Data!W233&gt;0,4-Data!W233,"")</f>
        <v>1</v>
      </c>
      <c r="X233" s="1">
        <f>IF(Data!X233&gt;0,4-Data!X233,"")</f>
        <v>0</v>
      </c>
      <c r="Y233" s="1">
        <f>IF(Data!Y233&gt;0,4-Data!Y233,"")</f>
        <v>2</v>
      </c>
      <c r="Z233" s="1">
        <f>IF(Data!Z233&gt;0,Data!Z233-4,"")</f>
        <v>2</v>
      </c>
      <c r="AC233" s="7">
        <f t="shared" si="18"/>
        <v>2</v>
      </c>
      <c r="AD233" s="7">
        <f t="shared" si="19"/>
        <v>2.5</v>
      </c>
      <c r="AE233" s="7">
        <f t="shared" si="20"/>
        <v>1.75</v>
      </c>
      <c r="AF233" s="7">
        <f t="shared" si="21"/>
        <v>2</v>
      </c>
      <c r="AG233" s="7">
        <f t="shared" si="22"/>
        <v>1.5</v>
      </c>
      <c r="AH233" s="7">
        <f t="shared" si="23"/>
        <v>1.25</v>
      </c>
    </row>
    <row r="234" spans="1:34">
      <c r="A234" s="1">
        <f>IF(Data!A234&gt;0,Data!A234-4,"")</f>
        <v>1</v>
      </c>
      <c r="B234" s="1">
        <f>IF(Data!B234&gt;0,Data!B234-4,"")</f>
        <v>2</v>
      </c>
      <c r="C234" s="1">
        <f>IF(Data!C234&gt;0,4-Data!C234,"")</f>
        <v>0</v>
      </c>
      <c r="D234" s="1">
        <f>IF(Data!D234&gt;0,4-Data!D234,"")</f>
        <v>-1</v>
      </c>
      <c r="E234" s="1">
        <f>IF(Data!E234&gt;0,4-Data!E234,"")</f>
        <v>-2</v>
      </c>
      <c r="F234" s="1">
        <f>IF(Data!F234&gt;0,Data!F234-4,"")</f>
        <v>1</v>
      </c>
      <c r="G234" s="1">
        <f>IF(Data!G234&gt;0,Data!G234-4,"")</f>
        <v>1</v>
      </c>
      <c r="H234" s="1">
        <f>IF(Data!H234&gt;0,Data!H234-4,"")</f>
        <v>-1</v>
      </c>
      <c r="I234" s="1">
        <f>IF(Data!I234&gt;0,4-Data!I234,"")</f>
        <v>1</v>
      </c>
      <c r="J234" s="1">
        <f>IF(Data!J234&gt;0,4-Data!J234,"")</f>
        <v>-1</v>
      </c>
      <c r="K234" s="1">
        <f>IF(Data!K234&gt;0,Data!K234-4,"")</f>
        <v>1</v>
      </c>
      <c r="L234" s="1">
        <f>IF(Data!L234&gt;0,4-Data!L234,"")</f>
        <v>-1</v>
      </c>
      <c r="M234" s="1">
        <f>IF(Data!M234&gt;0,Data!M234-4,"")</f>
        <v>-1</v>
      </c>
      <c r="N234" s="1">
        <f>IF(Data!N234&gt;0,Data!N234-4,"")</f>
        <v>1</v>
      </c>
      <c r="O234" s="1">
        <f>IF(Data!O234&gt;0,Data!O234-4,"")</f>
        <v>0</v>
      </c>
      <c r="P234" s="1">
        <f>IF(Data!P234&gt;0,Data!P234-4,"")</f>
        <v>-1</v>
      </c>
      <c r="Q234" s="1">
        <f>IF(Data!Q234&gt;0,4-Data!Q234,"")</f>
        <v>1</v>
      </c>
      <c r="R234" s="1">
        <f>IF(Data!R234&gt;0,4-Data!R234,"")</f>
        <v>-1</v>
      </c>
      <c r="S234" s="1">
        <f>IF(Data!S234&gt;0,4-Data!S234,"")</f>
        <v>1</v>
      </c>
      <c r="T234" s="1">
        <f>IF(Data!T234&gt;0,Data!T234-4,"")</f>
        <v>2</v>
      </c>
      <c r="U234" s="1">
        <f>IF(Data!U234&gt;0,4-Data!U234,"")</f>
        <v>2</v>
      </c>
      <c r="V234" s="1">
        <f>IF(Data!V234&gt;0,Data!V234-4,"")</f>
        <v>2</v>
      </c>
      <c r="W234" s="1">
        <f>IF(Data!W234&gt;0,4-Data!W234,"")</f>
        <v>2</v>
      </c>
      <c r="X234" s="1">
        <f>IF(Data!X234&gt;0,4-Data!X234,"")</f>
        <v>0</v>
      </c>
      <c r="Y234" s="1">
        <f>IF(Data!Y234&gt;0,4-Data!Y234,"")</f>
        <v>2</v>
      </c>
      <c r="Z234" s="1">
        <f>IF(Data!Z234&gt;0,Data!Z234-4,"")</f>
        <v>1</v>
      </c>
      <c r="AC234" s="7">
        <f t="shared" si="18"/>
        <v>0.33333333333333331</v>
      </c>
      <c r="AD234" s="7">
        <f t="shared" si="19"/>
        <v>0.5</v>
      </c>
      <c r="AE234" s="7">
        <f t="shared" si="20"/>
        <v>1.75</v>
      </c>
      <c r="AF234" s="7">
        <f t="shared" si="21"/>
        <v>0.5</v>
      </c>
      <c r="AG234" s="7">
        <f t="shared" si="22"/>
        <v>-0.25</v>
      </c>
      <c r="AH234" s="7">
        <f t="shared" si="23"/>
        <v>0</v>
      </c>
    </row>
    <row r="235" spans="1:34">
      <c r="A235" s="1">
        <f>IF(Data!A235&gt;0,Data!A235-4,"")</f>
        <v>2</v>
      </c>
      <c r="B235" s="1">
        <f>IF(Data!B235&gt;0,Data!B235-4,"")</f>
        <v>2</v>
      </c>
      <c r="C235" s="1">
        <f>IF(Data!C235&gt;0,4-Data!C235,"")</f>
        <v>-3</v>
      </c>
      <c r="D235" s="1">
        <f>IF(Data!D235&gt;0,4-Data!D235,"")</f>
        <v>-1</v>
      </c>
      <c r="E235" s="1">
        <f>IF(Data!E235&gt;0,4-Data!E235,"")</f>
        <v>-1</v>
      </c>
      <c r="F235" s="1">
        <f>IF(Data!F235&gt;0,Data!F235-4,"")</f>
        <v>1</v>
      </c>
      <c r="G235" s="1">
        <f>IF(Data!G235&gt;0,Data!G235-4,"")</f>
        <v>2</v>
      </c>
      <c r="H235" s="1">
        <f>IF(Data!H235&gt;0,Data!H235-4,"")</f>
        <v>0</v>
      </c>
      <c r="I235" s="1">
        <f>IF(Data!I235&gt;0,4-Data!I235,"")</f>
        <v>-1</v>
      </c>
      <c r="J235" s="1">
        <f>IF(Data!J235&gt;0,4-Data!J235,"")</f>
        <v>-1</v>
      </c>
      <c r="K235" s="1">
        <f>IF(Data!K235&gt;0,Data!K235-4,"")</f>
        <v>1</v>
      </c>
      <c r="L235" s="1">
        <f>IF(Data!L235&gt;0,4-Data!L235,"")</f>
        <v>-2</v>
      </c>
      <c r="M235" s="1">
        <f>IF(Data!M235&gt;0,Data!M235-4,"")</f>
        <v>1</v>
      </c>
      <c r="N235" s="1">
        <f>IF(Data!N235&gt;0,Data!N235-4,"")</f>
        <v>1</v>
      </c>
      <c r="O235" s="1">
        <f>IF(Data!O235&gt;0,Data!O235-4,"")</f>
        <v>2</v>
      </c>
      <c r="P235" s="1">
        <f>IF(Data!P235&gt;0,Data!P235-4,"")</f>
        <v>1</v>
      </c>
      <c r="Q235" s="1">
        <f>IF(Data!Q235&gt;0,4-Data!Q235,"")</f>
        <v>-1</v>
      </c>
      <c r="R235" s="1">
        <f>IF(Data!R235&gt;0,4-Data!R235,"")</f>
        <v>-2</v>
      </c>
      <c r="S235" s="1">
        <f>IF(Data!S235&gt;0,4-Data!S235,"")</f>
        <v>-1</v>
      </c>
      <c r="T235" s="1">
        <f>IF(Data!T235&gt;0,Data!T235-4,"")</f>
        <v>1</v>
      </c>
      <c r="U235" s="1">
        <f>IF(Data!U235&gt;0,4-Data!U235,"")</f>
        <v>-1</v>
      </c>
      <c r="V235" s="1">
        <f>IF(Data!V235&gt;0,Data!V235-4,"")</f>
        <v>2</v>
      </c>
      <c r="W235" s="1">
        <f>IF(Data!W235&gt;0,4-Data!W235,"")</f>
        <v>-1</v>
      </c>
      <c r="X235" s="1">
        <f>IF(Data!X235&gt;0,4-Data!X235,"")</f>
        <v>-1</v>
      </c>
      <c r="Y235" s="1">
        <f>IF(Data!Y235&gt;0,4-Data!Y235,"")</f>
        <v>-2</v>
      </c>
      <c r="Z235" s="1">
        <f>IF(Data!Z235&gt;0,Data!Z235-4,"")</f>
        <v>2</v>
      </c>
      <c r="AC235" s="7">
        <f t="shared" si="18"/>
        <v>-0.16666666666666666</v>
      </c>
      <c r="AD235" s="7">
        <f t="shared" si="19"/>
        <v>0.25</v>
      </c>
      <c r="AE235" s="7">
        <f t="shared" si="20"/>
        <v>0.25</v>
      </c>
      <c r="AF235" s="7">
        <f t="shared" si="21"/>
        <v>-0.25</v>
      </c>
      <c r="AG235" s="7">
        <f t="shared" si="22"/>
        <v>0</v>
      </c>
      <c r="AH235" s="7">
        <f t="shared" si="23"/>
        <v>0</v>
      </c>
    </row>
    <row r="236" spans="1:34">
      <c r="A236" s="1">
        <f>IF(Data!A236&gt;0,Data!A236-4,"")</f>
        <v>-2</v>
      </c>
      <c r="B236" s="1">
        <f>IF(Data!B236&gt;0,Data!B236-4,"")</f>
        <v>3</v>
      </c>
      <c r="C236" s="1">
        <f>IF(Data!C236&gt;0,4-Data!C236,"")</f>
        <v>0</v>
      </c>
      <c r="D236" s="1">
        <f>IF(Data!D236&gt;0,4-Data!D236,"")</f>
        <v>3</v>
      </c>
      <c r="E236" s="1">
        <f>IF(Data!E236&gt;0,4-Data!E236,"")</f>
        <v>3</v>
      </c>
      <c r="F236" s="1">
        <f>IF(Data!F236&gt;0,Data!F236-4,"")</f>
        <v>0</v>
      </c>
      <c r="G236" s="1">
        <f>IF(Data!G236&gt;0,Data!G236-4,"")</f>
        <v>0</v>
      </c>
      <c r="H236" s="1">
        <f>IF(Data!H236&gt;0,Data!H236-4,"")</f>
        <v>3</v>
      </c>
      <c r="I236" s="1">
        <f>IF(Data!I236&gt;0,4-Data!I236,"")</f>
        <v>3</v>
      </c>
      <c r="J236" s="1">
        <f>IF(Data!J236&gt;0,4-Data!J236,"")</f>
        <v>-1</v>
      </c>
      <c r="K236" s="1">
        <f>IF(Data!K236&gt;0,Data!K236-4,"")</f>
        <v>0</v>
      </c>
      <c r="L236" s="1">
        <f>IF(Data!L236&gt;0,4-Data!L236,"")</f>
        <v>2</v>
      </c>
      <c r="M236" s="1">
        <f>IF(Data!M236&gt;0,Data!M236-4,"")</f>
        <v>3</v>
      </c>
      <c r="N236" s="1">
        <f>IF(Data!N236&gt;0,Data!N236-4,"")</f>
        <v>1</v>
      </c>
      <c r="O236" s="1">
        <f>IF(Data!O236&gt;0,Data!O236-4,"")</f>
        <v>-2</v>
      </c>
      <c r="P236" s="1">
        <f>IF(Data!P236&gt;0,Data!P236-4,"")</f>
        <v>1</v>
      </c>
      <c r="Q236" s="1">
        <f>IF(Data!Q236&gt;0,4-Data!Q236,"")</f>
        <v>2</v>
      </c>
      <c r="R236" s="1">
        <f>IF(Data!R236&gt;0,4-Data!R236,"")</f>
        <v>0</v>
      </c>
      <c r="S236" s="1">
        <f>IF(Data!S236&gt;0,4-Data!S236,"")</f>
        <v>2</v>
      </c>
      <c r="T236" s="1">
        <f>IF(Data!T236&gt;0,Data!T236-4,"")</f>
        <v>3</v>
      </c>
      <c r="U236" s="1">
        <f>IF(Data!U236&gt;0,4-Data!U236,"")</f>
        <v>2</v>
      </c>
      <c r="V236" s="1">
        <f>IF(Data!V236&gt;0,Data!V236-4,"")</f>
        <v>3</v>
      </c>
      <c r="W236" s="1">
        <f>IF(Data!W236&gt;0,4-Data!W236,"")</f>
        <v>2</v>
      </c>
      <c r="X236" s="1">
        <f>IF(Data!X236&gt;0,4-Data!X236,"")</f>
        <v>0</v>
      </c>
      <c r="Y236" s="1">
        <f>IF(Data!Y236&gt;0,4-Data!Y236,"")</f>
        <v>0</v>
      </c>
      <c r="Z236" s="1">
        <f>IF(Data!Z236&gt;0,Data!Z236-4,"")</f>
        <v>1</v>
      </c>
      <c r="AC236" s="7">
        <f t="shared" si="18"/>
        <v>0.33333333333333331</v>
      </c>
      <c r="AD236" s="7">
        <f t="shared" si="19"/>
        <v>2.75</v>
      </c>
      <c r="AE236" s="7">
        <f t="shared" si="20"/>
        <v>2.75</v>
      </c>
      <c r="AF236" s="7">
        <f t="shared" si="21"/>
        <v>1.75</v>
      </c>
      <c r="AG236" s="7">
        <f t="shared" si="22"/>
        <v>0.75</v>
      </c>
      <c r="AH236" s="7">
        <f t="shared" si="23"/>
        <v>-0.5</v>
      </c>
    </row>
    <row r="237" spans="1:34">
      <c r="A237" s="1">
        <f>IF(Data!A237&gt;0,Data!A237-4,"")</f>
        <v>2</v>
      </c>
      <c r="B237" s="1">
        <f>IF(Data!B237&gt;0,Data!B237-4,"")</f>
        <v>2</v>
      </c>
      <c r="C237" s="1">
        <f>IF(Data!C237&gt;0,4-Data!C237,"")</f>
        <v>2</v>
      </c>
      <c r="D237" s="1">
        <f>IF(Data!D237&gt;0,4-Data!D237,"")</f>
        <v>2</v>
      </c>
      <c r="E237" s="1">
        <f>IF(Data!E237&gt;0,4-Data!E237,"")</f>
        <v>2</v>
      </c>
      <c r="F237" s="1">
        <f>IF(Data!F237&gt;0,Data!F237-4,"")</f>
        <v>1</v>
      </c>
      <c r="G237" s="1">
        <f>IF(Data!G237&gt;0,Data!G237-4,"")</f>
        <v>2</v>
      </c>
      <c r="H237" s="1">
        <f>IF(Data!H237&gt;0,Data!H237-4,"")</f>
        <v>1</v>
      </c>
      <c r="I237" s="1">
        <f>IF(Data!I237&gt;0,4-Data!I237,"")</f>
        <v>1</v>
      </c>
      <c r="J237" s="1">
        <f>IF(Data!J237&gt;0,4-Data!J237,"")</f>
        <v>2</v>
      </c>
      <c r="K237" s="1">
        <f>IF(Data!K237&gt;0,Data!K237-4,"")</f>
        <v>2</v>
      </c>
      <c r="L237" s="1">
        <f>IF(Data!L237&gt;0,4-Data!L237,"")</f>
        <v>2</v>
      </c>
      <c r="M237" s="1">
        <f>IF(Data!M237&gt;0,Data!M237-4,"")</f>
        <v>2</v>
      </c>
      <c r="N237" s="1">
        <f>IF(Data!N237&gt;0,Data!N237-4,"")</f>
        <v>2</v>
      </c>
      <c r="O237" s="1">
        <f>IF(Data!O237&gt;0,Data!O237-4,"")</f>
        <v>2</v>
      </c>
      <c r="P237" s="1">
        <f>IF(Data!P237&gt;0,Data!P237-4,"")</f>
        <v>2</v>
      </c>
      <c r="Q237" s="1">
        <f>IF(Data!Q237&gt;0,4-Data!Q237,"")</f>
        <v>0</v>
      </c>
      <c r="R237" s="1">
        <f>IF(Data!R237&gt;0,4-Data!R237,"")</f>
        <v>2</v>
      </c>
      <c r="S237" s="1">
        <f>IF(Data!S237&gt;0,4-Data!S237,"")</f>
        <v>2</v>
      </c>
      <c r="T237" s="1">
        <f>IF(Data!T237&gt;0,Data!T237-4,"")</f>
        <v>2</v>
      </c>
      <c r="U237" s="1">
        <f>IF(Data!U237&gt;0,4-Data!U237,"")</f>
        <v>2</v>
      </c>
      <c r="V237" s="1">
        <f>IF(Data!V237&gt;0,Data!V237-4,"")</f>
        <v>2</v>
      </c>
      <c r="W237" s="1">
        <f>IF(Data!W237&gt;0,4-Data!W237,"")</f>
        <v>2</v>
      </c>
      <c r="X237" s="1">
        <f>IF(Data!X237&gt;0,4-Data!X237,"")</f>
        <v>1</v>
      </c>
      <c r="Y237" s="1">
        <f>IF(Data!Y237&gt;0,4-Data!Y237,"")</f>
        <v>2</v>
      </c>
      <c r="Z237" s="1">
        <f>IF(Data!Z237&gt;0,Data!Z237-4,"")</f>
        <v>2</v>
      </c>
      <c r="AC237" s="7">
        <f t="shared" si="18"/>
        <v>1.8333333333333333</v>
      </c>
      <c r="AD237" s="7">
        <f t="shared" si="19"/>
        <v>2</v>
      </c>
      <c r="AE237" s="7">
        <f t="shared" si="20"/>
        <v>1.75</v>
      </c>
      <c r="AF237" s="7">
        <f t="shared" si="21"/>
        <v>1.25</v>
      </c>
      <c r="AG237" s="7">
        <f t="shared" si="22"/>
        <v>1.75</v>
      </c>
      <c r="AH237" s="7">
        <f t="shared" si="23"/>
        <v>2</v>
      </c>
    </row>
    <row r="238" spans="1:34">
      <c r="A238" s="1">
        <f>IF(Data!A238&gt;0,Data!A238-4,"")</f>
        <v>2</v>
      </c>
      <c r="B238" s="1">
        <f>IF(Data!B238&gt;0,Data!B238-4,"")</f>
        <v>3</v>
      </c>
      <c r="C238" s="1">
        <f>IF(Data!C238&gt;0,4-Data!C238,"")</f>
        <v>2</v>
      </c>
      <c r="D238" s="1">
        <f>IF(Data!D238&gt;0,4-Data!D238,"")</f>
        <v>2</v>
      </c>
      <c r="E238" s="1">
        <f>IF(Data!E238&gt;0,4-Data!E238,"")</f>
        <v>3</v>
      </c>
      <c r="F238" s="1">
        <f>IF(Data!F238&gt;0,Data!F238-4,"")</f>
        <v>2</v>
      </c>
      <c r="G238" s="1">
        <f>IF(Data!G238&gt;0,Data!G238-4,"")</f>
        <v>2</v>
      </c>
      <c r="H238" s="1">
        <f>IF(Data!H238&gt;0,Data!H238-4,"")</f>
        <v>0</v>
      </c>
      <c r="I238" s="1">
        <f>IF(Data!I238&gt;0,4-Data!I238,"")</f>
        <v>1</v>
      </c>
      <c r="J238" s="1">
        <f>IF(Data!J238&gt;0,4-Data!J238,"")</f>
        <v>-1</v>
      </c>
      <c r="K238" s="1">
        <f>IF(Data!K238&gt;0,Data!K238-4,"")</f>
        <v>2</v>
      </c>
      <c r="L238" s="1">
        <f>IF(Data!L238&gt;0,4-Data!L238,"")</f>
        <v>2</v>
      </c>
      <c r="M238" s="1">
        <f>IF(Data!M238&gt;0,Data!M238-4,"")</f>
        <v>2</v>
      </c>
      <c r="N238" s="1">
        <f>IF(Data!N238&gt;0,Data!N238-4,"")</f>
        <v>2</v>
      </c>
      <c r="O238" s="1">
        <f>IF(Data!O238&gt;0,Data!O238-4,"")</f>
        <v>2</v>
      </c>
      <c r="P238" s="1">
        <f>IF(Data!P238&gt;0,Data!P238-4,"")</f>
        <v>3</v>
      </c>
      <c r="Q238" s="1">
        <f>IF(Data!Q238&gt;0,4-Data!Q238,"")</f>
        <v>2</v>
      </c>
      <c r="R238" s="1">
        <f>IF(Data!R238&gt;0,4-Data!R238,"")</f>
        <v>3</v>
      </c>
      <c r="S238" s="1">
        <f>IF(Data!S238&gt;0,4-Data!S238,"")</f>
        <v>2</v>
      </c>
      <c r="T238" s="1">
        <f>IF(Data!T238&gt;0,Data!T238-4,"")</f>
        <v>3</v>
      </c>
      <c r="U238" s="1">
        <f>IF(Data!U238&gt;0,4-Data!U238,"")</f>
        <v>2</v>
      </c>
      <c r="V238" s="1">
        <f>IF(Data!V238&gt;0,Data!V238-4,"")</f>
        <v>3</v>
      </c>
      <c r="W238" s="1">
        <f>IF(Data!W238&gt;0,4-Data!W238,"")</f>
        <v>3</v>
      </c>
      <c r="X238" s="1">
        <f>IF(Data!X238&gt;0,4-Data!X238,"")</f>
        <v>3</v>
      </c>
      <c r="Y238" s="1">
        <f>IF(Data!Y238&gt;0,4-Data!Y238,"")</f>
        <v>2</v>
      </c>
      <c r="Z238" s="1">
        <f>IF(Data!Z238&gt;0,Data!Z238-4,"")</f>
        <v>2</v>
      </c>
      <c r="AC238" s="7">
        <f t="shared" si="18"/>
        <v>2.3333333333333335</v>
      </c>
      <c r="AD238" s="7">
        <f t="shared" si="19"/>
        <v>2.25</v>
      </c>
      <c r="AE238" s="7">
        <f t="shared" si="20"/>
        <v>2.5</v>
      </c>
      <c r="AF238" s="7">
        <f t="shared" si="21"/>
        <v>1.5</v>
      </c>
      <c r="AG238" s="7">
        <f t="shared" si="22"/>
        <v>2.5</v>
      </c>
      <c r="AH238" s="7">
        <f t="shared" si="23"/>
        <v>1.25</v>
      </c>
    </row>
    <row r="239" spans="1:34">
      <c r="A239" s="1">
        <f>IF(Data!A239&gt;0,Data!A239-4,"")</f>
        <v>2</v>
      </c>
      <c r="B239" s="1">
        <f>IF(Data!B239&gt;0,Data!B239-4,"")</f>
        <v>3</v>
      </c>
      <c r="C239" s="1">
        <f>IF(Data!C239&gt;0,4-Data!C239,"")</f>
        <v>0</v>
      </c>
      <c r="D239" s="1">
        <f>IF(Data!D239&gt;0,4-Data!D239,"")</f>
        <v>2</v>
      </c>
      <c r="E239" s="1">
        <f>IF(Data!E239&gt;0,4-Data!E239,"")</f>
        <v>2</v>
      </c>
      <c r="F239" s="1">
        <f>IF(Data!F239&gt;0,Data!F239-4,"")</f>
        <v>0</v>
      </c>
      <c r="G239" s="1">
        <f>IF(Data!G239&gt;0,Data!G239-4,"")</f>
        <v>1</v>
      </c>
      <c r="H239" s="1">
        <f>IF(Data!H239&gt;0,Data!H239-4,"")</f>
        <v>0</v>
      </c>
      <c r="I239" s="1">
        <f>IF(Data!I239&gt;0,4-Data!I239,"")</f>
        <v>2</v>
      </c>
      <c r="J239" s="1">
        <f>IF(Data!J239&gt;0,4-Data!J239,"")</f>
        <v>1</v>
      </c>
      <c r="K239" s="1">
        <f>IF(Data!K239&gt;0,Data!K239-4,"")</f>
        <v>0</v>
      </c>
      <c r="L239" s="1">
        <f>IF(Data!L239&gt;0,4-Data!L239,"")</f>
        <v>3</v>
      </c>
      <c r="M239" s="1">
        <f>IF(Data!M239&gt;0,Data!M239-4,"")</f>
        <v>2</v>
      </c>
      <c r="N239" s="1">
        <f>IF(Data!N239&gt;0,Data!N239-4,"")</f>
        <v>1</v>
      </c>
      <c r="O239" s="1">
        <f>IF(Data!O239&gt;0,Data!O239-4,"")</f>
        <v>0</v>
      </c>
      <c r="P239" s="1">
        <f>IF(Data!P239&gt;0,Data!P239-4,"")</f>
        <v>2</v>
      </c>
      <c r="Q239" s="1">
        <f>IF(Data!Q239&gt;0,4-Data!Q239,"")</f>
        <v>3</v>
      </c>
      <c r="R239" s="1">
        <f>IF(Data!R239&gt;0,4-Data!R239,"")</f>
        <v>1</v>
      </c>
      <c r="S239" s="1">
        <f>IF(Data!S239&gt;0,4-Data!S239,"")</f>
        <v>2</v>
      </c>
      <c r="T239" s="1">
        <f>IF(Data!T239&gt;0,Data!T239-4,"")</f>
        <v>2</v>
      </c>
      <c r="U239" s="1">
        <f>IF(Data!U239&gt;0,4-Data!U239,"")</f>
        <v>3</v>
      </c>
      <c r="V239" s="1">
        <f>IF(Data!V239&gt;0,Data!V239-4,"")</f>
        <v>3</v>
      </c>
      <c r="W239" s="1">
        <f>IF(Data!W239&gt;0,4-Data!W239,"")</f>
        <v>2</v>
      </c>
      <c r="X239" s="1">
        <f>IF(Data!X239&gt;0,4-Data!X239,"")</f>
        <v>3</v>
      </c>
      <c r="Y239" s="1">
        <f>IF(Data!Y239&gt;0,4-Data!Y239,"")</f>
        <v>3</v>
      </c>
      <c r="Z239" s="1">
        <f>IF(Data!Z239&gt;0,Data!Z239-4,"")</f>
        <v>1</v>
      </c>
      <c r="AC239" s="7">
        <f t="shared" si="18"/>
        <v>2.3333333333333335</v>
      </c>
      <c r="AD239" s="7">
        <f t="shared" si="19"/>
        <v>2.5</v>
      </c>
      <c r="AE239" s="7">
        <f t="shared" si="20"/>
        <v>2.25</v>
      </c>
      <c r="AF239" s="7">
        <f t="shared" si="21"/>
        <v>1.25</v>
      </c>
      <c r="AG239" s="7">
        <f t="shared" si="22"/>
        <v>1</v>
      </c>
      <c r="AH239" s="7">
        <f t="shared" si="23"/>
        <v>0.5</v>
      </c>
    </row>
    <row r="240" spans="1:34">
      <c r="A240" s="1">
        <f>IF(Data!A240&gt;0,Data!A240-4,"")</f>
        <v>0</v>
      </c>
      <c r="B240" s="1">
        <f>IF(Data!B240&gt;0,Data!B240-4,"")</f>
        <v>1</v>
      </c>
      <c r="C240" s="1">
        <f>IF(Data!C240&gt;0,4-Data!C240,"")</f>
        <v>0</v>
      </c>
      <c r="D240" s="1">
        <f>IF(Data!D240&gt;0,4-Data!D240,"")</f>
        <v>2</v>
      </c>
      <c r="E240" s="1">
        <f>IF(Data!E240&gt;0,4-Data!E240,"")</f>
        <v>1</v>
      </c>
      <c r="F240" s="1">
        <f>IF(Data!F240&gt;0,Data!F240-4,"")</f>
        <v>0</v>
      </c>
      <c r="G240" s="1">
        <f>IF(Data!G240&gt;0,Data!G240-4,"")</f>
        <v>-1</v>
      </c>
      <c r="H240" s="1">
        <f>IF(Data!H240&gt;0,Data!H240-4,"")</f>
        <v>1</v>
      </c>
      <c r="I240" s="1">
        <f>IF(Data!I240&gt;0,4-Data!I240,"")</f>
        <v>1</v>
      </c>
      <c r="J240" s="1">
        <f>IF(Data!J240&gt;0,4-Data!J240,"")</f>
        <v>1</v>
      </c>
      <c r="K240" s="1">
        <f>IF(Data!K240&gt;0,Data!K240-4,"")</f>
        <v>0</v>
      </c>
      <c r="L240" s="1">
        <f>IF(Data!L240&gt;0,4-Data!L240,"")</f>
        <v>1</v>
      </c>
      <c r="M240" s="1">
        <f>IF(Data!M240&gt;0,Data!M240-4,"")</f>
        <v>1</v>
      </c>
      <c r="N240" s="1">
        <f>IF(Data!N240&gt;0,Data!N240-4,"")</f>
        <v>1</v>
      </c>
      <c r="O240" s="1">
        <f>IF(Data!O240&gt;0,Data!O240-4,"")</f>
        <v>1</v>
      </c>
      <c r="P240" s="1">
        <f>IF(Data!P240&gt;0,Data!P240-4,"")</f>
        <v>1</v>
      </c>
      <c r="Q240" s="1">
        <f>IF(Data!Q240&gt;0,4-Data!Q240,"")</f>
        <v>2</v>
      </c>
      <c r="R240" s="1">
        <f>IF(Data!R240&gt;0,4-Data!R240,"")</f>
        <v>-1</v>
      </c>
      <c r="S240" s="1">
        <f>IF(Data!S240&gt;0,4-Data!S240,"")</f>
        <v>1</v>
      </c>
      <c r="T240" s="1">
        <f>IF(Data!T240&gt;0,Data!T240-4,"")</f>
        <v>2</v>
      </c>
      <c r="U240" s="1">
        <f>IF(Data!U240&gt;0,4-Data!U240,"")</f>
        <v>-1</v>
      </c>
      <c r="V240" s="1">
        <f>IF(Data!V240&gt;0,Data!V240-4,"")</f>
        <v>2</v>
      </c>
      <c r="W240" s="1">
        <f>IF(Data!W240&gt;0,4-Data!W240,"")</f>
        <v>-1</v>
      </c>
      <c r="X240" s="1">
        <f>IF(Data!X240&gt;0,4-Data!X240,"")</f>
        <v>1</v>
      </c>
      <c r="Y240" s="1">
        <f>IF(Data!Y240&gt;0,4-Data!Y240,"")</f>
        <v>1</v>
      </c>
      <c r="Z240" s="1">
        <f>IF(Data!Z240&gt;0,Data!Z240-4,"")</f>
        <v>1</v>
      </c>
      <c r="AC240" s="7">
        <f t="shared" si="18"/>
        <v>0.83333333333333337</v>
      </c>
      <c r="AD240" s="7">
        <f t="shared" si="19"/>
        <v>0.75</v>
      </c>
      <c r="AE240" s="7">
        <f t="shared" si="20"/>
        <v>1</v>
      </c>
      <c r="AF240" s="7">
        <f t="shared" si="21"/>
        <v>1</v>
      </c>
      <c r="AG240" s="7">
        <f t="shared" si="22"/>
        <v>-0.25</v>
      </c>
      <c r="AH240" s="7">
        <f t="shared" si="23"/>
        <v>0.75</v>
      </c>
    </row>
    <row r="241" spans="1:34">
      <c r="A241" s="1">
        <f>IF(Data!A241&gt;0,Data!A241-4,"")</f>
        <v>1</v>
      </c>
      <c r="B241" s="1">
        <f>IF(Data!B241&gt;0,Data!B241-4,"")</f>
        <v>2</v>
      </c>
      <c r="C241" s="1">
        <f>IF(Data!C241&gt;0,4-Data!C241,"")</f>
        <v>0</v>
      </c>
      <c r="D241" s="1">
        <f>IF(Data!D241&gt;0,4-Data!D241,"")</f>
        <v>0</v>
      </c>
      <c r="E241" s="1">
        <f>IF(Data!E241&gt;0,4-Data!E241,"")</f>
        <v>-1</v>
      </c>
      <c r="F241" s="1">
        <f>IF(Data!F241&gt;0,Data!F241-4,"")</f>
        <v>-1</v>
      </c>
      <c r="G241" s="1">
        <f>IF(Data!G241&gt;0,Data!G241-4,"")</f>
        <v>-1</v>
      </c>
      <c r="H241" s="1">
        <f>IF(Data!H241&gt;0,Data!H241-4,"")</f>
        <v>2</v>
      </c>
      <c r="I241" s="1">
        <f>IF(Data!I241&gt;0,4-Data!I241,"")</f>
        <v>-1</v>
      </c>
      <c r="J241" s="1">
        <f>IF(Data!J241&gt;0,4-Data!J241,"")</f>
        <v>-1</v>
      </c>
      <c r="K241" s="1">
        <f>IF(Data!K241&gt;0,Data!K241-4,"")</f>
        <v>0</v>
      </c>
      <c r="L241" s="1">
        <f>IF(Data!L241&gt;0,4-Data!L241,"")</f>
        <v>-1</v>
      </c>
      <c r="M241" s="1">
        <f>IF(Data!M241&gt;0,Data!M241-4,"")</f>
        <v>0</v>
      </c>
      <c r="N241" s="1">
        <f>IF(Data!N241&gt;0,Data!N241-4,"")</f>
        <v>-1</v>
      </c>
      <c r="O241" s="1">
        <f>IF(Data!O241&gt;0,Data!O241-4,"")</f>
        <v>0</v>
      </c>
      <c r="P241" s="1">
        <f>IF(Data!P241&gt;0,Data!P241-4,"")</f>
        <v>0</v>
      </c>
      <c r="Q241" s="1">
        <f>IF(Data!Q241&gt;0,4-Data!Q241,"")</f>
        <v>-1</v>
      </c>
      <c r="R241" s="1">
        <f>IF(Data!R241&gt;0,4-Data!R241,"")</f>
        <v>-1</v>
      </c>
      <c r="S241" s="1">
        <f>IF(Data!S241&gt;0,4-Data!S241,"")</f>
        <v>0</v>
      </c>
      <c r="T241" s="1">
        <f>IF(Data!T241&gt;0,Data!T241-4,"")</f>
        <v>-1</v>
      </c>
      <c r="U241" s="1">
        <f>IF(Data!U241&gt;0,4-Data!U241,"")</f>
        <v>0</v>
      </c>
      <c r="V241" s="1">
        <f>IF(Data!V241&gt;0,Data!V241-4,"")</f>
        <v>0</v>
      </c>
      <c r="W241" s="1">
        <f>IF(Data!W241&gt;0,4-Data!W241,"")</f>
        <v>-1</v>
      </c>
      <c r="X241" s="1">
        <f>IF(Data!X241&gt;0,4-Data!X241,"")</f>
        <v>-1</v>
      </c>
      <c r="Y241" s="1">
        <f>IF(Data!Y241&gt;0,4-Data!Y241,"")</f>
        <v>-1</v>
      </c>
      <c r="Z241" s="1">
        <f>IF(Data!Z241&gt;0,Data!Z241-4,"")</f>
        <v>1</v>
      </c>
      <c r="AC241" s="7">
        <f t="shared" si="18"/>
        <v>-0.5</v>
      </c>
      <c r="AD241" s="7">
        <f t="shared" si="19"/>
        <v>0.5</v>
      </c>
      <c r="AE241" s="7">
        <f t="shared" si="20"/>
        <v>-0.75</v>
      </c>
      <c r="AF241" s="7">
        <f t="shared" si="21"/>
        <v>0.25</v>
      </c>
      <c r="AG241" s="7">
        <f t="shared" si="22"/>
        <v>-1</v>
      </c>
      <c r="AH241" s="7">
        <f t="shared" si="23"/>
        <v>0</v>
      </c>
    </row>
    <row r="242" spans="1:34">
      <c r="A242" s="1">
        <f>IF(Data!A242&gt;0,Data!A242-4,"")</f>
        <v>1</v>
      </c>
      <c r="B242" s="1">
        <f>IF(Data!B242&gt;0,Data!B242-4,"")</f>
        <v>2</v>
      </c>
      <c r="C242" s="1">
        <f>IF(Data!C242&gt;0,4-Data!C242,"")</f>
        <v>-1</v>
      </c>
      <c r="D242" s="1">
        <f>IF(Data!D242&gt;0,4-Data!D242,"")</f>
        <v>-2</v>
      </c>
      <c r="E242" s="1">
        <f>IF(Data!E242&gt;0,4-Data!E242,"")</f>
        <v>-2</v>
      </c>
      <c r="F242" s="1">
        <f>IF(Data!F242&gt;0,Data!F242-4,"")</f>
        <v>0</v>
      </c>
      <c r="G242" s="1">
        <f>IF(Data!G242&gt;0,Data!G242-4,"")</f>
        <v>0</v>
      </c>
      <c r="H242" s="1">
        <f>IF(Data!H242&gt;0,Data!H242-4,"")</f>
        <v>0</v>
      </c>
      <c r="I242" s="1">
        <f>IF(Data!I242&gt;0,4-Data!I242,"")</f>
        <v>2</v>
      </c>
      <c r="J242" s="1">
        <f>IF(Data!J242&gt;0,4-Data!J242,"")</f>
        <v>1</v>
      </c>
      <c r="K242" s="1">
        <f>IF(Data!K242&gt;0,Data!K242-4,"")</f>
        <v>1</v>
      </c>
      <c r="L242" s="1">
        <f>IF(Data!L242&gt;0,4-Data!L242,"")</f>
        <v>2</v>
      </c>
      <c r="M242" s="1">
        <f>IF(Data!M242&gt;0,Data!M242-4,"")</f>
        <v>2</v>
      </c>
      <c r="N242" s="1">
        <f>IF(Data!N242&gt;0,Data!N242-4,"")</f>
        <v>1</v>
      </c>
      <c r="O242" s="1">
        <f>IF(Data!O242&gt;0,Data!O242-4,"")</f>
        <v>1</v>
      </c>
      <c r="P242" s="1">
        <f>IF(Data!P242&gt;0,Data!P242-4,"")</f>
        <v>2</v>
      </c>
      <c r="Q242" s="1">
        <f>IF(Data!Q242&gt;0,4-Data!Q242,"")</f>
        <v>2</v>
      </c>
      <c r="R242" s="1">
        <f>IF(Data!R242&gt;0,4-Data!R242,"")</f>
        <v>1</v>
      </c>
      <c r="S242" s="1">
        <f>IF(Data!S242&gt;0,4-Data!S242,"")</f>
        <v>2</v>
      </c>
      <c r="T242" s="1">
        <f>IF(Data!T242&gt;0,Data!T242-4,"")</f>
        <v>2</v>
      </c>
      <c r="U242" s="1">
        <f>IF(Data!U242&gt;0,4-Data!U242,"")</f>
        <v>3</v>
      </c>
      <c r="V242" s="1">
        <f>IF(Data!V242&gt;0,Data!V242-4,"")</f>
        <v>3</v>
      </c>
      <c r="W242" s="1">
        <f>IF(Data!W242&gt;0,4-Data!W242,"")</f>
        <v>3</v>
      </c>
      <c r="X242" s="1">
        <f>IF(Data!X242&gt;0,4-Data!X242,"")</f>
        <v>2</v>
      </c>
      <c r="Y242" s="1">
        <f>IF(Data!Y242&gt;0,4-Data!Y242,"")</f>
        <v>2</v>
      </c>
      <c r="Z242" s="1">
        <f>IF(Data!Z242&gt;0,Data!Z242-4,"")</f>
        <v>0</v>
      </c>
      <c r="AC242" s="7">
        <f t="shared" si="18"/>
        <v>1.6666666666666667</v>
      </c>
      <c r="AD242" s="7">
        <f t="shared" si="19"/>
        <v>1.25</v>
      </c>
      <c r="AE242" s="7">
        <f t="shared" si="20"/>
        <v>2.5</v>
      </c>
      <c r="AF242" s="7">
        <f t="shared" si="21"/>
        <v>1.25</v>
      </c>
      <c r="AG242" s="7">
        <f t="shared" si="22"/>
        <v>-0.25</v>
      </c>
      <c r="AH242" s="7">
        <f t="shared" si="23"/>
        <v>0.25</v>
      </c>
    </row>
    <row r="243" spans="1:34">
      <c r="A243" s="1">
        <f>IF(Data!A243&gt;0,Data!A243-4,"")</f>
        <v>2</v>
      </c>
      <c r="B243" s="1">
        <f>IF(Data!B243&gt;0,Data!B243-4,"")</f>
        <v>3</v>
      </c>
      <c r="C243" s="1">
        <f>IF(Data!C243&gt;0,4-Data!C243,"")</f>
        <v>-3</v>
      </c>
      <c r="D243" s="1">
        <f>IF(Data!D243&gt;0,4-Data!D243,"")</f>
        <v>2</v>
      </c>
      <c r="E243" s="1">
        <f>IF(Data!E243&gt;0,4-Data!E243,"")</f>
        <v>1</v>
      </c>
      <c r="F243" s="1">
        <f>IF(Data!F243&gt;0,Data!F243-4,"")</f>
        <v>0</v>
      </c>
      <c r="G243" s="1">
        <f>IF(Data!G243&gt;0,Data!G243-4,"")</f>
        <v>1</v>
      </c>
      <c r="H243" s="1">
        <f>IF(Data!H243&gt;0,Data!H243-4,"")</f>
        <v>-1</v>
      </c>
      <c r="I243" s="1">
        <f>IF(Data!I243&gt;0,4-Data!I243,"")</f>
        <v>3</v>
      </c>
      <c r="J243" s="1">
        <f>IF(Data!J243&gt;0,4-Data!J243,"")</f>
        <v>-1</v>
      </c>
      <c r="K243" s="1">
        <f>IF(Data!K243&gt;0,Data!K243-4,"")</f>
        <v>3</v>
      </c>
      <c r="L243" s="1">
        <f>IF(Data!L243&gt;0,4-Data!L243,"")</f>
        <v>3</v>
      </c>
      <c r="M243" s="1">
        <f>IF(Data!M243&gt;0,Data!M243-4,"")</f>
        <v>-1</v>
      </c>
      <c r="N243" s="1">
        <f>IF(Data!N243&gt;0,Data!N243-4,"")</f>
        <v>2</v>
      </c>
      <c r="O243" s="1">
        <f>IF(Data!O243&gt;0,Data!O243-4,"")</f>
        <v>1</v>
      </c>
      <c r="P243" s="1">
        <f>IF(Data!P243&gt;0,Data!P243-4,"")</f>
        <v>0</v>
      </c>
      <c r="Q243" s="1">
        <f>IF(Data!Q243&gt;0,4-Data!Q243,"")</f>
        <v>3</v>
      </c>
      <c r="R243" s="1">
        <f>IF(Data!R243&gt;0,4-Data!R243,"")</f>
        <v>2</v>
      </c>
      <c r="S243" s="1">
        <f>IF(Data!S243&gt;0,4-Data!S243,"")</f>
        <v>3</v>
      </c>
      <c r="T243" s="1">
        <f>IF(Data!T243&gt;0,Data!T243-4,"")</f>
        <v>2</v>
      </c>
      <c r="U243" s="1">
        <f>IF(Data!U243&gt;0,4-Data!U243,"")</f>
        <v>3</v>
      </c>
      <c r="V243" s="1">
        <f>IF(Data!V243&gt;0,Data!V243-4,"")</f>
        <v>0</v>
      </c>
      <c r="W243" s="1">
        <f>IF(Data!W243&gt;0,4-Data!W243,"")</f>
        <v>3</v>
      </c>
      <c r="X243" s="1">
        <f>IF(Data!X243&gt;0,4-Data!X243,"")</f>
        <v>3</v>
      </c>
      <c r="Y243" s="1">
        <f>IF(Data!Y243&gt;0,4-Data!Y243,"")</f>
        <v>-1</v>
      </c>
      <c r="Z243" s="1">
        <f>IF(Data!Z243&gt;0,Data!Z243-4,"")</f>
        <v>2</v>
      </c>
      <c r="AC243" s="7">
        <f t="shared" si="18"/>
        <v>1.5</v>
      </c>
      <c r="AD243" s="7">
        <f t="shared" si="19"/>
        <v>1.75</v>
      </c>
      <c r="AE243" s="7">
        <f t="shared" si="20"/>
        <v>2</v>
      </c>
      <c r="AF243" s="7">
        <f t="shared" si="21"/>
        <v>2</v>
      </c>
      <c r="AG243" s="7">
        <f t="shared" si="22"/>
        <v>1</v>
      </c>
      <c r="AH243" s="7">
        <f t="shared" si="23"/>
        <v>-0.25</v>
      </c>
    </row>
    <row r="244" spans="1:34">
      <c r="A244" s="1">
        <f>IF(Data!A244&gt;0,Data!A244-4,"")</f>
        <v>1</v>
      </c>
      <c r="B244" s="1">
        <f>IF(Data!B244&gt;0,Data!B244-4,"")</f>
        <v>1</v>
      </c>
      <c r="C244" s="1">
        <f>IF(Data!C244&gt;0,4-Data!C244,"")</f>
        <v>1</v>
      </c>
      <c r="D244" s="1">
        <f>IF(Data!D244&gt;0,4-Data!D244,"")</f>
        <v>3</v>
      </c>
      <c r="E244" s="1">
        <f>IF(Data!E244&gt;0,4-Data!E244,"")</f>
        <v>2</v>
      </c>
      <c r="F244" s="1">
        <f>IF(Data!F244&gt;0,Data!F244-4,"")</f>
        <v>0</v>
      </c>
      <c r="G244" s="1">
        <f>IF(Data!G244&gt;0,Data!G244-4,"")</f>
        <v>1</v>
      </c>
      <c r="H244" s="1">
        <f>IF(Data!H244&gt;0,Data!H244-4,"")</f>
        <v>1</v>
      </c>
      <c r="I244" s="1">
        <f>IF(Data!I244&gt;0,4-Data!I244,"")</f>
        <v>1</v>
      </c>
      <c r="J244" s="1">
        <f>IF(Data!J244&gt;0,4-Data!J244,"")</f>
        <v>2</v>
      </c>
      <c r="K244" s="1">
        <f>IF(Data!K244&gt;0,Data!K244-4,"")</f>
        <v>3</v>
      </c>
      <c r="L244" s="1">
        <f>IF(Data!L244&gt;0,4-Data!L244,"")</f>
        <v>2</v>
      </c>
      <c r="M244" s="1">
        <f>IF(Data!M244&gt;0,Data!M244-4,"")</f>
        <v>2</v>
      </c>
      <c r="N244" s="1">
        <f>IF(Data!N244&gt;0,Data!N244-4,"")</f>
        <v>2</v>
      </c>
      <c r="O244" s="1">
        <f>IF(Data!O244&gt;0,Data!O244-4,"")</f>
        <v>1</v>
      </c>
      <c r="P244" s="1">
        <f>IF(Data!P244&gt;0,Data!P244-4,"")</f>
        <v>1</v>
      </c>
      <c r="Q244" s="1">
        <f>IF(Data!Q244&gt;0,4-Data!Q244,"")</f>
        <v>1</v>
      </c>
      <c r="R244" s="1">
        <f>IF(Data!R244&gt;0,4-Data!R244,"")</f>
        <v>1</v>
      </c>
      <c r="S244" s="1">
        <f>IF(Data!S244&gt;0,4-Data!S244,"")</f>
        <v>1</v>
      </c>
      <c r="T244" s="1">
        <f>IF(Data!T244&gt;0,Data!T244-4,"")</f>
        <v>2</v>
      </c>
      <c r="U244" s="1">
        <f>IF(Data!U244&gt;0,4-Data!U244,"")</f>
        <v>2</v>
      </c>
      <c r="V244" s="1">
        <f>IF(Data!V244&gt;0,Data!V244-4,"")</f>
        <v>2</v>
      </c>
      <c r="W244" s="1">
        <f>IF(Data!W244&gt;0,4-Data!W244,"")</f>
        <v>2</v>
      </c>
      <c r="X244" s="1">
        <f>IF(Data!X244&gt;0,4-Data!X244,"")</f>
        <v>3</v>
      </c>
      <c r="Y244" s="1">
        <f>IF(Data!Y244&gt;0,4-Data!Y244,"")</f>
        <v>2</v>
      </c>
      <c r="Z244" s="1">
        <f>IF(Data!Z244&gt;0,Data!Z244-4,"")</f>
        <v>2</v>
      </c>
      <c r="AC244" s="7">
        <f t="shared" si="18"/>
        <v>1.8333333333333333</v>
      </c>
      <c r="AD244" s="7">
        <f t="shared" si="19"/>
        <v>2</v>
      </c>
      <c r="AE244" s="7">
        <f t="shared" si="20"/>
        <v>1.75</v>
      </c>
      <c r="AF244" s="7">
        <f t="shared" si="21"/>
        <v>1.5</v>
      </c>
      <c r="AG244" s="7">
        <f t="shared" si="22"/>
        <v>1</v>
      </c>
      <c r="AH244" s="7">
        <f t="shared" si="23"/>
        <v>1.5</v>
      </c>
    </row>
    <row r="245" spans="1:34">
      <c r="A245" s="1">
        <f>IF(Data!A245&gt;0,Data!A245-4,"")</f>
        <v>1</v>
      </c>
      <c r="B245" s="1">
        <f>IF(Data!B245&gt;0,Data!B245-4,"")</f>
        <v>1</v>
      </c>
      <c r="C245" s="1">
        <f>IF(Data!C245&gt;0,4-Data!C245,"")</f>
        <v>0</v>
      </c>
      <c r="D245" s="1">
        <f>IF(Data!D245&gt;0,4-Data!D245,"")</f>
        <v>2</v>
      </c>
      <c r="E245" s="1">
        <f>IF(Data!E245&gt;0,4-Data!E245,"")</f>
        <v>0</v>
      </c>
      <c r="F245" s="1">
        <f>IF(Data!F245&gt;0,Data!F245-4,"")</f>
        <v>0</v>
      </c>
      <c r="G245" s="1">
        <f>IF(Data!G245&gt;0,Data!G245-4,"")</f>
        <v>1</v>
      </c>
      <c r="H245" s="1">
        <f>IF(Data!H245&gt;0,Data!H245-4,"")</f>
        <v>1</v>
      </c>
      <c r="I245" s="1">
        <f>IF(Data!I245&gt;0,4-Data!I245,"")</f>
        <v>2</v>
      </c>
      <c r="J245" s="1">
        <f>IF(Data!J245&gt;0,4-Data!J245,"")</f>
        <v>1</v>
      </c>
      <c r="K245" s="1">
        <f>IF(Data!K245&gt;0,Data!K245-4,"")</f>
        <v>1</v>
      </c>
      <c r="L245" s="1">
        <f>IF(Data!L245&gt;0,4-Data!L245,"")</f>
        <v>-2</v>
      </c>
      <c r="M245" s="1">
        <f>IF(Data!M245&gt;0,Data!M245-4,"")</f>
        <v>3</v>
      </c>
      <c r="N245" s="1">
        <f>IF(Data!N245&gt;0,Data!N245-4,"")</f>
        <v>-2</v>
      </c>
      <c r="O245" s="1">
        <f>IF(Data!O245&gt;0,Data!O245-4,"")</f>
        <v>-1</v>
      </c>
      <c r="P245" s="1">
        <f>IF(Data!P245&gt;0,Data!P245-4,"")</f>
        <v>-1</v>
      </c>
      <c r="Q245" s="1">
        <f>IF(Data!Q245&gt;0,4-Data!Q245,"")</f>
        <v>2</v>
      </c>
      <c r="R245" s="1">
        <f>IF(Data!R245&gt;0,4-Data!R245,"")</f>
        <v>0</v>
      </c>
      <c r="S245" s="1">
        <f>IF(Data!S245&gt;0,4-Data!S245,"")</f>
        <v>1</v>
      </c>
      <c r="T245" s="1">
        <f>IF(Data!T245&gt;0,Data!T245-4,"")</f>
        <v>2</v>
      </c>
      <c r="U245" s="1">
        <f>IF(Data!U245&gt;0,4-Data!U245,"")</f>
        <v>2</v>
      </c>
      <c r="V245" s="1">
        <f>IF(Data!V245&gt;0,Data!V245-4,"")</f>
        <v>1</v>
      </c>
      <c r="W245" s="1">
        <f>IF(Data!W245&gt;0,4-Data!W245,"")</f>
        <v>-1</v>
      </c>
      <c r="X245" s="1">
        <f>IF(Data!X245&gt;0,4-Data!X245,"")</f>
        <v>1</v>
      </c>
      <c r="Y245" s="1">
        <f>IF(Data!Y245&gt;0,4-Data!Y245,"")</f>
        <v>0</v>
      </c>
      <c r="Z245" s="1">
        <f>IF(Data!Z245&gt;0,Data!Z245-4,"")</f>
        <v>-2</v>
      </c>
      <c r="AC245" s="7">
        <f t="shared" si="18"/>
        <v>-0.5</v>
      </c>
      <c r="AD245" s="7">
        <f t="shared" si="19"/>
        <v>2</v>
      </c>
      <c r="AE245" s="7">
        <f t="shared" si="20"/>
        <v>1</v>
      </c>
      <c r="AF245" s="7">
        <f t="shared" si="21"/>
        <v>1.25</v>
      </c>
      <c r="AG245" s="7">
        <f t="shared" si="22"/>
        <v>0.25</v>
      </c>
      <c r="AH245" s="7">
        <f t="shared" si="23"/>
        <v>-0.5</v>
      </c>
    </row>
    <row r="246" spans="1:34">
      <c r="A246" s="1">
        <f>IF(Data!A246&gt;0,Data!A246-4,"")</f>
        <v>3</v>
      </c>
      <c r="B246" s="1">
        <f>IF(Data!B246&gt;0,Data!B246-4,"")</f>
        <v>-1</v>
      </c>
      <c r="C246" s="1">
        <f>IF(Data!C246&gt;0,4-Data!C246,"")</f>
        <v>2</v>
      </c>
      <c r="D246" s="1">
        <f>IF(Data!D246&gt;0,4-Data!D246,"")</f>
        <v>-1</v>
      </c>
      <c r="E246" s="1">
        <f>IF(Data!E246&gt;0,4-Data!E246,"")</f>
        <v>1</v>
      </c>
      <c r="F246" s="1">
        <f>IF(Data!F246&gt;0,Data!F246-4,"")</f>
        <v>1</v>
      </c>
      <c r="G246" s="1">
        <f>IF(Data!G246&gt;0,Data!G246-4,"")</f>
        <v>1</v>
      </c>
      <c r="H246" s="1">
        <f>IF(Data!H246&gt;0,Data!H246-4,"")</f>
        <v>0</v>
      </c>
      <c r="I246" s="1">
        <f>IF(Data!I246&gt;0,4-Data!I246,"")</f>
        <v>2</v>
      </c>
      <c r="J246" s="1">
        <f>IF(Data!J246&gt;0,4-Data!J246,"")</f>
        <v>0</v>
      </c>
      <c r="K246" s="1">
        <f>IF(Data!K246&gt;0,Data!K246-4,"")</f>
        <v>0</v>
      </c>
      <c r="L246" s="1">
        <f>IF(Data!L246&gt;0,4-Data!L246,"")</f>
        <v>2</v>
      </c>
      <c r="M246" s="1">
        <f>IF(Data!M246&gt;0,Data!M246-4,"")</f>
        <v>-1</v>
      </c>
      <c r="N246" s="1">
        <f>IF(Data!N246&gt;0,Data!N246-4,"")</f>
        <v>1</v>
      </c>
      <c r="O246" s="1">
        <f>IF(Data!O246&gt;0,Data!O246-4,"")</f>
        <v>0</v>
      </c>
      <c r="P246" s="1">
        <f>IF(Data!P246&gt;0,Data!P246-4,"")</f>
        <v>1</v>
      </c>
      <c r="Q246" s="1">
        <f>IF(Data!Q246&gt;0,4-Data!Q246,"")</f>
        <v>2</v>
      </c>
      <c r="R246" s="1">
        <f>IF(Data!R246&gt;0,4-Data!R246,"")</f>
        <v>0</v>
      </c>
      <c r="S246" s="1">
        <f>IF(Data!S246&gt;0,4-Data!S246,"")</f>
        <v>2</v>
      </c>
      <c r="T246" s="1">
        <f>IF(Data!T246&gt;0,Data!T246-4,"")</f>
        <v>2</v>
      </c>
      <c r="U246" s="1">
        <f>IF(Data!U246&gt;0,4-Data!U246,"")</f>
        <v>-1</v>
      </c>
      <c r="V246" s="1">
        <f>IF(Data!V246&gt;0,Data!V246-4,"")</f>
        <v>2</v>
      </c>
      <c r="W246" s="1">
        <f>IF(Data!W246&gt;0,4-Data!W246,"")</f>
        <v>2</v>
      </c>
      <c r="X246" s="1">
        <f>IF(Data!X246&gt;0,4-Data!X246,"")</f>
        <v>2</v>
      </c>
      <c r="Y246" s="1">
        <f>IF(Data!Y246&gt;0,4-Data!Y246,"")</f>
        <v>2</v>
      </c>
      <c r="Z246" s="1">
        <f>IF(Data!Z246&gt;0,Data!Z246-4,"")</f>
        <v>0</v>
      </c>
      <c r="AC246" s="7">
        <f t="shared" si="18"/>
        <v>1.8333333333333333</v>
      </c>
      <c r="AD246" s="7">
        <f t="shared" si="19"/>
        <v>-1</v>
      </c>
      <c r="AE246" s="7">
        <f t="shared" si="20"/>
        <v>2</v>
      </c>
      <c r="AF246" s="7">
        <f t="shared" si="21"/>
        <v>1</v>
      </c>
      <c r="AG246" s="7">
        <f t="shared" si="22"/>
        <v>0.75</v>
      </c>
      <c r="AH246" s="7">
        <f t="shared" si="23"/>
        <v>0.5</v>
      </c>
    </row>
    <row r="247" spans="1:34">
      <c r="A247" s="1">
        <f>IF(Data!A247&gt;0,Data!A247-4,"")</f>
        <v>2</v>
      </c>
      <c r="B247" s="1">
        <f>IF(Data!B247&gt;0,Data!B247-4,"")</f>
        <v>2</v>
      </c>
      <c r="C247" s="1">
        <f>IF(Data!C247&gt;0,4-Data!C247,"")</f>
        <v>-3</v>
      </c>
      <c r="D247" s="1">
        <f>IF(Data!D247&gt;0,4-Data!D247,"")</f>
        <v>2</v>
      </c>
      <c r="E247" s="1">
        <f>IF(Data!E247&gt;0,4-Data!E247,"")</f>
        <v>2</v>
      </c>
      <c r="F247" s="1">
        <f>IF(Data!F247&gt;0,Data!F247-4,"")</f>
        <v>-2</v>
      </c>
      <c r="G247" s="1">
        <f>IF(Data!G247&gt;0,Data!G247-4,"")</f>
        <v>-2</v>
      </c>
      <c r="H247" s="1">
        <f>IF(Data!H247&gt;0,Data!H247-4,"")</f>
        <v>3</v>
      </c>
      <c r="I247" s="1">
        <f>IF(Data!I247&gt;0,4-Data!I247,"")</f>
        <v>2</v>
      </c>
      <c r="J247" s="1">
        <f>IF(Data!J247&gt;0,4-Data!J247,"")</f>
        <v>0</v>
      </c>
      <c r="K247" s="1">
        <f>IF(Data!K247&gt;0,Data!K247-4,"")</f>
        <v>2</v>
      </c>
      <c r="L247" s="1">
        <f>IF(Data!L247&gt;0,4-Data!L247,"")</f>
        <v>2</v>
      </c>
      <c r="M247" s="1">
        <f>IF(Data!M247&gt;0,Data!M247-4,"")</f>
        <v>2</v>
      </c>
      <c r="N247" s="1">
        <f>IF(Data!N247&gt;0,Data!N247-4,"")</f>
        <v>-2</v>
      </c>
      <c r="O247" s="1">
        <f>IF(Data!O247&gt;0,Data!O247-4,"")</f>
        <v>-2</v>
      </c>
      <c r="P247" s="1">
        <f>IF(Data!P247&gt;0,Data!P247-4,"")</f>
        <v>1</v>
      </c>
      <c r="Q247" s="1">
        <f>IF(Data!Q247&gt;0,4-Data!Q247,"")</f>
        <v>3</v>
      </c>
      <c r="R247" s="1">
        <f>IF(Data!R247&gt;0,4-Data!R247,"")</f>
        <v>-2</v>
      </c>
      <c r="S247" s="1">
        <f>IF(Data!S247&gt;0,4-Data!S247,"")</f>
        <v>-2</v>
      </c>
      <c r="T247" s="1">
        <f>IF(Data!T247&gt;0,Data!T247-4,"")</f>
        <v>2</v>
      </c>
      <c r="U247" s="1">
        <f>IF(Data!U247&gt;0,4-Data!U247,"")</f>
        <v>2</v>
      </c>
      <c r="V247" s="1">
        <f>IF(Data!V247&gt;0,Data!V247-4,"")</f>
        <v>2</v>
      </c>
      <c r="W247" s="1">
        <f>IF(Data!W247&gt;0,4-Data!W247,"")</f>
        <v>2</v>
      </c>
      <c r="X247" s="1">
        <f>IF(Data!X247&gt;0,4-Data!X247,"")</f>
        <v>-1</v>
      </c>
      <c r="Y247" s="1">
        <f>IF(Data!Y247&gt;0,4-Data!Y247,"")</f>
        <v>-1</v>
      </c>
      <c r="Z247" s="1">
        <f>IF(Data!Z247&gt;0,Data!Z247-4,"")</f>
        <v>-3</v>
      </c>
      <c r="AC247" s="7">
        <f t="shared" si="18"/>
        <v>0.16666666666666666</v>
      </c>
      <c r="AD247" s="7">
        <f t="shared" si="19"/>
        <v>2</v>
      </c>
      <c r="AE247" s="7">
        <f t="shared" si="20"/>
        <v>2</v>
      </c>
      <c r="AF247" s="7">
        <f t="shared" si="21"/>
        <v>1.5</v>
      </c>
      <c r="AG247" s="7">
        <f t="shared" si="22"/>
        <v>-1</v>
      </c>
      <c r="AH247" s="7">
        <f t="shared" si="23"/>
        <v>-2</v>
      </c>
    </row>
    <row r="248" spans="1:34">
      <c r="A248" s="1">
        <f>IF(Data!A248&gt;0,Data!A248-4,"")</f>
        <v>1</v>
      </c>
      <c r="B248" s="1">
        <f>IF(Data!B248&gt;0,Data!B248-4,"")</f>
        <v>3</v>
      </c>
      <c r="C248" s="1">
        <f>IF(Data!C248&gt;0,4-Data!C248,"")</f>
        <v>0</v>
      </c>
      <c r="D248" s="1">
        <f>IF(Data!D248&gt;0,4-Data!D248,"")</f>
        <v>3</v>
      </c>
      <c r="E248" s="1">
        <f>IF(Data!E248&gt;0,4-Data!E248,"")</f>
        <v>2</v>
      </c>
      <c r="F248" s="1">
        <f>IF(Data!F248&gt;0,Data!F248-4,"")</f>
        <v>0</v>
      </c>
      <c r="G248" s="1">
        <f>IF(Data!G248&gt;0,Data!G248-4,"")</f>
        <v>1</v>
      </c>
      <c r="H248" s="1">
        <f>IF(Data!H248&gt;0,Data!H248-4,"")</f>
        <v>2</v>
      </c>
      <c r="I248" s="1">
        <f>IF(Data!I248&gt;0,4-Data!I248,"")</f>
        <v>3</v>
      </c>
      <c r="J248" s="1">
        <f>IF(Data!J248&gt;0,4-Data!J248,"")</f>
        <v>2</v>
      </c>
      <c r="K248" s="1">
        <f>IF(Data!K248&gt;0,Data!K248-4,"")</f>
        <v>0</v>
      </c>
      <c r="L248" s="1">
        <f>IF(Data!L248&gt;0,4-Data!L248,"")</f>
        <v>2</v>
      </c>
      <c r="M248" s="1">
        <f>IF(Data!M248&gt;0,Data!M248-4,"")</f>
        <v>3</v>
      </c>
      <c r="N248" s="1">
        <f>IF(Data!N248&gt;0,Data!N248-4,"")</f>
        <v>1</v>
      </c>
      <c r="O248" s="1">
        <f>IF(Data!O248&gt;0,Data!O248-4,"")</f>
        <v>0</v>
      </c>
      <c r="P248" s="1">
        <f>IF(Data!P248&gt;0,Data!P248-4,"")</f>
        <v>1</v>
      </c>
      <c r="Q248" s="1">
        <f>IF(Data!Q248&gt;0,4-Data!Q248,"")</f>
        <v>3</v>
      </c>
      <c r="R248" s="1">
        <f>IF(Data!R248&gt;0,4-Data!R248,"")</f>
        <v>1</v>
      </c>
      <c r="S248" s="1">
        <f>IF(Data!S248&gt;0,4-Data!S248,"")</f>
        <v>2</v>
      </c>
      <c r="T248" s="1">
        <f>IF(Data!T248&gt;0,Data!T248-4,"")</f>
        <v>3</v>
      </c>
      <c r="U248" s="1">
        <f>IF(Data!U248&gt;0,4-Data!U248,"")</f>
        <v>3</v>
      </c>
      <c r="V248" s="1">
        <f>IF(Data!V248&gt;0,Data!V248-4,"")</f>
        <v>3</v>
      </c>
      <c r="W248" s="1">
        <f>IF(Data!W248&gt;0,4-Data!W248,"")</f>
        <v>3</v>
      </c>
      <c r="X248" s="1">
        <f>IF(Data!X248&gt;0,4-Data!X248,"")</f>
        <v>0</v>
      </c>
      <c r="Y248" s="1">
        <f>IF(Data!Y248&gt;0,4-Data!Y248,"")</f>
        <v>0</v>
      </c>
      <c r="Z248" s="1">
        <f>IF(Data!Z248&gt;0,Data!Z248-4,"")</f>
        <v>1</v>
      </c>
      <c r="AC248" s="7">
        <f t="shared" si="18"/>
        <v>0.83333333333333337</v>
      </c>
      <c r="AD248" s="7">
        <f t="shared" si="19"/>
        <v>3</v>
      </c>
      <c r="AE248" s="7">
        <f t="shared" si="20"/>
        <v>3</v>
      </c>
      <c r="AF248" s="7">
        <f t="shared" si="21"/>
        <v>1.75</v>
      </c>
      <c r="AG248" s="7">
        <f t="shared" si="22"/>
        <v>1</v>
      </c>
      <c r="AH248" s="7">
        <f t="shared" si="23"/>
        <v>0.75</v>
      </c>
    </row>
    <row r="249" spans="1:34">
      <c r="A249" s="1">
        <f>IF(Data!A249&gt;0,Data!A249-4,"")</f>
        <v>-2</v>
      </c>
      <c r="B249" s="1">
        <f>IF(Data!B249&gt;0,Data!B249-4,"")</f>
        <v>1</v>
      </c>
      <c r="C249" s="1">
        <f>IF(Data!C249&gt;0,4-Data!C249,"")</f>
        <v>0</v>
      </c>
      <c r="D249" s="1">
        <f>IF(Data!D249&gt;0,4-Data!D249,"")</f>
        <v>1</v>
      </c>
      <c r="E249" s="1">
        <f>IF(Data!E249&gt;0,4-Data!E249,"")</f>
        <v>1</v>
      </c>
      <c r="F249" s="1">
        <f>IF(Data!F249&gt;0,Data!F249-4,"")</f>
        <v>1</v>
      </c>
      <c r="G249" s="1">
        <f>IF(Data!G249&gt;0,Data!G249-4,"")</f>
        <v>0</v>
      </c>
      <c r="H249" s="1">
        <f>IF(Data!H249&gt;0,Data!H249-4,"")</f>
        <v>2</v>
      </c>
      <c r="I249" s="1">
        <f>IF(Data!I249&gt;0,4-Data!I249,"")</f>
        <v>0</v>
      </c>
      <c r="J249" s="1">
        <f>IF(Data!J249&gt;0,4-Data!J249,"")</f>
        <v>1</v>
      </c>
      <c r="K249" s="1">
        <f>IF(Data!K249&gt;0,Data!K249-4,"")</f>
        <v>0</v>
      </c>
      <c r="L249" s="1">
        <f>IF(Data!L249&gt;0,4-Data!L249,"")</f>
        <v>1</v>
      </c>
      <c r="M249" s="1">
        <f>IF(Data!M249&gt;0,Data!M249-4,"")</f>
        <v>1</v>
      </c>
      <c r="N249" s="1">
        <f>IF(Data!N249&gt;0,Data!N249-4,"")</f>
        <v>1</v>
      </c>
      <c r="O249" s="1">
        <f>IF(Data!O249&gt;0,Data!O249-4,"")</f>
        <v>1</v>
      </c>
      <c r="P249" s="1">
        <f>IF(Data!P249&gt;0,Data!P249-4,"")</f>
        <v>1</v>
      </c>
      <c r="Q249" s="1">
        <f>IF(Data!Q249&gt;0,4-Data!Q249,"")</f>
        <v>0</v>
      </c>
      <c r="R249" s="1">
        <f>IF(Data!R249&gt;0,4-Data!R249,"")</f>
        <v>0</v>
      </c>
      <c r="S249" s="1">
        <f>IF(Data!S249&gt;0,4-Data!S249,"")</f>
        <v>2</v>
      </c>
      <c r="T249" s="1">
        <f>IF(Data!T249&gt;0,Data!T249-4,"")</f>
        <v>1</v>
      </c>
      <c r="U249" s="1">
        <f>IF(Data!U249&gt;0,4-Data!U249,"")</f>
        <v>0</v>
      </c>
      <c r="V249" s="1">
        <f>IF(Data!V249&gt;0,Data!V249-4,"")</f>
        <v>1</v>
      </c>
      <c r="W249" s="1">
        <f>IF(Data!W249&gt;0,4-Data!W249,"")</f>
        <v>-1</v>
      </c>
      <c r="X249" s="1">
        <f>IF(Data!X249&gt;0,4-Data!X249,"")</f>
        <v>-1</v>
      </c>
      <c r="Y249" s="1">
        <f>IF(Data!Y249&gt;0,4-Data!Y249,"")</f>
        <v>0</v>
      </c>
      <c r="Z249" s="1">
        <f>IF(Data!Z249&gt;0,Data!Z249-4,"")</f>
        <v>1</v>
      </c>
      <c r="AC249" s="7">
        <f t="shared" si="18"/>
        <v>0</v>
      </c>
      <c r="AD249" s="7">
        <f t="shared" si="19"/>
        <v>0.75</v>
      </c>
      <c r="AE249" s="7">
        <f t="shared" si="20"/>
        <v>0.25</v>
      </c>
      <c r="AF249" s="7">
        <f t="shared" si="21"/>
        <v>1</v>
      </c>
      <c r="AG249" s="7">
        <f t="shared" si="22"/>
        <v>0.5</v>
      </c>
      <c r="AH249" s="7">
        <f t="shared" si="23"/>
        <v>0.75</v>
      </c>
    </row>
    <row r="250" spans="1:34">
      <c r="A250" s="1">
        <f>IF(Data!A250&gt;0,Data!A250-4,"")</f>
        <v>1</v>
      </c>
      <c r="B250" s="1">
        <f>IF(Data!B250&gt;0,Data!B250-4,"")</f>
        <v>2</v>
      </c>
      <c r="C250" s="1">
        <f>IF(Data!C250&gt;0,4-Data!C250,"")</f>
        <v>0</v>
      </c>
      <c r="D250" s="1">
        <f>IF(Data!D250&gt;0,4-Data!D250,"")</f>
        <v>2</v>
      </c>
      <c r="E250" s="1">
        <f>IF(Data!E250&gt;0,4-Data!E250,"")</f>
        <v>2</v>
      </c>
      <c r="F250" s="1">
        <f>IF(Data!F250&gt;0,Data!F250-4,"")</f>
        <v>0</v>
      </c>
      <c r="G250" s="1">
        <f>IF(Data!G250&gt;0,Data!G250-4,"")</f>
        <v>2</v>
      </c>
      <c r="H250" s="1">
        <f>IF(Data!H250&gt;0,Data!H250-4,"")</f>
        <v>2</v>
      </c>
      <c r="I250" s="1">
        <f>IF(Data!I250&gt;0,4-Data!I250,"")</f>
        <v>2</v>
      </c>
      <c r="J250" s="1">
        <f>IF(Data!J250&gt;0,4-Data!J250,"")</f>
        <v>1</v>
      </c>
      <c r="K250" s="1">
        <f>IF(Data!K250&gt;0,Data!K250-4,"")</f>
        <v>0</v>
      </c>
      <c r="L250" s="1">
        <f>IF(Data!L250&gt;0,4-Data!L250,"")</f>
        <v>2</v>
      </c>
      <c r="M250" s="1">
        <f>IF(Data!M250&gt;0,Data!M250-4,"")</f>
        <v>3</v>
      </c>
      <c r="N250" s="1">
        <f>IF(Data!N250&gt;0,Data!N250-4,"")</f>
        <v>1</v>
      </c>
      <c r="O250" s="1">
        <f>IF(Data!O250&gt;0,Data!O250-4,"")</f>
        <v>-2</v>
      </c>
      <c r="P250" s="1">
        <f>IF(Data!P250&gt;0,Data!P250-4,"")</f>
        <v>0</v>
      </c>
      <c r="Q250" s="1">
        <f>IF(Data!Q250&gt;0,4-Data!Q250,"")</f>
        <v>-3</v>
      </c>
      <c r="R250" s="1">
        <f>IF(Data!R250&gt;0,4-Data!R250,"")</f>
        <v>-2</v>
      </c>
      <c r="S250" s="1">
        <f>IF(Data!S250&gt;0,4-Data!S250,"")</f>
        <v>0</v>
      </c>
      <c r="T250" s="1">
        <f>IF(Data!T250&gt;0,Data!T250-4,"")</f>
        <v>1</v>
      </c>
      <c r="U250" s="1">
        <f>IF(Data!U250&gt;0,4-Data!U250,"")</f>
        <v>1</v>
      </c>
      <c r="V250" s="1">
        <f>IF(Data!V250&gt;0,Data!V250-4,"")</f>
        <v>1</v>
      </c>
      <c r="W250" s="1">
        <f>IF(Data!W250&gt;0,4-Data!W250,"")</f>
        <v>-1</v>
      </c>
      <c r="X250" s="1">
        <f>IF(Data!X250&gt;0,4-Data!X250,"")</f>
        <v>1</v>
      </c>
      <c r="Y250" s="1">
        <f>IF(Data!Y250&gt;0,4-Data!Y250,"")</f>
        <v>1</v>
      </c>
      <c r="Z250" s="1">
        <f>IF(Data!Z250&gt;0,Data!Z250-4,"")</f>
        <v>0</v>
      </c>
      <c r="AC250" s="7">
        <f t="shared" si="18"/>
        <v>1</v>
      </c>
      <c r="AD250" s="7">
        <f t="shared" si="19"/>
        <v>2</v>
      </c>
      <c r="AE250" s="7">
        <f t="shared" si="20"/>
        <v>0.75</v>
      </c>
      <c r="AF250" s="7">
        <f t="shared" si="21"/>
        <v>-0.25</v>
      </c>
      <c r="AG250" s="7">
        <f t="shared" si="22"/>
        <v>0.5</v>
      </c>
      <c r="AH250" s="7">
        <f t="shared" si="23"/>
        <v>-0.25</v>
      </c>
    </row>
    <row r="251" spans="1:34">
      <c r="A251" s="1">
        <f>IF(Data!A251&gt;0,Data!A251-4,"")</f>
        <v>0</v>
      </c>
      <c r="B251" s="1">
        <f>IF(Data!B251&gt;0,Data!B251-4,"")</f>
        <v>1</v>
      </c>
      <c r="C251" s="1">
        <f>IF(Data!C251&gt;0,4-Data!C251,"")</f>
        <v>-1</v>
      </c>
      <c r="D251" s="1">
        <f>IF(Data!D251&gt;0,4-Data!D251,"")</f>
        <v>0</v>
      </c>
      <c r="E251" s="1">
        <f>IF(Data!E251&gt;0,4-Data!E251,"")</f>
        <v>0</v>
      </c>
      <c r="F251" s="1">
        <f>IF(Data!F251&gt;0,Data!F251-4,"")</f>
        <v>1</v>
      </c>
      <c r="G251" s="1">
        <f>IF(Data!G251&gt;0,Data!G251-4,"")</f>
        <v>0</v>
      </c>
      <c r="H251" s="1">
        <f>IF(Data!H251&gt;0,Data!H251-4,"")</f>
        <v>-1</v>
      </c>
      <c r="I251" s="1">
        <f>IF(Data!I251&gt;0,4-Data!I251,"")</f>
        <v>-1</v>
      </c>
      <c r="J251" s="1">
        <f>IF(Data!J251&gt;0,4-Data!J251,"")</f>
        <v>0</v>
      </c>
      <c r="K251" s="1">
        <f>IF(Data!K251&gt;0,Data!K251-4,"")</f>
        <v>1</v>
      </c>
      <c r="L251" s="1">
        <f>IF(Data!L251&gt;0,4-Data!L251,"")</f>
        <v>0</v>
      </c>
      <c r="M251" s="1">
        <f>IF(Data!M251&gt;0,Data!M251-4,"")</f>
        <v>1</v>
      </c>
      <c r="N251" s="1">
        <f>IF(Data!N251&gt;0,Data!N251-4,"")</f>
        <v>2</v>
      </c>
      <c r="O251" s="1">
        <f>IF(Data!O251&gt;0,Data!O251-4,"")</f>
        <v>1</v>
      </c>
      <c r="P251" s="1">
        <f>IF(Data!P251&gt;0,Data!P251-4,"")</f>
        <v>0</v>
      </c>
      <c r="Q251" s="1">
        <f>IF(Data!Q251&gt;0,4-Data!Q251,"")</f>
        <v>-2</v>
      </c>
      <c r="R251" s="1">
        <f>IF(Data!R251&gt;0,4-Data!R251,"")</f>
        <v>0</v>
      </c>
      <c r="S251" s="1">
        <f>IF(Data!S251&gt;0,4-Data!S251,"")</f>
        <v>0</v>
      </c>
      <c r="T251" s="1">
        <f>IF(Data!T251&gt;0,Data!T251-4,"")</f>
        <v>0</v>
      </c>
      <c r="U251" s="1">
        <f>IF(Data!U251&gt;0,4-Data!U251,"")</f>
        <v>1</v>
      </c>
      <c r="V251" s="1">
        <f>IF(Data!V251&gt;0,Data!V251-4,"")</f>
        <v>1</v>
      </c>
      <c r="W251" s="1">
        <f>IF(Data!W251&gt;0,4-Data!W251,"")</f>
        <v>0</v>
      </c>
      <c r="X251" s="1">
        <f>IF(Data!X251&gt;0,4-Data!X251,"")</f>
        <v>1</v>
      </c>
      <c r="Y251" s="1">
        <f>IF(Data!Y251&gt;0,4-Data!Y251,"")</f>
        <v>1</v>
      </c>
      <c r="Z251" s="1">
        <f>IF(Data!Z251&gt;0,Data!Z251-4,"")</f>
        <v>-1</v>
      </c>
      <c r="AC251" s="7">
        <f t="shared" si="18"/>
        <v>0.66666666666666663</v>
      </c>
      <c r="AD251" s="7">
        <f t="shared" si="19"/>
        <v>0.75</v>
      </c>
      <c r="AE251" s="7">
        <f t="shared" si="20"/>
        <v>0</v>
      </c>
      <c r="AF251" s="7">
        <f t="shared" si="21"/>
        <v>-0.5</v>
      </c>
      <c r="AG251" s="7">
        <f t="shared" si="22"/>
        <v>0.25</v>
      </c>
      <c r="AH251" s="7">
        <f t="shared" si="23"/>
        <v>-0.25</v>
      </c>
    </row>
    <row r="252" spans="1:34">
      <c r="A252" s="1">
        <f>IF(Data!A252&gt;0,Data!A252-4,"")</f>
        <v>3</v>
      </c>
      <c r="B252" s="1">
        <f>IF(Data!B252&gt;0,Data!B252-4,"")</f>
        <v>2</v>
      </c>
      <c r="C252" s="1">
        <f>IF(Data!C252&gt;0,4-Data!C252,"")</f>
        <v>2</v>
      </c>
      <c r="D252" s="1">
        <f>IF(Data!D252&gt;0,4-Data!D252,"")</f>
        <v>3</v>
      </c>
      <c r="E252" s="1">
        <f>IF(Data!E252&gt;0,4-Data!E252,"")</f>
        <v>3</v>
      </c>
      <c r="F252" s="1">
        <f>IF(Data!F252&gt;0,Data!F252-4,"")</f>
        <v>3</v>
      </c>
      <c r="G252" s="1">
        <f>IF(Data!G252&gt;0,Data!G252-4,"")</f>
        <v>3</v>
      </c>
      <c r="H252" s="1">
        <f>IF(Data!H252&gt;0,Data!H252-4,"")</f>
        <v>1</v>
      </c>
      <c r="I252" s="1">
        <f>IF(Data!I252&gt;0,4-Data!I252,"")</f>
        <v>3</v>
      </c>
      <c r="J252" s="1">
        <f>IF(Data!J252&gt;0,4-Data!J252,"")</f>
        <v>1</v>
      </c>
      <c r="K252" s="1">
        <f>IF(Data!K252&gt;0,Data!K252-4,"")</f>
        <v>3</v>
      </c>
      <c r="L252" s="1">
        <f>IF(Data!L252&gt;0,4-Data!L252,"")</f>
        <v>3</v>
      </c>
      <c r="M252" s="1">
        <f>IF(Data!M252&gt;0,Data!M252-4,"")</f>
        <v>3</v>
      </c>
      <c r="N252" s="1">
        <f>IF(Data!N252&gt;0,Data!N252-4,"")</f>
        <v>3</v>
      </c>
      <c r="O252" s="1">
        <f>IF(Data!O252&gt;0,Data!O252-4,"")</f>
        <v>1</v>
      </c>
      <c r="P252" s="1">
        <f>IF(Data!P252&gt;0,Data!P252-4,"")</f>
        <v>3</v>
      </c>
      <c r="Q252" s="1">
        <f>IF(Data!Q252&gt;0,4-Data!Q252,"")</f>
        <v>3</v>
      </c>
      <c r="R252" s="1">
        <f>IF(Data!R252&gt;0,4-Data!R252,"")</f>
        <v>2</v>
      </c>
      <c r="S252" s="1">
        <f>IF(Data!S252&gt;0,4-Data!S252,"")</f>
        <v>3</v>
      </c>
      <c r="T252" s="1">
        <f>IF(Data!T252&gt;0,Data!T252-4,"")</f>
        <v>3</v>
      </c>
      <c r="U252" s="1">
        <f>IF(Data!U252&gt;0,4-Data!U252,"")</f>
        <v>3</v>
      </c>
      <c r="V252" s="1">
        <f>IF(Data!V252&gt;0,Data!V252-4,"")</f>
        <v>3</v>
      </c>
      <c r="W252" s="1">
        <f>IF(Data!W252&gt;0,4-Data!W252,"")</f>
        <v>3</v>
      </c>
      <c r="X252" s="1">
        <f>IF(Data!X252&gt;0,4-Data!X252,"")</f>
        <v>3</v>
      </c>
      <c r="Y252" s="1">
        <f>IF(Data!Y252&gt;0,4-Data!Y252,"")</f>
        <v>3</v>
      </c>
      <c r="Z252" s="1">
        <f>IF(Data!Z252&gt;0,Data!Z252-4,"")</f>
        <v>-1</v>
      </c>
      <c r="AC252" s="7">
        <f t="shared" si="18"/>
        <v>3</v>
      </c>
      <c r="AD252" s="7">
        <f t="shared" si="19"/>
        <v>2.75</v>
      </c>
      <c r="AE252" s="7">
        <f t="shared" si="20"/>
        <v>3</v>
      </c>
      <c r="AF252" s="7">
        <f t="shared" si="21"/>
        <v>2.5</v>
      </c>
      <c r="AG252" s="7">
        <f t="shared" si="22"/>
        <v>2.75</v>
      </c>
      <c r="AH252" s="7">
        <f t="shared" si="23"/>
        <v>0.75</v>
      </c>
    </row>
    <row r="253" spans="1:34">
      <c r="A253" s="1">
        <f>IF(Data!A253&gt;0,Data!A253-4,"")</f>
        <v>1</v>
      </c>
      <c r="B253" s="1">
        <f>IF(Data!B253&gt;0,Data!B253-4,"")</f>
        <v>1</v>
      </c>
      <c r="C253" s="1">
        <f>IF(Data!C253&gt;0,4-Data!C253,"")</f>
        <v>-1</v>
      </c>
      <c r="D253" s="1">
        <f>IF(Data!D253&gt;0,4-Data!D253,"")</f>
        <v>2</v>
      </c>
      <c r="E253" s="1">
        <f>IF(Data!E253&gt;0,4-Data!E253,"")</f>
        <v>1</v>
      </c>
      <c r="F253" s="1">
        <f>IF(Data!F253&gt;0,Data!F253-4,"")</f>
        <v>0</v>
      </c>
      <c r="G253" s="1">
        <f>IF(Data!G253&gt;0,Data!G253-4,"")</f>
        <v>1</v>
      </c>
      <c r="H253" s="1">
        <f>IF(Data!H253&gt;0,Data!H253-4,"")</f>
        <v>1</v>
      </c>
      <c r="I253" s="1">
        <f>IF(Data!I253&gt;0,4-Data!I253,"")</f>
        <v>2</v>
      </c>
      <c r="J253" s="1">
        <f>IF(Data!J253&gt;0,4-Data!J253,"")</f>
        <v>1</v>
      </c>
      <c r="K253" s="1">
        <f>IF(Data!K253&gt;0,Data!K253-4,"")</f>
        <v>1</v>
      </c>
      <c r="L253" s="1">
        <f>IF(Data!L253&gt;0,4-Data!L253,"")</f>
        <v>2</v>
      </c>
      <c r="M253" s="1">
        <f>IF(Data!M253&gt;0,Data!M253-4,"")</f>
        <v>1</v>
      </c>
      <c r="N253" s="1">
        <f>IF(Data!N253&gt;0,Data!N253-4,"")</f>
        <v>-1</v>
      </c>
      <c r="O253" s="1">
        <f>IF(Data!O253&gt;0,Data!O253-4,"")</f>
        <v>-1</v>
      </c>
      <c r="P253" s="1">
        <f>IF(Data!P253&gt;0,Data!P253-4,"")</f>
        <v>1</v>
      </c>
      <c r="Q253" s="1">
        <f>IF(Data!Q253&gt;0,4-Data!Q253,"")</f>
        <v>-2</v>
      </c>
      <c r="R253" s="1">
        <f>IF(Data!R253&gt;0,4-Data!R253,"")</f>
        <v>-1</v>
      </c>
      <c r="S253" s="1">
        <f>IF(Data!S253&gt;0,4-Data!S253,"")</f>
        <v>-2</v>
      </c>
      <c r="T253" s="1">
        <f>IF(Data!T253&gt;0,Data!T253-4,"")</f>
        <v>1</v>
      </c>
      <c r="U253" s="1">
        <f>IF(Data!U253&gt;0,4-Data!U253,"")</f>
        <v>-1</v>
      </c>
      <c r="V253" s="1">
        <f>IF(Data!V253&gt;0,Data!V253-4,"")</f>
        <v>2</v>
      </c>
      <c r="W253" s="1">
        <f>IF(Data!W253&gt;0,4-Data!W253,"")</f>
        <v>-1</v>
      </c>
      <c r="X253" s="1">
        <f>IF(Data!X253&gt;0,4-Data!X253,"")</f>
        <v>1</v>
      </c>
      <c r="Y253" s="1">
        <f>IF(Data!Y253&gt;0,4-Data!Y253,"")</f>
        <v>0</v>
      </c>
      <c r="Z253" s="1">
        <f>IF(Data!Z253&gt;0,Data!Z253-4,"")</f>
        <v>1</v>
      </c>
      <c r="AC253" s="7">
        <f t="shared" si="18"/>
        <v>0.66666666666666663</v>
      </c>
      <c r="AD253" s="7">
        <f t="shared" si="19"/>
        <v>0.75</v>
      </c>
      <c r="AE253" s="7">
        <f t="shared" si="20"/>
        <v>1</v>
      </c>
      <c r="AF253" s="7">
        <f t="shared" si="21"/>
        <v>-0.5</v>
      </c>
      <c r="AG253" s="7">
        <f t="shared" si="22"/>
        <v>0.25</v>
      </c>
      <c r="AH253" s="7">
        <f t="shared" si="23"/>
        <v>0</v>
      </c>
    </row>
    <row r="254" spans="1:34">
      <c r="A254" s="1">
        <f>IF(Data!A254&gt;0,Data!A254-4,"")</f>
        <v>2</v>
      </c>
      <c r="B254" s="1">
        <f>IF(Data!B254&gt;0,Data!B254-4,"")</f>
        <v>3</v>
      </c>
      <c r="C254" s="1">
        <f>IF(Data!C254&gt;0,4-Data!C254,"")</f>
        <v>2</v>
      </c>
      <c r="D254" s="1">
        <f>IF(Data!D254&gt;0,4-Data!D254,"")</f>
        <v>3</v>
      </c>
      <c r="E254" s="1">
        <f>IF(Data!E254&gt;0,4-Data!E254,"")</f>
        <v>3</v>
      </c>
      <c r="F254" s="1">
        <f>IF(Data!F254&gt;0,Data!F254-4,"")</f>
        <v>2</v>
      </c>
      <c r="G254" s="1">
        <f>IF(Data!G254&gt;0,Data!G254-4,"")</f>
        <v>2</v>
      </c>
      <c r="H254" s="1">
        <f>IF(Data!H254&gt;0,Data!H254-4,"")</f>
        <v>0</v>
      </c>
      <c r="I254" s="1">
        <f>IF(Data!I254&gt;0,4-Data!I254,"")</f>
        <v>2</v>
      </c>
      <c r="J254" s="1">
        <f>IF(Data!J254&gt;0,4-Data!J254,"")</f>
        <v>3</v>
      </c>
      <c r="K254" s="1">
        <f>IF(Data!K254&gt;0,Data!K254-4,"")</f>
        <v>1</v>
      </c>
      <c r="L254" s="1">
        <f>IF(Data!L254&gt;0,4-Data!L254,"")</f>
        <v>2</v>
      </c>
      <c r="M254" s="1">
        <f>IF(Data!M254&gt;0,Data!M254-4,"")</f>
        <v>1</v>
      </c>
      <c r="N254" s="1">
        <f>IF(Data!N254&gt;0,Data!N254-4,"")</f>
        <v>2</v>
      </c>
      <c r="O254" s="1">
        <f>IF(Data!O254&gt;0,Data!O254-4,"")</f>
        <v>3</v>
      </c>
      <c r="P254" s="1">
        <f>IF(Data!P254&gt;0,Data!P254-4,"")</f>
        <v>2</v>
      </c>
      <c r="Q254" s="1">
        <f>IF(Data!Q254&gt;0,4-Data!Q254,"")</f>
        <v>3</v>
      </c>
      <c r="R254" s="1">
        <f>IF(Data!R254&gt;0,4-Data!R254,"")</f>
        <v>1</v>
      </c>
      <c r="S254" s="1">
        <f>IF(Data!S254&gt;0,4-Data!S254,"")</f>
        <v>3</v>
      </c>
      <c r="T254" s="1">
        <f>IF(Data!T254&gt;0,Data!T254-4,"")</f>
        <v>2</v>
      </c>
      <c r="U254" s="1">
        <f>IF(Data!U254&gt;0,4-Data!U254,"")</f>
        <v>3</v>
      </c>
      <c r="V254" s="1">
        <f>IF(Data!V254&gt;0,Data!V254-4,"")</f>
        <v>2</v>
      </c>
      <c r="W254" s="1">
        <f>IF(Data!W254&gt;0,4-Data!W254,"")</f>
        <v>3</v>
      </c>
      <c r="X254" s="1">
        <f>IF(Data!X254&gt;0,4-Data!X254,"")</f>
        <v>2</v>
      </c>
      <c r="Y254" s="1">
        <f>IF(Data!Y254&gt;0,4-Data!Y254,"")</f>
        <v>2</v>
      </c>
      <c r="Z254" s="1">
        <f>IF(Data!Z254&gt;0,Data!Z254-4,"")</f>
        <v>3</v>
      </c>
      <c r="AC254" s="7">
        <f t="shared" si="18"/>
        <v>2</v>
      </c>
      <c r="AD254" s="7">
        <f t="shared" si="19"/>
        <v>2.5</v>
      </c>
      <c r="AE254" s="7">
        <f t="shared" si="20"/>
        <v>2.25</v>
      </c>
      <c r="AF254" s="7">
        <f t="shared" si="21"/>
        <v>1.75</v>
      </c>
      <c r="AG254" s="7">
        <f t="shared" si="22"/>
        <v>2</v>
      </c>
      <c r="AH254" s="7">
        <f t="shared" si="23"/>
        <v>2.75</v>
      </c>
    </row>
    <row r="255" spans="1:34">
      <c r="A255" s="1">
        <f>IF(Data!A255&gt;0,Data!A255-4,"")</f>
        <v>2</v>
      </c>
      <c r="B255" s="1">
        <f>IF(Data!B255&gt;0,Data!B255-4,"")</f>
        <v>2</v>
      </c>
      <c r="C255" s="1">
        <f>IF(Data!C255&gt;0,4-Data!C255,"")</f>
        <v>1</v>
      </c>
      <c r="D255" s="1">
        <f>IF(Data!D255&gt;0,4-Data!D255,"")</f>
        <v>2</v>
      </c>
      <c r="E255" s="1">
        <f>IF(Data!E255&gt;0,4-Data!E255,"")</f>
        <v>2</v>
      </c>
      <c r="F255" s="1">
        <f>IF(Data!F255&gt;0,Data!F255-4,"")</f>
        <v>1</v>
      </c>
      <c r="G255" s="1">
        <f>IF(Data!G255&gt;0,Data!G255-4,"")</f>
        <v>2</v>
      </c>
      <c r="H255" s="1">
        <f>IF(Data!H255&gt;0,Data!H255-4,"")</f>
        <v>0</v>
      </c>
      <c r="I255" s="1">
        <f>IF(Data!I255&gt;0,4-Data!I255,"")</f>
        <v>1</v>
      </c>
      <c r="J255" s="1">
        <f>IF(Data!J255&gt;0,4-Data!J255,"")</f>
        <v>1</v>
      </c>
      <c r="K255" s="1">
        <f>IF(Data!K255&gt;0,Data!K255-4,"")</f>
        <v>2</v>
      </c>
      <c r="L255" s="1">
        <f>IF(Data!L255&gt;0,4-Data!L255,"")</f>
        <v>1</v>
      </c>
      <c r="M255" s="1">
        <f>IF(Data!M255&gt;0,Data!M255-4,"")</f>
        <v>0</v>
      </c>
      <c r="N255" s="1">
        <f>IF(Data!N255&gt;0,Data!N255-4,"")</f>
        <v>1</v>
      </c>
      <c r="O255" s="1">
        <f>IF(Data!O255&gt;0,Data!O255-4,"")</f>
        <v>1</v>
      </c>
      <c r="P255" s="1">
        <f>IF(Data!P255&gt;0,Data!P255-4,"")</f>
        <v>2</v>
      </c>
      <c r="Q255" s="1">
        <f>IF(Data!Q255&gt;0,4-Data!Q255,"")</f>
        <v>2</v>
      </c>
      <c r="R255" s="1">
        <f>IF(Data!R255&gt;0,4-Data!R255,"")</f>
        <v>0</v>
      </c>
      <c r="S255" s="1">
        <f>IF(Data!S255&gt;0,4-Data!S255,"")</f>
        <v>2</v>
      </c>
      <c r="T255" s="1">
        <f>IF(Data!T255&gt;0,Data!T255-4,"")</f>
        <v>2</v>
      </c>
      <c r="U255" s="1">
        <f>IF(Data!U255&gt;0,4-Data!U255,"")</f>
        <v>2</v>
      </c>
      <c r="V255" s="1">
        <f>IF(Data!V255&gt;0,Data!V255-4,"")</f>
        <v>3</v>
      </c>
      <c r="W255" s="1">
        <f>IF(Data!W255&gt;0,4-Data!W255,"")</f>
        <v>0</v>
      </c>
      <c r="X255" s="1">
        <f>IF(Data!X255&gt;0,4-Data!X255,"")</f>
        <v>0</v>
      </c>
      <c r="Y255" s="1">
        <f>IF(Data!Y255&gt;0,4-Data!Y255,"")</f>
        <v>1</v>
      </c>
      <c r="Z255" s="1">
        <f>IF(Data!Z255&gt;0,Data!Z255-4,"")</f>
        <v>1</v>
      </c>
      <c r="AC255" s="7">
        <f t="shared" si="18"/>
        <v>1.1666666666666667</v>
      </c>
      <c r="AD255" s="7">
        <f t="shared" si="19"/>
        <v>1.5</v>
      </c>
      <c r="AE255" s="7">
        <f t="shared" si="20"/>
        <v>1.5</v>
      </c>
      <c r="AF255" s="7">
        <f t="shared" si="21"/>
        <v>1.5</v>
      </c>
      <c r="AG255" s="7">
        <f t="shared" si="22"/>
        <v>1.25</v>
      </c>
      <c r="AH255" s="7">
        <f t="shared" si="23"/>
        <v>1</v>
      </c>
    </row>
    <row r="256" spans="1:34">
      <c r="A256" s="1">
        <f>IF(Data!A256&gt;0,Data!A256-4,"")</f>
        <v>2</v>
      </c>
      <c r="B256" s="1">
        <f>IF(Data!B256&gt;0,Data!B256-4,"")</f>
        <v>2</v>
      </c>
      <c r="C256" s="1">
        <f>IF(Data!C256&gt;0,4-Data!C256,"")</f>
        <v>-1</v>
      </c>
      <c r="D256" s="1">
        <f>IF(Data!D256&gt;0,4-Data!D256,"")</f>
        <v>-1</v>
      </c>
      <c r="E256" s="1">
        <f>IF(Data!E256&gt;0,4-Data!E256,"")</f>
        <v>-3</v>
      </c>
      <c r="F256" s="1">
        <f>IF(Data!F256&gt;0,Data!F256-4,"")</f>
        <v>3</v>
      </c>
      <c r="G256" s="1">
        <f>IF(Data!G256&gt;0,Data!G256-4,"")</f>
        <v>3</v>
      </c>
      <c r="H256" s="1">
        <f>IF(Data!H256&gt;0,Data!H256-4,"")</f>
        <v>1</v>
      </c>
      <c r="I256" s="1">
        <f>IF(Data!I256&gt;0,4-Data!I256,"")</f>
        <v>-2</v>
      </c>
      <c r="J256" s="1">
        <f>IF(Data!J256&gt;0,4-Data!J256,"")</f>
        <v>-1</v>
      </c>
      <c r="K256" s="1">
        <f>IF(Data!K256&gt;0,Data!K256-4,"")</f>
        <v>1</v>
      </c>
      <c r="L256" s="1">
        <f>IF(Data!L256&gt;0,4-Data!L256,"")</f>
        <v>-2</v>
      </c>
      <c r="M256" s="1">
        <f>IF(Data!M256&gt;0,Data!M256-4,"")</f>
        <v>-1</v>
      </c>
      <c r="N256" s="1">
        <f>IF(Data!N256&gt;0,Data!N256-4,"")</f>
        <v>-1</v>
      </c>
      <c r="O256" s="1">
        <f>IF(Data!O256&gt;0,Data!O256-4,"")</f>
        <v>2</v>
      </c>
      <c r="P256" s="1">
        <f>IF(Data!P256&gt;0,Data!P256-4,"")</f>
        <v>-1</v>
      </c>
      <c r="Q256" s="1">
        <f>IF(Data!Q256&gt;0,4-Data!Q256,"")</f>
        <v>-2</v>
      </c>
      <c r="R256" s="1">
        <f>IF(Data!R256&gt;0,4-Data!R256,"")</f>
        <v>-2</v>
      </c>
      <c r="S256" s="1">
        <f>IF(Data!S256&gt;0,4-Data!S256,"")</f>
        <v>-3</v>
      </c>
      <c r="T256" s="1">
        <f>IF(Data!T256&gt;0,Data!T256-4,"")</f>
        <v>-2</v>
      </c>
      <c r="U256" s="1">
        <f>IF(Data!U256&gt;0,4-Data!U256,"")</f>
        <v>-2</v>
      </c>
      <c r="V256" s="1">
        <f>IF(Data!V256&gt;0,Data!V256-4,"")</f>
        <v>3</v>
      </c>
      <c r="W256" s="1">
        <f>IF(Data!W256&gt;0,4-Data!W256,"")</f>
        <v>3</v>
      </c>
      <c r="X256" s="1">
        <f>IF(Data!X256&gt;0,4-Data!X256,"")</f>
        <v>1</v>
      </c>
      <c r="Y256" s="1">
        <f>IF(Data!Y256&gt;0,4-Data!Y256,"")</f>
        <v>0</v>
      </c>
      <c r="Z256" s="1">
        <f>IF(Data!Z256&gt;0,Data!Z256-4,"")</f>
        <v>0</v>
      </c>
      <c r="AC256" s="7">
        <f t="shared" si="18"/>
        <v>-0.16666666666666666</v>
      </c>
      <c r="AD256" s="7">
        <f t="shared" si="19"/>
        <v>-0.5</v>
      </c>
      <c r="AE256" s="7">
        <f t="shared" si="20"/>
        <v>0.5</v>
      </c>
      <c r="AF256" s="7">
        <f t="shared" si="21"/>
        <v>-0.75</v>
      </c>
      <c r="AG256" s="7">
        <f t="shared" si="22"/>
        <v>0.25</v>
      </c>
      <c r="AH256" s="7">
        <f t="shared" si="23"/>
        <v>0</v>
      </c>
    </row>
    <row r="257" spans="1:34">
      <c r="A257" s="1">
        <f>IF(Data!A257&gt;0,Data!A257-4,"")</f>
        <v>3</v>
      </c>
      <c r="B257" s="1">
        <f>IF(Data!B257&gt;0,Data!B257-4,"")</f>
        <v>2</v>
      </c>
      <c r="C257" s="1">
        <f>IF(Data!C257&gt;0,4-Data!C257,"")</f>
        <v>0</v>
      </c>
      <c r="D257" s="1">
        <f>IF(Data!D257&gt;0,4-Data!D257,"")</f>
        <v>3</v>
      </c>
      <c r="E257" s="1">
        <f>IF(Data!E257&gt;0,4-Data!E257,"")</f>
        <v>2</v>
      </c>
      <c r="F257" s="1">
        <f>IF(Data!F257&gt;0,Data!F257-4,"")</f>
        <v>0</v>
      </c>
      <c r="G257" s="1">
        <f>IF(Data!G257&gt;0,Data!G257-4,"")</f>
        <v>0</v>
      </c>
      <c r="H257" s="1">
        <f>IF(Data!H257&gt;0,Data!H257-4,"")</f>
        <v>3</v>
      </c>
      <c r="I257" s="1">
        <f>IF(Data!I257&gt;0,4-Data!I257,"")</f>
        <v>2</v>
      </c>
      <c r="J257" s="1">
        <f>IF(Data!J257&gt;0,4-Data!J257,"")</f>
        <v>1</v>
      </c>
      <c r="K257" s="1">
        <f>IF(Data!K257&gt;0,Data!K257-4,"")</f>
        <v>0</v>
      </c>
      <c r="L257" s="1">
        <f>IF(Data!L257&gt;0,4-Data!L257,"")</f>
        <v>2</v>
      </c>
      <c r="M257" s="1">
        <f>IF(Data!M257&gt;0,Data!M257-4,"")</f>
        <v>3</v>
      </c>
      <c r="N257" s="1">
        <f>IF(Data!N257&gt;0,Data!N257-4,"")</f>
        <v>3</v>
      </c>
      <c r="O257" s="1">
        <f>IF(Data!O257&gt;0,Data!O257-4,"")</f>
        <v>1</v>
      </c>
      <c r="P257" s="1">
        <f>IF(Data!P257&gt;0,Data!P257-4,"")</f>
        <v>2</v>
      </c>
      <c r="Q257" s="1">
        <f>IF(Data!Q257&gt;0,4-Data!Q257,"")</f>
        <v>2</v>
      </c>
      <c r="R257" s="1">
        <f>IF(Data!R257&gt;0,4-Data!R257,"")</f>
        <v>2</v>
      </c>
      <c r="S257" s="1">
        <f>IF(Data!S257&gt;0,4-Data!S257,"")</f>
        <v>3</v>
      </c>
      <c r="T257" s="1">
        <f>IF(Data!T257&gt;0,Data!T257-4,"")</f>
        <v>3</v>
      </c>
      <c r="U257" s="1">
        <f>IF(Data!U257&gt;0,4-Data!U257,"")</f>
        <v>3</v>
      </c>
      <c r="V257" s="1">
        <f>IF(Data!V257&gt;0,Data!V257-4,"")</f>
        <v>3</v>
      </c>
      <c r="W257" s="1">
        <f>IF(Data!W257&gt;0,4-Data!W257,"")</f>
        <v>2</v>
      </c>
      <c r="X257" s="1">
        <f>IF(Data!X257&gt;0,4-Data!X257,"")</f>
        <v>2</v>
      </c>
      <c r="Y257" s="1">
        <f>IF(Data!Y257&gt;0,4-Data!Y257,"")</f>
        <v>3</v>
      </c>
      <c r="Z257" s="1">
        <f>IF(Data!Z257&gt;0,Data!Z257-4,"")</f>
        <v>1</v>
      </c>
      <c r="AC257" s="7">
        <f t="shared" si="18"/>
        <v>2.5</v>
      </c>
      <c r="AD257" s="7">
        <f t="shared" si="19"/>
        <v>2.75</v>
      </c>
      <c r="AE257" s="7">
        <f t="shared" si="20"/>
        <v>2.5</v>
      </c>
      <c r="AF257" s="7">
        <f t="shared" si="21"/>
        <v>2</v>
      </c>
      <c r="AG257" s="7">
        <f t="shared" si="22"/>
        <v>1</v>
      </c>
      <c r="AH257" s="7">
        <f t="shared" si="23"/>
        <v>0.75</v>
      </c>
    </row>
    <row r="258" spans="1:34">
      <c r="A258" s="1">
        <f>IF(Data!A258&gt;0,Data!A258-4,"")</f>
        <v>3</v>
      </c>
      <c r="B258" s="1">
        <f>IF(Data!B258&gt;0,Data!B258-4,"")</f>
        <v>1</v>
      </c>
      <c r="C258" s="1">
        <f>IF(Data!C258&gt;0,4-Data!C258,"")</f>
        <v>1</v>
      </c>
      <c r="D258" s="1">
        <f>IF(Data!D258&gt;0,4-Data!D258,"")</f>
        <v>1</v>
      </c>
      <c r="E258" s="1">
        <f>IF(Data!E258&gt;0,4-Data!E258,"")</f>
        <v>3</v>
      </c>
      <c r="F258" s="1">
        <f>IF(Data!F258&gt;0,Data!F258-4,"")</f>
        <v>2</v>
      </c>
      <c r="G258" s="1">
        <f>IF(Data!G258&gt;0,Data!G258-4,"")</f>
        <v>2</v>
      </c>
      <c r="H258" s="1">
        <f>IF(Data!H258&gt;0,Data!H258-4,"")</f>
        <v>0</v>
      </c>
      <c r="I258" s="1">
        <f>IF(Data!I258&gt;0,4-Data!I258,"")</f>
        <v>1</v>
      </c>
      <c r="J258" s="1">
        <f>IF(Data!J258&gt;0,4-Data!J258,"")</f>
        <v>2</v>
      </c>
      <c r="K258" s="1">
        <f>IF(Data!K258&gt;0,Data!K258-4,"")</f>
        <v>0</v>
      </c>
      <c r="L258" s="1">
        <f>IF(Data!L258&gt;0,4-Data!L258,"")</f>
        <v>3</v>
      </c>
      <c r="M258" s="1">
        <f>IF(Data!M258&gt;0,Data!M258-4,"")</f>
        <v>2</v>
      </c>
      <c r="N258" s="1">
        <f>IF(Data!N258&gt;0,Data!N258-4,"")</f>
        <v>2</v>
      </c>
      <c r="O258" s="1">
        <f>IF(Data!O258&gt;0,Data!O258-4,"")</f>
        <v>-2</v>
      </c>
      <c r="P258" s="1">
        <f>IF(Data!P258&gt;0,Data!P258-4,"")</f>
        <v>2</v>
      </c>
      <c r="Q258" s="1">
        <f>IF(Data!Q258&gt;0,4-Data!Q258,"")</f>
        <v>-2</v>
      </c>
      <c r="R258" s="1">
        <f>IF(Data!R258&gt;0,4-Data!R258,"")</f>
        <v>3</v>
      </c>
      <c r="S258" s="1">
        <f>IF(Data!S258&gt;0,4-Data!S258,"")</f>
        <v>2</v>
      </c>
      <c r="T258" s="1">
        <f>IF(Data!T258&gt;0,Data!T258-4,"")</f>
        <v>3</v>
      </c>
      <c r="U258" s="1">
        <f>IF(Data!U258&gt;0,4-Data!U258,"")</f>
        <v>3</v>
      </c>
      <c r="V258" s="1">
        <f>IF(Data!V258&gt;0,Data!V258-4,"")</f>
        <v>0</v>
      </c>
      <c r="W258" s="1">
        <f>IF(Data!W258&gt;0,4-Data!W258,"")</f>
        <v>2</v>
      </c>
      <c r="X258" s="1">
        <f>IF(Data!X258&gt;0,4-Data!X258,"")</f>
        <v>2</v>
      </c>
      <c r="Y258" s="1">
        <f>IF(Data!Y258&gt;0,4-Data!Y258,"")</f>
        <v>2</v>
      </c>
      <c r="Z258" s="1">
        <f>IF(Data!Z258&gt;0,Data!Z258-4,"")</f>
        <v>-2</v>
      </c>
      <c r="AC258" s="7">
        <f t="shared" si="18"/>
        <v>2.3333333333333335</v>
      </c>
      <c r="AD258" s="7">
        <f t="shared" si="19"/>
        <v>1.75</v>
      </c>
      <c r="AE258" s="7">
        <f t="shared" si="20"/>
        <v>1.5</v>
      </c>
      <c r="AF258" s="7">
        <f t="shared" si="21"/>
        <v>0</v>
      </c>
      <c r="AG258" s="7">
        <f t="shared" si="22"/>
        <v>2.5</v>
      </c>
      <c r="AH258" s="7">
        <f t="shared" si="23"/>
        <v>-0.25</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7" t="str">
        <f t="shared" si="18"/>
        <v/>
      </c>
      <c r="AD259" s="7" t="str">
        <f t="shared" si="19"/>
        <v/>
      </c>
      <c r="AE259" s="7" t="str">
        <f t="shared" si="20"/>
        <v/>
      </c>
      <c r="AF259" s="7" t="str">
        <f t="shared" si="21"/>
        <v/>
      </c>
      <c r="AG259" s="7" t="str">
        <f t="shared" si="22"/>
        <v/>
      </c>
      <c r="AH259" s="7"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7" t="str">
        <f t="shared" si="18"/>
        <v/>
      </c>
      <c r="AD260" s="7" t="str">
        <f t="shared" si="19"/>
        <v/>
      </c>
      <c r="AE260" s="7" t="str">
        <f t="shared" si="20"/>
        <v/>
      </c>
      <c r="AF260" s="7" t="str">
        <f t="shared" si="21"/>
        <v/>
      </c>
      <c r="AG260" s="7" t="str">
        <f t="shared" si="22"/>
        <v/>
      </c>
      <c r="AH260" s="7" t="str">
        <f t="shared" si="23"/>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7" t="str">
        <f t="shared" ref="AC261:AC324" si="24">IF(COUNT(A261,L261,N261,P261,X261,Y261)&gt;0,AVERAGE(A261,L261,N261,P261,X261,Y261),"")</f>
        <v/>
      </c>
      <c r="AD261" s="7" t="str">
        <f t="shared" ref="AD261:AD324" si="25">IF(COUNT(B261,D261,M261,U261)&gt;0,AVERAGE(B261,D261,M261,U261),"")</f>
        <v/>
      </c>
      <c r="AE261" s="7" t="str">
        <f t="shared" ref="AE261:AE324" si="26">IF(COUNT(I261,T261,V261,W261)&gt;0,AVERAGE(I261,T261,V261,W261),"")</f>
        <v/>
      </c>
      <c r="AF261" s="7" t="str">
        <f t="shared" ref="AF261:AF324" si="27">IF(COUNT(H261,K261,Q261,S261)&gt;0,AVERAGE(H261,K261,Q261,S261),"")</f>
        <v/>
      </c>
      <c r="AG261" s="7" t="str">
        <f t="shared" ref="AG261:AG324" si="28">IF(COUNT(E261,F261,G261,R261)&gt;0,AVERAGE(E261,F261,G261,R261),"")</f>
        <v/>
      </c>
      <c r="AH261" s="7" t="str">
        <f t="shared" ref="AH261:AH324" si="29">IF(COUNT(C261,J261,O261,Z261)&gt;0,AVERAGE(C261,J261,O261,Z261),"")</f>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7" t="str">
        <f t="shared" si="24"/>
        <v/>
      </c>
      <c r="AD262" s="7" t="str">
        <f t="shared" si="25"/>
        <v/>
      </c>
      <c r="AE262" s="7" t="str">
        <f t="shared" si="26"/>
        <v/>
      </c>
      <c r="AF262" s="7" t="str">
        <f t="shared" si="27"/>
        <v/>
      </c>
      <c r="AG262" s="7" t="str">
        <f t="shared" si="28"/>
        <v/>
      </c>
      <c r="AH262" s="7"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7" t="str">
        <f t="shared" si="24"/>
        <v/>
      </c>
      <c r="AD263" s="7" t="str">
        <f t="shared" si="25"/>
        <v/>
      </c>
      <c r="AE263" s="7" t="str">
        <f t="shared" si="26"/>
        <v/>
      </c>
      <c r="AF263" s="7" t="str">
        <f t="shared" si="27"/>
        <v/>
      </c>
      <c r="AG263" s="7" t="str">
        <f t="shared" si="28"/>
        <v/>
      </c>
      <c r="AH263" s="7"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7" t="str">
        <f t="shared" si="24"/>
        <v/>
      </c>
      <c r="AD264" s="7" t="str">
        <f t="shared" si="25"/>
        <v/>
      </c>
      <c r="AE264" s="7" t="str">
        <f t="shared" si="26"/>
        <v/>
      </c>
      <c r="AF264" s="7" t="str">
        <f t="shared" si="27"/>
        <v/>
      </c>
      <c r="AG264" s="7" t="str">
        <f t="shared" si="28"/>
        <v/>
      </c>
      <c r="AH264" s="7"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7" t="str">
        <f t="shared" si="24"/>
        <v/>
      </c>
      <c r="AD265" s="7" t="str">
        <f t="shared" si="25"/>
        <v/>
      </c>
      <c r="AE265" s="7" t="str">
        <f t="shared" si="26"/>
        <v/>
      </c>
      <c r="AF265" s="7" t="str">
        <f t="shared" si="27"/>
        <v/>
      </c>
      <c r="AG265" s="7" t="str">
        <f t="shared" si="28"/>
        <v/>
      </c>
      <c r="AH265" s="7"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7" t="str">
        <f t="shared" si="24"/>
        <v/>
      </c>
      <c r="AD266" s="7" t="str">
        <f t="shared" si="25"/>
        <v/>
      </c>
      <c r="AE266" s="7" t="str">
        <f t="shared" si="26"/>
        <v/>
      </c>
      <c r="AF266" s="7" t="str">
        <f t="shared" si="27"/>
        <v/>
      </c>
      <c r="AG266" s="7" t="str">
        <f t="shared" si="28"/>
        <v/>
      </c>
      <c r="AH266" s="7"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7" t="str">
        <f t="shared" si="24"/>
        <v/>
      </c>
      <c r="AD267" s="7" t="str">
        <f t="shared" si="25"/>
        <v/>
      </c>
      <c r="AE267" s="7" t="str">
        <f t="shared" si="26"/>
        <v/>
      </c>
      <c r="AF267" s="7" t="str">
        <f t="shared" si="27"/>
        <v/>
      </c>
      <c r="AG267" s="7" t="str">
        <f t="shared" si="28"/>
        <v/>
      </c>
      <c r="AH267" s="7"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7" t="str">
        <f t="shared" si="24"/>
        <v/>
      </c>
      <c r="AD268" s="7" t="str">
        <f t="shared" si="25"/>
        <v/>
      </c>
      <c r="AE268" s="7" t="str">
        <f t="shared" si="26"/>
        <v/>
      </c>
      <c r="AF268" s="7" t="str">
        <f t="shared" si="27"/>
        <v/>
      </c>
      <c r="AG268" s="7" t="str">
        <f t="shared" si="28"/>
        <v/>
      </c>
      <c r="AH268" s="7"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7" t="str">
        <f t="shared" si="24"/>
        <v/>
      </c>
      <c r="AD269" s="7" t="str">
        <f t="shared" si="25"/>
        <v/>
      </c>
      <c r="AE269" s="7" t="str">
        <f t="shared" si="26"/>
        <v/>
      </c>
      <c r="AF269" s="7" t="str">
        <f t="shared" si="27"/>
        <v/>
      </c>
      <c r="AG269" s="7" t="str">
        <f t="shared" si="28"/>
        <v/>
      </c>
      <c r="AH269" s="7"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7" t="str">
        <f t="shared" si="24"/>
        <v/>
      </c>
      <c r="AD270" s="7" t="str">
        <f t="shared" si="25"/>
        <v/>
      </c>
      <c r="AE270" s="7" t="str">
        <f t="shared" si="26"/>
        <v/>
      </c>
      <c r="AF270" s="7" t="str">
        <f t="shared" si="27"/>
        <v/>
      </c>
      <c r="AG270" s="7" t="str">
        <f t="shared" si="28"/>
        <v/>
      </c>
      <c r="AH270" s="7"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7" t="str">
        <f t="shared" si="24"/>
        <v/>
      </c>
      <c r="AD271" s="7" t="str">
        <f t="shared" si="25"/>
        <v/>
      </c>
      <c r="AE271" s="7" t="str">
        <f t="shared" si="26"/>
        <v/>
      </c>
      <c r="AF271" s="7" t="str">
        <f t="shared" si="27"/>
        <v/>
      </c>
      <c r="AG271" s="7" t="str">
        <f t="shared" si="28"/>
        <v/>
      </c>
      <c r="AH271" s="7"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7" t="str">
        <f t="shared" si="24"/>
        <v/>
      </c>
      <c r="AD272" s="7" t="str">
        <f t="shared" si="25"/>
        <v/>
      </c>
      <c r="AE272" s="7" t="str">
        <f t="shared" si="26"/>
        <v/>
      </c>
      <c r="AF272" s="7" t="str">
        <f t="shared" si="27"/>
        <v/>
      </c>
      <c r="AG272" s="7" t="str">
        <f t="shared" si="28"/>
        <v/>
      </c>
      <c r="AH272" s="7"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7" t="str">
        <f t="shared" si="24"/>
        <v/>
      </c>
      <c r="AD273" s="7" t="str">
        <f t="shared" si="25"/>
        <v/>
      </c>
      <c r="AE273" s="7" t="str">
        <f t="shared" si="26"/>
        <v/>
      </c>
      <c r="AF273" s="7" t="str">
        <f t="shared" si="27"/>
        <v/>
      </c>
      <c r="AG273" s="7" t="str">
        <f t="shared" si="28"/>
        <v/>
      </c>
      <c r="AH273" s="7"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7" t="str">
        <f t="shared" si="24"/>
        <v/>
      </c>
      <c r="AD274" s="7" t="str">
        <f t="shared" si="25"/>
        <v/>
      </c>
      <c r="AE274" s="7" t="str">
        <f t="shared" si="26"/>
        <v/>
      </c>
      <c r="AF274" s="7" t="str">
        <f t="shared" si="27"/>
        <v/>
      </c>
      <c r="AG274" s="7" t="str">
        <f t="shared" si="28"/>
        <v/>
      </c>
      <c r="AH274" s="7"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7" t="str">
        <f t="shared" si="24"/>
        <v/>
      </c>
      <c r="AD275" s="7" t="str">
        <f t="shared" si="25"/>
        <v/>
      </c>
      <c r="AE275" s="7" t="str">
        <f t="shared" si="26"/>
        <v/>
      </c>
      <c r="AF275" s="7" t="str">
        <f t="shared" si="27"/>
        <v/>
      </c>
      <c r="AG275" s="7" t="str">
        <f t="shared" si="28"/>
        <v/>
      </c>
      <c r="AH275" s="7"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7" t="str">
        <f t="shared" si="24"/>
        <v/>
      </c>
      <c r="AD276" s="7" t="str">
        <f t="shared" si="25"/>
        <v/>
      </c>
      <c r="AE276" s="7" t="str">
        <f t="shared" si="26"/>
        <v/>
      </c>
      <c r="AF276" s="7" t="str">
        <f t="shared" si="27"/>
        <v/>
      </c>
      <c r="AG276" s="7" t="str">
        <f t="shared" si="28"/>
        <v/>
      </c>
      <c r="AH276" s="7"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7" t="str">
        <f t="shared" si="24"/>
        <v/>
      </c>
      <c r="AD277" s="7" t="str">
        <f t="shared" si="25"/>
        <v/>
      </c>
      <c r="AE277" s="7" t="str">
        <f t="shared" si="26"/>
        <v/>
      </c>
      <c r="AF277" s="7" t="str">
        <f t="shared" si="27"/>
        <v/>
      </c>
      <c r="AG277" s="7" t="str">
        <f t="shared" si="28"/>
        <v/>
      </c>
      <c r="AH277" s="7"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7" t="str">
        <f t="shared" si="24"/>
        <v/>
      </c>
      <c r="AD278" s="7" t="str">
        <f t="shared" si="25"/>
        <v/>
      </c>
      <c r="AE278" s="7" t="str">
        <f t="shared" si="26"/>
        <v/>
      </c>
      <c r="AF278" s="7" t="str">
        <f t="shared" si="27"/>
        <v/>
      </c>
      <c r="AG278" s="7" t="str">
        <f t="shared" si="28"/>
        <v/>
      </c>
      <c r="AH278" s="7"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7" t="str">
        <f t="shared" si="24"/>
        <v/>
      </c>
      <c r="AD279" s="7" t="str">
        <f t="shared" si="25"/>
        <v/>
      </c>
      <c r="AE279" s="7" t="str">
        <f t="shared" si="26"/>
        <v/>
      </c>
      <c r="AF279" s="7" t="str">
        <f t="shared" si="27"/>
        <v/>
      </c>
      <c r="AG279" s="7" t="str">
        <f t="shared" si="28"/>
        <v/>
      </c>
      <c r="AH279" s="7"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7" t="str">
        <f t="shared" si="24"/>
        <v/>
      </c>
      <c r="AD280" s="7" t="str">
        <f t="shared" si="25"/>
        <v/>
      </c>
      <c r="AE280" s="7" t="str">
        <f t="shared" si="26"/>
        <v/>
      </c>
      <c r="AF280" s="7" t="str">
        <f t="shared" si="27"/>
        <v/>
      </c>
      <c r="AG280" s="7" t="str">
        <f t="shared" si="28"/>
        <v/>
      </c>
      <c r="AH280" s="7"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7" t="str">
        <f t="shared" si="24"/>
        <v/>
      </c>
      <c r="AD281" s="7" t="str">
        <f t="shared" si="25"/>
        <v/>
      </c>
      <c r="AE281" s="7" t="str">
        <f t="shared" si="26"/>
        <v/>
      </c>
      <c r="AF281" s="7" t="str">
        <f t="shared" si="27"/>
        <v/>
      </c>
      <c r="AG281" s="7" t="str">
        <f t="shared" si="28"/>
        <v/>
      </c>
      <c r="AH281" s="7"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7" t="str">
        <f t="shared" si="24"/>
        <v/>
      </c>
      <c r="AD282" s="7" t="str">
        <f t="shared" si="25"/>
        <v/>
      </c>
      <c r="AE282" s="7" t="str">
        <f t="shared" si="26"/>
        <v/>
      </c>
      <c r="AF282" s="7" t="str">
        <f t="shared" si="27"/>
        <v/>
      </c>
      <c r="AG282" s="7" t="str">
        <f t="shared" si="28"/>
        <v/>
      </c>
      <c r="AH282" s="7"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7" t="str">
        <f t="shared" si="24"/>
        <v/>
      </c>
      <c r="AD283" s="7" t="str">
        <f t="shared" si="25"/>
        <v/>
      </c>
      <c r="AE283" s="7" t="str">
        <f t="shared" si="26"/>
        <v/>
      </c>
      <c r="AF283" s="7" t="str">
        <f t="shared" si="27"/>
        <v/>
      </c>
      <c r="AG283" s="7" t="str">
        <f t="shared" si="28"/>
        <v/>
      </c>
      <c r="AH283" s="7"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7" t="str">
        <f t="shared" si="24"/>
        <v/>
      </c>
      <c r="AD284" s="7" t="str">
        <f t="shared" si="25"/>
        <v/>
      </c>
      <c r="AE284" s="7" t="str">
        <f t="shared" si="26"/>
        <v/>
      </c>
      <c r="AF284" s="7" t="str">
        <f t="shared" si="27"/>
        <v/>
      </c>
      <c r="AG284" s="7" t="str">
        <f t="shared" si="28"/>
        <v/>
      </c>
      <c r="AH284" s="7"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7" t="str">
        <f t="shared" si="24"/>
        <v/>
      </c>
      <c r="AD285" s="7" t="str">
        <f t="shared" si="25"/>
        <v/>
      </c>
      <c r="AE285" s="7" t="str">
        <f t="shared" si="26"/>
        <v/>
      </c>
      <c r="AF285" s="7" t="str">
        <f t="shared" si="27"/>
        <v/>
      </c>
      <c r="AG285" s="7" t="str">
        <f t="shared" si="28"/>
        <v/>
      </c>
      <c r="AH285" s="7"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7" t="str">
        <f t="shared" si="24"/>
        <v/>
      </c>
      <c r="AD286" s="7" t="str">
        <f t="shared" si="25"/>
        <v/>
      </c>
      <c r="AE286" s="7" t="str">
        <f t="shared" si="26"/>
        <v/>
      </c>
      <c r="AF286" s="7" t="str">
        <f t="shared" si="27"/>
        <v/>
      </c>
      <c r="AG286" s="7" t="str">
        <f t="shared" si="28"/>
        <v/>
      </c>
      <c r="AH286" s="7"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7" t="str">
        <f t="shared" si="24"/>
        <v/>
      </c>
      <c r="AD287" s="7" t="str">
        <f t="shared" si="25"/>
        <v/>
      </c>
      <c r="AE287" s="7" t="str">
        <f t="shared" si="26"/>
        <v/>
      </c>
      <c r="AF287" s="7" t="str">
        <f t="shared" si="27"/>
        <v/>
      </c>
      <c r="AG287" s="7" t="str">
        <f t="shared" si="28"/>
        <v/>
      </c>
      <c r="AH287" s="7"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7" t="str">
        <f t="shared" si="24"/>
        <v/>
      </c>
      <c r="AD288" s="7" t="str">
        <f t="shared" si="25"/>
        <v/>
      </c>
      <c r="AE288" s="7" t="str">
        <f t="shared" si="26"/>
        <v/>
      </c>
      <c r="AF288" s="7" t="str">
        <f t="shared" si="27"/>
        <v/>
      </c>
      <c r="AG288" s="7" t="str">
        <f t="shared" si="28"/>
        <v/>
      </c>
      <c r="AH288" s="7"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7" t="str">
        <f t="shared" si="24"/>
        <v/>
      </c>
      <c r="AD289" s="7" t="str">
        <f t="shared" si="25"/>
        <v/>
      </c>
      <c r="AE289" s="7" t="str">
        <f t="shared" si="26"/>
        <v/>
      </c>
      <c r="AF289" s="7" t="str">
        <f t="shared" si="27"/>
        <v/>
      </c>
      <c r="AG289" s="7" t="str">
        <f t="shared" si="28"/>
        <v/>
      </c>
      <c r="AH289" s="7"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7" t="str">
        <f t="shared" si="24"/>
        <v/>
      </c>
      <c r="AD290" s="7" t="str">
        <f t="shared" si="25"/>
        <v/>
      </c>
      <c r="AE290" s="7" t="str">
        <f t="shared" si="26"/>
        <v/>
      </c>
      <c r="AF290" s="7" t="str">
        <f t="shared" si="27"/>
        <v/>
      </c>
      <c r="AG290" s="7" t="str">
        <f t="shared" si="28"/>
        <v/>
      </c>
      <c r="AH290" s="7"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7" t="str">
        <f t="shared" si="24"/>
        <v/>
      </c>
      <c r="AD291" s="7" t="str">
        <f t="shared" si="25"/>
        <v/>
      </c>
      <c r="AE291" s="7" t="str">
        <f t="shared" si="26"/>
        <v/>
      </c>
      <c r="AF291" s="7" t="str">
        <f t="shared" si="27"/>
        <v/>
      </c>
      <c r="AG291" s="7" t="str">
        <f t="shared" si="28"/>
        <v/>
      </c>
      <c r="AH291" s="7"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7" t="str">
        <f t="shared" si="24"/>
        <v/>
      </c>
      <c r="AD292" s="7" t="str">
        <f t="shared" si="25"/>
        <v/>
      </c>
      <c r="AE292" s="7" t="str">
        <f t="shared" si="26"/>
        <v/>
      </c>
      <c r="AF292" s="7" t="str">
        <f t="shared" si="27"/>
        <v/>
      </c>
      <c r="AG292" s="7" t="str">
        <f t="shared" si="28"/>
        <v/>
      </c>
      <c r="AH292" s="7"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7" t="str">
        <f t="shared" si="24"/>
        <v/>
      </c>
      <c r="AD293" s="7" t="str">
        <f t="shared" si="25"/>
        <v/>
      </c>
      <c r="AE293" s="7" t="str">
        <f t="shared" si="26"/>
        <v/>
      </c>
      <c r="AF293" s="7" t="str">
        <f t="shared" si="27"/>
        <v/>
      </c>
      <c r="AG293" s="7" t="str">
        <f t="shared" si="28"/>
        <v/>
      </c>
      <c r="AH293" s="7"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7" t="str">
        <f t="shared" si="24"/>
        <v/>
      </c>
      <c r="AD294" s="7" t="str">
        <f t="shared" si="25"/>
        <v/>
      </c>
      <c r="AE294" s="7" t="str">
        <f t="shared" si="26"/>
        <v/>
      </c>
      <c r="AF294" s="7" t="str">
        <f t="shared" si="27"/>
        <v/>
      </c>
      <c r="AG294" s="7" t="str">
        <f t="shared" si="28"/>
        <v/>
      </c>
      <c r="AH294" s="7"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7" t="str">
        <f t="shared" si="24"/>
        <v/>
      </c>
      <c r="AD295" s="7" t="str">
        <f t="shared" si="25"/>
        <v/>
      </c>
      <c r="AE295" s="7" t="str">
        <f t="shared" si="26"/>
        <v/>
      </c>
      <c r="AF295" s="7" t="str">
        <f t="shared" si="27"/>
        <v/>
      </c>
      <c r="AG295" s="7" t="str">
        <f t="shared" si="28"/>
        <v/>
      </c>
      <c r="AH295" s="7"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7" t="str">
        <f t="shared" si="24"/>
        <v/>
      </c>
      <c r="AD296" s="7" t="str">
        <f t="shared" si="25"/>
        <v/>
      </c>
      <c r="AE296" s="7" t="str">
        <f t="shared" si="26"/>
        <v/>
      </c>
      <c r="AF296" s="7" t="str">
        <f t="shared" si="27"/>
        <v/>
      </c>
      <c r="AG296" s="7" t="str">
        <f t="shared" si="28"/>
        <v/>
      </c>
      <c r="AH296" s="7"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7" t="str">
        <f t="shared" si="24"/>
        <v/>
      </c>
      <c r="AD297" s="7" t="str">
        <f t="shared" si="25"/>
        <v/>
      </c>
      <c r="AE297" s="7" t="str">
        <f t="shared" si="26"/>
        <v/>
      </c>
      <c r="AF297" s="7" t="str">
        <f t="shared" si="27"/>
        <v/>
      </c>
      <c r="AG297" s="7" t="str">
        <f t="shared" si="28"/>
        <v/>
      </c>
      <c r="AH297" s="7"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7" t="str">
        <f t="shared" si="24"/>
        <v/>
      </c>
      <c r="AD298" s="7" t="str">
        <f t="shared" si="25"/>
        <v/>
      </c>
      <c r="AE298" s="7" t="str">
        <f t="shared" si="26"/>
        <v/>
      </c>
      <c r="AF298" s="7" t="str">
        <f t="shared" si="27"/>
        <v/>
      </c>
      <c r="AG298" s="7" t="str">
        <f t="shared" si="28"/>
        <v/>
      </c>
      <c r="AH298" s="7"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7" t="str">
        <f t="shared" si="24"/>
        <v/>
      </c>
      <c r="AD299" s="7" t="str">
        <f t="shared" si="25"/>
        <v/>
      </c>
      <c r="AE299" s="7" t="str">
        <f t="shared" si="26"/>
        <v/>
      </c>
      <c r="AF299" s="7" t="str">
        <f t="shared" si="27"/>
        <v/>
      </c>
      <c r="AG299" s="7" t="str">
        <f t="shared" si="28"/>
        <v/>
      </c>
      <c r="AH299" s="7"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7" t="str">
        <f t="shared" si="24"/>
        <v/>
      </c>
      <c r="AD300" s="7" t="str">
        <f t="shared" si="25"/>
        <v/>
      </c>
      <c r="AE300" s="7" t="str">
        <f t="shared" si="26"/>
        <v/>
      </c>
      <c r="AF300" s="7" t="str">
        <f t="shared" si="27"/>
        <v/>
      </c>
      <c r="AG300" s="7" t="str">
        <f t="shared" si="28"/>
        <v/>
      </c>
      <c r="AH300" s="7"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7" t="str">
        <f t="shared" si="24"/>
        <v/>
      </c>
      <c r="AD301" s="7" t="str">
        <f t="shared" si="25"/>
        <v/>
      </c>
      <c r="AE301" s="7" t="str">
        <f t="shared" si="26"/>
        <v/>
      </c>
      <c r="AF301" s="7" t="str">
        <f t="shared" si="27"/>
        <v/>
      </c>
      <c r="AG301" s="7" t="str">
        <f t="shared" si="28"/>
        <v/>
      </c>
      <c r="AH301" s="7"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7" t="str">
        <f t="shared" si="24"/>
        <v/>
      </c>
      <c r="AD302" s="7" t="str">
        <f t="shared" si="25"/>
        <v/>
      </c>
      <c r="AE302" s="7" t="str">
        <f t="shared" si="26"/>
        <v/>
      </c>
      <c r="AF302" s="7" t="str">
        <f t="shared" si="27"/>
        <v/>
      </c>
      <c r="AG302" s="7" t="str">
        <f t="shared" si="28"/>
        <v/>
      </c>
      <c r="AH302" s="7"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7" t="str">
        <f t="shared" si="24"/>
        <v/>
      </c>
      <c r="AD303" s="7" t="str">
        <f t="shared" si="25"/>
        <v/>
      </c>
      <c r="AE303" s="7" t="str">
        <f t="shared" si="26"/>
        <v/>
      </c>
      <c r="AF303" s="7" t="str">
        <f t="shared" si="27"/>
        <v/>
      </c>
      <c r="AG303" s="7" t="str">
        <f t="shared" si="28"/>
        <v/>
      </c>
      <c r="AH303" s="7"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7" t="str">
        <f t="shared" si="24"/>
        <v/>
      </c>
      <c r="AD304" s="7" t="str">
        <f t="shared" si="25"/>
        <v/>
      </c>
      <c r="AE304" s="7" t="str">
        <f t="shared" si="26"/>
        <v/>
      </c>
      <c r="AF304" s="7" t="str">
        <f t="shared" si="27"/>
        <v/>
      </c>
      <c r="AG304" s="7" t="str">
        <f t="shared" si="28"/>
        <v/>
      </c>
      <c r="AH304" s="7"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7" t="str">
        <f t="shared" si="24"/>
        <v/>
      </c>
      <c r="AD305" s="7" t="str">
        <f t="shared" si="25"/>
        <v/>
      </c>
      <c r="AE305" s="7" t="str">
        <f t="shared" si="26"/>
        <v/>
      </c>
      <c r="AF305" s="7" t="str">
        <f t="shared" si="27"/>
        <v/>
      </c>
      <c r="AG305" s="7" t="str">
        <f t="shared" si="28"/>
        <v/>
      </c>
      <c r="AH305" s="7"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7" t="str">
        <f t="shared" si="24"/>
        <v/>
      </c>
      <c r="AD306" s="7" t="str">
        <f t="shared" si="25"/>
        <v/>
      </c>
      <c r="AE306" s="7" t="str">
        <f t="shared" si="26"/>
        <v/>
      </c>
      <c r="AF306" s="7" t="str">
        <f t="shared" si="27"/>
        <v/>
      </c>
      <c r="AG306" s="7" t="str">
        <f t="shared" si="28"/>
        <v/>
      </c>
      <c r="AH306" s="7"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7" t="str">
        <f t="shared" si="24"/>
        <v/>
      </c>
      <c r="AD307" s="7" t="str">
        <f t="shared" si="25"/>
        <v/>
      </c>
      <c r="AE307" s="7" t="str">
        <f t="shared" si="26"/>
        <v/>
      </c>
      <c r="AF307" s="7" t="str">
        <f t="shared" si="27"/>
        <v/>
      </c>
      <c r="AG307" s="7" t="str">
        <f t="shared" si="28"/>
        <v/>
      </c>
      <c r="AH307" s="7"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7" t="str">
        <f t="shared" si="24"/>
        <v/>
      </c>
      <c r="AD308" s="7" t="str">
        <f t="shared" si="25"/>
        <v/>
      </c>
      <c r="AE308" s="7" t="str">
        <f t="shared" si="26"/>
        <v/>
      </c>
      <c r="AF308" s="7" t="str">
        <f t="shared" si="27"/>
        <v/>
      </c>
      <c r="AG308" s="7" t="str">
        <f t="shared" si="28"/>
        <v/>
      </c>
      <c r="AH308" s="7"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7" t="str">
        <f t="shared" si="24"/>
        <v/>
      </c>
      <c r="AD309" s="7" t="str">
        <f t="shared" si="25"/>
        <v/>
      </c>
      <c r="AE309" s="7" t="str">
        <f t="shared" si="26"/>
        <v/>
      </c>
      <c r="AF309" s="7" t="str">
        <f t="shared" si="27"/>
        <v/>
      </c>
      <c r="AG309" s="7" t="str">
        <f t="shared" si="28"/>
        <v/>
      </c>
      <c r="AH309" s="7"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7" t="str">
        <f t="shared" si="24"/>
        <v/>
      </c>
      <c r="AD310" s="7" t="str">
        <f t="shared" si="25"/>
        <v/>
      </c>
      <c r="AE310" s="7" t="str">
        <f t="shared" si="26"/>
        <v/>
      </c>
      <c r="AF310" s="7" t="str">
        <f t="shared" si="27"/>
        <v/>
      </c>
      <c r="AG310" s="7" t="str">
        <f t="shared" si="28"/>
        <v/>
      </c>
      <c r="AH310" s="7"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7" t="str">
        <f t="shared" si="24"/>
        <v/>
      </c>
      <c r="AD311" s="7" t="str">
        <f t="shared" si="25"/>
        <v/>
      </c>
      <c r="AE311" s="7" t="str">
        <f t="shared" si="26"/>
        <v/>
      </c>
      <c r="AF311" s="7" t="str">
        <f t="shared" si="27"/>
        <v/>
      </c>
      <c r="AG311" s="7" t="str">
        <f t="shared" si="28"/>
        <v/>
      </c>
      <c r="AH311" s="7"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7" t="str">
        <f t="shared" si="24"/>
        <v/>
      </c>
      <c r="AD312" s="7" t="str">
        <f t="shared" si="25"/>
        <v/>
      </c>
      <c r="AE312" s="7" t="str">
        <f t="shared" si="26"/>
        <v/>
      </c>
      <c r="AF312" s="7" t="str">
        <f t="shared" si="27"/>
        <v/>
      </c>
      <c r="AG312" s="7" t="str">
        <f t="shared" si="28"/>
        <v/>
      </c>
      <c r="AH312" s="7"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7" t="str">
        <f t="shared" si="24"/>
        <v/>
      </c>
      <c r="AD313" s="7" t="str">
        <f t="shared" si="25"/>
        <v/>
      </c>
      <c r="AE313" s="7" t="str">
        <f t="shared" si="26"/>
        <v/>
      </c>
      <c r="AF313" s="7" t="str">
        <f t="shared" si="27"/>
        <v/>
      </c>
      <c r="AG313" s="7" t="str">
        <f t="shared" si="28"/>
        <v/>
      </c>
      <c r="AH313" s="7"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7" t="str">
        <f t="shared" si="24"/>
        <v/>
      </c>
      <c r="AD314" s="7" t="str">
        <f t="shared" si="25"/>
        <v/>
      </c>
      <c r="AE314" s="7" t="str">
        <f t="shared" si="26"/>
        <v/>
      </c>
      <c r="AF314" s="7" t="str">
        <f t="shared" si="27"/>
        <v/>
      </c>
      <c r="AG314" s="7" t="str">
        <f t="shared" si="28"/>
        <v/>
      </c>
      <c r="AH314" s="7"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7" t="str">
        <f t="shared" si="24"/>
        <v/>
      </c>
      <c r="AD315" s="7" t="str">
        <f t="shared" si="25"/>
        <v/>
      </c>
      <c r="AE315" s="7" t="str">
        <f t="shared" si="26"/>
        <v/>
      </c>
      <c r="AF315" s="7" t="str">
        <f t="shared" si="27"/>
        <v/>
      </c>
      <c r="AG315" s="7" t="str">
        <f t="shared" si="28"/>
        <v/>
      </c>
      <c r="AH315" s="7"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7" t="str">
        <f t="shared" si="24"/>
        <v/>
      </c>
      <c r="AD316" s="7" t="str">
        <f t="shared" si="25"/>
        <v/>
      </c>
      <c r="AE316" s="7" t="str">
        <f t="shared" si="26"/>
        <v/>
      </c>
      <c r="AF316" s="7" t="str">
        <f t="shared" si="27"/>
        <v/>
      </c>
      <c r="AG316" s="7" t="str">
        <f t="shared" si="28"/>
        <v/>
      </c>
      <c r="AH316" s="7"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7" t="str">
        <f t="shared" si="24"/>
        <v/>
      </c>
      <c r="AD317" s="7" t="str">
        <f t="shared" si="25"/>
        <v/>
      </c>
      <c r="AE317" s="7" t="str">
        <f t="shared" si="26"/>
        <v/>
      </c>
      <c r="AF317" s="7" t="str">
        <f t="shared" si="27"/>
        <v/>
      </c>
      <c r="AG317" s="7" t="str">
        <f t="shared" si="28"/>
        <v/>
      </c>
      <c r="AH317" s="7"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7" t="str">
        <f t="shared" si="24"/>
        <v/>
      </c>
      <c r="AD318" s="7" t="str">
        <f t="shared" si="25"/>
        <v/>
      </c>
      <c r="AE318" s="7" t="str">
        <f t="shared" si="26"/>
        <v/>
      </c>
      <c r="AF318" s="7" t="str">
        <f t="shared" si="27"/>
        <v/>
      </c>
      <c r="AG318" s="7" t="str">
        <f t="shared" si="28"/>
        <v/>
      </c>
      <c r="AH318" s="7"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7" t="str">
        <f t="shared" si="24"/>
        <v/>
      </c>
      <c r="AD319" s="7" t="str">
        <f t="shared" si="25"/>
        <v/>
      </c>
      <c r="AE319" s="7" t="str">
        <f t="shared" si="26"/>
        <v/>
      </c>
      <c r="AF319" s="7" t="str">
        <f t="shared" si="27"/>
        <v/>
      </c>
      <c r="AG319" s="7" t="str">
        <f t="shared" si="28"/>
        <v/>
      </c>
      <c r="AH319" s="7"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7" t="str">
        <f t="shared" si="24"/>
        <v/>
      </c>
      <c r="AD320" s="7" t="str">
        <f t="shared" si="25"/>
        <v/>
      </c>
      <c r="AE320" s="7" t="str">
        <f t="shared" si="26"/>
        <v/>
      </c>
      <c r="AF320" s="7" t="str">
        <f t="shared" si="27"/>
        <v/>
      </c>
      <c r="AG320" s="7" t="str">
        <f t="shared" si="28"/>
        <v/>
      </c>
      <c r="AH320" s="7"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7" t="str">
        <f t="shared" si="24"/>
        <v/>
      </c>
      <c r="AD321" s="7" t="str">
        <f t="shared" si="25"/>
        <v/>
      </c>
      <c r="AE321" s="7" t="str">
        <f t="shared" si="26"/>
        <v/>
      </c>
      <c r="AF321" s="7" t="str">
        <f t="shared" si="27"/>
        <v/>
      </c>
      <c r="AG321" s="7" t="str">
        <f t="shared" si="28"/>
        <v/>
      </c>
      <c r="AH321" s="7"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7" t="str">
        <f t="shared" si="24"/>
        <v/>
      </c>
      <c r="AD322" s="7" t="str">
        <f t="shared" si="25"/>
        <v/>
      </c>
      <c r="AE322" s="7" t="str">
        <f t="shared" si="26"/>
        <v/>
      </c>
      <c r="AF322" s="7" t="str">
        <f t="shared" si="27"/>
        <v/>
      </c>
      <c r="AG322" s="7" t="str">
        <f t="shared" si="28"/>
        <v/>
      </c>
      <c r="AH322" s="7"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7" t="str">
        <f t="shared" si="24"/>
        <v/>
      </c>
      <c r="AD323" s="7" t="str">
        <f t="shared" si="25"/>
        <v/>
      </c>
      <c r="AE323" s="7" t="str">
        <f t="shared" si="26"/>
        <v/>
      </c>
      <c r="AF323" s="7" t="str">
        <f t="shared" si="27"/>
        <v/>
      </c>
      <c r="AG323" s="7" t="str">
        <f t="shared" si="28"/>
        <v/>
      </c>
      <c r="AH323" s="7"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7" t="str">
        <f t="shared" si="24"/>
        <v/>
      </c>
      <c r="AD324" s="7" t="str">
        <f t="shared" si="25"/>
        <v/>
      </c>
      <c r="AE324" s="7" t="str">
        <f t="shared" si="26"/>
        <v/>
      </c>
      <c r="AF324" s="7" t="str">
        <f t="shared" si="27"/>
        <v/>
      </c>
      <c r="AG324" s="7" t="str">
        <f t="shared" si="28"/>
        <v/>
      </c>
      <c r="AH324" s="7" t="str">
        <f t="shared" si="29"/>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7" t="str">
        <f t="shared" ref="AC325:AC388" si="30">IF(COUNT(A325,L325,N325,P325,X325,Y325)&gt;0,AVERAGE(A325,L325,N325,P325,X325,Y325),"")</f>
        <v/>
      </c>
      <c r="AD325" s="7" t="str">
        <f t="shared" ref="AD325:AD388" si="31">IF(COUNT(B325,D325,M325,U325)&gt;0,AVERAGE(B325,D325,M325,U325),"")</f>
        <v/>
      </c>
      <c r="AE325" s="7" t="str">
        <f t="shared" ref="AE325:AE388" si="32">IF(COUNT(I325,T325,V325,W325)&gt;0,AVERAGE(I325,T325,V325,W325),"")</f>
        <v/>
      </c>
      <c r="AF325" s="7" t="str">
        <f t="shared" ref="AF325:AF388" si="33">IF(COUNT(H325,K325,Q325,S325)&gt;0,AVERAGE(H325,K325,Q325,S325),"")</f>
        <v/>
      </c>
      <c r="AG325" s="7" t="str">
        <f t="shared" ref="AG325:AG388" si="34">IF(COUNT(E325,F325,G325,R325)&gt;0,AVERAGE(E325,F325,G325,R325),"")</f>
        <v/>
      </c>
      <c r="AH325" s="7" t="str">
        <f t="shared" ref="AH325:AH388" si="35">IF(COUNT(C325,J325,O325,Z325)&gt;0,AVERAGE(C325,J325,O325,Z325),"")</f>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7" t="str">
        <f t="shared" si="30"/>
        <v/>
      </c>
      <c r="AD326" s="7" t="str">
        <f t="shared" si="31"/>
        <v/>
      </c>
      <c r="AE326" s="7" t="str">
        <f t="shared" si="32"/>
        <v/>
      </c>
      <c r="AF326" s="7" t="str">
        <f t="shared" si="33"/>
        <v/>
      </c>
      <c r="AG326" s="7" t="str">
        <f t="shared" si="34"/>
        <v/>
      </c>
      <c r="AH326" s="7"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7" t="str">
        <f t="shared" si="30"/>
        <v/>
      </c>
      <c r="AD327" s="7" t="str">
        <f t="shared" si="31"/>
        <v/>
      </c>
      <c r="AE327" s="7" t="str">
        <f t="shared" si="32"/>
        <v/>
      </c>
      <c r="AF327" s="7" t="str">
        <f t="shared" si="33"/>
        <v/>
      </c>
      <c r="AG327" s="7" t="str">
        <f t="shared" si="34"/>
        <v/>
      </c>
      <c r="AH327" s="7"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7" t="str">
        <f t="shared" si="30"/>
        <v/>
      </c>
      <c r="AD328" s="7" t="str">
        <f t="shared" si="31"/>
        <v/>
      </c>
      <c r="AE328" s="7" t="str">
        <f t="shared" si="32"/>
        <v/>
      </c>
      <c r="AF328" s="7" t="str">
        <f t="shared" si="33"/>
        <v/>
      </c>
      <c r="AG328" s="7" t="str">
        <f t="shared" si="34"/>
        <v/>
      </c>
      <c r="AH328" s="7"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7" t="str">
        <f t="shared" si="30"/>
        <v/>
      </c>
      <c r="AD329" s="7" t="str">
        <f t="shared" si="31"/>
        <v/>
      </c>
      <c r="AE329" s="7" t="str">
        <f t="shared" si="32"/>
        <v/>
      </c>
      <c r="AF329" s="7" t="str">
        <f t="shared" si="33"/>
        <v/>
      </c>
      <c r="AG329" s="7" t="str">
        <f t="shared" si="34"/>
        <v/>
      </c>
      <c r="AH329" s="7"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7" t="str">
        <f t="shared" si="30"/>
        <v/>
      </c>
      <c r="AD330" s="7" t="str">
        <f t="shared" si="31"/>
        <v/>
      </c>
      <c r="AE330" s="7" t="str">
        <f t="shared" si="32"/>
        <v/>
      </c>
      <c r="AF330" s="7" t="str">
        <f t="shared" si="33"/>
        <v/>
      </c>
      <c r="AG330" s="7" t="str">
        <f t="shared" si="34"/>
        <v/>
      </c>
      <c r="AH330" s="7"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7" t="str">
        <f t="shared" si="30"/>
        <v/>
      </c>
      <c r="AD331" s="7" t="str">
        <f t="shared" si="31"/>
        <v/>
      </c>
      <c r="AE331" s="7" t="str">
        <f t="shared" si="32"/>
        <v/>
      </c>
      <c r="AF331" s="7" t="str">
        <f t="shared" si="33"/>
        <v/>
      </c>
      <c r="AG331" s="7" t="str">
        <f t="shared" si="34"/>
        <v/>
      </c>
      <c r="AH331" s="7"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7" t="str">
        <f t="shared" si="30"/>
        <v/>
      </c>
      <c r="AD332" s="7" t="str">
        <f t="shared" si="31"/>
        <v/>
      </c>
      <c r="AE332" s="7" t="str">
        <f t="shared" si="32"/>
        <v/>
      </c>
      <c r="AF332" s="7" t="str">
        <f t="shared" si="33"/>
        <v/>
      </c>
      <c r="AG332" s="7" t="str">
        <f t="shared" si="34"/>
        <v/>
      </c>
      <c r="AH332" s="7"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7" t="str">
        <f t="shared" si="30"/>
        <v/>
      </c>
      <c r="AD333" s="7" t="str">
        <f t="shared" si="31"/>
        <v/>
      </c>
      <c r="AE333" s="7" t="str">
        <f t="shared" si="32"/>
        <v/>
      </c>
      <c r="AF333" s="7" t="str">
        <f t="shared" si="33"/>
        <v/>
      </c>
      <c r="AG333" s="7" t="str">
        <f t="shared" si="34"/>
        <v/>
      </c>
      <c r="AH333" s="7"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7" t="str">
        <f t="shared" si="30"/>
        <v/>
      </c>
      <c r="AD334" s="7" t="str">
        <f t="shared" si="31"/>
        <v/>
      </c>
      <c r="AE334" s="7" t="str">
        <f t="shared" si="32"/>
        <v/>
      </c>
      <c r="AF334" s="7" t="str">
        <f t="shared" si="33"/>
        <v/>
      </c>
      <c r="AG334" s="7" t="str">
        <f t="shared" si="34"/>
        <v/>
      </c>
      <c r="AH334" s="7"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7" t="str">
        <f t="shared" si="30"/>
        <v/>
      </c>
      <c r="AD335" s="7" t="str">
        <f t="shared" si="31"/>
        <v/>
      </c>
      <c r="AE335" s="7" t="str">
        <f t="shared" si="32"/>
        <v/>
      </c>
      <c r="AF335" s="7" t="str">
        <f t="shared" si="33"/>
        <v/>
      </c>
      <c r="AG335" s="7" t="str">
        <f t="shared" si="34"/>
        <v/>
      </c>
      <c r="AH335" s="7"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7" t="str">
        <f t="shared" si="30"/>
        <v/>
      </c>
      <c r="AD336" s="7" t="str">
        <f t="shared" si="31"/>
        <v/>
      </c>
      <c r="AE336" s="7" t="str">
        <f t="shared" si="32"/>
        <v/>
      </c>
      <c r="AF336" s="7" t="str">
        <f t="shared" si="33"/>
        <v/>
      </c>
      <c r="AG336" s="7" t="str">
        <f t="shared" si="34"/>
        <v/>
      </c>
      <c r="AH336" s="7"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7" t="str">
        <f t="shared" si="30"/>
        <v/>
      </c>
      <c r="AD337" s="7" t="str">
        <f t="shared" si="31"/>
        <v/>
      </c>
      <c r="AE337" s="7" t="str">
        <f t="shared" si="32"/>
        <v/>
      </c>
      <c r="AF337" s="7" t="str">
        <f t="shared" si="33"/>
        <v/>
      </c>
      <c r="AG337" s="7" t="str">
        <f t="shared" si="34"/>
        <v/>
      </c>
      <c r="AH337" s="7"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7" t="str">
        <f t="shared" si="30"/>
        <v/>
      </c>
      <c r="AD338" s="7" t="str">
        <f t="shared" si="31"/>
        <v/>
      </c>
      <c r="AE338" s="7" t="str">
        <f t="shared" si="32"/>
        <v/>
      </c>
      <c r="AF338" s="7" t="str">
        <f t="shared" si="33"/>
        <v/>
      </c>
      <c r="AG338" s="7" t="str">
        <f t="shared" si="34"/>
        <v/>
      </c>
      <c r="AH338" s="7"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7" t="str">
        <f t="shared" si="30"/>
        <v/>
      </c>
      <c r="AD339" s="7" t="str">
        <f t="shared" si="31"/>
        <v/>
      </c>
      <c r="AE339" s="7" t="str">
        <f t="shared" si="32"/>
        <v/>
      </c>
      <c r="AF339" s="7" t="str">
        <f t="shared" si="33"/>
        <v/>
      </c>
      <c r="AG339" s="7" t="str">
        <f t="shared" si="34"/>
        <v/>
      </c>
      <c r="AH339" s="7"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7" t="str">
        <f t="shared" si="30"/>
        <v/>
      </c>
      <c r="AD340" s="7" t="str">
        <f t="shared" si="31"/>
        <v/>
      </c>
      <c r="AE340" s="7" t="str">
        <f t="shared" si="32"/>
        <v/>
      </c>
      <c r="AF340" s="7" t="str">
        <f t="shared" si="33"/>
        <v/>
      </c>
      <c r="AG340" s="7" t="str">
        <f t="shared" si="34"/>
        <v/>
      </c>
      <c r="AH340" s="7"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7" t="str">
        <f t="shared" si="30"/>
        <v/>
      </c>
      <c r="AD341" s="7" t="str">
        <f t="shared" si="31"/>
        <v/>
      </c>
      <c r="AE341" s="7" t="str">
        <f t="shared" si="32"/>
        <v/>
      </c>
      <c r="AF341" s="7" t="str">
        <f t="shared" si="33"/>
        <v/>
      </c>
      <c r="AG341" s="7" t="str">
        <f t="shared" si="34"/>
        <v/>
      </c>
      <c r="AH341" s="7"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7" t="str">
        <f t="shared" si="30"/>
        <v/>
      </c>
      <c r="AD342" s="7" t="str">
        <f t="shared" si="31"/>
        <v/>
      </c>
      <c r="AE342" s="7" t="str">
        <f t="shared" si="32"/>
        <v/>
      </c>
      <c r="AF342" s="7" t="str">
        <f t="shared" si="33"/>
        <v/>
      </c>
      <c r="AG342" s="7" t="str">
        <f t="shared" si="34"/>
        <v/>
      </c>
      <c r="AH342" s="7"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7" t="str">
        <f t="shared" si="30"/>
        <v/>
      </c>
      <c r="AD343" s="7" t="str">
        <f t="shared" si="31"/>
        <v/>
      </c>
      <c r="AE343" s="7" t="str">
        <f t="shared" si="32"/>
        <v/>
      </c>
      <c r="AF343" s="7" t="str">
        <f t="shared" si="33"/>
        <v/>
      </c>
      <c r="AG343" s="7" t="str">
        <f t="shared" si="34"/>
        <v/>
      </c>
      <c r="AH343" s="7"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7" t="str">
        <f t="shared" si="30"/>
        <v/>
      </c>
      <c r="AD344" s="7" t="str">
        <f t="shared" si="31"/>
        <v/>
      </c>
      <c r="AE344" s="7" t="str">
        <f t="shared" si="32"/>
        <v/>
      </c>
      <c r="AF344" s="7" t="str">
        <f t="shared" si="33"/>
        <v/>
      </c>
      <c r="AG344" s="7" t="str">
        <f t="shared" si="34"/>
        <v/>
      </c>
      <c r="AH344" s="7"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7" t="str">
        <f t="shared" si="30"/>
        <v/>
      </c>
      <c r="AD345" s="7" t="str">
        <f t="shared" si="31"/>
        <v/>
      </c>
      <c r="AE345" s="7" t="str">
        <f t="shared" si="32"/>
        <v/>
      </c>
      <c r="AF345" s="7" t="str">
        <f t="shared" si="33"/>
        <v/>
      </c>
      <c r="AG345" s="7" t="str">
        <f t="shared" si="34"/>
        <v/>
      </c>
      <c r="AH345" s="7"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7" t="str">
        <f t="shared" si="30"/>
        <v/>
      </c>
      <c r="AD346" s="7" t="str">
        <f t="shared" si="31"/>
        <v/>
      </c>
      <c r="AE346" s="7" t="str">
        <f t="shared" si="32"/>
        <v/>
      </c>
      <c r="AF346" s="7" t="str">
        <f t="shared" si="33"/>
        <v/>
      </c>
      <c r="AG346" s="7" t="str">
        <f t="shared" si="34"/>
        <v/>
      </c>
      <c r="AH346" s="7"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7" t="str">
        <f t="shared" si="30"/>
        <v/>
      </c>
      <c r="AD347" s="7" t="str">
        <f t="shared" si="31"/>
        <v/>
      </c>
      <c r="AE347" s="7" t="str">
        <f t="shared" si="32"/>
        <v/>
      </c>
      <c r="AF347" s="7" t="str">
        <f t="shared" si="33"/>
        <v/>
      </c>
      <c r="AG347" s="7" t="str">
        <f t="shared" si="34"/>
        <v/>
      </c>
      <c r="AH347" s="7"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7" t="str">
        <f t="shared" si="30"/>
        <v/>
      </c>
      <c r="AD348" s="7" t="str">
        <f t="shared" si="31"/>
        <v/>
      </c>
      <c r="AE348" s="7" t="str">
        <f t="shared" si="32"/>
        <v/>
      </c>
      <c r="AF348" s="7" t="str">
        <f t="shared" si="33"/>
        <v/>
      </c>
      <c r="AG348" s="7" t="str">
        <f t="shared" si="34"/>
        <v/>
      </c>
      <c r="AH348" s="7"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7" t="str">
        <f t="shared" si="30"/>
        <v/>
      </c>
      <c r="AD349" s="7" t="str">
        <f t="shared" si="31"/>
        <v/>
      </c>
      <c r="AE349" s="7" t="str">
        <f t="shared" si="32"/>
        <v/>
      </c>
      <c r="AF349" s="7" t="str">
        <f t="shared" si="33"/>
        <v/>
      </c>
      <c r="AG349" s="7" t="str">
        <f t="shared" si="34"/>
        <v/>
      </c>
      <c r="AH349" s="7"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7" t="str">
        <f t="shared" si="30"/>
        <v/>
      </c>
      <c r="AD350" s="7" t="str">
        <f t="shared" si="31"/>
        <v/>
      </c>
      <c r="AE350" s="7" t="str">
        <f t="shared" si="32"/>
        <v/>
      </c>
      <c r="AF350" s="7" t="str">
        <f t="shared" si="33"/>
        <v/>
      </c>
      <c r="AG350" s="7" t="str">
        <f t="shared" si="34"/>
        <v/>
      </c>
      <c r="AH350" s="7"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7" t="str">
        <f t="shared" si="30"/>
        <v/>
      </c>
      <c r="AD351" s="7" t="str">
        <f t="shared" si="31"/>
        <v/>
      </c>
      <c r="AE351" s="7" t="str">
        <f t="shared" si="32"/>
        <v/>
      </c>
      <c r="AF351" s="7" t="str">
        <f t="shared" si="33"/>
        <v/>
      </c>
      <c r="AG351" s="7" t="str">
        <f t="shared" si="34"/>
        <v/>
      </c>
      <c r="AH351" s="7"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7" t="str">
        <f t="shared" si="30"/>
        <v/>
      </c>
      <c r="AD352" s="7" t="str">
        <f t="shared" si="31"/>
        <v/>
      </c>
      <c r="AE352" s="7" t="str">
        <f t="shared" si="32"/>
        <v/>
      </c>
      <c r="AF352" s="7" t="str">
        <f t="shared" si="33"/>
        <v/>
      </c>
      <c r="AG352" s="7" t="str">
        <f t="shared" si="34"/>
        <v/>
      </c>
      <c r="AH352" s="7"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7" t="str">
        <f t="shared" si="30"/>
        <v/>
      </c>
      <c r="AD353" s="7" t="str">
        <f t="shared" si="31"/>
        <v/>
      </c>
      <c r="AE353" s="7" t="str">
        <f t="shared" si="32"/>
        <v/>
      </c>
      <c r="AF353" s="7" t="str">
        <f t="shared" si="33"/>
        <v/>
      </c>
      <c r="AG353" s="7" t="str">
        <f t="shared" si="34"/>
        <v/>
      </c>
      <c r="AH353" s="7"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7" t="str">
        <f t="shared" si="30"/>
        <v/>
      </c>
      <c r="AD354" s="7" t="str">
        <f t="shared" si="31"/>
        <v/>
      </c>
      <c r="AE354" s="7" t="str">
        <f t="shared" si="32"/>
        <v/>
      </c>
      <c r="AF354" s="7" t="str">
        <f t="shared" si="33"/>
        <v/>
      </c>
      <c r="AG354" s="7" t="str">
        <f t="shared" si="34"/>
        <v/>
      </c>
      <c r="AH354" s="7"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7" t="str">
        <f t="shared" si="30"/>
        <v/>
      </c>
      <c r="AD355" s="7" t="str">
        <f t="shared" si="31"/>
        <v/>
      </c>
      <c r="AE355" s="7" t="str">
        <f t="shared" si="32"/>
        <v/>
      </c>
      <c r="AF355" s="7" t="str">
        <f t="shared" si="33"/>
        <v/>
      </c>
      <c r="AG355" s="7" t="str">
        <f t="shared" si="34"/>
        <v/>
      </c>
      <c r="AH355" s="7"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7" t="str">
        <f t="shared" si="30"/>
        <v/>
      </c>
      <c r="AD356" s="7" t="str">
        <f t="shared" si="31"/>
        <v/>
      </c>
      <c r="AE356" s="7" t="str">
        <f t="shared" si="32"/>
        <v/>
      </c>
      <c r="AF356" s="7" t="str">
        <f t="shared" si="33"/>
        <v/>
      </c>
      <c r="AG356" s="7" t="str">
        <f t="shared" si="34"/>
        <v/>
      </c>
      <c r="AH356" s="7"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7" t="str">
        <f t="shared" si="30"/>
        <v/>
      </c>
      <c r="AD357" s="7" t="str">
        <f t="shared" si="31"/>
        <v/>
      </c>
      <c r="AE357" s="7" t="str">
        <f t="shared" si="32"/>
        <v/>
      </c>
      <c r="AF357" s="7" t="str">
        <f t="shared" si="33"/>
        <v/>
      </c>
      <c r="AG357" s="7" t="str">
        <f t="shared" si="34"/>
        <v/>
      </c>
      <c r="AH357" s="7"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7" t="str">
        <f t="shared" si="30"/>
        <v/>
      </c>
      <c r="AD358" s="7" t="str">
        <f t="shared" si="31"/>
        <v/>
      </c>
      <c r="AE358" s="7" t="str">
        <f t="shared" si="32"/>
        <v/>
      </c>
      <c r="AF358" s="7" t="str">
        <f t="shared" si="33"/>
        <v/>
      </c>
      <c r="AG358" s="7" t="str">
        <f t="shared" si="34"/>
        <v/>
      </c>
      <c r="AH358" s="7"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7" t="str">
        <f t="shared" si="30"/>
        <v/>
      </c>
      <c r="AD359" s="7" t="str">
        <f t="shared" si="31"/>
        <v/>
      </c>
      <c r="AE359" s="7" t="str">
        <f t="shared" si="32"/>
        <v/>
      </c>
      <c r="AF359" s="7" t="str">
        <f t="shared" si="33"/>
        <v/>
      </c>
      <c r="AG359" s="7" t="str">
        <f t="shared" si="34"/>
        <v/>
      </c>
      <c r="AH359" s="7"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7" t="str">
        <f t="shared" si="30"/>
        <v/>
      </c>
      <c r="AD360" s="7" t="str">
        <f t="shared" si="31"/>
        <v/>
      </c>
      <c r="AE360" s="7" t="str">
        <f t="shared" si="32"/>
        <v/>
      </c>
      <c r="AF360" s="7" t="str">
        <f t="shared" si="33"/>
        <v/>
      </c>
      <c r="AG360" s="7" t="str">
        <f t="shared" si="34"/>
        <v/>
      </c>
      <c r="AH360" s="7"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7" t="str">
        <f t="shared" si="30"/>
        <v/>
      </c>
      <c r="AD361" s="7" t="str">
        <f t="shared" si="31"/>
        <v/>
      </c>
      <c r="AE361" s="7" t="str">
        <f t="shared" si="32"/>
        <v/>
      </c>
      <c r="AF361" s="7" t="str">
        <f t="shared" si="33"/>
        <v/>
      </c>
      <c r="AG361" s="7" t="str">
        <f t="shared" si="34"/>
        <v/>
      </c>
      <c r="AH361" s="7"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7" t="str">
        <f t="shared" si="30"/>
        <v/>
      </c>
      <c r="AD362" s="7" t="str">
        <f t="shared" si="31"/>
        <v/>
      </c>
      <c r="AE362" s="7" t="str">
        <f t="shared" si="32"/>
        <v/>
      </c>
      <c r="AF362" s="7" t="str">
        <f t="shared" si="33"/>
        <v/>
      </c>
      <c r="AG362" s="7" t="str">
        <f t="shared" si="34"/>
        <v/>
      </c>
      <c r="AH362" s="7"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7" t="str">
        <f t="shared" si="30"/>
        <v/>
      </c>
      <c r="AD363" s="7" t="str">
        <f t="shared" si="31"/>
        <v/>
      </c>
      <c r="AE363" s="7" t="str">
        <f t="shared" si="32"/>
        <v/>
      </c>
      <c r="AF363" s="7" t="str">
        <f t="shared" si="33"/>
        <v/>
      </c>
      <c r="AG363" s="7" t="str">
        <f t="shared" si="34"/>
        <v/>
      </c>
      <c r="AH363" s="7"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7" t="str">
        <f t="shared" si="30"/>
        <v/>
      </c>
      <c r="AD364" s="7" t="str">
        <f t="shared" si="31"/>
        <v/>
      </c>
      <c r="AE364" s="7" t="str">
        <f t="shared" si="32"/>
        <v/>
      </c>
      <c r="AF364" s="7" t="str">
        <f t="shared" si="33"/>
        <v/>
      </c>
      <c r="AG364" s="7" t="str">
        <f t="shared" si="34"/>
        <v/>
      </c>
      <c r="AH364" s="7"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7" t="str">
        <f t="shared" si="30"/>
        <v/>
      </c>
      <c r="AD365" s="7" t="str">
        <f t="shared" si="31"/>
        <v/>
      </c>
      <c r="AE365" s="7" t="str">
        <f t="shared" si="32"/>
        <v/>
      </c>
      <c r="AF365" s="7" t="str">
        <f t="shared" si="33"/>
        <v/>
      </c>
      <c r="AG365" s="7" t="str">
        <f t="shared" si="34"/>
        <v/>
      </c>
      <c r="AH365" s="7"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7" t="str">
        <f t="shared" si="30"/>
        <v/>
      </c>
      <c r="AD366" s="7" t="str">
        <f t="shared" si="31"/>
        <v/>
      </c>
      <c r="AE366" s="7" t="str">
        <f t="shared" si="32"/>
        <v/>
      </c>
      <c r="AF366" s="7" t="str">
        <f t="shared" si="33"/>
        <v/>
      </c>
      <c r="AG366" s="7" t="str">
        <f t="shared" si="34"/>
        <v/>
      </c>
      <c r="AH366" s="7"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7" t="str">
        <f t="shared" si="30"/>
        <v/>
      </c>
      <c r="AD367" s="7" t="str">
        <f t="shared" si="31"/>
        <v/>
      </c>
      <c r="AE367" s="7" t="str">
        <f t="shared" si="32"/>
        <v/>
      </c>
      <c r="AF367" s="7" t="str">
        <f t="shared" si="33"/>
        <v/>
      </c>
      <c r="AG367" s="7" t="str">
        <f t="shared" si="34"/>
        <v/>
      </c>
      <c r="AH367" s="7"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7" t="str">
        <f t="shared" si="30"/>
        <v/>
      </c>
      <c r="AD368" s="7" t="str">
        <f t="shared" si="31"/>
        <v/>
      </c>
      <c r="AE368" s="7" t="str">
        <f t="shared" si="32"/>
        <v/>
      </c>
      <c r="AF368" s="7" t="str">
        <f t="shared" si="33"/>
        <v/>
      </c>
      <c r="AG368" s="7" t="str">
        <f t="shared" si="34"/>
        <v/>
      </c>
      <c r="AH368" s="7"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7" t="str">
        <f t="shared" si="30"/>
        <v/>
      </c>
      <c r="AD369" s="7" t="str">
        <f t="shared" si="31"/>
        <v/>
      </c>
      <c r="AE369" s="7" t="str">
        <f t="shared" si="32"/>
        <v/>
      </c>
      <c r="AF369" s="7" t="str">
        <f t="shared" si="33"/>
        <v/>
      </c>
      <c r="AG369" s="7" t="str">
        <f t="shared" si="34"/>
        <v/>
      </c>
      <c r="AH369" s="7"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7" t="str">
        <f t="shared" si="30"/>
        <v/>
      </c>
      <c r="AD370" s="7" t="str">
        <f t="shared" si="31"/>
        <v/>
      </c>
      <c r="AE370" s="7" t="str">
        <f t="shared" si="32"/>
        <v/>
      </c>
      <c r="AF370" s="7" t="str">
        <f t="shared" si="33"/>
        <v/>
      </c>
      <c r="AG370" s="7" t="str">
        <f t="shared" si="34"/>
        <v/>
      </c>
      <c r="AH370" s="7"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7" t="str">
        <f t="shared" si="30"/>
        <v/>
      </c>
      <c r="AD371" s="7" t="str">
        <f t="shared" si="31"/>
        <v/>
      </c>
      <c r="AE371" s="7" t="str">
        <f t="shared" si="32"/>
        <v/>
      </c>
      <c r="AF371" s="7" t="str">
        <f t="shared" si="33"/>
        <v/>
      </c>
      <c r="AG371" s="7" t="str">
        <f t="shared" si="34"/>
        <v/>
      </c>
      <c r="AH371" s="7"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7" t="str">
        <f t="shared" si="30"/>
        <v/>
      </c>
      <c r="AD372" s="7" t="str">
        <f t="shared" si="31"/>
        <v/>
      </c>
      <c r="AE372" s="7" t="str">
        <f t="shared" si="32"/>
        <v/>
      </c>
      <c r="AF372" s="7" t="str">
        <f t="shared" si="33"/>
        <v/>
      </c>
      <c r="AG372" s="7" t="str">
        <f t="shared" si="34"/>
        <v/>
      </c>
      <c r="AH372" s="7"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7" t="str">
        <f t="shared" si="30"/>
        <v/>
      </c>
      <c r="AD373" s="7" t="str">
        <f t="shared" si="31"/>
        <v/>
      </c>
      <c r="AE373" s="7" t="str">
        <f t="shared" si="32"/>
        <v/>
      </c>
      <c r="AF373" s="7" t="str">
        <f t="shared" si="33"/>
        <v/>
      </c>
      <c r="AG373" s="7" t="str">
        <f t="shared" si="34"/>
        <v/>
      </c>
      <c r="AH373" s="7"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7" t="str">
        <f t="shared" si="30"/>
        <v/>
      </c>
      <c r="AD374" s="7" t="str">
        <f t="shared" si="31"/>
        <v/>
      </c>
      <c r="AE374" s="7" t="str">
        <f t="shared" si="32"/>
        <v/>
      </c>
      <c r="AF374" s="7" t="str">
        <f t="shared" si="33"/>
        <v/>
      </c>
      <c r="AG374" s="7" t="str">
        <f t="shared" si="34"/>
        <v/>
      </c>
      <c r="AH374" s="7"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7" t="str">
        <f t="shared" si="30"/>
        <v/>
      </c>
      <c r="AD375" s="7" t="str">
        <f t="shared" si="31"/>
        <v/>
      </c>
      <c r="AE375" s="7" t="str">
        <f t="shared" si="32"/>
        <v/>
      </c>
      <c r="AF375" s="7" t="str">
        <f t="shared" si="33"/>
        <v/>
      </c>
      <c r="AG375" s="7" t="str">
        <f t="shared" si="34"/>
        <v/>
      </c>
      <c r="AH375" s="7"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7" t="str">
        <f t="shared" si="30"/>
        <v/>
      </c>
      <c r="AD376" s="7" t="str">
        <f t="shared" si="31"/>
        <v/>
      </c>
      <c r="AE376" s="7" t="str">
        <f t="shared" si="32"/>
        <v/>
      </c>
      <c r="AF376" s="7" t="str">
        <f t="shared" si="33"/>
        <v/>
      </c>
      <c r="AG376" s="7" t="str">
        <f t="shared" si="34"/>
        <v/>
      </c>
      <c r="AH376" s="7"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7" t="str">
        <f t="shared" si="30"/>
        <v/>
      </c>
      <c r="AD377" s="7" t="str">
        <f t="shared" si="31"/>
        <v/>
      </c>
      <c r="AE377" s="7" t="str">
        <f t="shared" si="32"/>
        <v/>
      </c>
      <c r="AF377" s="7" t="str">
        <f t="shared" si="33"/>
        <v/>
      </c>
      <c r="AG377" s="7" t="str">
        <f t="shared" si="34"/>
        <v/>
      </c>
      <c r="AH377" s="7"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7" t="str">
        <f t="shared" si="30"/>
        <v/>
      </c>
      <c r="AD378" s="7" t="str">
        <f t="shared" si="31"/>
        <v/>
      </c>
      <c r="AE378" s="7" t="str">
        <f t="shared" si="32"/>
        <v/>
      </c>
      <c r="AF378" s="7" t="str">
        <f t="shared" si="33"/>
        <v/>
      </c>
      <c r="AG378" s="7" t="str">
        <f t="shared" si="34"/>
        <v/>
      </c>
      <c r="AH378" s="7"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7" t="str">
        <f t="shared" si="30"/>
        <v/>
      </c>
      <c r="AD379" s="7" t="str">
        <f t="shared" si="31"/>
        <v/>
      </c>
      <c r="AE379" s="7" t="str">
        <f t="shared" si="32"/>
        <v/>
      </c>
      <c r="AF379" s="7" t="str">
        <f t="shared" si="33"/>
        <v/>
      </c>
      <c r="AG379" s="7" t="str">
        <f t="shared" si="34"/>
        <v/>
      </c>
      <c r="AH379" s="7"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7" t="str">
        <f t="shared" si="30"/>
        <v/>
      </c>
      <c r="AD380" s="7" t="str">
        <f t="shared" si="31"/>
        <v/>
      </c>
      <c r="AE380" s="7" t="str">
        <f t="shared" si="32"/>
        <v/>
      </c>
      <c r="AF380" s="7" t="str">
        <f t="shared" si="33"/>
        <v/>
      </c>
      <c r="AG380" s="7" t="str">
        <f t="shared" si="34"/>
        <v/>
      </c>
      <c r="AH380" s="7"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7" t="str">
        <f t="shared" si="30"/>
        <v/>
      </c>
      <c r="AD381" s="7" t="str">
        <f t="shared" si="31"/>
        <v/>
      </c>
      <c r="AE381" s="7" t="str">
        <f t="shared" si="32"/>
        <v/>
      </c>
      <c r="AF381" s="7" t="str">
        <f t="shared" si="33"/>
        <v/>
      </c>
      <c r="AG381" s="7" t="str">
        <f t="shared" si="34"/>
        <v/>
      </c>
      <c r="AH381" s="7"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7" t="str">
        <f t="shared" si="30"/>
        <v/>
      </c>
      <c r="AD382" s="7" t="str">
        <f t="shared" si="31"/>
        <v/>
      </c>
      <c r="AE382" s="7" t="str">
        <f t="shared" si="32"/>
        <v/>
      </c>
      <c r="AF382" s="7" t="str">
        <f t="shared" si="33"/>
        <v/>
      </c>
      <c r="AG382" s="7" t="str">
        <f t="shared" si="34"/>
        <v/>
      </c>
      <c r="AH382" s="7"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7" t="str">
        <f t="shared" si="30"/>
        <v/>
      </c>
      <c r="AD383" s="7" t="str">
        <f t="shared" si="31"/>
        <v/>
      </c>
      <c r="AE383" s="7" t="str">
        <f t="shared" si="32"/>
        <v/>
      </c>
      <c r="AF383" s="7" t="str">
        <f t="shared" si="33"/>
        <v/>
      </c>
      <c r="AG383" s="7" t="str">
        <f t="shared" si="34"/>
        <v/>
      </c>
      <c r="AH383" s="7"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7" t="str">
        <f t="shared" si="30"/>
        <v/>
      </c>
      <c r="AD384" s="7" t="str">
        <f t="shared" si="31"/>
        <v/>
      </c>
      <c r="AE384" s="7" t="str">
        <f t="shared" si="32"/>
        <v/>
      </c>
      <c r="AF384" s="7" t="str">
        <f t="shared" si="33"/>
        <v/>
      </c>
      <c r="AG384" s="7" t="str">
        <f t="shared" si="34"/>
        <v/>
      </c>
      <c r="AH384" s="7"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7" t="str">
        <f t="shared" si="30"/>
        <v/>
      </c>
      <c r="AD385" s="7" t="str">
        <f t="shared" si="31"/>
        <v/>
      </c>
      <c r="AE385" s="7" t="str">
        <f t="shared" si="32"/>
        <v/>
      </c>
      <c r="AF385" s="7" t="str">
        <f t="shared" si="33"/>
        <v/>
      </c>
      <c r="AG385" s="7" t="str">
        <f t="shared" si="34"/>
        <v/>
      </c>
      <c r="AH385" s="7"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7" t="str">
        <f t="shared" si="30"/>
        <v/>
      </c>
      <c r="AD386" s="7" t="str">
        <f t="shared" si="31"/>
        <v/>
      </c>
      <c r="AE386" s="7" t="str">
        <f t="shared" si="32"/>
        <v/>
      </c>
      <c r="AF386" s="7" t="str">
        <f t="shared" si="33"/>
        <v/>
      </c>
      <c r="AG386" s="7" t="str">
        <f t="shared" si="34"/>
        <v/>
      </c>
      <c r="AH386" s="7"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7" t="str">
        <f t="shared" si="30"/>
        <v/>
      </c>
      <c r="AD387" s="7" t="str">
        <f t="shared" si="31"/>
        <v/>
      </c>
      <c r="AE387" s="7" t="str">
        <f t="shared" si="32"/>
        <v/>
      </c>
      <c r="AF387" s="7" t="str">
        <f t="shared" si="33"/>
        <v/>
      </c>
      <c r="AG387" s="7" t="str">
        <f t="shared" si="34"/>
        <v/>
      </c>
      <c r="AH387" s="7"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7" t="str">
        <f t="shared" si="30"/>
        <v/>
      </c>
      <c r="AD388" s="7" t="str">
        <f t="shared" si="31"/>
        <v/>
      </c>
      <c r="AE388" s="7" t="str">
        <f t="shared" si="32"/>
        <v/>
      </c>
      <c r="AF388" s="7" t="str">
        <f t="shared" si="33"/>
        <v/>
      </c>
      <c r="AG388" s="7" t="str">
        <f t="shared" si="34"/>
        <v/>
      </c>
      <c r="AH388" s="7" t="str">
        <f t="shared" si="35"/>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7" t="str">
        <f t="shared" ref="AC389:AC452" si="36">IF(COUNT(A389,L389,N389,P389,X389,Y389)&gt;0,AVERAGE(A389,L389,N389,P389,X389,Y389),"")</f>
        <v/>
      </c>
      <c r="AD389" s="7" t="str">
        <f t="shared" ref="AD389:AD452" si="37">IF(COUNT(B389,D389,M389,U389)&gt;0,AVERAGE(B389,D389,M389,U389),"")</f>
        <v/>
      </c>
      <c r="AE389" s="7" t="str">
        <f t="shared" ref="AE389:AE452" si="38">IF(COUNT(I389,T389,V389,W389)&gt;0,AVERAGE(I389,T389,V389,W389),"")</f>
        <v/>
      </c>
      <c r="AF389" s="7" t="str">
        <f t="shared" ref="AF389:AF452" si="39">IF(COUNT(H389,K389,Q389,S389)&gt;0,AVERAGE(H389,K389,Q389,S389),"")</f>
        <v/>
      </c>
      <c r="AG389" s="7" t="str">
        <f t="shared" ref="AG389:AG452" si="40">IF(COUNT(E389,F389,G389,R389)&gt;0,AVERAGE(E389,F389,G389,R389),"")</f>
        <v/>
      </c>
      <c r="AH389" s="7" t="str">
        <f t="shared" ref="AH389:AH452" si="41">IF(COUNT(C389,J389,O389,Z389)&gt;0,AVERAGE(C389,J389,O389,Z389),"")</f>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7" t="str">
        <f t="shared" si="36"/>
        <v/>
      </c>
      <c r="AD390" s="7" t="str">
        <f t="shared" si="37"/>
        <v/>
      </c>
      <c r="AE390" s="7" t="str">
        <f t="shared" si="38"/>
        <v/>
      </c>
      <c r="AF390" s="7" t="str">
        <f t="shared" si="39"/>
        <v/>
      </c>
      <c r="AG390" s="7" t="str">
        <f t="shared" si="40"/>
        <v/>
      </c>
      <c r="AH390" s="7"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7" t="str">
        <f t="shared" si="36"/>
        <v/>
      </c>
      <c r="AD391" s="7" t="str">
        <f t="shared" si="37"/>
        <v/>
      </c>
      <c r="AE391" s="7" t="str">
        <f t="shared" si="38"/>
        <v/>
      </c>
      <c r="AF391" s="7" t="str">
        <f t="shared" si="39"/>
        <v/>
      </c>
      <c r="AG391" s="7" t="str">
        <f t="shared" si="40"/>
        <v/>
      </c>
      <c r="AH391" s="7"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7" t="str">
        <f t="shared" si="36"/>
        <v/>
      </c>
      <c r="AD392" s="7" t="str">
        <f t="shared" si="37"/>
        <v/>
      </c>
      <c r="AE392" s="7" t="str">
        <f t="shared" si="38"/>
        <v/>
      </c>
      <c r="AF392" s="7" t="str">
        <f t="shared" si="39"/>
        <v/>
      </c>
      <c r="AG392" s="7" t="str">
        <f t="shared" si="40"/>
        <v/>
      </c>
      <c r="AH392" s="7"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7" t="str">
        <f t="shared" si="36"/>
        <v/>
      </c>
      <c r="AD393" s="7" t="str">
        <f t="shared" si="37"/>
        <v/>
      </c>
      <c r="AE393" s="7" t="str">
        <f t="shared" si="38"/>
        <v/>
      </c>
      <c r="AF393" s="7" t="str">
        <f t="shared" si="39"/>
        <v/>
      </c>
      <c r="AG393" s="7" t="str">
        <f t="shared" si="40"/>
        <v/>
      </c>
      <c r="AH393" s="7"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7" t="str">
        <f t="shared" si="36"/>
        <v/>
      </c>
      <c r="AD394" s="7" t="str">
        <f t="shared" si="37"/>
        <v/>
      </c>
      <c r="AE394" s="7" t="str">
        <f t="shared" si="38"/>
        <v/>
      </c>
      <c r="AF394" s="7" t="str">
        <f t="shared" si="39"/>
        <v/>
      </c>
      <c r="AG394" s="7" t="str">
        <f t="shared" si="40"/>
        <v/>
      </c>
      <c r="AH394" s="7"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7" t="str">
        <f t="shared" si="36"/>
        <v/>
      </c>
      <c r="AD395" s="7" t="str">
        <f t="shared" si="37"/>
        <v/>
      </c>
      <c r="AE395" s="7" t="str">
        <f t="shared" si="38"/>
        <v/>
      </c>
      <c r="AF395" s="7" t="str">
        <f t="shared" si="39"/>
        <v/>
      </c>
      <c r="AG395" s="7" t="str">
        <f t="shared" si="40"/>
        <v/>
      </c>
      <c r="AH395" s="7"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7" t="str">
        <f t="shared" si="36"/>
        <v/>
      </c>
      <c r="AD396" s="7" t="str">
        <f t="shared" si="37"/>
        <v/>
      </c>
      <c r="AE396" s="7" t="str">
        <f t="shared" si="38"/>
        <v/>
      </c>
      <c r="AF396" s="7" t="str">
        <f t="shared" si="39"/>
        <v/>
      </c>
      <c r="AG396" s="7" t="str">
        <f t="shared" si="40"/>
        <v/>
      </c>
      <c r="AH396" s="7"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7" t="str">
        <f t="shared" si="36"/>
        <v/>
      </c>
      <c r="AD397" s="7" t="str">
        <f t="shared" si="37"/>
        <v/>
      </c>
      <c r="AE397" s="7" t="str">
        <f t="shared" si="38"/>
        <v/>
      </c>
      <c r="AF397" s="7" t="str">
        <f t="shared" si="39"/>
        <v/>
      </c>
      <c r="AG397" s="7" t="str">
        <f t="shared" si="40"/>
        <v/>
      </c>
      <c r="AH397" s="7"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7" t="str">
        <f t="shared" si="36"/>
        <v/>
      </c>
      <c r="AD398" s="7" t="str">
        <f t="shared" si="37"/>
        <v/>
      </c>
      <c r="AE398" s="7" t="str">
        <f t="shared" si="38"/>
        <v/>
      </c>
      <c r="AF398" s="7" t="str">
        <f t="shared" si="39"/>
        <v/>
      </c>
      <c r="AG398" s="7" t="str">
        <f t="shared" si="40"/>
        <v/>
      </c>
      <c r="AH398" s="7"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7" t="str">
        <f t="shared" si="36"/>
        <v/>
      </c>
      <c r="AD399" s="7" t="str">
        <f t="shared" si="37"/>
        <v/>
      </c>
      <c r="AE399" s="7" t="str">
        <f t="shared" si="38"/>
        <v/>
      </c>
      <c r="AF399" s="7" t="str">
        <f t="shared" si="39"/>
        <v/>
      </c>
      <c r="AG399" s="7" t="str">
        <f t="shared" si="40"/>
        <v/>
      </c>
      <c r="AH399" s="7"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7" t="str">
        <f t="shared" si="36"/>
        <v/>
      </c>
      <c r="AD400" s="7" t="str">
        <f t="shared" si="37"/>
        <v/>
      </c>
      <c r="AE400" s="7" t="str">
        <f t="shared" si="38"/>
        <v/>
      </c>
      <c r="AF400" s="7" t="str">
        <f t="shared" si="39"/>
        <v/>
      </c>
      <c r="AG400" s="7" t="str">
        <f t="shared" si="40"/>
        <v/>
      </c>
      <c r="AH400" s="7"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7" t="str">
        <f t="shared" si="36"/>
        <v/>
      </c>
      <c r="AD401" s="7" t="str">
        <f t="shared" si="37"/>
        <v/>
      </c>
      <c r="AE401" s="7" t="str">
        <f t="shared" si="38"/>
        <v/>
      </c>
      <c r="AF401" s="7" t="str">
        <f t="shared" si="39"/>
        <v/>
      </c>
      <c r="AG401" s="7" t="str">
        <f t="shared" si="40"/>
        <v/>
      </c>
      <c r="AH401" s="7"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7" t="str">
        <f t="shared" si="36"/>
        <v/>
      </c>
      <c r="AD402" s="7" t="str">
        <f t="shared" si="37"/>
        <v/>
      </c>
      <c r="AE402" s="7" t="str">
        <f t="shared" si="38"/>
        <v/>
      </c>
      <c r="AF402" s="7" t="str">
        <f t="shared" si="39"/>
        <v/>
      </c>
      <c r="AG402" s="7" t="str">
        <f t="shared" si="40"/>
        <v/>
      </c>
      <c r="AH402" s="7"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7" t="str">
        <f t="shared" si="36"/>
        <v/>
      </c>
      <c r="AD403" s="7" t="str">
        <f t="shared" si="37"/>
        <v/>
      </c>
      <c r="AE403" s="7" t="str">
        <f t="shared" si="38"/>
        <v/>
      </c>
      <c r="AF403" s="7" t="str">
        <f t="shared" si="39"/>
        <v/>
      </c>
      <c r="AG403" s="7" t="str">
        <f t="shared" si="40"/>
        <v/>
      </c>
      <c r="AH403" s="7"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7" t="str">
        <f t="shared" si="36"/>
        <v/>
      </c>
      <c r="AD404" s="7" t="str">
        <f t="shared" si="37"/>
        <v/>
      </c>
      <c r="AE404" s="7" t="str">
        <f t="shared" si="38"/>
        <v/>
      </c>
      <c r="AF404" s="7" t="str">
        <f t="shared" si="39"/>
        <v/>
      </c>
      <c r="AG404" s="7" t="str">
        <f t="shared" si="40"/>
        <v/>
      </c>
      <c r="AH404" s="7"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7" t="str">
        <f t="shared" si="36"/>
        <v/>
      </c>
      <c r="AD405" s="7" t="str">
        <f t="shared" si="37"/>
        <v/>
      </c>
      <c r="AE405" s="7" t="str">
        <f t="shared" si="38"/>
        <v/>
      </c>
      <c r="AF405" s="7" t="str">
        <f t="shared" si="39"/>
        <v/>
      </c>
      <c r="AG405" s="7" t="str">
        <f t="shared" si="40"/>
        <v/>
      </c>
      <c r="AH405" s="7"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7" t="str">
        <f t="shared" si="36"/>
        <v/>
      </c>
      <c r="AD406" s="7" t="str">
        <f t="shared" si="37"/>
        <v/>
      </c>
      <c r="AE406" s="7" t="str">
        <f t="shared" si="38"/>
        <v/>
      </c>
      <c r="AF406" s="7" t="str">
        <f t="shared" si="39"/>
        <v/>
      </c>
      <c r="AG406" s="7" t="str">
        <f t="shared" si="40"/>
        <v/>
      </c>
      <c r="AH406" s="7"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7" t="str">
        <f t="shared" si="36"/>
        <v/>
      </c>
      <c r="AD407" s="7" t="str">
        <f t="shared" si="37"/>
        <v/>
      </c>
      <c r="AE407" s="7" t="str">
        <f t="shared" si="38"/>
        <v/>
      </c>
      <c r="AF407" s="7" t="str">
        <f t="shared" si="39"/>
        <v/>
      </c>
      <c r="AG407" s="7" t="str">
        <f t="shared" si="40"/>
        <v/>
      </c>
      <c r="AH407" s="7"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7" t="str">
        <f t="shared" si="36"/>
        <v/>
      </c>
      <c r="AD408" s="7" t="str">
        <f t="shared" si="37"/>
        <v/>
      </c>
      <c r="AE408" s="7" t="str">
        <f t="shared" si="38"/>
        <v/>
      </c>
      <c r="AF408" s="7" t="str">
        <f t="shared" si="39"/>
        <v/>
      </c>
      <c r="AG408" s="7" t="str">
        <f t="shared" si="40"/>
        <v/>
      </c>
      <c r="AH408" s="7"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7" t="str">
        <f t="shared" si="36"/>
        <v/>
      </c>
      <c r="AD409" s="7" t="str">
        <f t="shared" si="37"/>
        <v/>
      </c>
      <c r="AE409" s="7" t="str">
        <f t="shared" si="38"/>
        <v/>
      </c>
      <c r="AF409" s="7" t="str">
        <f t="shared" si="39"/>
        <v/>
      </c>
      <c r="AG409" s="7" t="str">
        <f t="shared" si="40"/>
        <v/>
      </c>
      <c r="AH409" s="7"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7" t="str">
        <f t="shared" si="36"/>
        <v/>
      </c>
      <c r="AD410" s="7" t="str">
        <f t="shared" si="37"/>
        <v/>
      </c>
      <c r="AE410" s="7" t="str">
        <f t="shared" si="38"/>
        <v/>
      </c>
      <c r="AF410" s="7" t="str">
        <f t="shared" si="39"/>
        <v/>
      </c>
      <c r="AG410" s="7" t="str">
        <f t="shared" si="40"/>
        <v/>
      </c>
      <c r="AH410" s="7"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7" t="str">
        <f t="shared" si="36"/>
        <v/>
      </c>
      <c r="AD411" s="7" t="str">
        <f t="shared" si="37"/>
        <v/>
      </c>
      <c r="AE411" s="7" t="str">
        <f t="shared" si="38"/>
        <v/>
      </c>
      <c r="AF411" s="7" t="str">
        <f t="shared" si="39"/>
        <v/>
      </c>
      <c r="AG411" s="7" t="str">
        <f t="shared" si="40"/>
        <v/>
      </c>
      <c r="AH411" s="7"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7" t="str">
        <f t="shared" si="36"/>
        <v/>
      </c>
      <c r="AD412" s="7" t="str">
        <f t="shared" si="37"/>
        <v/>
      </c>
      <c r="AE412" s="7" t="str">
        <f t="shared" si="38"/>
        <v/>
      </c>
      <c r="AF412" s="7" t="str">
        <f t="shared" si="39"/>
        <v/>
      </c>
      <c r="AG412" s="7" t="str">
        <f t="shared" si="40"/>
        <v/>
      </c>
      <c r="AH412" s="7"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7" t="str">
        <f t="shared" si="36"/>
        <v/>
      </c>
      <c r="AD413" s="7" t="str">
        <f t="shared" si="37"/>
        <v/>
      </c>
      <c r="AE413" s="7" t="str">
        <f t="shared" si="38"/>
        <v/>
      </c>
      <c r="AF413" s="7" t="str">
        <f t="shared" si="39"/>
        <v/>
      </c>
      <c r="AG413" s="7" t="str">
        <f t="shared" si="40"/>
        <v/>
      </c>
      <c r="AH413" s="7"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7" t="str">
        <f t="shared" si="36"/>
        <v/>
      </c>
      <c r="AD414" s="7" t="str">
        <f t="shared" si="37"/>
        <v/>
      </c>
      <c r="AE414" s="7" t="str">
        <f t="shared" si="38"/>
        <v/>
      </c>
      <c r="AF414" s="7" t="str">
        <f t="shared" si="39"/>
        <v/>
      </c>
      <c r="AG414" s="7" t="str">
        <f t="shared" si="40"/>
        <v/>
      </c>
      <c r="AH414" s="7"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7" t="str">
        <f t="shared" si="36"/>
        <v/>
      </c>
      <c r="AD415" s="7" t="str">
        <f t="shared" si="37"/>
        <v/>
      </c>
      <c r="AE415" s="7" t="str">
        <f t="shared" si="38"/>
        <v/>
      </c>
      <c r="AF415" s="7" t="str">
        <f t="shared" si="39"/>
        <v/>
      </c>
      <c r="AG415" s="7" t="str">
        <f t="shared" si="40"/>
        <v/>
      </c>
      <c r="AH415" s="7"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7" t="str">
        <f t="shared" si="36"/>
        <v/>
      </c>
      <c r="AD416" s="7" t="str">
        <f t="shared" si="37"/>
        <v/>
      </c>
      <c r="AE416" s="7" t="str">
        <f t="shared" si="38"/>
        <v/>
      </c>
      <c r="AF416" s="7" t="str">
        <f t="shared" si="39"/>
        <v/>
      </c>
      <c r="AG416" s="7" t="str">
        <f t="shared" si="40"/>
        <v/>
      </c>
      <c r="AH416" s="7"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7" t="str">
        <f t="shared" si="36"/>
        <v/>
      </c>
      <c r="AD417" s="7" t="str">
        <f t="shared" si="37"/>
        <v/>
      </c>
      <c r="AE417" s="7" t="str">
        <f t="shared" si="38"/>
        <v/>
      </c>
      <c r="AF417" s="7" t="str">
        <f t="shared" si="39"/>
        <v/>
      </c>
      <c r="AG417" s="7" t="str">
        <f t="shared" si="40"/>
        <v/>
      </c>
      <c r="AH417" s="7"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7" t="str">
        <f t="shared" si="36"/>
        <v/>
      </c>
      <c r="AD418" s="7" t="str">
        <f t="shared" si="37"/>
        <v/>
      </c>
      <c r="AE418" s="7" t="str">
        <f t="shared" si="38"/>
        <v/>
      </c>
      <c r="AF418" s="7" t="str">
        <f t="shared" si="39"/>
        <v/>
      </c>
      <c r="AG418" s="7" t="str">
        <f t="shared" si="40"/>
        <v/>
      </c>
      <c r="AH418" s="7"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7" t="str">
        <f t="shared" si="36"/>
        <v/>
      </c>
      <c r="AD419" s="7" t="str">
        <f t="shared" si="37"/>
        <v/>
      </c>
      <c r="AE419" s="7" t="str">
        <f t="shared" si="38"/>
        <v/>
      </c>
      <c r="AF419" s="7" t="str">
        <f t="shared" si="39"/>
        <v/>
      </c>
      <c r="AG419" s="7" t="str">
        <f t="shared" si="40"/>
        <v/>
      </c>
      <c r="AH419" s="7"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7" t="str">
        <f t="shared" si="36"/>
        <v/>
      </c>
      <c r="AD420" s="7" t="str">
        <f t="shared" si="37"/>
        <v/>
      </c>
      <c r="AE420" s="7" t="str">
        <f t="shared" si="38"/>
        <v/>
      </c>
      <c r="AF420" s="7" t="str">
        <f t="shared" si="39"/>
        <v/>
      </c>
      <c r="AG420" s="7" t="str">
        <f t="shared" si="40"/>
        <v/>
      </c>
      <c r="AH420" s="7"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7" t="str">
        <f t="shared" si="36"/>
        <v/>
      </c>
      <c r="AD421" s="7" t="str">
        <f t="shared" si="37"/>
        <v/>
      </c>
      <c r="AE421" s="7" t="str">
        <f t="shared" si="38"/>
        <v/>
      </c>
      <c r="AF421" s="7" t="str">
        <f t="shared" si="39"/>
        <v/>
      </c>
      <c r="AG421" s="7" t="str">
        <f t="shared" si="40"/>
        <v/>
      </c>
      <c r="AH421" s="7"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7" t="str">
        <f t="shared" si="36"/>
        <v/>
      </c>
      <c r="AD422" s="7" t="str">
        <f t="shared" si="37"/>
        <v/>
      </c>
      <c r="AE422" s="7" t="str">
        <f t="shared" si="38"/>
        <v/>
      </c>
      <c r="AF422" s="7" t="str">
        <f t="shared" si="39"/>
        <v/>
      </c>
      <c r="AG422" s="7" t="str">
        <f t="shared" si="40"/>
        <v/>
      </c>
      <c r="AH422" s="7"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7" t="str">
        <f t="shared" si="36"/>
        <v/>
      </c>
      <c r="AD423" s="7" t="str">
        <f t="shared" si="37"/>
        <v/>
      </c>
      <c r="AE423" s="7" t="str">
        <f t="shared" si="38"/>
        <v/>
      </c>
      <c r="AF423" s="7" t="str">
        <f t="shared" si="39"/>
        <v/>
      </c>
      <c r="AG423" s="7" t="str">
        <f t="shared" si="40"/>
        <v/>
      </c>
      <c r="AH423" s="7"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7" t="str">
        <f t="shared" si="36"/>
        <v/>
      </c>
      <c r="AD424" s="7" t="str">
        <f t="shared" si="37"/>
        <v/>
      </c>
      <c r="AE424" s="7" t="str">
        <f t="shared" si="38"/>
        <v/>
      </c>
      <c r="AF424" s="7" t="str">
        <f t="shared" si="39"/>
        <v/>
      </c>
      <c r="AG424" s="7" t="str">
        <f t="shared" si="40"/>
        <v/>
      </c>
      <c r="AH424" s="7"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7" t="str">
        <f t="shared" si="36"/>
        <v/>
      </c>
      <c r="AD425" s="7" t="str">
        <f t="shared" si="37"/>
        <v/>
      </c>
      <c r="AE425" s="7" t="str">
        <f t="shared" si="38"/>
        <v/>
      </c>
      <c r="AF425" s="7" t="str">
        <f t="shared" si="39"/>
        <v/>
      </c>
      <c r="AG425" s="7" t="str">
        <f t="shared" si="40"/>
        <v/>
      </c>
      <c r="AH425" s="7"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7" t="str">
        <f t="shared" si="36"/>
        <v/>
      </c>
      <c r="AD426" s="7" t="str">
        <f t="shared" si="37"/>
        <v/>
      </c>
      <c r="AE426" s="7" t="str">
        <f t="shared" si="38"/>
        <v/>
      </c>
      <c r="AF426" s="7" t="str">
        <f t="shared" si="39"/>
        <v/>
      </c>
      <c r="AG426" s="7" t="str">
        <f t="shared" si="40"/>
        <v/>
      </c>
      <c r="AH426" s="7"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7" t="str">
        <f t="shared" si="36"/>
        <v/>
      </c>
      <c r="AD427" s="7" t="str">
        <f t="shared" si="37"/>
        <v/>
      </c>
      <c r="AE427" s="7" t="str">
        <f t="shared" si="38"/>
        <v/>
      </c>
      <c r="AF427" s="7" t="str">
        <f t="shared" si="39"/>
        <v/>
      </c>
      <c r="AG427" s="7" t="str">
        <f t="shared" si="40"/>
        <v/>
      </c>
      <c r="AH427" s="7"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7" t="str">
        <f t="shared" si="36"/>
        <v/>
      </c>
      <c r="AD428" s="7" t="str">
        <f t="shared" si="37"/>
        <v/>
      </c>
      <c r="AE428" s="7" t="str">
        <f t="shared" si="38"/>
        <v/>
      </c>
      <c r="AF428" s="7" t="str">
        <f t="shared" si="39"/>
        <v/>
      </c>
      <c r="AG428" s="7" t="str">
        <f t="shared" si="40"/>
        <v/>
      </c>
      <c r="AH428" s="7"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7" t="str">
        <f t="shared" si="36"/>
        <v/>
      </c>
      <c r="AD429" s="7" t="str">
        <f t="shared" si="37"/>
        <v/>
      </c>
      <c r="AE429" s="7" t="str">
        <f t="shared" si="38"/>
        <v/>
      </c>
      <c r="AF429" s="7" t="str">
        <f t="shared" si="39"/>
        <v/>
      </c>
      <c r="AG429" s="7" t="str">
        <f t="shared" si="40"/>
        <v/>
      </c>
      <c r="AH429" s="7"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7" t="str">
        <f t="shared" si="36"/>
        <v/>
      </c>
      <c r="AD430" s="7" t="str">
        <f t="shared" si="37"/>
        <v/>
      </c>
      <c r="AE430" s="7" t="str">
        <f t="shared" si="38"/>
        <v/>
      </c>
      <c r="AF430" s="7" t="str">
        <f t="shared" si="39"/>
        <v/>
      </c>
      <c r="AG430" s="7" t="str">
        <f t="shared" si="40"/>
        <v/>
      </c>
      <c r="AH430" s="7"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7" t="str">
        <f t="shared" si="36"/>
        <v/>
      </c>
      <c r="AD431" s="7" t="str">
        <f t="shared" si="37"/>
        <v/>
      </c>
      <c r="AE431" s="7" t="str">
        <f t="shared" si="38"/>
        <v/>
      </c>
      <c r="AF431" s="7" t="str">
        <f t="shared" si="39"/>
        <v/>
      </c>
      <c r="AG431" s="7" t="str">
        <f t="shared" si="40"/>
        <v/>
      </c>
      <c r="AH431" s="7"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7" t="str">
        <f t="shared" si="36"/>
        <v/>
      </c>
      <c r="AD432" s="7" t="str">
        <f t="shared" si="37"/>
        <v/>
      </c>
      <c r="AE432" s="7" t="str">
        <f t="shared" si="38"/>
        <v/>
      </c>
      <c r="AF432" s="7" t="str">
        <f t="shared" si="39"/>
        <v/>
      </c>
      <c r="AG432" s="7" t="str">
        <f t="shared" si="40"/>
        <v/>
      </c>
      <c r="AH432" s="7"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7" t="str">
        <f t="shared" si="36"/>
        <v/>
      </c>
      <c r="AD433" s="7" t="str">
        <f t="shared" si="37"/>
        <v/>
      </c>
      <c r="AE433" s="7" t="str">
        <f t="shared" si="38"/>
        <v/>
      </c>
      <c r="AF433" s="7" t="str">
        <f t="shared" si="39"/>
        <v/>
      </c>
      <c r="AG433" s="7" t="str">
        <f t="shared" si="40"/>
        <v/>
      </c>
      <c r="AH433" s="7"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7" t="str">
        <f t="shared" si="36"/>
        <v/>
      </c>
      <c r="AD434" s="7" t="str">
        <f t="shared" si="37"/>
        <v/>
      </c>
      <c r="AE434" s="7" t="str">
        <f t="shared" si="38"/>
        <v/>
      </c>
      <c r="AF434" s="7" t="str">
        <f t="shared" si="39"/>
        <v/>
      </c>
      <c r="AG434" s="7" t="str">
        <f t="shared" si="40"/>
        <v/>
      </c>
      <c r="AH434" s="7"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7" t="str">
        <f t="shared" si="36"/>
        <v/>
      </c>
      <c r="AD435" s="7" t="str">
        <f t="shared" si="37"/>
        <v/>
      </c>
      <c r="AE435" s="7" t="str">
        <f t="shared" si="38"/>
        <v/>
      </c>
      <c r="AF435" s="7" t="str">
        <f t="shared" si="39"/>
        <v/>
      </c>
      <c r="AG435" s="7" t="str">
        <f t="shared" si="40"/>
        <v/>
      </c>
      <c r="AH435" s="7"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7" t="str">
        <f t="shared" si="36"/>
        <v/>
      </c>
      <c r="AD436" s="7" t="str">
        <f t="shared" si="37"/>
        <v/>
      </c>
      <c r="AE436" s="7" t="str">
        <f t="shared" si="38"/>
        <v/>
      </c>
      <c r="AF436" s="7" t="str">
        <f t="shared" si="39"/>
        <v/>
      </c>
      <c r="AG436" s="7" t="str">
        <f t="shared" si="40"/>
        <v/>
      </c>
      <c r="AH436" s="7"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7" t="str">
        <f t="shared" si="36"/>
        <v/>
      </c>
      <c r="AD437" s="7" t="str">
        <f t="shared" si="37"/>
        <v/>
      </c>
      <c r="AE437" s="7" t="str">
        <f t="shared" si="38"/>
        <v/>
      </c>
      <c r="AF437" s="7" t="str">
        <f t="shared" si="39"/>
        <v/>
      </c>
      <c r="AG437" s="7" t="str">
        <f t="shared" si="40"/>
        <v/>
      </c>
      <c r="AH437" s="7"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7" t="str">
        <f t="shared" si="36"/>
        <v/>
      </c>
      <c r="AD438" s="7" t="str">
        <f t="shared" si="37"/>
        <v/>
      </c>
      <c r="AE438" s="7" t="str">
        <f t="shared" si="38"/>
        <v/>
      </c>
      <c r="AF438" s="7" t="str">
        <f t="shared" si="39"/>
        <v/>
      </c>
      <c r="AG438" s="7" t="str">
        <f t="shared" si="40"/>
        <v/>
      </c>
      <c r="AH438" s="7"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7" t="str">
        <f t="shared" si="36"/>
        <v/>
      </c>
      <c r="AD439" s="7" t="str">
        <f t="shared" si="37"/>
        <v/>
      </c>
      <c r="AE439" s="7" t="str">
        <f t="shared" si="38"/>
        <v/>
      </c>
      <c r="AF439" s="7" t="str">
        <f t="shared" si="39"/>
        <v/>
      </c>
      <c r="AG439" s="7" t="str">
        <f t="shared" si="40"/>
        <v/>
      </c>
      <c r="AH439" s="7"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7" t="str">
        <f t="shared" si="36"/>
        <v/>
      </c>
      <c r="AD440" s="7" t="str">
        <f t="shared" si="37"/>
        <v/>
      </c>
      <c r="AE440" s="7" t="str">
        <f t="shared" si="38"/>
        <v/>
      </c>
      <c r="AF440" s="7" t="str">
        <f t="shared" si="39"/>
        <v/>
      </c>
      <c r="AG440" s="7" t="str">
        <f t="shared" si="40"/>
        <v/>
      </c>
      <c r="AH440" s="7"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7" t="str">
        <f t="shared" si="36"/>
        <v/>
      </c>
      <c r="AD441" s="7" t="str">
        <f t="shared" si="37"/>
        <v/>
      </c>
      <c r="AE441" s="7" t="str">
        <f t="shared" si="38"/>
        <v/>
      </c>
      <c r="AF441" s="7" t="str">
        <f t="shared" si="39"/>
        <v/>
      </c>
      <c r="AG441" s="7" t="str">
        <f t="shared" si="40"/>
        <v/>
      </c>
      <c r="AH441" s="7"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7" t="str">
        <f t="shared" si="36"/>
        <v/>
      </c>
      <c r="AD442" s="7" t="str">
        <f t="shared" si="37"/>
        <v/>
      </c>
      <c r="AE442" s="7" t="str">
        <f t="shared" si="38"/>
        <v/>
      </c>
      <c r="AF442" s="7" t="str">
        <f t="shared" si="39"/>
        <v/>
      </c>
      <c r="AG442" s="7" t="str">
        <f t="shared" si="40"/>
        <v/>
      </c>
      <c r="AH442" s="7"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7" t="str">
        <f t="shared" si="36"/>
        <v/>
      </c>
      <c r="AD443" s="7" t="str">
        <f t="shared" si="37"/>
        <v/>
      </c>
      <c r="AE443" s="7" t="str">
        <f t="shared" si="38"/>
        <v/>
      </c>
      <c r="AF443" s="7" t="str">
        <f t="shared" si="39"/>
        <v/>
      </c>
      <c r="AG443" s="7" t="str">
        <f t="shared" si="40"/>
        <v/>
      </c>
      <c r="AH443" s="7"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7" t="str">
        <f t="shared" si="36"/>
        <v/>
      </c>
      <c r="AD444" s="7" t="str">
        <f t="shared" si="37"/>
        <v/>
      </c>
      <c r="AE444" s="7" t="str">
        <f t="shared" si="38"/>
        <v/>
      </c>
      <c r="AF444" s="7" t="str">
        <f t="shared" si="39"/>
        <v/>
      </c>
      <c r="AG444" s="7" t="str">
        <f t="shared" si="40"/>
        <v/>
      </c>
      <c r="AH444" s="7"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7" t="str">
        <f t="shared" si="36"/>
        <v/>
      </c>
      <c r="AD445" s="7" t="str">
        <f t="shared" si="37"/>
        <v/>
      </c>
      <c r="AE445" s="7" t="str">
        <f t="shared" si="38"/>
        <v/>
      </c>
      <c r="AF445" s="7" t="str">
        <f t="shared" si="39"/>
        <v/>
      </c>
      <c r="AG445" s="7" t="str">
        <f t="shared" si="40"/>
        <v/>
      </c>
      <c r="AH445" s="7"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7" t="str">
        <f t="shared" si="36"/>
        <v/>
      </c>
      <c r="AD446" s="7" t="str">
        <f t="shared" si="37"/>
        <v/>
      </c>
      <c r="AE446" s="7" t="str">
        <f t="shared" si="38"/>
        <v/>
      </c>
      <c r="AF446" s="7" t="str">
        <f t="shared" si="39"/>
        <v/>
      </c>
      <c r="AG446" s="7" t="str">
        <f t="shared" si="40"/>
        <v/>
      </c>
      <c r="AH446" s="7"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7" t="str">
        <f t="shared" si="36"/>
        <v/>
      </c>
      <c r="AD447" s="7" t="str">
        <f t="shared" si="37"/>
        <v/>
      </c>
      <c r="AE447" s="7" t="str">
        <f t="shared" si="38"/>
        <v/>
      </c>
      <c r="AF447" s="7" t="str">
        <f t="shared" si="39"/>
        <v/>
      </c>
      <c r="AG447" s="7" t="str">
        <f t="shared" si="40"/>
        <v/>
      </c>
      <c r="AH447" s="7"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7" t="str">
        <f t="shared" si="36"/>
        <v/>
      </c>
      <c r="AD448" s="7" t="str">
        <f t="shared" si="37"/>
        <v/>
      </c>
      <c r="AE448" s="7" t="str">
        <f t="shared" si="38"/>
        <v/>
      </c>
      <c r="AF448" s="7" t="str">
        <f t="shared" si="39"/>
        <v/>
      </c>
      <c r="AG448" s="7" t="str">
        <f t="shared" si="40"/>
        <v/>
      </c>
      <c r="AH448" s="7"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7" t="str">
        <f t="shared" si="36"/>
        <v/>
      </c>
      <c r="AD449" s="7" t="str">
        <f t="shared" si="37"/>
        <v/>
      </c>
      <c r="AE449" s="7" t="str">
        <f t="shared" si="38"/>
        <v/>
      </c>
      <c r="AF449" s="7" t="str">
        <f t="shared" si="39"/>
        <v/>
      </c>
      <c r="AG449" s="7" t="str">
        <f t="shared" si="40"/>
        <v/>
      </c>
      <c r="AH449" s="7"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7" t="str">
        <f t="shared" si="36"/>
        <v/>
      </c>
      <c r="AD450" s="7" t="str">
        <f t="shared" si="37"/>
        <v/>
      </c>
      <c r="AE450" s="7" t="str">
        <f t="shared" si="38"/>
        <v/>
      </c>
      <c r="AF450" s="7" t="str">
        <f t="shared" si="39"/>
        <v/>
      </c>
      <c r="AG450" s="7" t="str">
        <f t="shared" si="40"/>
        <v/>
      </c>
      <c r="AH450" s="7"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7" t="str">
        <f t="shared" si="36"/>
        <v/>
      </c>
      <c r="AD451" s="7" t="str">
        <f t="shared" si="37"/>
        <v/>
      </c>
      <c r="AE451" s="7" t="str">
        <f t="shared" si="38"/>
        <v/>
      </c>
      <c r="AF451" s="7" t="str">
        <f t="shared" si="39"/>
        <v/>
      </c>
      <c r="AG451" s="7" t="str">
        <f t="shared" si="40"/>
        <v/>
      </c>
      <c r="AH451" s="7"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7" t="str">
        <f t="shared" si="36"/>
        <v/>
      </c>
      <c r="AD452" s="7" t="str">
        <f t="shared" si="37"/>
        <v/>
      </c>
      <c r="AE452" s="7" t="str">
        <f t="shared" si="38"/>
        <v/>
      </c>
      <c r="AF452" s="7" t="str">
        <f t="shared" si="39"/>
        <v/>
      </c>
      <c r="AG452" s="7" t="str">
        <f t="shared" si="40"/>
        <v/>
      </c>
      <c r="AH452" s="7" t="str">
        <f t="shared" si="41"/>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7" t="str">
        <f t="shared" ref="AC453:AC516" si="42">IF(COUNT(A453,L453,N453,P453,X453,Y453)&gt;0,AVERAGE(A453,L453,N453,P453,X453,Y453),"")</f>
        <v/>
      </c>
      <c r="AD453" s="7" t="str">
        <f t="shared" ref="AD453:AD516" si="43">IF(COUNT(B453,D453,M453,U453)&gt;0,AVERAGE(B453,D453,M453,U453),"")</f>
        <v/>
      </c>
      <c r="AE453" s="7" t="str">
        <f t="shared" ref="AE453:AE516" si="44">IF(COUNT(I453,T453,V453,W453)&gt;0,AVERAGE(I453,T453,V453,W453),"")</f>
        <v/>
      </c>
      <c r="AF453" s="7" t="str">
        <f t="shared" ref="AF453:AF516" si="45">IF(COUNT(H453,K453,Q453,S453)&gt;0,AVERAGE(H453,K453,Q453,S453),"")</f>
        <v/>
      </c>
      <c r="AG453" s="7" t="str">
        <f t="shared" ref="AG453:AG516" si="46">IF(COUNT(E453,F453,G453,R453)&gt;0,AVERAGE(E453,F453,G453,R453),"")</f>
        <v/>
      </c>
      <c r="AH453" s="7" t="str">
        <f t="shared" ref="AH453:AH516" si="47">IF(COUNT(C453,J453,O453,Z453)&gt;0,AVERAGE(C453,J453,O453,Z453),"")</f>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7" t="str">
        <f t="shared" si="42"/>
        <v/>
      </c>
      <c r="AD454" s="7" t="str">
        <f t="shared" si="43"/>
        <v/>
      </c>
      <c r="AE454" s="7" t="str">
        <f t="shared" si="44"/>
        <v/>
      </c>
      <c r="AF454" s="7" t="str">
        <f t="shared" si="45"/>
        <v/>
      </c>
      <c r="AG454" s="7" t="str">
        <f t="shared" si="46"/>
        <v/>
      </c>
      <c r="AH454" s="7"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7" t="str">
        <f t="shared" si="42"/>
        <v/>
      </c>
      <c r="AD455" s="7" t="str">
        <f t="shared" si="43"/>
        <v/>
      </c>
      <c r="AE455" s="7" t="str">
        <f t="shared" si="44"/>
        <v/>
      </c>
      <c r="AF455" s="7" t="str">
        <f t="shared" si="45"/>
        <v/>
      </c>
      <c r="AG455" s="7" t="str">
        <f t="shared" si="46"/>
        <v/>
      </c>
      <c r="AH455" s="7"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7" t="str">
        <f t="shared" si="42"/>
        <v/>
      </c>
      <c r="AD456" s="7" t="str">
        <f t="shared" si="43"/>
        <v/>
      </c>
      <c r="AE456" s="7" t="str">
        <f t="shared" si="44"/>
        <v/>
      </c>
      <c r="AF456" s="7" t="str">
        <f t="shared" si="45"/>
        <v/>
      </c>
      <c r="AG456" s="7" t="str">
        <f t="shared" si="46"/>
        <v/>
      </c>
      <c r="AH456" s="7"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7" t="str">
        <f t="shared" si="42"/>
        <v/>
      </c>
      <c r="AD457" s="7" t="str">
        <f t="shared" si="43"/>
        <v/>
      </c>
      <c r="AE457" s="7" t="str">
        <f t="shared" si="44"/>
        <v/>
      </c>
      <c r="AF457" s="7" t="str">
        <f t="shared" si="45"/>
        <v/>
      </c>
      <c r="AG457" s="7" t="str">
        <f t="shared" si="46"/>
        <v/>
      </c>
      <c r="AH457" s="7"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7" t="str">
        <f t="shared" si="42"/>
        <v/>
      </c>
      <c r="AD458" s="7" t="str">
        <f t="shared" si="43"/>
        <v/>
      </c>
      <c r="AE458" s="7" t="str">
        <f t="shared" si="44"/>
        <v/>
      </c>
      <c r="AF458" s="7" t="str">
        <f t="shared" si="45"/>
        <v/>
      </c>
      <c r="AG458" s="7" t="str">
        <f t="shared" si="46"/>
        <v/>
      </c>
      <c r="AH458" s="7"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7" t="str">
        <f t="shared" si="42"/>
        <v/>
      </c>
      <c r="AD459" s="7" t="str">
        <f t="shared" si="43"/>
        <v/>
      </c>
      <c r="AE459" s="7" t="str">
        <f t="shared" si="44"/>
        <v/>
      </c>
      <c r="AF459" s="7" t="str">
        <f t="shared" si="45"/>
        <v/>
      </c>
      <c r="AG459" s="7" t="str">
        <f t="shared" si="46"/>
        <v/>
      </c>
      <c r="AH459" s="7"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7" t="str">
        <f t="shared" si="42"/>
        <v/>
      </c>
      <c r="AD460" s="7" t="str">
        <f t="shared" si="43"/>
        <v/>
      </c>
      <c r="AE460" s="7" t="str">
        <f t="shared" si="44"/>
        <v/>
      </c>
      <c r="AF460" s="7" t="str">
        <f t="shared" si="45"/>
        <v/>
      </c>
      <c r="AG460" s="7" t="str">
        <f t="shared" si="46"/>
        <v/>
      </c>
      <c r="AH460" s="7"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7" t="str">
        <f t="shared" si="42"/>
        <v/>
      </c>
      <c r="AD461" s="7" t="str">
        <f t="shared" si="43"/>
        <v/>
      </c>
      <c r="AE461" s="7" t="str">
        <f t="shared" si="44"/>
        <v/>
      </c>
      <c r="AF461" s="7" t="str">
        <f t="shared" si="45"/>
        <v/>
      </c>
      <c r="AG461" s="7" t="str">
        <f t="shared" si="46"/>
        <v/>
      </c>
      <c r="AH461" s="7"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7" t="str">
        <f t="shared" si="42"/>
        <v/>
      </c>
      <c r="AD462" s="7" t="str">
        <f t="shared" si="43"/>
        <v/>
      </c>
      <c r="AE462" s="7" t="str">
        <f t="shared" si="44"/>
        <v/>
      </c>
      <c r="AF462" s="7" t="str">
        <f t="shared" si="45"/>
        <v/>
      </c>
      <c r="AG462" s="7" t="str">
        <f t="shared" si="46"/>
        <v/>
      </c>
      <c r="AH462" s="7"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7" t="str">
        <f t="shared" si="42"/>
        <v/>
      </c>
      <c r="AD463" s="7" t="str">
        <f t="shared" si="43"/>
        <v/>
      </c>
      <c r="AE463" s="7" t="str">
        <f t="shared" si="44"/>
        <v/>
      </c>
      <c r="AF463" s="7" t="str">
        <f t="shared" si="45"/>
        <v/>
      </c>
      <c r="AG463" s="7" t="str">
        <f t="shared" si="46"/>
        <v/>
      </c>
      <c r="AH463" s="7"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7" t="str">
        <f t="shared" si="42"/>
        <v/>
      </c>
      <c r="AD464" s="7" t="str">
        <f t="shared" si="43"/>
        <v/>
      </c>
      <c r="AE464" s="7" t="str">
        <f t="shared" si="44"/>
        <v/>
      </c>
      <c r="AF464" s="7" t="str">
        <f t="shared" si="45"/>
        <v/>
      </c>
      <c r="AG464" s="7" t="str">
        <f t="shared" si="46"/>
        <v/>
      </c>
      <c r="AH464" s="7"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7" t="str">
        <f t="shared" si="42"/>
        <v/>
      </c>
      <c r="AD465" s="7" t="str">
        <f t="shared" si="43"/>
        <v/>
      </c>
      <c r="AE465" s="7" t="str">
        <f t="shared" si="44"/>
        <v/>
      </c>
      <c r="AF465" s="7" t="str">
        <f t="shared" si="45"/>
        <v/>
      </c>
      <c r="AG465" s="7" t="str">
        <f t="shared" si="46"/>
        <v/>
      </c>
      <c r="AH465" s="7"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7" t="str">
        <f t="shared" si="42"/>
        <v/>
      </c>
      <c r="AD466" s="7" t="str">
        <f t="shared" si="43"/>
        <v/>
      </c>
      <c r="AE466" s="7" t="str">
        <f t="shared" si="44"/>
        <v/>
      </c>
      <c r="AF466" s="7" t="str">
        <f t="shared" si="45"/>
        <v/>
      </c>
      <c r="AG466" s="7" t="str">
        <f t="shared" si="46"/>
        <v/>
      </c>
      <c r="AH466" s="7"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7" t="str">
        <f t="shared" si="42"/>
        <v/>
      </c>
      <c r="AD467" s="7" t="str">
        <f t="shared" si="43"/>
        <v/>
      </c>
      <c r="AE467" s="7" t="str">
        <f t="shared" si="44"/>
        <v/>
      </c>
      <c r="AF467" s="7" t="str">
        <f t="shared" si="45"/>
        <v/>
      </c>
      <c r="AG467" s="7" t="str">
        <f t="shared" si="46"/>
        <v/>
      </c>
      <c r="AH467" s="7"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7" t="str">
        <f t="shared" si="42"/>
        <v/>
      </c>
      <c r="AD468" s="7" t="str">
        <f t="shared" si="43"/>
        <v/>
      </c>
      <c r="AE468" s="7" t="str">
        <f t="shared" si="44"/>
        <v/>
      </c>
      <c r="AF468" s="7" t="str">
        <f t="shared" si="45"/>
        <v/>
      </c>
      <c r="AG468" s="7" t="str">
        <f t="shared" si="46"/>
        <v/>
      </c>
      <c r="AH468" s="7"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7" t="str">
        <f t="shared" si="42"/>
        <v/>
      </c>
      <c r="AD469" s="7" t="str">
        <f t="shared" si="43"/>
        <v/>
      </c>
      <c r="AE469" s="7" t="str">
        <f t="shared" si="44"/>
        <v/>
      </c>
      <c r="AF469" s="7" t="str">
        <f t="shared" si="45"/>
        <v/>
      </c>
      <c r="AG469" s="7" t="str">
        <f t="shared" si="46"/>
        <v/>
      </c>
      <c r="AH469" s="7"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7" t="str">
        <f t="shared" si="42"/>
        <v/>
      </c>
      <c r="AD470" s="7" t="str">
        <f t="shared" si="43"/>
        <v/>
      </c>
      <c r="AE470" s="7" t="str">
        <f t="shared" si="44"/>
        <v/>
      </c>
      <c r="AF470" s="7" t="str">
        <f t="shared" si="45"/>
        <v/>
      </c>
      <c r="AG470" s="7" t="str">
        <f t="shared" si="46"/>
        <v/>
      </c>
      <c r="AH470" s="7"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7" t="str">
        <f t="shared" si="42"/>
        <v/>
      </c>
      <c r="AD471" s="7" t="str">
        <f t="shared" si="43"/>
        <v/>
      </c>
      <c r="AE471" s="7" t="str">
        <f t="shared" si="44"/>
        <v/>
      </c>
      <c r="AF471" s="7" t="str">
        <f t="shared" si="45"/>
        <v/>
      </c>
      <c r="AG471" s="7" t="str">
        <f t="shared" si="46"/>
        <v/>
      </c>
      <c r="AH471" s="7"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7" t="str">
        <f t="shared" si="42"/>
        <v/>
      </c>
      <c r="AD472" s="7" t="str">
        <f t="shared" si="43"/>
        <v/>
      </c>
      <c r="AE472" s="7" t="str">
        <f t="shared" si="44"/>
        <v/>
      </c>
      <c r="AF472" s="7" t="str">
        <f t="shared" si="45"/>
        <v/>
      </c>
      <c r="AG472" s="7" t="str">
        <f t="shared" si="46"/>
        <v/>
      </c>
      <c r="AH472" s="7"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7" t="str">
        <f t="shared" si="42"/>
        <v/>
      </c>
      <c r="AD473" s="7" t="str">
        <f t="shared" si="43"/>
        <v/>
      </c>
      <c r="AE473" s="7" t="str">
        <f t="shared" si="44"/>
        <v/>
      </c>
      <c r="AF473" s="7" t="str">
        <f t="shared" si="45"/>
        <v/>
      </c>
      <c r="AG473" s="7" t="str">
        <f t="shared" si="46"/>
        <v/>
      </c>
      <c r="AH473" s="7"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7" t="str">
        <f t="shared" si="42"/>
        <v/>
      </c>
      <c r="AD474" s="7" t="str">
        <f t="shared" si="43"/>
        <v/>
      </c>
      <c r="AE474" s="7" t="str">
        <f t="shared" si="44"/>
        <v/>
      </c>
      <c r="AF474" s="7" t="str">
        <f t="shared" si="45"/>
        <v/>
      </c>
      <c r="AG474" s="7" t="str">
        <f t="shared" si="46"/>
        <v/>
      </c>
      <c r="AH474" s="7"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7" t="str">
        <f t="shared" si="42"/>
        <v/>
      </c>
      <c r="AD475" s="7" t="str">
        <f t="shared" si="43"/>
        <v/>
      </c>
      <c r="AE475" s="7" t="str">
        <f t="shared" si="44"/>
        <v/>
      </c>
      <c r="AF475" s="7" t="str">
        <f t="shared" si="45"/>
        <v/>
      </c>
      <c r="AG475" s="7" t="str">
        <f t="shared" si="46"/>
        <v/>
      </c>
      <c r="AH475" s="7"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7" t="str">
        <f t="shared" si="42"/>
        <v/>
      </c>
      <c r="AD476" s="7" t="str">
        <f t="shared" si="43"/>
        <v/>
      </c>
      <c r="AE476" s="7" t="str">
        <f t="shared" si="44"/>
        <v/>
      </c>
      <c r="AF476" s="7" t="str">
        <f t="shared" si="45"/>
        <v/>
      </c>
      <c r="AG476" s="7" t="str">
        <f t="shared" si="46"/>
        <v/>
      </c>
      <c r="AH476" s="7"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7" t="str">
        <f t="shared" si="42"/>
        <v/>
      </c>
      <c r="AD477" s="7" t="str">
        <f t="shared" si="43"/>
        <v/>
      </c>
      <c r="AE477" s="7" t="str">
        <f t="shared" si="44"/>
        <v/>
      </c>
      <c r="AF477" s="7" t="str">
        <f t="shared" si="45"/>
        <v/>
      </c>
      <c r="AG477" s="7" t="str">
        <f t="shared" si="46"/>
        <v/>
      </c>
      <c r="AH477" s="7"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7" t="str">
        <f t="shared" si="42"/>
        <v/>
      </c>
      <c r="AD478" s="7" t="str">
        <f t="shared" si="43"/>
        <v/>
      </c>
      <c r="AE478" s="7" t="str">
        <f t="shared" si="44"/>
        <v/>
      </c>
      <c r="AF478" s="7" t="str">
        <f t="shared" si="45"/>
        <v/>
      </c>
      <c r="AG478" s="7" t="str">
        <f t="shared" si="46"/>
        <v/>
      </c>
      <c r="AH478" s="7"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7" t="str">
        <f t="shared" si="42"/>
        <v/>
      </c>
      <c r="AD479" s="7" t="str">
        <f t="shared" si="43"/>
        <v/>
      </c>
      <c r="AE479" s="7" t="str">
        <f t="shared" si="44"/>
        <v/>
      </c>
      <c r="AF479" s="7" t="str">
        <f t="shared" si="45"/>
        <v/>
      </c>
      <c r="AG479" s="7" t="str">
        <f t="shared" si="46"/>
        <v/>
      </c>
      <c r="AH479" s="7"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7" t="str">
        <f t="shared" si="42"/>
        <v/>
      </c>
      <c r="AD480" s="7" t="str">
        <f t="shared" si="43"/>
        <v/>
      </c>
      <c r="AE480" s="7" t="str">
        <f t="shared" si="44"/>
        <v/>
      </c>
      <c r="AF480" s="7" t="str">
        <f t="shared" si="45"/>
        <v/>
      </c>
      <c r="AG480" s="7" t="str">
        <f t="shared" si="46"/>
        <v/>
      </c>
      <c r="AH480" s="7"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7" t="str">
        <f t="shared" si="42"/>
        <v/>
      </c>
      <c r="AD481" s="7" t="str">
        <f t="shared" si="43"/>
        <v/>
      </c>
      <c r="AE481" s="7" t="str">
        <f t="shared" si="44"/>
        <v/>
      </c>
      <c r="AF481" s="7" t="str">
        <f t="shared" si="45"/>
        <v/>
      </c>
      <c r="AG481" s="7" t="str">
        <f t="shared" si="46"/>
        <v/>
      </c>
      <c r="AH481" s="7"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7" t="str">
        <f t="shared" si="42"/>
        <v/>
      </c>
      <c r="AD482" s="7" t="str">
        <f t="shared" si="43"/>
        <v/>
      </c>
      <c r="AE482" s="7" t="str">
        <f t="shared" si="44"/>
        <v/>
      </c>
      <c r="AF482" s="7" t="str">
        <f t="shared" si="45"/>
        <v/>
      </c>
      <c r="AG482" s="7" t="str">
        <f t="shared" si="46"/>
        <v/>
      </c>
      <c r="AH482" s="7"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7" t="str">
        <f t="shared" si="42"/>
        <v/>
      </c>
      <c r="AD483" s="7" t="str">
        <f t="shared" si="43"/>
        <v/>
      </c>
      <c r="AE483" s="7" t="str">
        <f t="shared" si="44"/>
        <v/>
      </c>
      <c r="AF483" s="7" t="str">
        <f t="shared" si="45"/>
        <v/>
      </c>
      <c r="AG483" s="7" t="str">
        <f t="shared" si="46"/>
        <v/>
      </c>
      <c r="AH483" s="7"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7" t="str">
        <f t="shared" si="42"/>
        <v/>
      </c>
      <c r="AD484" s="7" t="str">
        <f t="shared" si="43"/>
        <v/>
      </c>
      <c r="AE484" s="7" t="str">
        <f t="shared" si="44"/>
        <v/>
      </c>
      <c r="AF484" s="7" t="str">
        <f t="shared" si="45"/>
        <v/>
      </c>
      <c r="AG484" s="7" t="str">
        <f t="shared" si="46"/>
        <v/>
      </c>
      <c r="AH484" s="7"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7" t="str">
        <f t="shared" si="42"/>
        <v/>
      </c>
      <c r="AD485" s="7" t="str">
        <f t="shared" si="43"/>
        <v/>
      </c>
      <c r="AE485" s="7" t="str">
        <f t="shared" si="44"/>
        <v/>
      </c>
      <c r="AF485" s="7" t="str">
        <f t="shared" si="45"/>
        <v/>
      </c>
      <c r="AG485" s="7" t="str">
        <f t="shared" si="46"/>
        <v/>
      </c>
      <c r="AH485" s="7"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7" t="str">
        <f t="shared" si="42"/>
        <v/>
      </c>
      <c r="AD486" s="7" t="str">
        <f t="shared" si="43"/>
        <v/>
      </c>
      <c r="AE486" s="7" t="str">
        <f t="shared" si="44"/>
        <v/>
      </c>
      <c r="AF486" s="7" t="str">
        <f t="shared" si="45"/>
        <v/>
      </c>
      <c r="AG486" s="7" t="str">
        <f t="shared" si="46"/>
        <v/>
      </c>
      <c r="AH486" s="7"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7" t="str">
        <f t="shared" si="42"/>
        <v/>
      </c>
      <c r="AD487" s="7" t="str">
        <f t="shared" si="43"/>
        <v/>
      </c>
      <c r="AE487" s="7" t="str">
        <f t="shared" si="44"/>
        <v/>
      </c>
      <c r="AF487" s="7" t="str">
        <f t="shared" si="45"/>
        <v/>
      </c>
      <c r="AG487" s="7" t="str">
        <f t="shared" si="46"/>
        <v/>
      </c>
      <c r="AH487" s="7"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7" t="str">
        <f t="shared" si="42"/>
        <v/>
      </c>
      <c r="AD488" s="7" t="str">
        <f t="shared" si="43"/>
        <v/>
      </c>
      <c r="AE488" s="7" t="str">
        <f t="shared" si="44"/>
        <v/>
      </c>
      <c r="AF488" s="7" t="str">
        <f t="shared" si="45"/>
        <v/>
      </c>
      <c r="AG488" s="7" t="str">
        <f t="shared" si="46"/>
        <v/>
      </c>
      <c r="AH488" s="7"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7" t="str">
        <f t="shared" si="42"/>
        <v/>
      </c>
      <c r="AD489" s="7" t="str">
        <f t="shared" si="43"/>
        <v/>
      </c>
      <c r="AE489" s="7" t="str">
        <f t="shared" si="44"/>
        <v/>
      </c>
      <c r="AF489" s="7" t="str">
        <f t="shared" si="45"/>
        <v/>
      </c>
      <c r="AG489" s="7" t="str">
        <f t="shared" si="46"/>
        <v/>
      </c>
      <c r="AH489" s="7"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7" t="str">
        <f t="shared" si="42"/>
        <v/>
      </c>
      <c r="AD490" s="7" t="str">
        <f t="shared" si="43"/>
        <v/>
      </c>
      <c r="AE490" s="7" t="str">
        <f t="shared" si="44"/>
        <v/>
      </c>
      <c r="AF490" s="7" t="str">
        <f t="shared" si="45"/>
        <v/>
      </c>
      <c r="AG490" s="7" t="str">
        <f t="shared" si="46"/>
        <v/>
      </c>
      <c r="AH490" s="7"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7" t="str">
        <f t="shared" si="42"/>
        <v/>
      </c>
      <c r="AD491" s="7" t="str">
        <f t="shared" si="43"/>
        <v/>
      </c>
      <c r="AE491" s="7" t="str">
        <f t="shared" si="44"/>
        <v/>
      </c>
      <c r="AF491" s="7" t="str">
        <f t="shared" si="45"/>
        <v/>
      </c>
      <c r="AG491" s="7" t="str">
        <f t="shared" si="46"/>
        <v/>
      </c>
      <c r="AH491" s="7"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7" t="str">
        <f t="shared" si="42"/>
        <v/>
      </c>
      <c r="AD492" s="7" t="str">
        <f t="shared" si="43"/>
        <v/>
      </c>
      <c r="AE492" s="7" t="str">
        <f t="shared" si="44"/>
        <v/>
      </c>
      <c r="AF492" s="7" t="str">
        <f t="shared" si="45"/>
        <v/>
      </c>
      <c r="AG492" s="7" t="str">
        <f t="shared" si="46"/>
        <v/>
      </c>
      <c r="AH492" s="7"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7" t="str">
        <f t="shared" si="42"/>
        <v/>
      </c>
      <c r="AD493" s="7" t="str">
        <f t="shared" si="43"/>
        <v/>
      </c>
      <c r="AE493" s="7" t="str">
        <f t="shared" si="44"/>
        <v/>
      </c>
      <c r="AF493" s="7" t="str">
        <f t="shared" si="45"/>
        <v/>
      </c>
      <c r="AG493" s="7" t="str">
        <f t="shared" si="46"/>
        <v/>
      </c>
      <c r="AH493" s="7"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7" t="str">
        <f t="shared" si="42"/>
        <v/>
      </c>
      <c r="AD494" s="7" t="str">
        <f t="shared" si="43"/>
        <v/>
      </c>
      <c r="AE494" s="7" t="str">
        <f t="shared" si="44"/>
        <v/>
      </c>
      <c r="AF494" s="7" t="str">
        <f t="shared" si="45"/>
        <v/>
      </c>
      <c r="AG494" s="7" t="str">
        <f t="shared" si="46"/>
        <v/>
      </c>
      <c r="AH494" s="7"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7" t="str">
        <f t="shared" si="42"/>
        <v/>
      </c>
      <c r="AD495" s="7" t="str">
        <f t="shared" si="43"/>
        <v/>
      </c>
      <c r="AE495" s="7" t="str">
        <f t="shared" si="44"/>
        <v/>
      </c>
      <c r="AF495" s="7" t="str">
        <f t="shared" si="45"/>
        <v/>
      </c>
      <c r="AG495" s="7" t="str">
        <f t="shared" si="46"/>
        <v/>
      </c>
      <c r="AH495" s="7"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7" t="str">
        <f t="shared" si="42"/>
        <v/>
      </c>
      <c r="AD496" s="7" t="str">
        <f t="shared" si="43"/>
        <v/>
      </c>
      <c r="AE496" s="7" t="str">
        <f t="shared" si="44"/>
        <v/>
      </c>
      <c r="AF496" s="7" t="str">
        <f t="shared" si="45"/>
        <v/>
      </c>
      <c r="AG496" s="7" t="str">
        <f t="shared" si="46"/>
        <v/>
      </c>
      <c r="AH496" s="7"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7" t="str">
        <f t="shared" si="42"/>
        <v/>
      </c>
      <c r="AD497" s="7" t="str">
        <f t="shared" si="43"/>
        <v/>
      </c>
      <c r="AE497" s="7" t="str">
        <f t="shared" si="44"/>
        <v/>
      </c>
      <c r="AF497" s="7" t="str">
        <f t="shared" si="45"/>
        <v/>
      </c>
      <c r="AG497" s="7" t="str">
        <f t="shared" si="46"/>
        <v/>
      </c>
      <c r="AH497" s="7"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7" t="str">
        <f t="shared" si="42"/>
        <v/>
      </c>
      <c r="AD498" s="7" t="str">
        <f t="shared" si="43"/>
        <v/>
      </c>
      <c r="AE498" s="7" t="str">
        <f t="shared" si="44"/>
        <v/>
      </c>
      <c r="AF498" s="7" t="str">
        <f t="shared" si="45"/>
        <v/>
      </c>
      <c r="AG498" s="7" t="str">
        <f t="shared" si="46"/>
        <v/>
      </c>
      <c r="AH498" s="7"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7" t="str">
        <f t="shared" si="42"/>
        <v/>
      </c>
      <c r="AD499" s="7" t="str">
        <f t="shared" si="43"/>
        <v/>
      </c>
      <c r="AE499" s="7" t="str">
        <f t="shared" si="44"/>
        <v/>
      </c>
      <c r="AF499" s="7" t="str">
        <f t="shared" si="45"/>
        <v/>
      </c>
      <c r="AG499" s="7" t="str">
        <f t="shared" si="46"/>
        <v/>
      </c>
      <c r="AH499" s="7"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7" t="str">
        <f t="shared" si="42"/>
        <v/>
      </c>
      <c r="AD500" s="7" t="str">
        <f t="shared" si="43"/>
        <v/>
      </c>
      <c r="AE500" s="7" t="str">
        <f t="shared" si="44"/>
        <v/>
      </c>
      <c r="AF500" s="7" t="str">
        <f t="shared" si="45"/>
        <v/>
      </c>
      <c r="AG500" s="7" t="str">
        <f t="shared" si="46"/>
        <v/>
      </c>
      <c r="AH500" s="7"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7" t="str">
        <f t="shared" si="42"/>
        <v/>
      </c>
      <c r="AD501" s="7" t="str">
        <f t="shared" si="43"/>
        <v/>
      </c>
      <c r="AE501" s="7" t="str">
        <f t="shared" si="44"/>
        <v/>
      </c>
      <c r="AF501" s="7" t="str">
        <f t="shared" si="45"/>
        <v/>
      </c>
      <c r="AG501" s="7" t="str">
        <f t="shared" si="46"/>
        <v/>
      </c>
      <c r="AH501" s="7"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7" t="str">
        <f t="shared" si="42"/>
        <v/>
      </c>
      <c r="AD502" s="7" t="str">
        <f t="shared" si="43"/>
        <v/>
      </c>
      <c r="AE502" s="7" t="str">
        <f t="shared" si="44"/>
        <v/>
      </c>
      <c r="AF502" s="7" t="str">
        <f t="shared" si="45"/>
        <v/>
      </c>
      <c r="AG502" s="7" t="str">
        <f t="shared" si="46"/>
        <v/>
      </c>
      <c r="AH502" s="7"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7" t="str">
        <f t="shared" si="42"/>
        <v/>
      </c>
      <c r="AD503" s="7" t="str">
        <f t="shared" si="43"/>
        <v/>
      </c>
      <c r="AE503" s="7" t="str">
        <f t="shared" si="44"/>
        <v/>
      </c>
      <c r="AF503" s="7" t="str">
        <f t="shared" si="45"/>
        <v/>
      </c>
      <c r="AG503" s="7" t="str">
        <f t="shared" si="46"/>
        <v/>
      </c>
      <c r="AH503" s="7"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7" t="str">
        <f t="shared" si="42"/>
        <v/>
      </c>
      <c r="AD504" s="7" t="str">
        <f t="shared" si="43"/>
        <v/>
      </c>
      <c r="AE504" s="7" t="str">
        <f t="shared" si="44"/>
        <v/>
      </c>
      <c r="AF504" s="7" t="str">
        <f t="shared" si="45"/>
        <v/>
      </c>
      <c r="AG504" s="7" t="str">
        <f t="shared" si="46"/>
        <v/>
      </c>
      <c r="AH504" s="7"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7" t="str">
        <f t="shared" si="42"/>
        <v/>
      </c>
      <c r="AD505" s="7" t="str">
        <f t="shared" si="43"/>
        <v/>
      </c>
      <c r="AE505" s="7" t="str">
        <f t="shared" si="44"/>
        <v/>
      </c>
      <c r="AF505" s="7" t="str">
        <f t="shared" si="45"/>
        <v/>
      </c>
      <c r="AG505" s="7" t="str">
        <f t="shared" si="46"/>
        <v/>
      </c>
      <c r="AH505" s="7"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7" t="str">
        <f t="shared" si="42"/>
        <v/>
      </c>
      <c r="AD506" s="7" t="str">
        <f t="shared" si="43"/>
        <v/>
      </c>
      <c r="AE506" s="7" t="str">
        <f t="shared" si="44"/>
        <v/>
      </c>
      <c r="AF506" s="7" t="str">
        <f t="shared" si="45"/>
        <v/>
      </c>
      <c r="AG506" s="7" t="str">
        <f t="shared" si="46"/>
        <v/>
      </c>
      <c r="AH506" s="7"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7" t="str">
        <f t="shared" si="42"/>
        <v/>
      </c>
      <c r="AD507" s="7" t="str">
        <f t="shared" si="43"/>
        <v/>
      </c>
      <c r="AE507" s="7" t="str">
        <f t="shared" si="44"/>
        <v/>
      </c>
      <c r="AF507" s="7" t="str">
        <f t="shared" si="45"/>
        <v/>
      </c>
      <c r="AG507" s="7" t="str">
        <f t="shared" si="46"/>
        <v/>
      </c>
      <c r="AH507" s="7"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7" t="str">
        <f t="shared" si="42"/>
        <v/>
      </c>
      <c r="AD508" s="7" t="str">
        <f t="shared" si="43"/>
        <v/>
      </c>
      <c r="AE508" s="7" t="str">
        <f t="shared" si="44"/>
        <v/>
      </c>
      <c r="AF508" s="7" t="str">
        <f t="shared" si="45"/>
        <v/>
      </c>
      <c r="AG508" s="7" t="str">
        <f t="shared" si="46"/>
        <v/>
      </c>
      <c r="AH508" s="7"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7" t="str">
        <f t="shared" si="42"/>
        <v/>
      </c>
      <c r="AD509" s="7" t="str">
        <f t="shared" si="43"/>
        <v/>
      </c>
      <c r="AE509" s="7" t="str">
        <f t="shared" si="44"/>
        <v/>
      </c>
      <c r="AF509" s="7" t="str">
        <f t="shared" si="45"/>
        <v/>
      </c>
      <c r="AG509" s="7" t="str">
        <f t="shared" si="46"/>
        <v/>
      </c>
      <c r="AH509" s="7"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7" t="str">
        <f t="shared" si="42"/>
        <v/>
      </c>
      <c r="AD510" s="7" t="str">
        <f t="shared" si="43"/>
        <v/>
      </c>
      <c r="AE510" s="7" t="str">
        <f t="shared" si="44"/>
        <v/>
      </c>
      <c r="AF510" s="7" t="str">
        <f t="shared" si="45"/>
        <v/>
      </c>
      <c r="AG510" s="7" t="str">
        <f t="shared" si="46"/>
        <v/>
      </c>
      <c r="AH510" s="7"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7" t="str">
        <f t="shared" si="42"/>
        <v/>
      </c>
      <c r="AD511" s="7" t="str">
        <f t="shared" si="43"/>
        <v/>
      </c>
      <c r="AE511" s="7" t="str">
        <f t="shared" si="44"/>
        <v/>
      </c>
      <c r="AF511" s="7" t="str">
        <f t="shared" si="45"/>
        <v/>
      </c>
      <c r="AG511" s="7" t="str">
        <f t="shared" si="46"/>
        <v/>
      </c>
      <c r="AH511" s="7"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7" t="str">
        <f t="shared" si="42"/>
        <v/>
      </c>
      <c r="AD512" s="7" t="str">
        <f t="shared" si="43"/>
        <v/>
      </c>
      <c r="AE512" s="7" t="str">
        <f t="shared" si="44"/>
        <v/>
      </c>
      <c r="AF512" s="7" t="str">
        <f t="shared" si="45"/>
        <v/>
      </c>
      <c r="AG512" s="7" t="str">
        <f t="shared" si="46"/>
        <v/>
      </c>
      <c r="AH512" s="7"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7" t="str">
        <f t="shared" si="42"/>
        <v/>
      </c>
      <c r="AD513" s="7" t="str">
        <f t="shared" si="43"/>
        <v/>
      </c>
      <c r="AE513" s="7" t="str">
        <f t="shared" si="44"/>
        <v/>
      </c>
      <c r="AF513" s="7" t="str">
        <f t="shared" si="45"/>
        <v/>
      </c>
      <c r="AG513" s="7" t="str">
        <f t="shared" si="46"/>
        <v/>
      </c>
      <c r="AH513" s="7"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7" t="str">
        <f t="shared" si="42"/>
        <v/>
      </c>
      <c r="AD514" s="7" t="str">
        <f t="shared" si="43"/>
        <v/>
      </c>
      <c r="AE514" s="7" t="str">
        <f t="shared" si="44"/>
        <v/>
      </c>
      <c r="AF514" s="7" t="str">
        <f t="shared" si="45"/>
        <v/>
      </c>
      <c r="AG514" s="7" t="str">
        <f t="shared" si="46"/>
        <v/>
      </c>
      <c r="AH514" s="7"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7" t="str">
        <f t="shared" si="42"/>
        <v/>
      </c>
      <c r="AD515" s="7" t="str">
        <f t="shared" si="43"/>
        <v/>
      </c>
      <c r="AE515" s="7" t="str">
        <f t="shared" si="44"/>
        <v/>
      </c>
      <c r="AF515" s="7" t="str">
        <f t="shared" si="45"/>
        <v/>
      </c>
      <c r="AG515" s="7" t="str">
        <f t="shared" si="46"/>
        <v/>
      </c>
      <c r="AH515" s="7"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7" t="str">
        <f t="shared" si="42"/>
        <v/>
      </c>
      <c r="AD516" s="7" t="str">
        <f t="shared" si="43"/>
        <v/>
      </c>
      <c r="AE516" s="7" t="str">
        <f t="shared" si="44"/>
        <v/>
      </c>
      <c r="AF516" s="7" t="str">
        <f t="shared" si="45"/>
        <v/>
      </c>
      <c r="AG516" s="7" t="str">
        <f t="shared" si="46"/>
        <v/>
      </c>
      <c r="AH516" s="7" t="str">
        <f t="shared" si="47"/>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7" t="str">
        <f t="shared" ref="AC517:AC580" si="48">IF(COUNT(A517,L517,N517,P517,X517,Y517)&gt;0,AVERAGE(A517,L517,N517,P517,X517,Y517),"")</f>
        <v/>
      </c>
      <c r="AD517" s="7" t="str">
        <f t="shared" ref="AD517:AD580" si="49">IF(COUNT(B517,D517,M517,U517)&gt;0,AVERAGE(B517,D517,M517,U517),"")</f>
        <v/>
      </c>
      <c r="AE517" s="7" t="str">
        <f t="shared" ref="AE517:AE580" si="50">IF(COUNT(I517,T517,V517,W517)&gt;0,AVERAGE(I517,T517,V517,W517),"")</f>
        <v/>
      </c>
      <c r="AF517" s="7" t="str">
        <f t="shared" ref="AF517:AF580" si="51">IF(COUNT(H517,K517,Q517,S517)&gt;0,AVERAGE(H517,K517,Q517,S517),"")</f>
        <v/>
      </c>
      <c r="AG517" s="7" t="str">
        <f t="shared" ref="AG517:AG580" si="52">IF(COUNT(E517,F517,G517,R517)&gt;0,AVERAGE(E517,F517,G517,R517),"")</f>
        <v/>
      </c>
      <c r="AH517" s="7" t="str">
        <f t="shared" ref="AH517:AH580" si="53">IF(COUNT(C517,J517,O517,Z517)&gt;0,AVERAGE(C517,J517,O517,Z517),"")</f>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7" t="str">
        <f t="shared" si="48"/>
        <v/>
      </c>
      <c r="AD518" s="7" t="str">
        <f t="shared" si="49"/>
        <v/>
      </c>
      <c r="AE518" s="7" t="str">
        <f t="shared" si="50"/>
        <v/>
      </c>
      <c r="AF518" s="7" t="str">
        <f t="shared" si="51"/>
        <v/>
      </c>
      <c r="AG518" s="7" t="str">
        <f t="shared" si="52"/>
        <v/>
      </c>
      <c r="AH518" s="7"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7" t="str">
        <f t="shared" si="48"/>
        <v/>
      </c>
      <c r="AD519" s="7" t="str">
        <f t="shared" si="49"/>
        <v/>
      </c>
      <c r="AE519" s="7" t="str">
        <f t="shared" si="50"/>
        <v/>
      </c>
      <c r="AF519" s="7" t="str">
        <f t="shared" si="51"/>
        <v/>
      </c>
      <c r="AG519" s="7" t="str">
        <f t="shared" si="52"/>
        <v/>
      </c>
      <c r="AH519" s="7"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7" t="str">
        <f t="shared" si="48"/>
        <v/>
      </c>
      <c r="AD520" s="7" t="str">
        <f t="shared" si="49"/>
        <v/>
      </c>
      <c r="AE520" s="7" t="str">
        <f t="shared" si="50"/>
        <v/>
      </c>
      <c r="AF520" s="7" t="str">
        <f t="shared" si="51"/>
        <v/>
      </c>
      <c r="AG520" s="7" t="str">
        <f t="shared" si="52"/>
        <v/>
      </c>
      <c r="AH520" s="7"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7" t="str">
        <f t="shared" si="48"/>
        <v/>
      </c>
      <c r="AD521" s="7" t="str">
        <f t="shared" si="49"/>
        <v/>
      </c>
      <c r="AE521" s="7" t="str">
        <f t="shared" si="50"/>
        <v/>
      </c>
      <c r="AF521" s="7" t="str">
        <f t="shared" si="51"/>
        <v/>
      </c>
      <c r="AG521" s="7" t="str">
        <f t="shared" si="52"/>
        <v/>
      </c>
      <c r="AH521" s="7"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7" t="str">
        <f t="shared" si="48"/>
        <v/>
      </c>
      <c r="AD522" s="7" t="str">
        <f t="shared" si="49"/>
        <v/>
      </c>
      <c r="AE522" s="7" t="str">
        <f t="shared" si="50"/>
        <v/>
      </c>
      <c r="AF522" s="7" t="str">
        <f t="shared" si="51"/>
        <v/>
      </c>
      <c r="AG522" s="7" t="str">
        <f t="shared" si="52"/>
        <v/>
      </c>
      <c r="AH522" s="7"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7" t="str">
        <f t="shared" si="48"/>
        <v/>
      </c>
      <c r="AD523" s="7" t="str">
        <f t="shared" si="49"/>
        <v/>
      </c>
      <c r="AE523" s="7" t="str">
        <f t="shared" si="50"/>
        <v/>
      </c>
      <c r="AF523" s="7" t="str">
        <f t="shared" si="51"/>
        <v/>
      </c>
      <c r="AG523" s="7" t="str">
        <f t="shared" si="52"/>
        <v/>
      </c>
      <c r="AH523" s="7"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7" t="str">
        <f t="shared" si="48"/>
        <v/>
      </c>
      <c r="AD524" s="7" t="str">
        <f t="shared" si="49"/>
        <v/>
      </c>
      <c r="AE524" s="7" t="str">
        <f t="shared" si="50"/>
        <v/>
      </c>
      <c r="AF524" s="7" t="str">
        <f t="shared" si="51"/>
        <v/>
      </c>
      <c r="AG524" s="7" t="str">
        <f t="shared" si="52"/>
        <v/>
      </c>
      <c r="AH524" s="7"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7" t="str">
        <f t="shared" si="48"/>
        <v/>
      </c>
      <c r="AD525" s="7" t="str">
        <f t="shared" si="49"/>
        <v/>
      </c>
      <c r="AE525" s="7" t="str">
        <f t="shared" si="50"/>
        <v/>
      </c>
      <c r="AF525" s="7" t="str">
        <f t="shared" si="51"/>
        <v/>
      </c>
      <c r="AG525" s="7" t="str">
        <f t="shared" si="52"/>
        <v/>
      </c>
      <c r="AH525" s="7"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7" t="str">
        <f t="shared" si="48"/>
        <v/>
      </c>
      <c r="AD526" s="7" t="str">
        <f t="shared" si="49"/>
        <v/>
      </c>
      <c r="AE526" s="7" t="str">
        <f t="shared" si="50"/>
        <v/>
      </c>
      <c r="AF526" s="7" t="str">
        <f t="shared" si="51"/>
        <v/>
      </c>
      <c r="AG526" s="7" t="str">
        <f t="shared" si="52"/>
        <v/>
      </c>
      <c r="AH526" s="7"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7" t="str">
        <f t="shared" si="48"/>
        <v/>
      </c>
      <c r="AD527" s="7" t="str">
        <f t="shared" si="49"/>
        <v/>
      </c>
      <c r="AE527" s="7" t="str">
        <f t="shared" si="50"/>
        <v/>
      </c>
      <c r="AF527" s="7" t="str">
        <f t="shared" si="51"/>
        <v/>
      </c>
      <c r="AG527" s="7" t="str">
        <f t="shared" si="52"/>
        <v/>
      </c>
      <c r="AH527" s="7"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7" t="str">
        <f t="shared" si="48"/>
        <v/>
      </c>
      <c r="AD528" s="7" t="str">
        <f t="shared" si="49"/>
        <v/>
      </c>
      <c r="AE528" s="7" t="str">
        <f t="shared" si="50"/>
        <v/>
      </c>
      <c r="AF528" s="7" t="str">
        <f t="shared" si="51"/>
        <v/>
      </c>
      <c r="AG528" s="7" t="str">
        <f t="shared" si="52"/>
        <v/>
      </c>
      <c r="AH528" s="7"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7" t="str">
        <f t="shared" si="48"/>
        <v/>
      </c>
      <c r="AD529" s="7" t="str">
        <f t="shared" si="49"/>
        <v/>
      </c>
      <c r="AE529" s="7" t="str">
        <f t="shared" si="50"/>
        <v/>
      </c>
      <c r="AF529" s="7" t="str">
        <f t="shared" si="51"/>
        <v/>
      </c>
      <c r="AG529" s="7" t="str">
        <f t="shared" si="52"/>
        <v/>
      </c>
      <c r="AH529" s="7"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7" t="str">
        <f t="shared" si="48"/>
        <v/>
      </c>
      <c r="AD530" s="7" t="str">
        <f t="shared" si="49"/>
        <v/>
      </c>
      <c r="AE530" s="7" t="str">
        <f t="shared" si="50"/>
        <v/>
      </c>
      <c r="AF530" s="7" t="str">
        <f t="shared" si="51"/>
        <v/>
      </c>
      <c r="AG530" s="7" t="str">
        <f t="shared" si="52"/>
        <v/>
      </c>
      <c r="AH530" s="7"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7" t="str">
        <f t="shared" si="48"/>
        <v/>
      </c>
      <c r="AD531" s="7" t="str">
        <f t="shared" si="49"/>
        <v/>
      </c>
      <c r="AE531" s="7" t="str">
        <f t="shared" si="50"/>
        <v/>
      </c>
      <c r="AF531" s="7" t="str">
        <f t="shared" si="51"/>
        <v/>
      </c>
      <c r="AG531" s="7" t="str">
        <f t="shared" si="52"/>
        <v/>
      </c>
      <c r="AH531" s="7"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7" t="str">
        <f t="shared" si="48"/>
        <v/>
      </c>
      <c r="AD532" s="7" t="str">
        <f t="shared" si="49"/>
        <v/>
      </c>
      <c r="AE532" s="7" t="str">
        <f t="shared" si="50"/>
        <v/>
      </c>
      <c r="AF532" s="7" t="str">
        <f t="shared" si="51"/>
        <v/>
      </c>
      <c r="AG532" s="7" t="str">
        <f t="shared" si="52"/>
        <v/>
      </c>
      <c r="AH532" s="7"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7" t="str">
        <f t="shared" si="48"/>
        <v/>
      </c>
      <c r="AD533" s="7" t="str">
        <f t="shared" si="49"/>
        <v/>
      </c>
      <c r="AE533" s="7" t="str">
        <f t="shared" si="50"/>
        <v/>
      </c>
      <c r="AF533" s="7" t="str">
        <f t="shared" si="51"/>
        <v/>
      </c>
      <c r="AG533" s="7" t="str">
        <f t="shared" si="52"/>
        <v/>
      </c>
      <c r="AH533" s="7"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7" t="str">
        <f t="shared" si="48"/>
        <v/>
      </c>
      <c r="AD534" s="7" t="str">
        <f t="shared" si="49"/>
        <v/>
      </c>
      <c r="AE534" s="7" t="str">
        <f t="shared" si="50"/>
        <v/>
      </c>
      <c r="AF534" s="7" t="str">
        <f t="shared" si="51"/>
        <v/>
      </c>
      <c r="AG534" s="7" t="str">
        <f t="shared" si="52"/>
        <v/>
      </c>
      <c r="AH534" s="7"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7" t="str">
        <f t="shared" si="48"/>
        <v/>
      </c>
      <c r="AD535" s="7" t="str">
        <f t="shared" si="49"/>
        <v/>
      </c>
      <c r="AE535" s="7" t="str">
        <f t="shared" si="50"/>
        <v/>
      </c>
      <c r="AF535" s="7" t="str">
        <f t="shared" si="51"/>
        <v/>
      </c>
      <c r="AG535" s="7" t="str">
        <f t="shared" si="52"/>
        <v/>
      </c>
      <c r="AH535" s="7"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7" t="str">
        <f t="shared" si="48"/>
        <v/>
      </c>
      <c r="AD536" s="7" t="str">
        <f t="shared" si="49"/>
        <v/>
      </c>
      <c r="AE536" s="7" t="str">
        <f t="shared" si="50"/>
        <v/>
      </c>
      <c r="AF536" s="7" t="str">
        <f t="shared" si="51"/>
        <v/>
      </c>
      <c r="AG536" s="7" t="str">
        <f t="shared" si="52"/>
        <v/>
      </c>
      <c r="AH536" s="7"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7" t="str">
        <f t="shared" si="48"/>
        <v/>
      </c>
      <c r="AD537" s="7" t="str">
        <f t="shared" si="49"/>
        <v/>
      </c>
      <c r="AE537" s="7" t="str">
        <f t="shared" si="50"/>
        <v/>
      </c>
      <c r="AF537" s="7" t="str">
        <f t="shared" si="51"/>
        <v/>
      </c>
      <c r="AG537" s="7" t="str">
        <f t="shared" si="52"/>
        <v/>
      </c>
      <c r="AH537" s="7"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7" t="str">
        <f t="shared" si="48"/>
        <v/>
      </c>
      <c r="AD538" s="7" t="str">
        <f t="shared" si="49"/>
        <v/>
      </c>
      <c r="AE538" s="7" t="str">
        <f t="shared" si="50"/>
        <v/>
      </c>
      <c r="AF538" s="7" t="str">
        <f t="shared" si="51"/>
        <v/>
      </c>
      <c r="AG538" s="7" t="str">
        <f t="shared" si="52"/>
        <v/>
      </c>
      <c r="AH538" s="7"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7" t="str">
        <f t="shared" si="48"/>
        <v/>
      </c>
      <c r="AD539" s="7" t="str">
        <f t="shared" si="49"/>
        <v/>
      </c>
      <c r="AE539" s="7" t="str">
        <f t="shared" si="50"/>
        <v/>
      </c>
      <c r="AF539" s="7" t="str">
        <f t="shared" si="51"/>
        <v/>
      </c>
      <c r="AG539" s="7" t="str">
        <f t="shared" si="52"/>
        <v/>
      </c>
      <c r="AH539" s="7"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7" t="str">
        <f t="shared" si="48"/>
        <v/>
      </c>
      <c r="AD540" s="7" t="str">
        <f t="shared" si="49"/>
        <v/>
      </c>
      <c r="AE540" s="7" t="str">
        <f t="shared" si="50"/>
        <v/>
      </c>
      <c r="AF540" s="7" t="str">
        <f t="shared" si="51"/>
        <v/>
      </c>
      <c r="AG540" s="7" t="str">
        <f t="shared" si="52"/>
        <v/>
      </c>
      <c r="AH540" s="7"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7" t="str">
        <f t="shared" si="48"/>
        <v/>
      </c>
      <c r="AD541" s="7" t="str">
        <f t="shared" si="49"/>
        <v/>
      </c>
      <c r="AE541" s="7" t="str">
        <f t="shared" si="50"/>
        <v/>
      </c>
      <c r="AF541" s="7" t="str">
        <f t="shared" si="51"/>
        <v/>
      </c>
      <c r="AG541" s="7" t="str">
        <f t="shared" si="52"/>
        <v/>
      </c>
      <c r="AH541" s="7"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7" t="str">
        <f t="shared" si="48"/>
        <v/>
      </c>
      <c r="AD542" s="7" t="str">
        <f t="shared" si="49"/>
        <v/>
      </c>
      <c r="AE542" s="7" t="str">
        <f t="shared" si="50"/>
        <v/>
      </c>
      <c r="AF542" s="7" t="str">
        <f t="shared" si="51"/>
        <v/>
      </c>
      <c r="AG542" s="7" t="str">
        <f t="shared" si="52"/>
        <v/>
      </c>
      <c r="AH542" s="7"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7" t="str">
        <f t="shared" si="48"/>
        <v/>
      </c>
      <c r="AD543" s="7" t="str">
        <f t="shared" si="49"/>
        <v/>
      </c>
      <c r="AE543" s="7" t="str">
        <f t="shared" si="50"/>
        <v/>
      </c>
      <c r="AF543" s="7" t="str">
        <f t="shared" si="51"/>
        <v/>
      </c>
      <c r="AG543" s="7" t="str">
        <f t="shared" si="52"/>
        <v/>
      </c>
      <c r="AH543" s="7"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7" t="str">
        <f t="shared" si="48"/>
        <v/>
      </c>
      <c r="AD544" s="7" t="str">
        <f t="shared" si="49"/>
        <v/>
      </c>
      <c r="AE544" s="7" t="str">
        <f t="shared" si="50"/>
        <v/>
      </c>
      <c r="AF544" s="7" t="str">
        <f t="shared" si="51"/>
        <v/>
      </c>
      <c r="AG544" s="7" t="str">
        <f t="shared" si="52"/>
        <v/>
      </c>
      <c r="AH544" s="7"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7" t="str">
        <f t="shared" si="48"/>
        <v/>
      </c>
      <c r="AD545" s="7" t="str">
        <f t="shared" si="49"/>
        <v/>
      </c>
      <c r="AE545" s="7" t="str">
        <f t="shared" si="50"/>
        <v/>
      </c>
      <c r="AF545" s="7" t="str">
        <f t="shared" si="51"/>
        <v/>
      </c>
      <c r="AG545" s="7" t="str">
        <f t="shared" si="52"/>
        <v/>
      </c>
      <c r="AH545" s="7"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7" t="str">
        <f t="shared" si="48"/>
        <v/>
      </c>
      <c r="AD546" s="7" t="str">
        <f t="shared" si="49"/>
        <v/>
      </c>
      <c r="AE546" s="7" t="str">
        <f t="shared" si="50"/>
        <v/>
      </c>
      <c r="AF546" s="7" t="str">
        <f t="shared" si="51"/>
        <v/>
      </c>
      <c r="AG546" s="7" t="str">
        <f t="shared" si="52"/>
        <v/>
      </c>
      <c r="AH546" s="7"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7" t="str">
        <f t="shared" si="48"/>
        <v/>
      </c>
      <c r="AD547" s="7" t="str">
        <f t="shared" si="49"/>
        <v/>
      </c>
      <c r="AE547" s="7" t="str">
        <f t="shared" si="50"/>
        <v/>
      </c>
      <c r="AF547" s="7" t="str">
        <f t="shared" si="51"/>
        <v/>
      </c>
      <c r="AG547" s="7" t="str">
        <f t="shared" si="52"/>
        <v/>
      </c>
      <c r="AH547" s="7"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7" t="str">
        <f t="shared" si="48"/>
        <v/>
      </c>
      <c r="AD548" s="7" t="str">
        <f t="shared" si="49"/>
        <v/>
      </c>
      <c r="AE548" s="7" t="str">
        <f t="shared" si="50"/>
        <v/>
      </c>
      <c r="AF548" s="7" t="str">
        <f t="shared" si="51"/>
        <v/>
      </c>
      <c r="AG548" s="7" t="str">
        <f t="shared" si="52"/>
        <v/>
      </c>
      <c r="AH548" s="7"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7" t="str">
        <f t="shared" si="48"/>
        <v/>
      </c>
      <c r="AD549" s="7" t="str">
        <f t="shared" si="49"/>
        <v/>
      </c>
      <c r="AE549" s="7" t="str">
        <f t="shared" si="50"/>
        <v/>
      </c>
      <c r="AF549" s="7" t="str">
        <f t="shared" si="51"/>
        <v/>
      </c>
      <c r="AG549" s="7" t="str">
        <f t="shared" si="52"/>
        <v/>
      </c>
      <c r="AH549" s="7"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7" t="str">
        <f t="shared" si="48"/>
        <v/>
      </c>
      <c r="AD550" s="7" t="str">
        <f t="shared" si="49"/>
        <v/>
      </c>
      <c r="AE550" s="7" t="str">
        <f t="shared" si="50"/>
        <v/>
      </c>
      <c r="AF550" s="7" t="str">
        <f t="shared" si="51"/>
        <v/>
      </c>
      <c r="AG550" s="7" t="str">
        <f t="shared" si="52"/>
        <v/>
      </c>
      <c r="AH550" s="7"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7" t="str">
        <f t="shared" si="48"/>
        <v/>
      </c>
      <c r="AD551" s="7" t="str">
        <f t="shared" si="49"/>
        <v/>
      </c>
      <c r="AE551" s="7" t="str">
        <f t="shared" si="50"/>
        <v/>
      </c>
      <c r="AF551" s="7" t="str">
        <f t="shared" si="51"/>
        <v/>
      </c>
      <c r="AG551" s="7" t="str">
        <f t="shared" si="52"/>
        <v/>
      </c>
      <c r="AH551" s="7"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7" t="str">
        <f t="shared" si="48"/>
        <v/>
      </c>
      <c r="AD552" s="7" t="str">
        <f t="shared" si="49"/>
        <v/>
      </c>
      <c r="AE552" s="7" t="str">
        <f t="shared" si="50"/>
        <v/>
      </c>
      <c r="AF552" s="7" t="str">
        <f t="shared" si="51"/>
        <v/>
      </c>
      <c r="AG552" s="7" t="str">
        <f t="shared" si="52"/>
        <v/>
      </c>
      <c r="AH552" s="7"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7" t="str">
        <f t="shared" si="48"/>
        <v/>
      </c>
      <c r="AD553" s="7" t="str">
        <f t="shared" si="49"/>
        <v/>
      </c>
      <c r="AE553" s="7" t="str">
        <f t="shared" si="50"/>
        <v/>
      </c>
      <c r="AF553" s="7" t="str">
        <f t="shared" si="51"/>
        <v/>
      </c>
      <c r="AG553" s="7" t="str">
        <f t="shared" si="52"/>
        <v/>
      </c>
      <c r="AH553" s="7"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7" t="str">
        <f t="shared" si="48"/>
        <v/>
      </c>
      <c r="AD554" s="7" t="str">
        <f t="shared" si="49"/>
        <v/>
      </c>
      <c r="AE554" s="7" t="str">
        <f t="shared" si="50"/>
        <v/>
      </c>
      <c r="AF554" s="7" t="str">
        <f t="shared" si="51"/>
        <v/>
      </c>
      <c r="AG554" s="7" t="str">
        <f t="shared" si="52"/>
        <v/>
      </c>
      <c r="AH554" s="7"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7" t="str">
        <f t="shared" si="48"/>
        <v/>
      </c>
      <c r="AD555" s="7" t="str">
        <f t="shared" si="49"/>
        <v/>
      </c>
      <c r="AE555" s="7" t="str">
        <f t="shared" si="50"/>
        <v/>
      </c>
      <c r="AF555" s="7" t="str">
        <f t="shared" si="51"/>
        <v/>
      </c>
      <c r="AG555" s="7" t="str">
        <f t="shared" si="52"/>
        <v/>
      </c>
      <c r="AH555" s="7"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7" t="str">
        <f t="shared" si="48"/>
        <v/>
      </c>
      <c r="AD556" s="7" t="str">
        <f t="shared" si="49"/>
        <v/>
      </c>
      <c r="AE556" s="7" t="str">
        <f t="shared" si="50"/>
        <v/>
      </c>
      <c r="AF556" s="7" t="str">
        <f t="shared" si="51"/>
        <v/>
      </c>
      <c r="AG556" s="7" t="str">
        <f t="shared" si="52"/>
        <v/>
      </c>
      <c r="AH556" s="7"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7" t="str">
        <f t="shared" si="48"/>
        <v/>
      </c>
      <c r="AD557" s="7" t="str">
        <f t="shared" si="49"/>
        <v/>
      </c>
      <c r="AE557" s="7" t="str">
        <f t="shared" si="50"/>
        <v/>
      </c>
      <c r="AF557" s="7" t="str">
        <f t="shared" si="51"/>
        <v/>
      </c>
      <c r="AG557" s="7" t="str">
        <f t="shared" si="52"/>
        <v/>
      </c>
      <c r="AH557" s="7"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7" t="str">
        <f t="shared" si="48"/>
        <v/>
      </c>
      <c r="AD558" s="7" t="str">
        <f t="shared" si="49"/>
        <v/>
      </c>
      <c r="AE558" s="7" t="str">
        <f t="shared" si="50"/>
        <v/>
      </c>
      <c r="AF558" s="7" t="str">
        <f t="shared" si="51"/>
        <v/>
      </c>
      <c r="AG558" s="7" t="str">
        <f t="shared" si="52"/>
        <v/>
      </c>
      <c r="AH558" s="7"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7" t="str">
        <f t="shared" si="48"/>
        <v/>
      </c>
      <c r="AD559" s="7" t="str">
        <f t="shared" si="49"/>
        <v/>
      </c>
      <c r="AE559" s="7" t="str">
        <f t="shared" si="50"/>
        <v/>
      </c>
      <c r="AF559" s="7" t="str">
        <f t="shared" si="51"/>
        <v/>
      </c>
      <c r="AG559" s="7" t="str">
        <f t="shared" si="52"/>
        <v/>
      </c>
      <c r="AH559" s="7"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7" t="str">
        <f t="shared" si="48"/>
        <v/>
      </c>
      <c r="AD560" s="7" t="str">
        <f t="shared" si="49"/>
        <v/>
      </c>
      <c r="AE560" s="7" t="str">
        <f t="shared" si="50"/>
        <v/>
      </c>
      <c r="AF560" s="7" t="str">
        <f t="shared" si="51"/>
        <v/>
      </c>
      <c r="AG560" s="7" t="str">
        <f t="shared" si="52"/>
        <v/>
      </c>
      <c r="AH560" s="7"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7" t="str">
        <f t="shared" si="48"/>
        <v/>
      </c>
      <c r="AD561" s="7" t="str">
        <f t="shared" si="49"/>
        <v/>
      </c>
      <c r="AE561" s="7" t="str">
        <f t="shared" si="50"/>
        <v/>
      </c>
      <c r="AF561" s="7" t="str">
        <f t="shared" si="51"/>
        <v/>
      </c>
      <c r="AG561" s="7" t="str">
        <f t="shared" si="52"/>
        <v/>
      </c>
      <c r="AH561" s="7"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7" t="str">
        <f t="shared" si="48"/>
        <v/>
      </c>
      <c r="AD562" s="7" t="str">
        <f t="shared" si="49"/>
        <v/>
      </c>
      <c r="AE562" s="7" t="str">
        <f t="shared" si="50"/>
        <v/>
      </c>
      <c r="AF562" s="7" t="str">
        <f t="shared" si="51"/>
        <v/>
      </c>
      <c r="AG562" s="7" t="str">
        <f t="shared" si="52"/>
        <v/>
      </c>
      <c r="AH562" s="7"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7" t="str">
        <f t="shared" si="48"/>
        <v/>
      </c>
      <c r="AD563" s="7" t="str">
        <f t="shared" si="49"/>
        <v/>
      </c>
      <c r="AE563" s="7" t="str">
        <f t="shared" si="50"/>
        <v/>
      </c>
      <c r="AF563" s="7" t="str">
        <f t="shared" si="51"/>
        <v/>
      </c>
      <c r="AG563" s="7" t="str">
        <f t="shared" si="52"/>
        <v/>
      </c>
      <c r="AH563" s="7"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7" t="str">
        <f t="shared" si="48"/>
        <v/>
      </c>
      <c r="AD564" s="7" t="str">
        <f t="shared" si="49"/>
        <v/>
      </c>
      <c r="AE564" s="7" t="str">
        <f t="shared" si="50"/>
        <v/>
      </c>
      <c r="AF564" s="7" t="str">
        <f t="shared" si="51"/>
        <v/>
      </c>
      <c r="AG564" s="7" t="str">
        <f t="shared" si="52"/>
        <v/>
      </c>
      <c r="AH564" s="7"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7" t="str">
        <f t="shared" si="48"/>
        <v/>
      </c>
      <c r="AD565" s="7" t="str">
        <f t="shared" si="49"/>
        <v/>
      </c>
      <c r="AE565" s="7" t="str">
        <f t="shared" si="50"/>
        <v/>
      </c>
      <c r="AF565" s="7" t="str">
        <f t="shared" si="51"/>
        <v/>
      </c>
      <c r="AG565" s="7" t="str">
        <f t="shared" si="52"/>
        <v/>
      </c>
      <c r="AH565" s="7"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7" t="str">
        <f t="shared" si="48"/>
        <v/>
      </c>
      <c r="AD566" s="7" t="str">
        <f t="shared" si="49"/>
        <v/>
      </c>
      <c r="AE566" s="7" t="str">
        <f t="shared" si="50"/>
        <v/>
      </c>
      <c r="AF566" s="7" t="str">
        <f t="shared" si="51"/>
        <v/>
      </c>
      <c r="AG566" s="7" t="str">
        <f t="shared" si="52"/>
        <v/>
      </c>
      <c r="AH566" s="7"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7" t="str">
        <f t="shared" si="48"/>
        <v/>
      </c>
      <c r="AD567" s="7" t="str">
        <f t="shared" si="49"/>
        <v/>
      </c>
      <c r="AE567" s="7" t="str">
        <f t="shared" si="50"/>
        <v/>
      </c>
      <c r="AF567" s="7" t="str">
        <f t="shared" si="51"/>
        <v/>
      </c>
      <c r="AG567" s="7" t="str">
        <f t="shared" si="52"/>
        <v/>
      </c>
      <c r="AH567" s="7"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7" t="str">
        <f t="shared" si="48"/>
        <v/>
      </c>
      <c r="AD568" s="7" t="str">
        <f t="shared" si="49"/>
        <v/>
      </c>
      <c r="AE568" s="7" t="str">
        <f t="shared" si="50"/>
        <v/>
      </c>
      <c r="AF568" s="7" t="str">
        <f t="shared" si="51"/>
        <v/>
      </c>
      <c r="AG568" s="7" t="str">
        <f t="shared" si="52"/>
        <v/>
      </c>
      <c r="AH568" s="7"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7" t="str">
        <f t="shared" si="48"/>
        <v/>
      </c>
      <c r="AD569" s="7" t="str">
        <f t="shared" si="49"/>
        <v/>
      </c>
      <c r="AE569" s="7" t="str">
        <f t="shared" si="50"/>
        <v/>
      </c>
      <c r="AF569" s="7" t="str">
        <f t="shared" si="51"/>
        <v/>
      </c>
      <c r="AG569" s="7" t="str">
        <f t="shared" si="52"/>
        <v/>
      </c>
      <c r="AH569" s="7"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7" t="str">
        <f t="shared" si="48"/>
        <v/>
      </c>
      <c r="AD570" s="7" t="str">
        <f t="shared" si="49"/>
        <v/>
      </c>
      <c r="AE570" s="7" t="str">
        <f t="shared" si="50"/>
        <v/>
      </c>
      <c r="AF570" s="7" t="str">
        <f t="shared" si="51"/>
        <v/>
      </c>
      <c r="AG570" s="7" t="str">
        <f t="shared" si="52"/>
        <v/>
      </c>
      <c r="AH570" s="7"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7" t="str">
        <f t="shared" si="48"/>
        <v/>
      </c>
      <c r="AD571" s="7" t="str">
        <f t="shared" si="49"/>
        <v/>
      </c>
      <c r="AE571" s="7" t="str">
        <f t="shared" si="50"/>
        <v/>
      </c>
      <c r="AF571" s="7" t="str">
        <f t="shared" si="51"/>
        <v/>
      </c>
      <c r="AG571" s="7" t="str">
        <f t="shared" si="52"/>
        <v/>
      </c>
      <c r="AH571" s="7"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7" t="str">
        <f t="shared" si="48"/>
        <v/>
      </c>
      <c r="AD572" s="7" t="str">
        <f t="shared" si="49"/>
        <v/>
      </c>
      <c r="AE572" s="7" t="str">
        <f t="shared" si="50"/>
        <v/>
      </c>
      <c r="AF572" s="7" t="str">
        <f t="shared" si="51"/>
        <v/>
      </c>
      <c r="AG572" s="7" t="str">
        <f t="shared" si="52"/>
        <v/>
      </c>
      <c r="AH572" s="7"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7" t="str">
        <f t="shared" si="48"/>
        <v/>
      </c>
      <c r="AD573" s="7" t="str">
        <f t="shared" si="49"/>
        <v/>
      </c>
      <c r="AE573" s="7" t="str">
        <f t="shared" si="50"/>
        <v/>
      </c>
      <c r="AF573" s="7" t="str">
        <f t="shared" si="51"/>
        <v/>
      </c>
      <c r="AG573" s="7" t="str">
        <f t="shared" si="52"/>
        <v/>
      </c>
      <c r="AH573" s="7"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7" t="str">
        <f t="shared" si="48"/>
        <v/>
      </c>
      <c r="AD574" s="7" t="str">
        <f t="shared" si="49"/>
        <v/>
      </c>
      <c r="AE574" s="7" t="str">
        <f t="shared" si="50"/>
        <v/>
      </c>
      <c r="AF574" s="7" t="str">
        <f t="shared" si="51"/>
        <v/>
      </c>
      <c r="AG574" s="7" t="str">
        <f t="shared" si="52"/>
        <v/>
      </c>
      <c r="AH574" s="7"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7" t="str">
        <f t="shared" si="48"/>
        <v/>
      </c>
      <c r="AD575" s="7" t="str">
        <f t="shared" si="49"/>
        <v/>
      </c>
      <c r="AE575" s="7" t="str">
        <f t="shared" si="50"/>
        <v/>
      </c>
      <c r="AF575" s="7" t="str">
        <f t="shared" si="51"/>
        <v/>
      </c>
      <c r="AG575" s="7" t="str">
        <f t="shared" si="52"/>
        <v/>
      </c>
      <c r="AH575" s="7"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7" t="str">
        <f t="shared" si="48"/>
        <v/>
      </c>
      <c r="AD576" s="7" t="str">
        <f t="shared" si="49"/>
        <v/>
      </c>
      <c r="AE576" s="7" t="str">
        <f t="shared" si="50"/>
        <v/>
      </c>
      <c r="AF576" s="7" t="str">
        <f t="shared" si="51"/>
        <v/>
      </c>
      <c r="AG576" s="7" t="str">
        <f t="shared" si="52"/>
        <v/>
      </c>
      <c r="AH576" s="7"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7" t="str">
        <f t="shared" si="48"/>
        <v/>
      </c>
      <c r="AD577" s="7" t="str">
        <f t="shared" si="49"/>
        <v/>
      </c>
      <c r="AE577" s="7" t="str">
        <f t="shared" si="50"/>
        <v/>
      </c>
      <c r="AF577" s="7" t="str">
        <f t="shared" si="51"/>
        <v/>
      </c>
      <c r="AG577" s="7" t="str">
        <f t="shared" si="52"/>
        <v/>
      </c>
      <c r="AH577" s="7"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7" t="str">
        <f t="shared" si="48"/>
        <v/>
      </c>
      <c r="AD578" s="7" t="str">
        <f t="shared" si="49"/>
        <v/>
      </c>
      <c r="AE578" s="7" t="str">
        <f t="shared" si="50"/>
        <v/>
      </c>
      <c r="AF578" s="7" t="str">
        <f t="shared" si="51"/>
        <v/>
      </c>
      <c r="AG578" s="7" t="str">
        <f t="shared" si="52"/>
        <v/>
      </c>
      <c r="AH578" s="7"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7" t="str">
        <f t="shared" si="48"/>
        <v/>
      </c>
      <c r="AD579" s="7" t="str">
        <f t="shared" si="49"/>
        <v/>
      </c>
      <c r="AE579" s="7" t="str">
        <f t="shared" si="50"/>
        <v/>
      </c>
      <c r="AF579" s="7" t="str">
        <f t="shared" si="51"/>
        <v/>
      </c>
      <c r="AG579" s="7" t="str">
        <f t="shared" si="52"/>
        <v/>
      </c>
      <c r="AH579" s="7"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7" t="str">
        <f t="shared" si="48"/>
        <v/>
      </c>
      <c r="AD580" s="7" t="str">
        <f t="shared" si="49"/>
        <v/>
      </c>
      <c r="AE580" s="7" t="str">
        <f t="shared" si="50"/>
        <v/>
      </c>
      <c r="AF580" s="7" t="str">
        <f t="shared" si="51"/>
        <v/>
      </c>
      <c r="AG580" s="7" t="str">
        <f t="shared" si="52"/>
        <v/>
      </c>
      <c r="AH580" s="7" t="str">
        <f t="shared" si="53"/>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7" t="str">
        <f t="shared" ref="AC581:AC644" si="54">IF(COUNT(A581,L581,N581,P581,X581,Y581)&gt;0,AVERAGE(A581,L581,N581,P581,X581,Y581),"")</f>
        <v/>
      </c>
      <c r="AD581" s="7" t="str">
        <f t="shared" ref="AD581:AD644" si="55">IF(COUNT(B581,D581,M581,U581)&gt;0,AVERAGE(B581,D581,M581,U581),"")</f>
        <v/>
      </c>
      <c r="AE581" s="7" t="str">
        <f t="shared" ref="AE581:AE644" si="56">IF(COUNT(I581,T581,V581,W581)&gt;0,AVERAGE(I581,T581,V581,W581),"")</f>
        <v/>
      </c>
      <c r="AF581" s="7" t="str">
        <f t="shared" ref="AF581:AF644" si="57">IF(COUNT(H581,K581,Q581,S581)&gt;0,AVERAGE(H581,K581,Q581,S581),"")</f>
        <v/>
      </c>
      <c r="AG581" s="7" t="str">
        <f t="shared" ref="AG581:AG644" si="58">IF(COUNT(E581,F581,G581,R581)&gt;0,AVERAGE(E581,F581,G581,R581),"")</f>
        <v/>
      </c>
      <c r="AH581" s="7" t="str">
        <f t="shared" ref="AH581:AH644" si="59">IF(COUNT(C581,J581,O581,Z581)&gt;0,AVERAGE(C581,J581,O581,Z581),"")</f>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7" t="str">
        <f t="shared" si="54"/>
        <v/>
      </c>
      <c r="AD582" s="7" t="str">
        <f t="shared" si="55"/>
        <v/>
      </c>
      <c r="AE582" s="7" t="str">
        <f t="shared" si="56"/>
        <v/>
      </c>
      <c r="AF582" s="7" t="str">
        <f t="shared" si="57"/>
        <v/>
      </c>
      <c r="AG582" s="7" t="str">
        <f t="shared" si="58"/>
        <v/>
      </c>
      <c r="AH582" s="7"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7" t="str">
        <f t="shared" si="54"/>
        <v/>
      </c>
      <c r="AD583" s="7" t="str">
        <f t="shared" si="55"/>
        <v/>
      </c>
      <c r="AE583" s="7" t="str">
        <f t="shared" si="56"/>
        <v/>
      </c>
      <c r="AF583" s="7" t="str">
        <f t="shared" si="57"/>
        <v/>
      </c>
      <c r="AG583" s="7" t="str">
        <f t="shared" si="58"/>
        <v/>
      </c>
      <c r="AH583" s="7"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7" t="str">
        <f t="shared" si="54"/>
        <v/>
      </c>
      <c r="AD584" s="7" t="str">
        <f t="shared" si="55"/>
        <v/>
      </c>
      <c r="AE584" s="7" t="str">
        <f t="shared" si="56"/>
        <v/>
      </c>
      <c r="AF584" s="7" t="str">
        <f t="shared" si="57"/>
        <v/>
      </c>
      <c r="AG584" s="7" t="str">
        <f t="shared" si="58"/>
        <v/>
      </c>
      <c r="AH584" s="7"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7" t="str">
        <f t="shared" si="54"/>
        <v/>
      </c>
      <c r="AD585" s="7" t="str">
        <f t="shared" si="55"/>
        <v/>
      </c>
      <c r="AE585" s="7" t="str">
        <f t="shared" si="56"/>
        <v/>
      </c>
      <c r="AF585" s="7" t="str">
        <f t="shared" si="57"/>
        <v/>
      </c>
      <c r="AG585" s="7" t="str">
        <f t="shared" si="58"/>
        <v/>
      </c>
      <c r="AH585" s="7"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7" t="str">
        <f t="shared" si="54"/>
        <v/>
      </c>
      <c r="AD586" s="7" t="str">
        <f t="shared" si="55"/>
        <v/>
      </c>
      <c r="AE586" s="7" t="str">
        <f t="shared" si="56"/>
        <v/>
      </c>
      <c r="AF586" s="7" t="str">
        <f t="shared" si="57"/>
        <v/>
      </c>
      <c r="AG586" s="7" t="str">
        <f t="shared" si="58"/>
        <v/>
      </c>
      <c r="AH586" s="7"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7" t="str">
        <f t="shared" si="54"/>
        <v/>
      </c>
      <c r="AD587" s="7" t="str">
        <f t="shared" si="55"/>
        <v/>
      </c>
      <c r="AE587" s="7" t="str">
        <f t="shared" si="56"/>
        <v/>
      </c>
      <c r="AF587" s="7" t="str">
        <f t="shared" si="57"/>
        <v/>
      </c>
      <c r="AG587" s="7" t="str">
        <f t="shared" si="58"/>
        <v/>
      </c>
      <c r="AH587" s="7"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7" t="str">
        <f t="shared" si="54"/>
        <v/>
      </c>
      <c r="AD588" s="7" t="str">
        <f t="shared" si="55"/>
        <v/>
      </c>
      <c r="AE588" s="7" t="str">
        <f t="shared" si="56"/>
        <v/>
      </c>
      <c r="AF588" s="7" t="str">
        <f t="shared" si="57"/>
        <v/>
      </c>
      <c r="AG588" s="7" t="str">
        <f t="shared" si="58"/>
        <v/>
      </c>
      <c r="AH588" s="7"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7" t="str">
        <f t="shared" si="54"/>
        <v/>
      </c>
      <c r="AD589" s="7" t="str">
        <f t="shared" si="55"/>
        <v/>
      </c>
      <c r="AE589" s="7" t="str">
        <f t="shared" si="56"/>
        <v/>
      </c>
      <c r="AF589" s="7" t="str">
        <f t="shared" si="57"/>
        <v/>
      </c>
      <c r="AG589" s="7" t="str">
        <f t="shared" si="58"/>
        <v/>
      </c>
      <c r="AH589" s="7"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7" t="str">
        <f t="shared" si="54"/>
        <v/>
      </c>
      <c r="AD590" s="7" t="str">
        <f t="shared" si="55"/>
        <v/>
      </c>
      <c r="AE590" s="7" t="str">
        <f t="shared" si="56"/>
        <v/>
      </c>
      <c r="AF590" s="7" t="str">
        <f t="shared" si="57"/>
        <v/>
      </c>
      <c r="AG590" s="7" t="str">
        <f t="shared" si="58"/>
        <v/>
      </c>
      <c r="AH590" s="7"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7" t="str">
        <f t="shared" si="54"/>
        <v/>
      </c>
      <c r="AD591" s="7" t="str">
        <f t="shared" si="55"/>
        <v/>
      </c>
      <c r="AE591" s="7" t="str">
        <f t="shared" si="56"/>
        <v/>
      </c>
      <c r="AF591" s="7" t="str">
        <f t="shared" si="57"/>
        <v/>
      </c>
      <c r="AG591" s="7" t="str">
        <f t="shared" si="58"/>
        <v/>
      </c>
      <c r="AH591" s="7"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7" t="str">
        <f t="shared" si="54"/>
        <v/>
      </c>
      <c r="AD592" s="7" t="str">
        <f t="shared" si="55"/>
        <v/>
      </c>
      <c r="AE592" s="7" t="str">
        <f t="shared" si="56"/>
        <v/>
      </c>
      <c r="AF592" s="7" t="str">
        <f t="shared" si="57"/>
        <v/>
      </c>
      <c r="AG592" s="7" t="str">
        <f t="shared" si="58"/>
        <v/>
      </c>
      <c r="AH592" s="7"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7" t="str">
        <f t="shared" si="54"/>
        <v/>
      </c>
      <c r="AD593" s="7" t="str">
        <f t="shared" si="55"/>
        <v/>
      </c>
      <c r="AE593" s="7" t="str">
        <f t="shared" si="56"/>
        <v/>
      </c>
      <c r="AF593" s="7" t="str">
        <f t="shared" si="57"/>
        <v/>
      </c>
      <c r="AG593" s="7" t="str">
        <f t="shared" si="58"/>
        <v/>
      </c>
      <c r="AH593" s="7"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7" t="str">
        <f t="shared" si="54"/>
        <v/>
      </c>
      <c r="AD594" s="7" t="str">
        <f t="shared" si="55"/>
        <v/>
      </c>
      <c r="AE594" s="7" t="str">
        <f t="shared" si="56"/>
        <v/>
      </c>
      <c r="AF594" s="7" t="str">
        <f t="shared" si="57"/>
        <v/>
      </c>
      <c r="AG594" s="7" t="str">
        <f t="shared" si="58"/>
        <v/>
      </c>
      <c r="AH594" s="7"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7" t="str">
        <f t="shared" si="54"/>
        <v/>
      </c>
      <c r="AD595" s="7" t="str">
        <f t="shared" si="55"/>
        <v/>
      </c>
      <c r="AE595" s="7" t="str">
        <f t="shared" si="56"/>
        <v/>
      </c>
      <c r="AF595" s="7" t="str">
        <f t="shared" si="57"/>
        <v/>
      </c>
      <c r="AG595" s="7" t="str">
        <f t="shared" si="58"/>
        <v/>
      </c>
      <c r="AH595" s="7"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7" t="str">
        <f t="shared" si="54"/>
        <v/>
      </c>
      <c r="AD596" s="7" t="str">
        <f t="shared" si="55"/>
        <v/>
      </c>
      <c r="AE596" s="7" t="str">
        <f t="shared" si="56"/>
        <v/>
      </c>
      <c r="AF596" s="7" t="str">
        <f t="shared" si="57"/>
        <v/>
      </c>
      <c r="AG596" s="7" t="str">
        <f t="shared" si="58"/>
        <v/>
      </c>
      <c r="AH596" s="7"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7" t="str">
        <f t="shared" si="54"/>
        <v/>
      </c>
      <c r="AD597" s="7" t="str">
        <f t="shared" si="55"/>
        <v/>
      </c>
      <c r="AE597" s="7" t="str">
        <f t="shared" si="56"/>
        <v/>
      </c>
      <c r="AF597" s="7" t="str">
        <f t="shared" si="57"/>
        <v/>
      </c>
      <c r="AG597" s="7" t="str">
        <f t="shared" si="58"/>
        <v/>
      </c>
      <c r="AH597" s="7"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7" t="str">
        <f t="shared" si="54"/>
        <v/>
      </c>
      <c r="AD598" s="7" t="str">
        <f t="shared" si="55"/>
        <v/>
      </c>
      <c r="AE598" s="7" t="str">
        <f t="shared" si="56"/>
        <v/>
      </c>
      <c r="AF598" s="7" t="str">
        <f t="shared" si="57"/>
        <v/>
      </c>
      <c r="AG598" s="7" t="str">
        <f t="shared" si="58"/>
        <v/>
      </c>
      <c r="AH598" s="7"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7" t="str">
        <f t="shared" si="54"/>
        <v/>
      </c>
      <c r="AD599" s="7" t="str">
        <f t="shared" si="55"/>
        <v/>
      </c>
      <c r="AE599" s="7" t="str">
        <f t="shared" si="56"/>
        <v/>
      </c>
      <c r="AF599" s="7" t="str">
        <f t="shared" si="57"/>
        <v/>
      </c>
      <c r="AG599" s="7" t="str">
        <f t="shared" si="58"/>
        <v/>
      </c>
      <c r="AH599" s="7"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7" t="str">
        <f t="shared" si="54"/>
        <v/>
      </c>
      <c r="AD600" s="7" t="str">
        <f t="shared" si="55"/>
        <v/>
      </c>
      <c r="AE600" s="7" t="str">
        <f t="shared" si="56"/>
        <v/>
      </c>
      <c r="AF600" s="7" t="str">
        <f t="shared" si="57"/>
        <v/>
      </c>
      <c r="AG600" s="7" t="str">
        <f t="shared" si="58"/>
        <v/>
      </c>
      <c r="AH600" s="7"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7" t="str">
        <f t="shared" si="54"/>
        <v/>
      </c>
      <c r="AD601" s="7" t="str">
        <f t="shared" si="55"/>
        <v/>
      </c>
      <c r="AE601" s="7" t="str">
        <f t="shared" si="56"/>
        <v/>
      </c>
      <c r="AF601" s="7" t="str">
        <f t="shared" si="57"/>
        <v/>
      </c>
      <c r="AG601" s="7" t="str">
        <f t="shared" si="58"/>
        <v/>
      </c>
      <c r="AH601" s="7"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7" t="str">
        <f t="shared" si="54"/>
        <v/>
      </c>
      <c r="AD602" s="7" t="str">
        <f t="shared" si="55"/>
        <v/>
      </c>
      <c r="AE602" s="7" t="str">
        <f t="shared" si="56"/>
        <v/>
      </c>
      <c r="AF602" s="7" t="str">
        <f t="shared" si="57"/>
        <v/>
      </c>
      <c r="AG602" s="7" t="str">
        <f t="shared" si="58"/>
        <v/>
      </c>
      <c r="AH602" s="7"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7" t="str">
        <f t="shared" si="54"/>
        <v/>
      </c>
      <c r="AD603" s="7" t="str">
        <f t="shared" si="55"/>
        <v/>
      </c>
      <c r="AE603" s="7" t="str">
        <f t="shared" si="56"/>
        <v/>
      </c>
      <c r="AF603" s="7" t="str">
        <f t="shared" si="57"/>
        <v/>
      </c>
      <c r="AG603" s="7" t="str">
        <f t="shared" si="58"/>
        <v/>
      </c>
      <c r="AH603" s="7"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7" t="str">
        <f t="shared" si="54"/>
        <v/>
      </c>
      <c r="AD604" s="7" t="str">
        <f t="shared" si="55"/>
        <v/>
      </c>
      <c r="AE604" s="7" t="str">
        <f t="shared" si="56"/>
        <v/>
      </c>
      <c r="AF604" s="7" t="str">
        <f t="shared" si="57"/>
        <v/>
      </c>
      <c r="AG604" s="7" t="str">
        <f t="shared" si="58"/>
        <v/>
      </c>
      <c r="AH604" s="7"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7" t="str">
        <f t="shared" si="54"/>
        <v/>
      </c>
      <c r="AD605" s="7" t="str">
        <f t="shared" si="55"/>
        <v/>
      </c>
      <c r="AE605" s="7" t="str">
        <f t="shared" si="56"/>
        <v/>
      </c>
      <c r="AF605" s="7" t="str">
        <f t="shared" si="57"/>
        <v/>
      </c>
      <c r="AG605" s="7" t="str">
        <f t="shared" si="58"/>
        <v/>
      </c>
      <c r="AH605" s="7"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7" t="str">
        <f t="shared" si="54"/>
        <v/>
      </c>
      <c r="AD606" s="7" t="str">
        <f t="shared" si="55"/>
        <v/>
      </c>
      <c r="AE606" s="7" t="str">
        <f t="shared" si="56"/>
        <v/>
      </c>
      <c r="AF606" s="7" t="str">
        <f t="shared" si="57"/>
        <v/>
      </c>
      <c r="AG606" s="7" t="str">
        <f t="shared" si="58"/>
        <v/>
      </c>
      <c r="AH606" s="7"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7" t="str">
        <f t="shared" si="54"/>
        <v/>
      </c>
      <c r="AD607" s="7" t="str">
        <f t="shared" si="55"/>
        <v/>
      </c>
      <c r="AE607" s="7" t="str">
        <f t="shared" si="56"/>
        <v/>
      </c>
      <c r="AF607" s="7" t="str">
        <f t="shared" si="57"/>
        <v/>
      </c>
      <c r="AG607" s="7" t="str">
        <f t="shared" si="58"/>
        <v/>
      </c>
      <c r="AH607" s="7"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7" t="str">
        <f t="shared" si="54"/>
        <v/>
      </c>
      <c r="AD608" s="7" t="str">
        <f t="shared" si="55"/>
        <v/>
      </c>
      <c r="AE608" s="7" t="str">
        <f t="shared" si="56"/>
        <v/>
      </c>
      <c r="AF608" s="7" t="str">
        <f t="shared" si="57"/>
        <v/>
      </c>
      <c r="AG608" s="7" t="str">
        <f t="shared" si="58"/>
        <v/>
      </c>
      <c r="AH608" s="7"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7" t="str">
        <f t="shared" si="54"/>
        <v/>
      </c>
      <c r="AD609" s="7" t="str">
        <f t="shared" si="55"/>
        <v/>
      </c>
      <c r="AE609" s="7" t="str">
        <f t="shared" si="56"/>
        <v/>
      </c>
      <c r="AF609" s="7" t="str">
        <f t="shared" si="57"/>
        <v/>
      </c>
      <c r="AG609" s="7" t="str">
        <f t="shared" si="58"/>
        <v/>
      </c>
      <c r="AH609" s="7"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7" t="str">
        <f t="shared" si="54"/>
        <v/>
      </c>
      <c r="AD610" s="7" t="str">
        <f t="shared" si="55"/>
        <v/>
      </c>
      <c r="AE610" s="7" t="str">
        <f t="shared" si="56"/>
        <v/>
      </c>
      <c r="AF610" s="7" t="str">
        <f t="shared" si="57"/>
        <v/>
      </c>
      <c r="AG610" s="7" t="str">
        <f t="shared" si="58"/>
        <v/>
      </c>
      <c r="AH610" s="7"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7" t="str">
        <f t="shared" si="54"/>
        <v/>
      </c>
      <c r="AD611" s="7" t="str">
        <f t="shared" si="55"/>
        <v/>
      </c>
      <c r="AE611" s="7" t="str">
        <f t="shared" si="56"/>
        <v/>
      </c>
      <c r="AF611" s="7" t="str">
        <f t="shared" si="57"/>
        <v/>
      </c>
      <c r="AG611" s="7" t="str">
        <f t="shared" si="58"/>
        <v/>
      </c>
      <c r="AH611" s="7"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7" t="str">
        <f t="shared" si="54"/>
        <v/>
      </c>
      <c r="AD612" s="7" t="str">
        <f t="shared" si="55"/>
        <v/>
      </c>
      <c r="AE612" s="7" t="str">
        <f t="shared" si="56"/>
        <v/>
      </c>
      <c r="AF612" s="7" t="str">
        <f t="shared" si="57"/>
        <v/>
      </c>
      <c r="AG612" s="7" t="str">
        <f t="shared" si="58"/>
        <v/>
      </c>
      <c r="AH612" s="7"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7" t="str">
        <f t="shared" si="54"/>
        <v/>
      </c>
      <c r="AD613" s="7" t="str">
        <f t="shared" si="55"/>
        <v/>
      </c>
      <c r="AE613" s="7" t="str">
        <f t="shared" si="56"/>
        <v/>
      </c>
      <c r="AF613" s="7" t="str">
        <f t="shared" si="57"/>
        <v/>
      </c>
      <c r="AG613" s="7" t="str">
        <f t="shared" si="58"/>
        <v/>
      </c>
      <c r="AH613" s="7"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7" t="str">
        <f t="shared" si="54"/>
        <v/>
      </c>
      <c r="AD614" s="7" t="str">
        <f t="shared" si="55"/>
        <v/>
      </c>
      <c r="AE614" s="7" t="str">
        <f t="shared" si="56"/>
        <v/>
      </c>
      <c r="AF614" s="7" t="str">
        <f t="shared" si="57"/>
        <v/>
      </c>
      <c r="AG614" s="7" t="str">
        <f t="shared" si="58"/>
        <v/>
      </c>
      <c r="AH614" s="7"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7" t="str">
        <f t="shared" si="54"/>
        <v/>
      </c>
      <c r="AD615" s="7" t="str">
        <f t="shared" si="55"/>
        <v/>
      </c>
      <c r="AE615" s="7" t="str">
        <f t="shared" si="56"/>
        <v/>
      </c>
      <c r="AF615" s="7" t="str">
        <f t="shared" si="57"/>
        <v/>
      </c>
      <c r="AG615" s="7" t="str">
        <f t="shared" si="58"/>
        <v/>
      </c>
      <c r="AH615" s="7"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7" t="str">
        <f t="shared" si="54"/>
        <v/>
      </c>
      <c r="AD616" s="7" t="str">
        <f t="shared" si="55"/>
        <v/>
      </c>
      <c r="AE616" s="7" t="str">
        <f t="shared" si="56"/>
        <v/>
      </c>
      <c r="AF616" s="7" t="str">
        <f t="shared" si="57"/>
        <v/>
      </c>
      <c r="AG616" s="7" t="str">
        <f t="shared" si="58"/>
        <v/>
      </c>
      <c r="AH616" s="7"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7" t="str">
        <f t="shared" si="54"/>
        <v/>
      </c>
      <c r="AD617" s="7" t="str">
        <f t="shared" si="55"/>
        <v/>
      </c>
      <c r="AE617" s="7" t="str">
        <f t="shared" si="56"/>
        <v/>
      </c>
      <c r="AF617" s="7" t="str">
        <f t="shared" si="57"/>
        <v/>
      </c>
      <c r="AG617" s="7" t="str">
        <f t="shared" si="58"/>
        <v/>
      </c>
      <c r="AH617" s="7"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7" t="str">
        <f t="shared" si="54"/>
        <v/>
      </c>
      <c r="AD618" s="7" t="str">
        <f t="shared" si="55"/>
        <v/>
      </c>
      <c r="AE618" s="7" t="str">
        <f t="shared" si="56"/>
        <v/>
      </c>
      <c r="AF618" s="7" t="str">
        <f t="shared" si="57"/>
        <v/>
      </c>
      <c r="AG618" s="7" t="str">
        <f t="shared" si="58"/>
        <v/>
      </c>
      <c r="AH618" s="7"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7" t="str">
        <f t="shared" si="54"/>
        <v/>
      </c>
      <c r="AD619" s="7" t="str">
        <f t="shared" si="55"/>
        <v/>
      </c>
      <c r="AE619" s="7" t="str">
        <f t="shared" si="56"/>
        <v/>
      </c>
      <c r="AF619" s="7" t="str">
        <f t="shared" si="57"/>
        <v/>
      </c>
      <c r="AG619" s="7" t="str">
        <f t="shared" si="58"/>
        <v/>
      </c>
      <c r="AH619" s="7"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7" t="str">
        <f t="shared" si="54"/>
        <v/>
      </c>
      <c r="AD620" s="7" t="str">
        <f t="shared" si="55"/>
        <v/>
      </c>
      <c r="AE620" s="7" t="str">
        <f t="shared" si="56"/>
        <v/>
      </c>
      <c r="AF620" s="7" t="str">
        <f t="shared" si="57"/>
        <v/>
      </c>
      <c r="AG620" s="7" t="str">
        <f t="shared" si="58"/>
        <v/>
      </c>
      <c r="AH620" s="7"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7" t="str">
        <f t="shared" si="54"/>
        <v/>
      </c>
      <c r="AD621" s="7" t="str">
        <f t="shared" si="55"/>
        <v/>
      </c>
      <c r="AE621" s="7" t="str">
        <f t="shared" si="56"/>
        <v/>
      </c>
      <c r="AF621" s="7" t="str">
        <f t="shared" si="57"/>
        <v/>
      </c>
      <c r="AG621" s="7" t="str">
        <f t="shared" si="58"/>
        <v/>
      </c>
      <c r="AH621" s="7"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7" t="str">
        <f t="shared" si="54"/>
        <v/>
      </c>
      <c r="AD622" s="7" t="str">
        <f t="shared" si="55"/>
        <v/>
      </c>
      <c r="AE622" s="7" t="str">
        <f t="shared" si="56"/>
        <v/>
      </c>
      <c r="AF622" s="7" t="str">
        <f t="shared" si="57"/>
        <v/>
      </c>
      <c r="AG622" s="7" t="str">
        <f t="shared" si="58"/>
        <v/>
      </c>
      <c r="AH622" s="7"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7" t="str">
        <f t="shared" si="54"/>
        <v/>
      </c>
      <c r="AD623" s="7" t="str">
        <f t="shared" si="55"/>
        <v/>
      </c>
      <c r="AE623" s="7" t="str">
        <f t="shared" si="56"/>
        <v/>
      </c>
      <c r="AF623" s="7" t="str">
        <f t="shared" si="57"/>
        <v/>
      </c>
      <c r="AG623" s="7" t="str">
        <f t="shared" si="58"/>
        <v/>
      </c>
      <c r="AH623" s="7"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7" t="str">
        <f t="shared" si="54"/>
        <v/>
      </c>
      <c r="AD624" s="7" t="str">
        <f t="shared" si="55"/>
        <v/>
      </c>
      <c r="AE624" s="7" t="str">
        <f t="shared" si="56"/>
        <v/>
      </c>
      <c r="AF624" s="7" t="str">
        <f t="shared" si="57"/>
        <v/>
      </c>
      <c r="AG624" s="7" t="str">
        <f t="shared" si="58"/>
        <v/>
      </c>
      <c r="AH624" s="7"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7" t="str">
        <f t="shared" si="54"/>
        <v/>
      </c>
      <c r="AD625" s="7" t="str">
        <f t="shared" si="55"/>
        <v/>
      </c>
      <c r="AE625" s="7" t="str">
        <f t="shared" si="56"/>
        <v/>
      </c>
      <c r="AF625" s="7" t="str">
        <f t="shared" si="57"/>
        <v/>
      </c>
      <c r="AG625" s="7" t="str">
        <f t="shared" si="58"/>
        <v/>
      </c>
      <c r="AH625" s="7"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7" t="str">
        <f t="shared" si="54"/>
        <v/>
      </c>
      <c r="AD626" s="7" t="str">
        <f t="shared" si="55"/>
        <v/>
      </c>
      <c r="AE626" s="7" t="str">
        <f t="shared" si="56"/>
        <v/>
      </c>
      <c r="AF626" s="7" t="str">
        <f t="shared" si="57"/>
        <v/>
      </c>
      <c r="AG626" s="7" t="str">
        <f t="shared" si="58"/>
        <v/>
      </c>
      <c r="AH626" s="7"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7" t="str">
        <f t="shared" si="54"/>
        <v/>
      </c>
      <c r="AD627" s="7" t="str">
        <f t="shared" si="55"/>
        <v/>
      </c>
      <c r="AE627" s="7" t="str">
        <f t="shared" si="56"/>
        <v/>
      </c>
      <c r="AF627" s="7" t="str">
        <f t="shared" si="57"/>
        <v/>
      </c>
      <c r="AG627" s="7" t="str">
        <f t="shared" si="58"/>
        <v/>
      </c>
      <c r="AH627" s="7"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7" t="str">
        <f t="shared" si="54"/>
        <v/>
      </c>
      <c r="AD628" s="7" t="str">
        <f t="shared" si="55"/>
        <v/>
      </c>
      <c r="AE628" s="7" t="str">
        <f t="shared" si="56"/>
        <v/>
      </c>
      <c r="AF628" s="7" t="str">
        <f t="shared" si="57"/>
        <v/>
      </c>
      <c r="AG628" s="7" t="str">
        <f t="shared" si="58"/>
        <v/>
      </c>
      <c r="AH628" s="7"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7" t="str">
        <f t="shared" si="54"/>
        <v/>
      </c>
      <c r="AD629" s="7" t="str">
        <f t="shared" si="55"/>
        <v/>
      </c>
      <c r="AE629" s="7" t="str">
        <f t="shared" si="56"/>
        <v/>
      </c>
      <c r="AF629" s="7" t="str">
        <f t="shared" si="57"/>
        <v/>
      </c>
      <c r="AG629" s="7" t="str">
        <f t="shared" si="58"/>
        <v/>
      </c>
      <c r="AH629" s="7"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7" t="str">
        <f t="shared" si="54"/>
        <v/>
      </c>
      <c r="AD630" s="7" t="str">
        <f t="shared" si="55"/>
        <v/>
      </c>
      <c r="AE630" s="7" t="str">
        <f t="shared" si="56"/>
        <v/>
      </c>
      <c r="AF630" s="7" t="str">
        <f t="shared" si="57"/>
        <v/>
      </c>
      <c r="AG630" s="7" t="str">
        <f t="shared" si="58"/>
        <v/>
      </c>
      <c r="AH630" s="7"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7" t="str">
        <f t="shared" si="54"/>
        <v/>
      </c>
      <c r="AD631" s="7" t="str">
        <f t="shared" si="55"/>
        <v/>
      </c>
      <c r="AE631" s="7" t="str">
        <f t="shared" si="56"/>
        <v/>
      </c>
      <c r="AF631" s="7" t="str">
        <f t="shared" si="57"/>
        <v/>
      </c>
      <c r="AG631" s="7" t="str">
        <f t="shared" si="58"/>
        <v/>
      </c>
      <c r="AH631" s="7"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7" t="str">
        <f t="shared" si="54"/>
        <v/>
      </c>
      <c r="AD632" s="7" t="str">
        <f t="shared" si="55"/>
        <v/>
      </c>
      <c r="AE632" s="7" t="str">
        <f t="shared" si="56"/>
        <v/>
      </c>
      <c r="AF632" s="7" t="str">
        <f t="shared" si="57"/>
        <v/>
      </c>
      <c r="AG632" s="7" t="str">
        <f t="shared" si="58"/>
        <v/>
      </c>
      <c r="AH632" s="7"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7" t="str">
        <f t="shared" si="54"/>
        <v/>
      </c>
      <c r="AD633" s="7" t="str">
        <f t="shared" si="55"/>
        <v/>
      </c>
      <c r="AE633" s="7" t="str">
        <f t="shared" si="56"/>
        <v/>
      </c>
      <c r="AF633" s="7" t="str">
        <f t="shared" si="57"/>
        <v/>
      </c>
      <c r="AG633" s="7" t="str">
        <f t="shared" si="58"/>
        <v/>
      </c>
      <c r="AH633" s="7"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7" t="str">
        <f t="shared" si="54"/>
        <v/>
      </c>
      <c r="AD634" s="7" t="str">
        <f t="shared" si="55"/>
        <v/>
      </c>
      <c r="AE634" s="7" t="str">
        <f t="shared" si="56"/>
        <v/>
      </c>
      <c r="AF634" s="7" t="str">
        <f t="shared" si="57"/>
        <v/>
      </c>
      <c r="AG634" s="7" t="str">
        <f t="shared" si="58"/>
        <v/>
      </c>
      <c r="AH634" s="7"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7" t="str">
        <f t="shared" si="54"/>
        <v/>
      </c>
      <c r="AD635" s="7" t="str">
        <f t="shared" si="55"/>
        <v/>
      </c>
      <c r="AE635" s="7" t="str">
        <f t="shared" si="56"/>
        <v/>
      </c>
      <c r="AF635" s="7" t="str">
        <f t="shared" si="57"/>
        <v/>
      </c>
      <c r="AG635" s="7" t="str">
        <f t="shared" si="58"/>
        <v/>
      </c>
      <c r="AH635" s="7"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7" t="str">
        <f t="shared" si="54"/>
        <v/>
      </c>
      <c r="AD636" s="7" t="str">
        <f t="shared" si="55"/>
        <v/>
      </c>
      <c r="AE636" s="7" t="str">
        <f t="shared" si="56"/>
        <v/>
      </c>
      <c r="AF636" s="7" t="str">
        <f t="shared" si="57"/>
        <v/>
      </c>
      <c r="AG636" s="7" t="str">
        <f t="shared" si="58"/>
        <v/>
      </c>
      <c r="AH636" s="7"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7" t="str">
        <f t="shared" si="54"/>
        <v/>
      </c>
      <c r="AD637" s="7" t="str">
        <f t="shared" si="55"/>
        <v/>
      </c>
      <c r="AE637" s="7" t="str">
        <f t="shared" si="56"/>
        <v/>
      </c>
      <c r="AF637" s="7" t="str">
        <f t="shared" si="57"/>
        <v/>
      </c>
      <c r="AG637" s="7" t="str">
        <f t="shared" si="58"/>
        <v/>
      </c>
      <c r="AH637" s="7"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7" t="str">
        <f t="shared" si="54"/>
        <v/>
      </c>
      <c r="AD638" s="7" t="str">
        <f t="shared" si="55"/>
        <v/>
      </c>
      <c r="AE638" s="7" t="str">
        <f t="shared" si="56"/>
        <v/>
      </c>
      <c r="AF638" s="7" t="str">
        <f t="shared" si="57"/>
        <v/>
      </c>
      <c r="AG638" s="7" t="str">
        <f t="shared" si="58"/>
        <v/>
      </c>
      <c r="AH638" s="7"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7" t="str">
        <f t="shared" si="54"/>
        <v/>
      </c>
      <c r="AD639" s="7" t="str">
        <f t="shared" si="55"/>
        <v/>
      </c>
      <c r="AE639" s="7" t="str">
        <f t="shared" si="56"/>
        <v/>
      </c>
      <c r="AF639" s="7" t="str">
        <f t="shared" si="57"/>
        <v/>
      </c>
      <c r="AG639" s="7" t="str">
        <f t="shared" si="58"/>
        <v/>
      </c>
      <c r="AH639" s="7"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7" t="str">
        <f t="shared" si="54"/>
        <v/>
      </c>
      <c r="AD640" s="7" t="str">
        <f t="shared" si="55"/>
        <v/>
      </c>
      <c r="AE640" s="7" t="str">
        <f t="shared" si="56"/>
        <v/>
      </c>
      <c r="AF640" s="7" t="str">
        <f t="shared" si="57"/>
        <v/>
      </c>
      <c r="AG640" s="7" t="str">
        <f t="shared" si="58"/>
        <v/>
      </c>
      <c r="AH640" s="7"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7" t="str">
        <f t="shared" si="54"/>
        <v/>
      </c>
      <c r="AD641" s="7" t="str">
        <f t="shared" si="55"/>
        <v/>
      </c>
      <c r="AE641" s="7" t="str">
        <f t="shared" si="56"/>
        <v/>
      </c>
      <c r="AF641" s="7" t="str">
        <f t="shared" si="57"/>
        <v/>
      </c>
      <c r="AG641" s="7" t="str">
        <f t="shared" si="58"/>
        <v/>
      </c>
      <c r="AH641" s="7"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7" t="str">
        <f t="shared" si="54"/>
        <v/>
      </c>
      <c r="AD642" s="7" t="str">
        <f t="shared" si="55"/>
        <v/>
      </c>
      <c r="AE642" s="7" t="str">
        <f t="shared" si="56"/>
        <v/>
      </c>
      <c r="AF642" s="7" t="str">
        <f t="shared" si="57"/>
        <v/>
      </c>
      <c r="AG642" s="7" t="str">
        <f t="shared" si="58"/>
        <v/>
      </c>
      <c r="AH642" s="7"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7" t="str">
        <f t="shared" si="54"/>
        <v/>
      </c>
      <c r="AD643" s="7" t="str">
        <f t="shared" si="55"/>
        <v/>
      </c>
      <c r="AE643" s="7" t="str">
        <f t="shared" si="56"/>
        <v/>
      </c>
      <c r="AF643" s="7" t="str">
        <f t="shared" si="57"/>
        <v/>
      </c>
      <c r="AG643" s="7" t="str">
        <f t="shared" si="58"/>
        <v/>
      </c>
      <c r="AH643" s="7"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7" t="str">
        <f t="shared" si="54"/>
        <v/>
      </c>
      <c r="AD644" s="7" t="str">
        <f t="shared" si="55"/>
        <v/>
      </c>
      <c r="AE644" s="7" t="str">
        <f t="shared" si="56"/>
        <v/>
      </c>
      <c r="AF644" s="7" t="str">
        <f t="shared" si="57"/>
        <v/>
      </c>
      <c r="AG644" s="7" t="str">
        <f t="shared" si="58"/>
        <v/>
      </c>
      <c r="AH644" s="7" t="str">
        <f t="shared" si="59"/>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7" t="str">
        <f t="shared" ref="AC645:AC708" si="60">IF(COUNT(A645,L645,N645,P645,X645,Y645)&gt;0,AVERAGE(A645,L645,N645,P645,X645,Y645),"")</f>
        <v/>
      </c>
      <c r="AD645" s="7" t="str">
        <f t="shared" ref="AD645:AD708" si="61">IF(COUNT(B645,D645,M645,U645)&gt;0,AVERAGE(B645,D645,M645,U645),"")</f>
        <v/>
      </c>
      <c r="AE645" s="7" t="str">
        <f t="shared" ref="AE645:AE708" si="62">IF(COUNT(I645,T645,V645,W645)&gt;0,AVERAGE(I645,T645,V645,W645),"")</f>
        <v/>
      </c>
      <c r="AF645" s="7" t="str">
        <f t="shared" ref="AF645:AF708" si="63">IF(COUNT(H645,K645,Q645,S645)&gt;0,AVERAGE(H645,K645,Q645,S645),"")</f>
        <v/>
      </c>
      <c r="AG645" s="7" t="str">
        <f t="shared" ref="AG645:AG708" si="64">IF(COUNT(E645,F645,G645,R645)&gt;0,AVERAGE(E645,F645,G645,R645),"")</f>
        <v/>
      </c>
      <c r="AH645" s="7" t="str">
        <f t="shared" ref="AH645:AH708" si="65">IF(COUNT(C645,J645,O645,Z645)&gt;0,AVERAGE(C645,J645,O645,Z645),"")</f>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7" t="str">
        <f t="shared" si="60"/>
        <v/>
      </c>
      <c r="AD646" s="7" t="str">
        <f t="shared" si="61"/>
        <v/>
      </c>
      <c r="AE646" s="7" t="str">
        <f t="shared" si="62"/>
        <v/>
      </c>
      <c r="AF646" s="7" t="str">
        <f t="shared" si="63"/>
        <v/>
      </c>
      <c r="AG646" s="7" t="str">
        <f t="shared" si="64"/>
        <v/>
      </c>
      <c r="AH646" s="7"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7" t="str">
        <f t="shared" si="60"/>
        <v/>
      </c>
      <c r="AD647" s="7" t="str">
        <f t="shared" si="61"/>
        <v/>
      </c>
      <c r="AE647" s="7" t="str">
        <f t="shared" si="62"/>
        <v/>
      </c>
      <c r="AF647" s="7" t="str">
        <f t="shared" si="63"/>
        <v/>
      </c>
      <c r="AG647" s="7" t="str">
        <f t="shared" si="64"/>
        <v/>
      </c>
      <c r="AH647" s="7"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7" t="str">
        <f t="shared" si="60"/>
        <v/>
      </c>
      <c r="AD648" s="7" t="str">
        <f t="shared" si="61"/>
        <v/>
      </c>
      <c r="AE648" s="7" t="str">
        <f t="shared" si="62"/>
        <v/>
      </c>
      <c r="AF648" s="7" t="str">
        <f t="shared" si="63"/>
        <v/>
      </c>
      <c r="AG648" s="7" t="str">
        <f t="shared" si="64"/>
        <v/>
      </c>
      <c r="AH648" s="7"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7" t="str">
        <f t="shared" si="60"/>
        <v/>
      </c>
      <c r="AD649" s="7" t="str">
        <f t="shared" si="61"/>
        <v/>
      </c>
      <c r="AE649" s="7" t="str">
        <f t="shared" si="62"/>
        <v/>
      </c>
      <c r="AF649" s="7" t="str">
        <f t="shared" si="63"/>
        <v/>
      </c>
      <c r="AG649" s="7" t="str">
        <f t="shared" si="64"/>
        <v/>
      </c>
      <c r="AH649" s="7"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7" t="str">
        <f t="shared" si="60"/>
        <v/>
      </c>
      <c r="AD650" s="7" t="str">
        <f t="shared" si="61"/>
        <v/>
      </c>
      <c r="AE650" s="7" t="str">
        <f t="shared" si="62"/>
        <v/>
      </c>
      <c r="AF650" s="7" t="str">
        <f t="shared" si="63"/>
        <v/>
      </c>
      <c r="AG650" s="7" t="str">
        <f t="shared" si="64"/>
        <v/>
      </c>
      <c r="AH650" s="7"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7" t="str">
        <f t="shared" si="60"/>
        <v/>
      </c>
      <c r="AD651" s="7" t="str">
        <f t="shared" si="61"/>
        <v/>
      </c>
      <c r="AE651" s="7" t="str">
        <f t="shared" si="62"/>
        <v/>
      </c>
      <c r="AF651" s="7" t="str">
        <f t="shared" si="63"/>
        <v/>
      </c>
      <c r="AG651" s="7" t="str">
        <f t="shared" si="64"/>
        <v/>
      </c>
      <c r="AH651" s="7"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7" t="str">
        <f t="shared" si="60"/>
        <v/>
      </c>
      <c r="AD652" s="7" t="str">
        <f t="shared" si="61"/>
        <v/>
      </c>
      <c r="AE652" s="7" t="str">
        <f t="shared" si="62"/>
        <v/>
      </c>
      <c r="AF652" s="7" t="str">
        <f t="shared" si="63"/>
        <v/>
      </c>
      <c r="AG652" s="7" t="str">
        <f t="shared" si="64"/>
        <v/>
      </c>
      <c r="AH652" s="7"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7" t="str">
        <f t="shared" si="60"/>
        <v/>
      </c>
      <c r="AD653" s="7" t="str">
        <f t="shared" si="61"/>
        <v/>
      </c>
      <c r="AE653" s="7" t="str">
        <f t="shared" si="62"/>
        <v/>
      </c>
      <c r="AF653" s="7" t="str">
        <f t="shared" si="63"/>
        <v/>
      </c>
      <c r="AG653" s="7" t="str">
        <f t="shared" si="64"/>
        <v/>
      </c>
      <c r="AH653" s="7"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7" t="str">
        <f t="shared" si="60"/>
        <v/>
      </c>
      <c r="AD654" s="7" t="str">
        <f t="shared" si="61"/>
        <v/>
      </c>
      <c r="AE654" s="7" t="str">
        <f t="shared" si="62"/>
        <v/>
      </c>
      <c r="AF654" s="7" t="str">
        <f t="shared" si="63"/>
        <v/>
      </c>
      <c r="AG654" s="7" t="str">
        <f t="shared" si="64"/>
        <v/>
      </c>
      <c r="AH654" s="7"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7" t="str">
        <f t="shared" si="60"/>
        <v/>
      </c>
      <c r="AD655" s="7" t="str">
        <f t="shared" si="61"/>
        <v/>
      </c>
      <c r="AE655" s="7" t="str">
        <f t="shared" si="62"/>
        <v/>
      </c>
      <c r="AF655" s="7" t="str">
        <f t="shared" si="63"/>
        <v/>
      </c>
      <c r="AG655" s="7" t="str">
        <f t="shared" si="64"/>
        <v/>
      </c>
      <c r="AH655" s="7"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7" t="str">
        <f t="shared" si="60"/>
        <v/>
      </c>
      <c r="AD656" s="7" t="str">
        <f t="shared" si="61"/>
        <v/>
      </c>
      <c r="AE656" s="7" t="str">
        <f t="shared" si="62"/>
        <v/>
      </c>
      <c r="AF656" s="7" t="str">
        <f t="shared" si="63"/>
        <v/>
      </c>
      <c r="AG656" s="7" t="str">
        <f t="shared" si="64"/>
        <v/>
      </c>
      <c r="AH656" s="7"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7" t="str">
        <f t="shared" si="60"/>
        <v/>
      </c>
      <c r="AD657" s="7" t="str">
        <f t="shared" si="61"/>
        <v/>
      </c>
      <c r="AE657" s="7" t="str">
        <f t="shared" si="62"/>
        <v/>
      </c>
      <c r="AF657" s="7" t="str">
        <f t="shared" si="63"/>
        <v/>
      </c>
      <c r="AG657" s="7" t="str">
        <f t="shared" si="64"/>
        <v/>
      </c>
      <c r="AH657" s="7"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7" t="str">
        <f t="shared" si="60"/>
        <v/>
      </c>
      <c r="AD658" s="7" t="str">
        <f t="shared" si="61"/>
        <v/>
      </c>
      <c r="AE658" s="7" t="str">
        <f t="shared" si="62"/>
        <v/>
      </c>
      <c r="AF658" s="7" t="str">
        <f t="shared" si="63"/>
        <v/>
      </c>
      <c r="AG658" s="7" t="str">
        <f t="shared" si="64"/>
        <v/>
      </c>
      <c r="AH658" s="7"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7" t="str">
        <f t="shared" si="60"/>
        <v/>
      </c>
      <c r="AD659" s="7" t="str">
        <f t="shared" si="61"/>
        <v/>
      </c>
      <c r="AE659" s="7" t="str">
        <f t="shared" si="62"/>
        <v/>
      </c>
      <c r="AF659" s="7" t="str">
        <f t="shared" si="63"/>
        <v/>
      </c>
      <c r="AG659" s="7" t="str">
        <f t="shared" si="64"/>
        <v/>
      </c>
      <c r="AH659" s="7"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7" t="str">
        <f t="shared" si="60"/>
        <v/>
      </c>
      <c r="AD660" s="7" t="str">
        <f t="shared" si="61"/>
        <v/>
      </c>
      <c r="AE660" s="7" t="str">
        <f t="shared" si="62"/>
        <v/>
      </c>
      <c r="AF660" s="7" t="str">
        <f t="shared" si="63"/>
        <v/>
      </c>
      <c r="AG660" s="7" t="str">
        <f t="shared" si="64"/>
        <v/>
      </c>
      <c r="AH660" s="7"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7" t="str">
        <f t="shared" si="60"/>
        <v/>
      </c>
      <c r="AD661" s="7" t="str">
        <f t="shared" si="61"/>
        <v/>
      </c>
      <c r="AE661" s="7" t="str">
        <f t="shared" si="62"/>
        <v/>
      </c>
      <c r="AF661" s="7" t="str">
        <f t="shared" si="63"/>
        <v/>
      </c>
      <c r="AG661" s="7" t="str">
        <f t="shared" si="64"/>
        <v/>
      </c>
      <c r="AH661" s="7"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7" t="str">
        <f t="shared" si="60"/>
        <v/>
      </c>
      <c r="AD662" s="7" t="str">
        <f t="shared" si="61"/>
        <v/>
      </c>
      <c r="AE662" s="7" t="str">
        <f t="shared" si="62"/>
        <v/>
      </c>
      <c r="AF662" s="7" t="str">
        <f t="shared" si="63"/>
        <v/>
      </c>
      <c r="AG662" s="7" t="str">
        <f t="shared" si="64"/>
        <v/>
      </c>
      <c r="AH662" s="7"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7" t="str">
        <f t="shared" si="60"/>
        <v/>
      </c>
      <c r="AD663" s="7" t="str">
        <f t="shared" si="61"/>
        <v/>
      </c>
      <c r="AE663" s="7" t="str">
        <f t="shared" si="62"/>
        <v/>
      </c>
      <c r="AF663" s="7" t="str">
        <f t="shared" si="63"/>
        <v/>
      </c>
      <c r="AG663" s="7" t="str">
        <f t="shared" si="64"/>
        <v/>
      </c>
      <c r="AH663" s="7"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7" t="str">
        <f t="shared" si="60"/>
        <v/>
      </c>
      <c r="AD664" s="7" t="str">
        <f t="shared" si="61"/>
        <v/>
      </c>
      <c r="AE664" s="7" t="str">
        <f t="shared" si="62"/>
        <v/>
      </c>
      <c r="AF664" s="7" t="str">
        <f t="shared" si="63"/>
        <v/>
      </c>
      <c r="AG664" s="7" t="str">
        <f t="shared" si="64"/>
        <v/>
      </c>
      <c r="AH664" s="7"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7" t="str">
        <f t="shared" si="60"/>
        <v/>
      </c>
      <c r="AD665" s="7" t="str">
        <f t="shared" si="61"/>
        <v/>
      </c>
      <c r="AE665" s="7" t="str">
        <f t="shared" si="62"/>
        <v/>
      </c>
      <c r="AF665" s="7" t="str">
        <f t="shared" si="63"/>
        <v/>
      </c>
      <c r="AG665" s="7" t="str">
        <f t="shared" si="64"/>
        <v/>
      </c>
      <c r="AH665" s="7"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7" t="str">
        <f t="shared" si="60"/>
        <v/>
      </c>
      <c r="AD666" s="7" t="str">
        <f t="shared" si="61"/>
        <v/>
      </c>
      <c r="AE666" s="7" t="str">
        <f t="shared" si="62"/>
        <v/>
      </c>
      <c r="AF666" s="7" t="str">
        <f t="shared" si="63"/>
        <v/>
      </c>
      <c r="AG666" s="7" t="str">
        <f t="shared" si="64"/>
        <v/>
      </c>
      <c r="AH666" s="7"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7" t="str">
        <f t="shared" si="60"/>
        <v/>
      </c>
      <c r="AD667" s="7" t="str">
        <f t="shared" si="61"/>
        <v/>
      </c>
      <c r="AE667" s="7" t="str">
        <f t="shared" si="62"/>
        <v/>
      </c>
      <c r="AF667" s="7" t="str">
        <f t="shared" si="63"/>
        <v/>
      </c>
      <c r="AG667" s="7" t="str">
        <f t="shared" si="64"/>
        <v/>
      </c>
      <c r="AH667" s="7"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7" t="str">
        <f t="shared" si="60"/>
        <v/>
      </c>
      <c r="AD668" s="7" t="str">
        <f t="shared" si="61"/>
        <v/>
      </c>
      <c r="AE668" s="7" t="str">
        <f t="shared" si="62"/>
        <v/>
      </c>
      <c r="AF668" s="7" t="str">
        <f t="shared" si="63"/>
        <v/>
      </c>
      <c r="AG668" s="7" t="str">
        <f t="shared" si="64"/>
        <v/>
      </c>
      <c r="AH668" s="7"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7" t="str">
        <f t="shared" si="60"/>
        <v/>
      </c>
      <c r="AD669" s="7" t="str">
        <f t="shared" si="61"/>
        <v/>
      </c>
      <c r="AE669" s="7" t="str">
        <f t="shared" si="62"/>
        <v/>
      </c>
      <c r="AF669" s="7" t="str">
        <f t="shared" si="63"/>
        <v/>
      </c>
      <c r="AG669" s="7" t="str">
        <f t="shared" si="64"/>
        <v/>
      </c>
      <c r="AH669" s="7"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7" t="str">
        <f t="shared" si="60"/>
        <v/>
      </c>
      <c r="AD670" s="7" t="str">
        <f t="shared" si="61"/>
        <v/>
      </c>
      <c r="AE670" s="7" t="str">
        <f t="shared" si="62"/>
        <v/>
      </c>
      <c r="AF670" s="7" t="str">
        <f t="shared" si="63"/>
        <v/>
      </c>
      <c r="AG670" s="7" t="str">
        <f t="shared" si="64"/>
        <v/>
      </c>
      <c r="AH670" s="7"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7" t="str">
        <f t="shared" si="60"/>
        <v/>
      </c>
      <c r="AD671" s="7" t="str">
        <f t="shared" si="61"/>
        <v/>
      </c>
      <c r="AE671" s="7" t="str">
        <f t="shared" si="62"/>
        <v/>
      </c>
      <c r="AF671" s="7" t="str">
        <f t="shared" si="63"/>
        <v/>
      </c>
      <c r="AG671" s="7" t="str">
        <f t="shared" si="64"/>
        <v/>
      </c>
      <c r="AH671" s="7"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7" t="str">
        <f t="shared" si="60"/>
        <v/>
      </c>
      <c r="AD672" s="7" t="str">
        <f t="shared" si="61"/>
        <v/>
      </c>
      <c r="AE672" s="7" t="str">
        <f t="shared" si="62"/>
        <v/>
      </c>
      <c r="AF672" s="7" t="str">
        <f t="shared" si="63"/>
        <v/>
      </c>
      <c r="AG672" s="7" t="str">
        <f t="shared" si="64"/>
        <v/>
      </c>
      <c r="AH672" s="7"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7" t="str">
        <f t="shared" si="60"/>
        <v/>
      </c>
      <c r="AD673" s="7" t="str">
        <f t="shared" si="61"/>
        <v/>
      </c>
      <c r="AE673" s="7" t="str">
        <f t="shared" si="62"/>
        <v/>
      </c>
      <c r="AF673" s="7" t="str">
        <f t="shared" si="63"/>
        <v/>
      </c>
      <c r="AG673" s="7" t="str">
        <f t="shared" si="64"/>
        <v/>
      </c>
      <c r="AH673" s="7"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7" t="str">
        <f t="shared" si="60"/>
        <v/>
      </c>
      <c r="AD674" s="7" t="str">
        <f t="shared" si="61"/>
        <v/>
      </c>
      <c r="AE674" s="7" t="str">
        <f t="shared" si="62"/>
        <v/>
      </c>
      <c r="AF674" s="7" t="str">
        <f t="shared" si="63"/>
        <v/>
      </c>
      <c r="AG674" s="7" t="str">
        <f t="shared" si="64"/>
        <v/>
      </c>
      <c r="AH674" s="7"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7" t="str">
        <f t="shared" si="60"/>
        <v/>
      </c>
      <c r="AD675" s="7" t="str">
        <f t="shared" si="61"/>
        <v/>
      </c>
      <c r="AE675" s="7" t="str">
        <f t="shared" si="62"/>
        <v/>
      </c>
      <c r="AF675" s="7" t="str">
        <f t="shared" si="63"/>
        <v/>
      </c>
      <c r="AG675" s="7" t="str">
        <f t="shared" si="64"/>
        <v/>
      </c>
      <c r="AH675" s="7"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7" t="str">
        <f t="shared" si="60"/>
        <v/>
      </c>
      <c r="AD676" s="7" t="str">
        <f t="shared" si="61"/>
        <v/>
      </c>
      <c r="AE676" s="7" t="str">
        <f t="shared" si="62"/>
        <v/>
      </c>
      <c r="AF676" s="7" t="str">
        <f t="shared" si="63"/>
        <v/>
      </c>
      <c r="AG676" s="7" t="str">
        <f t="shared" si="64"/>
        <v/>
      </c>
      <c r="AH676" s="7"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7" t="str">
        <f t="shared" si="60"/>
        <v/>
      </c>
      <c r="AD677" s="7" t="str">
        <f t="shared" si="61"/>
        <v/>
      </c>
      <c r="AE677" s="7" t="str">
        <f t="shared" si="62"/>
        <v/>
      </c>
      <c r="AF677" s="7" t="str">
        <f t="shared" si="63"/>
        <v/>
      </c>
      <c r="AG677" s="7" t="str">
        <f t="shared" si="64"/>
        <v/>
      </c>
      <c r="AH677" s="7"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7" t="str">
        <f t="shared" si="60"/>
        <v/>
      </c>
      <c r="AD678" s="7" t="str">
        <f t="shared" si="61"/>
        <v/>
      </c>
      <c r="AE678" s="7" t="str">
        <f t="shared" si="62"/>
        <v/>
      </c>
      <c r="AF678" s="7" t="str">
        <f t="shared" si="63"/>
        <v/>
      </c>
      <c r="AG678" s="7" t="str">
        <f t="shared" si="64"/>
        <v/>
      </c>
      <c r="AH678" s="7"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7" t="str">
        <f t="shared" si="60"/>
        <v/>
      </c>
      <c r="AD679" s="7" t="str">
        <f t="shared" si="61"/>
        <v/>
      </c>
      <c r="AE679" s="7" t="str">
        <f t="shared" si="62"/>
        <v/>
      </c>
      <c r="AF679" s="7" t="str">
        <f t="shared" si="63"/>
        <v/>
      </c>
      <c r="AG679" s="7" t="str">
        <f t="shared" si="64"/>
        <v/>
      </c>
      <c r="AH679" s="7"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7" t="str">
        <f t="shared" si="60"/>
        <v/>
      </c>
      <c r="AD680" s="7" t="str">
        <f t="shared" si="61"/>
        <v/>
      </c>
      <c r="AE680" s="7" t="str">
        <f t="shared" si="62"/>
        <v/>
      </c>
      <c r="AF680" s="7" t="str">
        <f t="shared" si="63"/>
        <v/>
      </c>
      <c r="AG680" s="7" t="str">
        <f t="shared" si="64"/>
        <v/>
      </c>
      <c r="AH680" s="7"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7" t="str">
        <f t="shared" si="60"/>
        <v/>
      </c>
      <c r="AD681" s="7" t="str">
        <f t="shared" si="61"/>
        <v/>
      </c>
      <c r="AE681" s="7" t="str">
        <f t="shared" si="62"/>
        <v/>
      </c>
      <c r="AF681" s="7" t="str">
        <f t="shared" si="63"/>
        <v/>
      </c>
      <c r="AG681" s="7" t="str">
        <f t="shared" si="64"/>
        <v/>
      </c>
      <c r="AH681" s="7"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7" t="str">
        <f t="shared" si="60"/>
        <v/>
      </c>
      <c r="AD682" s="7" t="str">
        <f t="shared" si="61"/>
        <v/>
      </c>
      <c r="AE682" s="7" t="str">
        <f t="shared" si="62"/>
        <v/>
      </c>
      <c r="AF682" s="7" t="str">
        <f t="shared" si="63"/>
        <v/>
      </c>
      <c r="AG682" s="7" t="str">
        <f t="shared" si="64"/>
        <v/>
      </c>
      <c r="AH682" s="7"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7" t="str">
        <f t="shared" si="60"/>
        <v/>
      </c>
      <c r="AD683" s="7" t="str">
        <f t="shared" si="61"/>
        <v/>
      </c>
      <c r="AE683" s="7" t="str">
        <f t="shared" si="62"/>
        <v/>
      </c>
      <c r="AF683" s="7" t="str">
        <f t="shared" si="63"/>
        <v/>
      </c>
      <c r="AG683" s="7" t="str">
        <f t="shared" si="64"/>
        <v/>
      </c>
      <c r="AH683" s="7"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7" t="str">
        <f t="shared" si="60"/>
        <v/>
      </c>
      <c r="AD684" s="7" t="str">
        <f t="shared" si="61"/>
        <v/>
      </c>
      <c r="AE684" s="7" t="str">
        <f t="shared" si="62"/>
        <v/>
      </c>
      <c r="AF684" s="7" t="str">
        <f t="shared" si="63"/>
        <v/>
      </c>
      <c r="AG684" s="7" t="str">
        <f t="shared" si="64"/>
        <v/>
      </c>
      <c r="AH684" s="7"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7" t="str">
        <f t="shared" si="60"/>
        <v/>
      </c>
      <c r="AD685" s="7" t="str">
        <f t="shared" si="61"/>
        <v/>
      </c>
      <c r="AE685" s="7" t="str">
        <f t="shared" si="62"/>
        <v/>
      </c>
      <c r="AF685" s="7" t="str">
        <f t="shared" si="63"/>
        <v/>
      </c>
      <c r="AG685" s="7" t="str">
        <f t="shared" si="64"/>
        <v/>
      </c>
      <c r="AH685" s="7"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7" t="str">
        <f t="shared" si="60"/>
        <v/>
      </c>
      <c r="AD686" s="7" t="str">
        <f t="shared" si="61"/>
        <v/>
      </c>
      <c r="AE686" s="7" t="str">
        <f t="shared" si="62"/>
        <v/>
      </c>
      <c r="AF686" s="7" t="str">
        <f t="shared" si="63"/>
        <v/>
      </c>
      <c r="AG686" s="7" t="str">
        <f t="shared" si="64"/>
        <v/>
      </c>
      <c r="AH686" s="7"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7" t="str">
        <f t="shared" si="60"/>
        <v/>
      </c>
      <c r="AD687" s="7" t="str">
        <f t="shared" si="61"/>
        <v/>
      </c>
      <c r="AE687" s="7" t="str">
        <f t="shared" si="62"/>
        <v/>
      </c>
      <c r="AF687" s="7" t="str">
        <f t="shared" si="63"/>
        <v/>
      </c>
      <c r="AG687" s="7" t="str">
        <f t="shared" si="64"/>
        <v/>
      </c>
      <c r="AH687" s="7"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7" t="str">
        <f t="shared" si="60"/>
        <v/>
      </c>
      <c r="AD688" s="7" t="str">
        <f t="shared" si="61"/>
        <v/>
      </c>
      <c r="AE688" s="7" t="str">
        <f t="shared" si="62"/>
        <v/>
      </c>
      <c r="AF688" s="7" t="str">
        <f t="shared" si="63"/>
        <v/>
      </c>
      <c r="AG688" s="7" t="str">
        <f t="shared" si="64"/>
        <v/>
      </c>
      <c r="AH688" s="7"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7" t="str">
        <f t="shared" si="60"/>
        <v/>
      </c>
      <c r="AD689" s="7" t="str">
        <f t="shared" si="61"/>
        <v/>
      </c>
      <c r="AE689" s="7" t="str">
        <f t="shared" si="62"/>
        <v/>
      </c>
      <c r="AF689" s="7" t="str">
        <f t="shared" si="63"/>
        <v/>
      </c>
      <c r="AG689" s="7" t="str">
        <f t="shared" si="64"/>
        <v/>
      </c>
      <c r="AH689" s="7"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7" t="str">
        <f t="shared" si="60"/>
        <v/>
      </c>
      <c r="AD690" s="7" t="str">
        <f t="shared" si="61"/>
        <v/>
      </c>
      <c r="AE690" s="7" t="str">
        <f t="shared" si="62"/>
        <v/>
      </c>
      <c r="AF690" s="7" t="str">
        <f t="shared" si="63"/>
        <v/>
      </c>
      <c r="AG690" s="7" t="str">
        <f t="shared" si="64"/>
        <v/>
      </c>
      <c r="AH690" s="7"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7" t="str">
        <f t="shared" si="60"/>
        <v/>
      </c>
      <c r="AD691" s="7" t="str">
        <f t="shared" si="61"/>
        <v/>
      </c>
      <c r="AE691" s="7" t="str">
        <f t="shared" si="62"/>
        <v/>
      </c>
      <c r="AF691" s="7" t="str">
        <f t="shared" si="63"/>
        <v/>
      </c>
      <c r="AG691" s="7" t="str">
        <f t="shared" si="64"/>
        <v/>
      </c>
      <c r="AH691" s="7"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7" t="str">
        <f t="shared" si="60"/>
        <v/>
      </c>
      <c r="AD692" s="7" t="str">
        <f t="shared" si="61"/>
        <v/>
      </c>
      <c r="AE692" s="7" t="str">
        <f t="shared" si="62"/>
        <v/>
      </c>
      <c r="AF692" s="7" t="str">
        <f t="shared" si="63"/>
        <v/>
      </c>
      <c r="AG692" s="7" t="str">
        <f t="shared" si="64"/>
        <v/>
      </c>
      <c r="AH692" s="7"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7" t="str">
        <f t="shared" si="60"/>
        <v/>
      </c>
      <c r="AD693" s="7" t="str">
        <f t="shared" si="61"/>
        <v/>
      </c>
      <c r="AE693" s="7" t="str">
        <f t="shared" si="62"/>
        <v/>
      </c>
      <c r="AF693" s="7" t="str">
        <f t="shared" si="63"/>
        <v/>
      </c>
      <c r="AG693" s="7" t="str">
        <f t="shared" si="64"/>
        <v/>
      </c>
      <c r="AH693" s="7"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7" t="str">
        <f t="shared" si="60"/>
        <v/>
      </c>
      <c r="AD694" s="7" t="str">
        <f t="shared" si="61"/>
        <v/>
      </c>
      <c r="AE694" s="7" t="str">
        <f t="shared" si="62"/>
        <v/>
      </c>
      <c r="AF694" s="7" t="str">
        <f t="shared" si="63"/>
        <v/>
      </c>
      <c r="AG694" s="7" t="str">
        <f t="shared" si="64"/>
        <v/>
      </c>
      <c r="AH694" s="7"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7" t="str">
        <f t="shared" si="60"/>
        <v/>
      </c>
      <c r="AD695" s="7" t="str">
        <f t="shared" si="61"/>
        <v/>
      </c>
      <c r="AE695" s="7" t="str">
        <f t="shared" si="62"/>
        <v/>
      </c>
      <c r="AF695" s="7" t="str">
        <f t="shared" si="63"/>
        <v/>
      </c>
      <c r="AG695" s="7" t="str">
        <f t="shared" si="64"/>
        <v/>
      </c>
      <c r="AH695" s="7"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7" t="str">
        <f t="shared" si="60"/>
        <v/>
      </c>
      <c r="AD696" s="7" t="str">
        <f t="shared" si="61"/>
        <v/>
      </c>
      <c r="AE696" s="7" t="str">
        <f t="shared" si="62"/>
        <v/>
      </c>
      <c r="AF696" s="7" t="str">
        <f t="shared" si="63"/>
        <v/>
      </c>
      <c r="AG696" s="7" t="str">
        <f t="shared" si="64"/>
        <v/>
      </c>
      <c r="AH696" s="7"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7" t="str">
        <f t="shared" si="60"/>
        <v/>
      </c>
      <c r="AD697" s="7" t="str">
        <f t="shared" si="61"/>
        <v/>
      </c>
      <c r="AE697" s="7" t="str">
        <f t="shared" si="62"/>
        <v/>
      </c>
      <c r="AF697" s="7" t="str">
        <f t="shared" si="63"/>
        <v/>
      </c>
      <c r="AG697" s="7" t="str">
        <f t="shared" si="64"/>
        <v/>
      </c>
      <c r="AH697" s="7"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7" t="str">
        <f t="shared" si="60"/>
        <v/>
      </c>
      <c r="AD698" s="7" t="str">
        <f t="shared" si="61"/>
        <v/>
      </c>
      <c r="AE698" s="7" t="str">
        <f t="shared" si="62"/>
        <v/>
      </c>
      <c r="AF698" s="7" t="str">
        <f t="shared" si="63"/>
        <v/>
      </c>
      <c r="AG698" s="7" t="str">
        <f t="shared" si="64"/>
        <v/>
      </c>
      <c r="AH698" s="7"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7" t="str">
        <f t="shared" si="60"/>
        <v/>
      </c>
      <c r="AD699" s="7" t="str">
        <f t="shared" si="61"/>
        <v/>
      </c>
      <c r="AE699" s="7" t="str">
        <f t="shared" si="62"/>
        <v/>
      </c>
      <c r="AF699" s="7" t="str">
        <f t="shared" si="63"/>
        <v/>
      </c>
      <c r="AG699" s="7" t="str">
        <f t="shared" si="64"/>
        <v/>
      </c>
      <c r="AH699" s="7"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7" t="str">
        <f t="shared" si="60"/>
        <v/>
      </c>
      <c r="AD700" s="7" t="str">
        <f t="shared" si="61"/>
        <v/>
      </c>
      <c r="AE700" s="7" t="str">
        <f t="shared" si="62"/>
        <v/>
      </c>
      <c r="AF700" s="7" t="str">
        <f t="shared" si="63"/>
        <v/>
      </c>
      <c r="AG700" s="7" t="str">
        <f t="shared" si="64"/>
        <v/>
      </c>
      <c r="AH700" s="7"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7" t="str">
        <f t="shared" si="60"/>
        <v/>
      </c>
      <c r="AD701" s="7" t="str">
        <f t="shared" si="61"/>
        <v/>
      </c>
      <c r="AE701" s="7" t="str">
        <f t="shared" si="62"/>
        <v/>
      </c>
      <c r="AF701" s="7" t="str">
        <f t="shared" si="63"/>
        <v/>
      </c>
      <c r="AG701" s="7" t="str">
        <f t="shared" si="64"/>
        <v/>
      </c>
      <c r="AH701" s="7"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7" t="str">
        <f t="shared" si="60"/>
        <v/>
      </c>
      <c r="AD702" s="7" t="str">
        <f t="shared" si="61"/>
        <v/>
      </c>
      <c r="AE702" s="7" t="str">
        <f t="shared" si="62"/>
        <v/>
      </c>
      <c r="AF702" s="7" t="str">
        <f t="shared" si="63"/>
        <v/>
      </c>
      <c r="AG702" s="7" t="str">
        <f t="shared" si="64"/>
        <v/>
      </c>
      <c r="AH702" s="7"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7" t="str">
        <f t="shared" si="60"/>
        <v/>
      </c>
      <c r="AD703" s="7" t="str">
        <f t="shared" si="61"/>
        <v/>
      </c>
      <c r="AE703" s="7" t="str">
        <f t="shared" si="62"/>
        <v/>
      </c>
      <c r="AF703" s="7" t="str">
        <f t="shared" si="63"/>
        <v/>
      </c>
      <c r="AG703" s="7" t="str">
        <f t="shared" si="64"/>
        <v/>
      </c>
      <c r="AH703" s="7"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7" t="str">
        <f t="shared" si="60"/>
        <v/>
      </c>
      <c r="AD704" s="7" t="str">
        <f t="shared" si="61"/>
        <v/>
      </c>
      <c r="AE704" s="7" t="str">
        <f t="shared" si="62"/>
        <v/>
      </c>
      <c r="AF704" s="7" t="str">
        <f t="shared" si="63"/>
        <v/>
      </c>
      <c r="AG704" s="7" t="str">
        <f t="shared" si="64"/>
        <v/>
      </c>
      <c r="AH704" s="7"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7" t="str">
        <f t="shared" si="60"/>
        <v/>
      </c>
      <c r="AD705" s="7" t="str">
        <f t="shared" si="61"/>
        <v/>
      </c>
      <c r="AE705" s="7" t="str">
        <f t="shared" si="62"/>
        <v/>
      </c>
      <c r="AF705" s="7" t="str">
        <f t="shared" si="63"/>
        <v/>
      </c>
      <c r="AG705" s="7" t="str">
        <f t="shared" si="64"/>
        <v/>
      </c>
      <c r="AH705" s="7"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7" t="str">
        <f t="shared" si="60"/>
        <v/>
      </c>
      <c r="AD706" s="7" t="str">
        <f t="shared" si="61"/>
        <v/>
      </c>
      <c r="AE706" s="7" t="str">
        <f t="shared" si="62"/>
        <v/>
      </c>
      <c r="AF706" s="7" t="str">
        <f t="shared" si="63"/>
        <v/>
      </c>
      <c r="AG706" s="7" t="str">
        <f t="shared" si="64"/>
        <v/>
      </c>
      <c r="AH706" s="7"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7" t="str">
        <f t="shared" si="60"/>
        <v/>
      </c>
      <c r="AD707" s="7" t="str">
        <f t="shared" si="61"/>
        <v/>
      </c>
      <c r="AE707" s="7" t="str">
        <f t="shared" si="62"/>
        <v/>
      </c>
      <c r="AF707" s="7" t="str">
        <f t="shared" si="63"/>
        <v/>
      </c>
      <c r="AG707" s="7" t="str">
        <f t="shared" si="64"/>
        <v/>
      </c>
      <c r="AH707" s="7"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7" t="str">
        <f t="shared" si="60"/>
        <v/>
      </c>
      <c r="AD708" s="7" t="str">
        <f t="shared" si="61"/>
        <v/>
      </c>
      <c r="AE708" s="7" t="str">
        <f t="shared" si="62"/>
        <v/>
      </c>
      <c r="AF708" s="7" t="str">
        <f t="shared" si="63"/>
        <v/>
      </c>
      <c r="AG708" s="7" t="str">
        <f t="shared" si="64"/>
        <v/>
      </c>
      <c r="AH708" s="7" t="str">
        <f t="shared" si="65"/>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7" t="str">
        <f t="shared" ref="AC709:AC772" si="66">IF(COUNT(A709,L709,N709,P709,X709,Y709)&gt;0,AVERAGE(A709,L709,N709,P709,X709,Y709),"")</f>
        <v/>
      </c>
      <c r="AD709" s="7" t="str">
        <f t="shared" ref="AD709:AD772" si="67">IF(COUNT(B709,D709,M709,U709)&gt;0,AVERAGE(B709,D709,M709,U709),"")</f>
        <v/>
      </c>
      <c r="AE709" s="7" t="str">
        <f t="shared" ref="AE709:AE772" si="68">IF(COUNT(I709,T709,V709,W709)&gt;0,AVERAGE(I709,T709,V709,W709),"")</f>
        <v/>
      </c>
      <c r="AF709" s="7" t="str">
        <f t="shared" ref="AF709:AF772" si="69">IF(COUNT(H709,K709,Q709,S709)&gt;0,AVERAGE(H709,K709,Q709,S709),"")</f>
        <v/>
      </c>
      <c r="AG709" s="7" t="str">
        <f t="shared" ref="AG709:AG772" si="70">IF(COUNT(E709,F709,G709,R709)&gt;0,AVERAGE(E709,F709,G709,R709),"")</f>
        <v/>
      </c>
      <c r="AH709" s="7" t="str">
        <f t="shared" ref="AH709:AH772" si="71">IF(COUNT(C709,J709,O709,Z709)&gt;0,AVERAGE(C709,J709,O709,Z709),"")</f>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7" t="str">
        <f t="shared" si="66"/>
        <v/>
      </c>
      <c r="AD710" s="7" t="str">
        <f t="shared" si="67"/>
        <v/>
      </c>
      <c r="AE710" s="7" t="str">
        <f t="shared" si="68"/>
        <v/>
      </c>
      <c r="AF710" s="7" t="str">
        <f t="shared" si="69"/>
        <v/>
      </c>
      <c r="AG710" s="7" t="str">
        <f t="shared" si="70"/>
        <v/>
      </c>
      <c r="AH710" s="7"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7" t="str">
        <f t="shared" si="66"/>
        <v/>
      </c>
      <c r="AD711" s="7" t="str">
        <f t="shared" si="67"/>
        <v/>
      </c>
      <c r="AE711" s="7" t="str">
        <f t="shared" si="68"/>
        <v/>
      </c>
      <c r="AF711" s="7" t="str">
        <f t="shared" si="69"/>
        <v/>
      </c>
      <c r="AG711" s="7" t="str">
        <f t="shared" si="70"/>
        <v/>
      </c>
      <c r="AH711" s="7"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7" t="str">
        <f t="shared" si="66"/>
        <v/>
      </c>
      <c r="AD712" s="7" t="str">
        <f t="shared" si="67"/>
        <v/>
      </c>
      <c r="AE712" s="7" t="str">
        <f t="shared" si="68"/>
        <v/>
      </c>
      <c r="AF712" s="7" t="str">
        <f t="shared" si="69"/>
        <v/>
      </c>
      <c r="AG712" s="7" t="str">
        <f t="shared" si="70"/>
        <v/>
      </c>
      <c r="AH712" s="7"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7" t="str">
        <f t="shared" si="66"/>
        <v/>
      </c>
      <c r="AD713" s="7" t="str">
        <f t="shared" si="67"/>
        <v/>
      </c>
      <c r="AE713" s="7" t="str">
        <f t="shared" si="68"/>
        <v/>
      </c>
      <c r="AF713" s="7" t="str">
        <f t="shared" si="69"/>
        <v/>
      </c>
      <c r="AG713" s="7" t="str">
        <f t="shared" si="70"/>
        <v/>
      </c>
      <c r="AH713" s="7"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7" t="str">
        <f t="shared" si="66"/>
        <v/>
      </c>
      <c r="AD714" s="7" t="str">
        <f t="shared" si="67"/>
        <v/>
      </c>
      <c r="AE714" s="7" t="str">
        <f t="shared" si="68"/>
        <v/>
      </c>
      <c r="AF714" s="7" t="str">
        <f t="shared" si="69"/>
        <v/>
      </c>
      <c r="AG714" s="7" t="str">
        <f t="shared" si="70"/>
        <v/>
      </c>
      <c r="AH714" s="7"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7" t="str">
        <f t="shared" si="66"/>
        <v/>
      </c>
      <c r="AD715" s="7" t="str">
        <f t="shared" si="67"/>
        <v/>
      </c>
      <c r="AE715" s="7" t="str">
        <f t="shared" si="68"/>
        <v/>
      </c>
      <c r="AF715" s="7" t="str">
        <f t="shared" si="69"/>
        <v/>
      </c>
      <c r="AG715" s="7" t="str">
        <f t="shared" si="70"/>
        <v/>
      </c>
      <c r="AH715" s="7"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7" t="str">
        <f t="shared" si="66"/>
        <v/>
      </c>
      <c r="AD716" s="7" t="str">
        <f t="shared" si="67"/>
        <v/>
      </c>
      <c r="AE716" s="7" t="str">
        <f t="shared" si="68"/>
        <v/>
      </c>
      <c r="AF716" s="7" t="str">
        <f t="shared" si="69"/>
        <v/>
      </c>
      <c r="AG716" s="7" t="str">
        <f t="shared" si="70"/>
        <v/>
      </c>
      <c r="AH716" s="7"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7" t="str">
        <f t="shared" si="66"/>
        <v/>
      </c>
      <c r="AD717" s="7" t="str">
        <f t="shared" si="67"/>
        <v/>
      </c>
      <c r="AE717" s="7" t="str">
        <f t="shared" si="68"/>
        <v/>
      </c>
      <c r="AF717" s="7" t="str">
        <f t="shared" si="69"/>
        <v/>
      </c>
      <c r="AG717" s="7" t="str">
        <f t="shared" si="70"/>
        <v/>
      </c>
      <c r="AH717" s="7"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7" t="str">
        <f t="shared" si="66"/>
        <v/>
      </c>
      <c r="AD718" s="7" t="str">
        <f t="shared" si="67"/>
        <v/>
      </c>
      <c r="AE718" s="7" t="str">
        <f t="shared" si="68"/>
        <v/>
      </c>
      <c r="AF718" s="7" t="str">
        <f t="shared" si="69"/>
        <v/>
      </c>
      <c r="AG718" s="7" t="str">
        <f t="shared" si="70"/>
        <v/>
      </c>
      <c r="AH718" s="7"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7" t="str">
        <f t="shared" si="66"/>
        <v/>
      </c>
      <c r="AD719" s="7" t="str">
        <f t="shared" si="67"/>
        <v/>
      </c>
      <c r="AE719" s="7" t="str">
        <f t="shared" si="68"/>
        <v/>
      </c>
      <c r="AF719" s="7" t="str">
        <f t="shared" si="69"/>
        <v/>
      </c>
      <c r="AG719" s="7" t="str">
        <f t="shared" si="70"/>
        <v/>
      </c>
      <c r="AH719" s="7"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7" t="str">
        <f t="shared" si="66"/>
        <v/>
      </c>
      <c r="AD720" s="7" t="str">
        <f t="shared" si="67"/>
        <v/>
      </c>
      <c r="AE720" s="7" t="str">
        <f t="shared" si="68"/>
        <v/>
      </c>
      <c r="AF720" s="7" t="str">
        <f t="shared" si="69"/>
        <v/>
      </c>
      <c r="AG720" s="7" t="str">
        <f t="shared" si="70"/>
        <v/>
      </c>
      <c r="AH720" s="7"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7" t="str">
        <f t="shared" si="66"/>
        <v/>
      </c>
      <c r="AD721" s="7" t="str">
        <f t="shared" si="67"/>
        <v/>
      </c>
      <c r="AE721" s="7" t="str">
        <f t="shared" si="68"/>
        <v/>
      </c>
      <c r="AF721" s="7" t="str">
        <f t="shared" si="69"/>
        <v/>
      </c>
      <c r="AG721" s="7" t="str">
        <f t="shared" si="70"/>
        <v/>
      </c>
      <c r="AH721" s="7"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7" t="str">
        <f t="shared" si="66"/>
        <v/>
      </c>
      <c r="AD722" s="7" t="str">
        <f t="shared" si="67"/>
        <v/>
      </c>
      <c r="AE722" s="7" t="str">
        <f t="shared" si="68"/>
        <v/>
      </c>
      <c r="AF722" s="7" t="str">
        <f t="shared" si="69"/>
        <v/>
      </c>
      <c r="AG722" s="7" t="str">
        <f t="shared" si="70"/>
        <v/>
      </c>
      <c r="AH722" s="7"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7" t="str">
        <f t="shared" si="66"/>
        <v/>
      </c>
      <c r="AD723" s="7" t="str">
        <f t="shared" si="67"/>
        <v/>
      </c>
      <c r="AE723" s="7" t="str">
        <f t="shared" si="68"/>
        <v/>
      </c>
      <c r="AF723" s="7" t="str">
        <f t="shared" si="69"/>
        <v/>
      </c>
      <c r="AG723" s="7" t="str">
        <f t="shared" si="70"/>
        <v/>
      </c>
      <c r="AH723" s="7"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7" t="str">
        <f t="shared" si="66"/>
        <v/>
      </c>
      <c r="AD724" s="7" t="str">
        <f t="shared" si="67"/>
        <v/>
      </c>
      <c r="AE724" s="7" t="str">
        <f t="shared" si="68"/>
        <v/>
      </c>
      <c r="AF724" s="7" t="str">
        <f t="shared" si="69"/>
        <v/>
      </c>
      <c r="AG724" s="7" t="str">
        <f t="shared" si="70"/>
        <v/>
      </c>
      <c r="AH724" s="7"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7" t="str">
        <f t="shared" si="66"/>
        <v/>
      </c>
      <c r="AD725" s="7" t="str">
        <f t="shared" si="67"/>
        <v/>
      </c>
      <c r="AE725" s="7" t="str">
        <f t="shared" si="68"/>
        <v/>
      </c>
      <c r="AF725" s="7" t="str">
        <f t="shared" si="69"/>
        <v/>
      </c>
      <c r="AG725" s="7" t="str">
        <f t="shared" si="70"/>
        <v/>
      </c>
      <c r="AH725" s="7"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7" t="str">
        <f t="shared" si="66"/>
        <v/>
      </c>
      <c r="AD726" s="7" t="str">
        <f t="shared" si="67"/>
        <v/>
      </c>
      <c r="AE726" s="7" t="str">
        <f t="shared" si="68"/>
        <v/>
      </c>
      <c r="AF726" s="7" t="str">
        <f t="shared" si="69"/>
        <v/>
      </c>
      <c r="AG726" s="7" t="str">
        <f t="shared" si="70"/>
        <v/>
      </c>
      <c r="AH726" s="7"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7" t="str">
        <f t="shared" si="66"/>
        <v/>
      </c>
      <c r="AD727" s="7" t="str">
        <f t="shared" si="67"/>
        <v/>
      </c>
      <c r="AE727" s="7" t="str">
        <f t="shared" si="68"/>
        <v/>
      </c>
      <c r="AF727" s="7" t="str">
        <f t="shared" si="69"/>
        <v/>
      </c>
      <c r="AG727" s="7" t="str">
        <f t="shared" si="70"/>
        <v/>
      </c>
      <c r="AH727" s="7"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7" t="str">
        <f t="shared" si="66"/>
        <v/>
      </c>
      <c r="AD728" s="7" t="str">
        <f t="shared" si="67"/>
        <v/>
      </c>
      <c r="AE728" s="7" t="str">
        <f t="shared" si="68"/>
        <v/>
      </c>
      <c r="AF728" s="7" t="str">
        <f t="shared" si="69"/>
        <v/>
      </c>
      <c r="AG728" s="7" t="str">
        <f t="shared" si="70"/>
        <v/>
      </c>
      <c r="AH728" s="7"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7" t="str">
        <f t="shared" si="66"/>
        <v/>
      </c>
      <c r="AD729" s="7" t="str">
        <f t="shared" si="67"/>
        <v/>
      </c>
      <c r="AE729" s="7" t="str">
        <f t="shared" si="68"/>
        <v/>
      </c>
      <c r="AF729" s="7" t="str">
        <f t="shared" si="69"/>
        <v/>
      </c>
      <c r="AG729" s="7" t="str">
        <f t="shared" si="70"/>
        <v/>
      </c>
      <c r="AH729" s="7"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7" t="str">
        <f t="shared" si="66"/>
        <v/>
      </c>
      <c r="AD730" s="7" t="str">
        <f t="shared" si="67"/>
        <v/>
      </c>
      <c r="AE730" s="7" t="str">
        <f t="shared" si="68"/>
        <v/>
      </c>
      <c r="AF730" s="7" t="str">
        <f t="shared" si="69"/>
        <v/>
      </c>
      <c r="AG730" s="7" t="str">
        <f t="shared" si="70"/>
        <v/>
      </c>
      <c r="AH730" s="7"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7" t="str">
        <f t="shared" si="66"/>
        <v/>
      </c>
      <c r="AD731" s="7" t="str">
        <f t="shared" si="67"/>
        <v/>
      </c>
      <c r="AE731" s="7" t="str">
        <f t="shared" si="68"/>
        <v/>
      </c>
      <c r="AF731" s="7" t="str">
        <f t="shared" si="69"/>
        <v/>
      </c>
      <c r="AG731" s="7" t="str">
        <f t="shared" si="70"/>
        <v/>
      </c>
      <c r="AH731" s="7"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7" t="str">
        <f t="shared" si="66"/>
        <v/>
      </c>
      <c r="AD732" s="7" t="str">
        <f t="shared" si="67"/>
        <v/>
      </c>
      <c r="AE732" s="7" t="str">
        <f t="shared" si="68"/>
        <v/>
      </c>
      <c r="AF732" s="7" t="str">
        <f t="shared" si="69"/>
        <v/>
      </c>
      <c r="AG732" s="7" t="str">
        <f t="shared" si="70"/>
        <v/>
      </c>
      <c r="AH732" s="7"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7" t="str">
        <f t="shared" si="66"/>
        <v/>
      </c>
      <c r="AD733" s="7" t="str">
        <f t="shared" si="67"/>
        <v/>
      </c>
      <c r="AE733" s="7" t="str">
        <f t="shared" si="68"/>
        <v/>
      </c>
      <c r="AF733" s="7" t="str">
        <f t="shared" si="69"/>
        <v/>
      </c>
      <c r="AG733" s="7" t="str">
        <f t="shared" si="70"/>
        <v/>
      </c>
      <c r="AH733" s="7"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7" t="str">
        <f t="shared" si="66"/>
        <v/>
      </c>
      <c r="AD734" s="7" t="str">
        <f t="shared" si="67"/>
        <v/>
      </c>
      <c r="AE734" s="7" t="str">
        <f t="shared" si="68"/>
        <v/>
      </c>
      <c r="AF734" s="7" t="str">
        <f t="shared" si="69"/>
        <v/>
      </c>
      <c r="AG734" s="7" t="str">
        <f t="shared" si="70"/>
        <v/>
      </c>
      <c r="AH734" s="7"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7" t="str">
        <f t="shared" si="66"/>
        <v/>
      </c>
      <c r="AD735" s="7" t="str">
        <f t="shared" si="67"/>
        <v/>
      </c>
      <c r="AE735" s="7" t="str">
        <f t="shared" si="68"/>
        <v/>
      </c>
      <c r="AF735" s="7" t="str">
        <f t="shared" si="69"/>
        <v/>
      </c>
      <c r="AG735" s="7" t="str">
        <f t="shared" si="70"/>
        <v/>
      </c>
      <c r="AH735" s="7"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7" t="str">
        <f t="shared" si="66"/>
        <v/>
      </c>
      <c r="AD736" s="7" t="str">
        <f t="shared" si="67"/>
        <v/>
      </c>
      <c r="AE736" s="7" t="str">
        <f t="shared" si="68"/>
        <v/>
      </c>
      <c r="AF736" s="7" t="str">
        <f t="shared" si="69"/>
        <v/>
      </c>
      <c r="AG736" s="7" t="str">
        <f t="shared" si="70"/>
        <v/>
      </c>
      <c r="AH736" s="7"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7" t="str">
        <f t="shared" si="66"/>
        <v/>
      </c>
      <c r="AD737" s="7" t="str">
        <f t="shared" si="67"/>
        <v/>
      </c>
      <c r="AE737" s="7" t="str">
        <f t="shared" si="68"/>
        <v/>
      </c>
      <c r="AF737" s="7" t="str">
        <f t="shared" si="69"/>
        <v/>
      </c>
      <c r="AG737" s="7" t="str">
        <f t="shared" si="70"/>
        <v/>
      </c>
      <c r="AH737" s="7"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7" t="str">
        <f t="shared" si="66"/>
        <v/>
      </c>
      <c r="AD738" s="7" t="str">
        <f t="shared" si="67"/>
        <v/>
      </c>
      <c r="AE738" s="7" t="str">
        <f t="shared" si="68"/>
        <v/>
      </c>
      <c r="AF738" s="7" t="str">
        <f t="shared" si="69"/>
        <v/>
      </c>
      <c r="AG738" s="7" t="str">
        <f t="shared" si="70"/>
        <v/>
      </c>
      <c r="AH738" s="7"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7" t="str">
        <f t="shared" si="66"/>
        <v/>
      </c>
      <c r="AD739" s="7" t="str">
        <f t="shared" si="67"/>
        <v/>
      </c>
      <c r="AE739" s="7" t="str">
        <f t="shared" si="68"/>
        <v/>
      </c>
      <c r="AF739" s="7" t="str">
        <f t="shared" si="69"/>
        <v/>
      </c>
      <c r="AG739" s="7" t="str">
        <f t="shared" si="70"/>
        <v/>
      </c>
      <c r="AH739" s="7"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7" t="str">
        <f t="shared" si="66"/>
        <v/>
      </c>
      <c r="AD740" s="7" t="str">
        <f t="shared" si="67"/>
        <v/>
      </c>
      <c r="AE740" s="7" t="str">
        <f t="shared" si="68"/>
        <v/>
      </c>
      <c r="AF740" s="7" t="str">
        <f t="shared" si="69"/>
        <v/>
      </c>
      <c r="AG740" s="7" t="str">
        <f t="shared" si="70"/>
        <v/>
      </c>
      <c r="AH740" s="7"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7" t="str">
        <f t="shared" si="66"/>
        <v/>
      </c>
      <c r="AD741" s="7" t="str">
        <f t="shared" si="67"/>
        <v/>
      </c>
      <c r="AE741" s="7" t="str">
        <f t="shared" si="68"/>
        <v/>
      </c>
      <c r="AF741" s="7" t="str">
        <f t="shared" si="69"/>
        <v/>
      </c>
      <c r="AG741" s="7" t="str">
        <f t="shared" si="70"/>
        <v/>
      </c>
      <c r="AH741" s="7"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7" t="str">
        <f t="shared" si="66"/>
        <v/>
      </c>
      <c r="AD742" s="7" t="str">
        <f t="shared" si="67"/>
        <v/>
      </c>
      <c r="AE742" s="7" t="str">
        <f t="shared" si="68"/>
        <v/>
      </c>
      <c r="AF742" s="7" t="str">
        <f t="shared" si="69"/>
        <v/>
      </c>
      <c r="AG742" s="7" t="str">
        <f t="shared" si="70"/>
        <v/>
      </c>
      <c r="AH742" s="7"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7" t="str">
        <f t="shared" si="66"/>
        <v/>
      </c>
      <c r="AD743" s="7" t="str">
        <f t="shared" si="67"/>
        <v/>
      </c>
      <c r="AE743" s="7" t="str">
        <f t="shared" si="68"/>
        <v/>
      </c>
      <c r="AF743" s="7" t="str">
        <f t="shared" si="69"/>
        <v/>
      </c>
      <c r="AG743" s="7" t="str">
        <f t="shared" si="70"/>
        <v/>
      </c>
      <c r="AH743" s="7"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7" t="str">
        <f t="shared" si="66"/>
        <v/>
      </c>
      <c r="AD744" s="7" t="str">
        <f t="shared" si="67"/>
        <v/>
      </c>
      <c r="AE744" s="7" t="str">
        <f t="shared" si="68"/>
        <v/>
      </c>
      <c r="AF744" s="7" t="str">
        <f t="shared" si="69"/>
        <v/>
      </c>
      <c r="AG744" s="7" t="str">
        <f t="shared" si="70"/>
        <v/>
      </c>
      <c r="AH744" s="7"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7" t="str">
        <f t="shared" si="66"/>
        <v/>
      </c>
      <c r="AD745" s="7" t="str">
        <f t="shared" si="67"/>
        <v/>
      </c>
      <c r="AE745" s="7" t="str">
        <f t="shared" si="68"/>
        <v/>
      </c>
      <c r="AF745" s="7" t="str">
        <f t="shared" si="69"/>
        <v/>
      </c>
      <c r="AG745" s="7" t="str">
        <f t="shared" si="70"/>
        <v/>
      </c>
      <c r="AH745" s="7"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7" t="str">
        <f t="shared" si="66"/>
        <v/>
      </c>
      <c r="AD746" s="7" t="str">
        <f t="shared" si="67"/>
        <v/>
      </c>
      <c r="AE746" s="7" t="str">
        <f t="shared" si="68"/>
        <v/>
      </c>
      <c r="AF746" s="7" t="str">
        <f t="shared" si="69"/>
        <v/>
      </c>
      <c r="AG746" s="7" t="str">
        <f t="shared" si="70"/>
        <v/>
      </c>
      <c r="AH746" s="7"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7" t="str">
        <f t="shared" si="66"/>
        <v/>
      </c>
      <c r="AD747" s="7" t="str">
        <f t="shared" si="67"/>
        <v/>
      </c>
      <c r="AE747" s="7" t="str">
        <f t="shared" si="68"/>
        <v/>
      </c>
      <c r="AF747" s="7" t="str">
        <f t="shared" si="69"/>
        <v/>
      </c>
      <c r="AG747" s="7" t="str">
        <f t="shared" si="70"/>
        <v/>
      </c>
      <c r="AH747" s="7"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7" t="str">
        <f t="shared" si="66"/>
        <v/>
      </c>
      <c r="AD748" s="7" t="str">
        <f t="shared" si="67"/>
        <v/>
      </c>
      <c r="AE748" s="7" t="str">
        <f t="shared" si="68"/>
        <v/>
      </c>
      <c r="AF748" s="7" t="str">
        <f t="shared" si="69"/>
        <v/>
      </c>
      <c r="AG748" s="7" t="str">
        <f t="shared" si="70"/>
        <v/>
      </c>
      <c r="AH748" s="7"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7" t="str">
        <f t="shared" si="66"/>
        <v/>
      </c>
      <c r="AD749" s="7" t="str">
        <f t="shared" si="67"/>
        <v/>
      </c>
      <c r="AE749" s="7" t="str">
        <f t="shared" si="68"/>
        <v/>
      </c>
      <c r="AF749" s="7" t="str">
        <f t="shared" si="69"/>
        <v/>
      </c>
      <c r="AG749" s="7" t="str">
        <f t="shared" si="70"/>
        <v/>
      </c>
      <c r="AH749" s="7"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7" t="str">
        <f t="shared" si="66"/>
        <v/>
      </c>
      <c r="AD750" s="7" t="str">
        <f t="shared" si="67"/>
        <v/>
      </c>
      <c r="AE750" s="7" t="str">
        <f t="shared" si="68"/>
        <v/>
      </c>
      <c r="AF750" s="7" t="str">
        <f t="shared" si="69"/>
        <v/>
      </c>
      <c r="AG750" s="7" t="str">
        <f t="shared" si="70"/>
        <v/>
      </c>
      <c r="AH750" s="7"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7" t="str">
        <f t="shared" si="66"/>
        <v/>
      </c>
      <c r="AD751" s="7" t="str">
        <f t="shared" si="67"/>
        <v/>
      </c>
      <c r="AE751" s="7" t="str">
        <f t="shared" si="68"/>
        <v/>
      </c>
      <c r="AF751" s="7" t="str">
        <f t="shared" si="69"/>
        <v/>
      </c>
      <c r="AG751" s="7" t="str">
        <f t="shared" si="70"/>
        <v/>
      </c>
      <c r="AH751" s="7"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7" t="str">
        <f t="shared" si="66"/>
        <v/>
      </c>
      <c r="AD752" s="7" t="str">
        <f t="shared" si="67"/>
        <v/>
      </c>
      <c r="AE752" s="7" t="str">
        <f t="shared" si="68"/>
        <v/>
      </c>
      <c r="AF752" s="7" t="str">
        <f t="shared" si="69"/>
        <v/>
      </c>
      <c r="AG752" s="7" t="str">
        <f t="shared" si="70"/>
        <v/>
      </c>
      <c r="AH752" s="7"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7" t="str">
        <f t="shared" si="66"/>
        <v/>
      </c>
      <c r="AD753" s="7" t="str">
        <f t="shared" si="67"/>
        <v/>
      </c>
      <c r="AE753" s="7" t="str">
        <f t="shared" si="68"/>
        <v/>
      </c>
      <c r="AF753" s="7" t="str">
        <f t="shared" si="69"/>
        <v/>
      </c>
      <c r="AG753" s="7" t="str">
        <f t="shared" si="70"/>
        <v/>
      </c>
      <c r="AH753" s="7"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7" t="str">
        <f t="shared" si="66"/>
        <v/>
      </c>
      <c r="AD754" s="7" t="str">
        <f t="shared" si="67"/>
        <v/>
      </c>
      <c r="AE754" s="7" t="str">
        <f t="shared" si="68"/>
        <v/>
      </c>
      <c r="AF754" s="7" t="str">
        <f t="shared" si="69"/>
        <v/>
      </c>
      <c r="AG754" s="7" t="str">
        <f t="shared" si="70"/>
        <v/>
      </c>
      <c r="AH754" s="7"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7" t="str">
        <f t="shared" si="66"/>
        <v/>
      </c>
      <c r="AD755" s="7" t="str">
        <f t="shared" si="67"/>
        <v/>
      </c>
      <c r="AE755" s="7" t="str">
        <f t="shared" si="68"/>
        <v/>
      </c>
      <c r="AF755" s="7" t="str">
        <f t="shared" si="69"/>
        <v/>
      </c>
      <c r="AG755" s="7" t="str">
        <f t="shared" si="70"/>
        <v/>
      </c>
      <c r="AH755" s="7"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7" t="str">
        <f t="shared" si="66"/>
        <v/>
      </c>
      <c r="AD756" s="7" t="str">
        <f t="shared" si="67"/>
        <v/>
      </c>
      <c r="AE756" s="7" t="str">
        <f t="shared" si="68"/>
        <v/>
      </c>
      <c r="AF756" s="7" t="str">
        <f t="shared" si="69"/>
        <v/>
      </c>
      <c r="AG756" s="7" t="str">
        <f t="shared" si="70"/>
        <v/>
      </c>
      <c r="AH756" s="7"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7" t="str">
        <f t="shared" si="66"/>
        <v/>
      </c>
      <c r="AD757" s="7" t="str">
        <f t="shared" si="67"/>
        <v/>
      </c>
      <c r="AE757" s="7" t="str">
        <f t="shared" si="68"/>
        <v/>
      </c>
      <c r="AF757" s="7" t="str">
        <f t="shared" si="69"/>
        <v/>
      </c>
      <c r="AG757" s="7" t="str">
        <f t="shared" si="70"/>
        <v/>
      </c>
      <c r="AH757" s="7"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7" t="str">
        <f t="shared" si="66"/>
        <v/>
      </c>
      <c r="AD758" s="7" t="str">
        <f t="shared" si="67"/>
        <v/>
      </c>
      <c r="AE758" s="7" t="str">
        <f t="shared" si="68"/>
        <v/>
      </c>
      <c r="AF758" s="7" t="str">
        <f t="shared" si="69"/>
        <v/>
      </c>
      <c r="AG758" s="7" t="str">
        <f t="shared" si="70"/>
        <v/>
      </c>
      <c r="AH758" s="7"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7" t="str">
        <f t="shared" si="66"/>
        <v/>
      </c>
      <c r="AD759" s="7" t="str">
        <f t="shared" si="67"/>
        <v/>
      </c>
      <c r="AE759" s="7" t="str">
        <f t="shared" si="68"/>
        <v/>
      </c>
      <c r="AF759" s="7" t="str">
        <f t="shared" si="69"/>
        <v/>
      </c>
      <c r="AG759" s="7" t="str">
        <f t="shared" si="70"/>
        <v/>
      </c>
      <c r="AH759" s="7"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7" t="str">
        <f t="shared" si="66"/>
        <v/>
      </c>
      <c r="AD760" s="7" t="str">
        <f t="shared" si="67"/>
        <v/>
      </c>
      <c r="AE760" s="7" t="str">
        <f t="shared" si="68"/>
        <v/>
      </c>
      <c r="AF760" s="7" t="str">
        <f t="shared" si="69"/>
        <v/>
      </c>
      <c r="AG760" s="7" t="str">
        <f t="shared" si="70"/>
        <v/>
      </c>
      <c r="AH760" s="7"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7" t="str">
        <f t="shared" si="66"/>
        <v/>
      </c>
      <c r="AD761" s="7" t="str">
        <f t="shared" si="67"/>
        <v/>
      </c>
      <c r="AE761" s="7" t="str">
        <f t="shared" si="68"/>
        <v/>
      </c>
      <c r="AF761" s="7" t="str">
        <f t="shared" si="69"/>
        <v/>
      </c>
      <c r="AG761" s="7" t="str">
        <f t="shared" si="70"/>
        <v/>
      </c>
      <c r="AH761" s="7"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7" t="str">
        <f t="shared" si="66"/>
        <v/>
      </c>
      <c r="AD762" s="7" t="str">
        <f t="shared" si="67"/>
        <v/>
      </c>
      <c r="AE762" s="7" t="str">
        <f t="shared" si="68"/>
        <v/>
      </c>
      <c r="AF762" s="7" t="str">
        <f t="shared" si="69"/>
        <v/>
      </c>
      <c r="AG762" s="7" t="str">
        <f t="shared" si="70"/>
        <v/>
      </c>
      <c r="AH762" s="7"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7" t="str">
        <f t="shared" si="66"/>
        <v/>
      </c>
      <c r="AD763" s="7" t="str">
        <f t="shared" si="67"/>
        <v/>
      </c>
      <c r="AE763" s="7" t="str">
        <f t="shared" si="68"/>
        <v/>
      </c>
      <c r="AF763" s="7" t="str">
        <f t="shared" si="69"/>
        <v/>
      </c>
      <c r="AG763" s="7" t="str">
        <f t="shared" si="70"/>
        <v/>
      </c>
      <c r="AH763" s="7"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7" t="str">
        <f t="shared" si="66"/>
        <v/>
      </c>
      <c r="AD764" s="7" t="str">
        <f t="shared" si="67"/>
        <v/>
      </c>
      <c r="AE764" s="7" t="str">
        <f t="shared" si="68"/>
        <v/>
      </c>
      <c r="AF764" s="7" t="str">
        <f t="shared" si="69"/>
        <v/>
      </c>
      <c r="AG764" s="7" t="str">
        <f t="shared" si="70"/>
        <v/>
      </c>
      <c r="AH764" s="7"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7" t="str">
        <f t="shared" si="66"/>
        <v/>
      </c>
      <c r="AD765" s="7" t="str">
        <f t="shared" si="67"/>
        <v/>
      </c>
      <c r="AE765" s="7" t="str">
        <f t="shared" si="68"/>
        <v/>
      </c>
      <c r="AF765" s="7" t="str">
        <f t="shared" si="69"/>
        <v/>
      </c>
      <c r="AG765" s="7" t="str">
        <f t="shared" si="70"/>
        <v/>
      </c>
      <c r="AH765" s="7"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7" t="str">
        <f t="shared" si="66"/>
        <v/>
      </c>
      <c r="AD766" s="7" t="str">
        <f t="shared" si="67"/>
        <v/>
      </c>
      <c r="AE766" s="7" t="str">
        <f t="shared" si="68"/>
        <v/>
      </c>
      <c r="AF766" s="7" t="str">
        <f t="shared" si="69"/>
        <v/>
      </c>
      <c r="AG766" s="7" t="str">
        <f t="shared" si="70"/>
        <v/>
      </c>
      <c r="AH766" s="7"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7" t="str">
        <f t="shared" si="66"/>
        <v/>
      </c>
      <c r="AD767" s="7" t="str">
        <f t="shared" si="67"/>
        <v/>
      </c>
      <c r="AE767" s="7" t="str">
        <f t="shared" si="68"/>
        <v/>
      </c>
      <c r="AF767" s="7" t="str">
        <f t="shared" si="69"/>
        <v/>
      </c>
      <c r="AG767" s="7" t="str">
        <f t="shared" si="70"/>
        <v/>
      </c>
      <c r="AH767" s="7"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7" t="str">
        <f t="shared" si="66"/>
        <v/>
      </c>
      <c r="AD768" s="7" t="str">
        <f t="shared" si="67"/>
        <v/>
      </c>
      <c r="AE768" s="7" t="str">
        <f t="shared" si="68"/>
        <v/>
      </c>
      <c r="AF768" s="7" t="str">
        <f t="shared" si="69"/>
        <v/>
      </c>
      <c r="AG768" s="7" t="str">
        <f t="shared" si="70"/>
        <v/>
      </c>
      <c r="AH768" s="7"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7" t="str">
        <f t="shared" si="66"/>
        <v/>
      </c>
      <c r="AD769" s="7" t="str">
        <f t="shared" si="67"/>
        <v/>
      </c>
      <c r="AE769" s="7" t="str">
        <f t="shared" si="68"/>
        <v/>
      </c>
      <c r="AF769" s="7" t="str">
        <f t="shared" si="69"/>
        <v/>
      </c>
      <c r="AG769" s="7" t="str">
        <f t="shared" si="70"/>
        <v/>
      </c>
      <c r="AH769" s="7"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7" t="str">
        <f t="shared" si="66"/>
        <v/>
      </c>
      <c r="AD770" s="7" t="str">
        <f t="shared" si="67"/>
        <v/>
      </c>
      <c r="AE770" s="7" t="str">
        <f t="shared" si="68"/>
        <v/>
      </c>
      <c r="AF770" s="7" t="str">
        <f t="shared" si="69"/>
        <v/>
      </c>
      <c r="AG770" s="7" t="str">
        <f t="shared" si="70"/>
        <v/>
      </c>
      <c r="AH770" s="7"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7" t="str">
        <f t="shared" si="66"/>
        <v/>
      </c>
      <c r="AD771" s="7" t="str">
        <f t="shared" si="67"/>
        <v/>
      </c>
      <c r="AE771" s="7" t="str">
        <f t="shared" si="68"/>
        <v/>
      </c>
      <c r="AF771" s="7" t="str">
        <f t="shared" si="69"/>
        <v/>
      </c>
      <c r="AG771" s="7" t="str">
        <f t="shared" si="70"/>
        <v/>
      </c>
      <c r="AH771" s="7"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7" t="str">
        <f t="shared" si="66"/>
        <v/>
      </c>
      <c r="AD772" s="7" t="str">
        <f t="shared" si="67"/>
        <v/>
      </c>
      <c r="AE772" s="7" t="str">
        <f t="shared" si="68"/>
        <v/>
      </c>
      <c r="AF772" s="7" t="str">
        <f t="shared" si="69"/>
        <v/>
      </c>
      <c r="AG772" s="7" t="str">
        <f t="shared" si="70"/>
        <v/>
      </c>
      <c r="AH772" s="7" t="str">
        <f t="shared" si="71"/>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7" t="str">
        <f t="shared" ref="AC773:AC836" si="72">IF(COUNT(A773,L773,N773,P773,X773,Y773)&gt;0,AVERAGE(A773,L773,N773,P773,X773,Y773),"")</f>
        <v/>
      </c>
      <c r="AD773" s="7" t="str">
        <f t="shared" ref="AD773:AD836" si="73">IF(COUNT(B773,D773,M773,U773)&gt;0,AVERAGE(B773,D773,M773,U773),"")</f>
        <v/>
      </c>
      <c r="AE773" s="7" t="str">
        <f t="shared" ref="AE773:AE836" si="74">IF(COUNT(I773,T773,V773,W773)&gt;0,AVERAGE(I773,T773,V773,W773),"")</f>
        <v/>
      </c>
      <c r="AF773" s="7" t="str">
        <f t="shared" ref="AF773:AF836" si="75">IF(COUNT(H773,K773,Q773,S773)&gt;0,AVERAGE(H773,K773,Q773,S773),"")</f>
        <v/>
      </c>
      <c r="AG773" s="7" t="str">
        <f t="shared" ref="AG773:AG836" si="76">IF(COUNT(E773,F773,G773,R773)&gt;0,AVERAGE(E773,F773,G773,R773),"")</f>
        <v/>
      </c>
      <c r="AH773" s="7" t="str">
        <f t="shared" ref="AH773:AH836" si="77">IF(COUNT(C773,J773,O773,Z773)&gt;0,AVERAGE(C773,J773,O773,Z773),"")</f>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7" t="str">
        <f t="shared" si="72"/>
        <v/>
      </c>
      <c r="AD774" s="7" t="str">
        <f t="shared" si="73"/>
        <v/>
      </c>
      <c r="AE774" s="7" t="str">
        <f t="shared" si="74"/>
        <v/>
      </c>
      <c r="AF774" s="7" t="str">
        <f t="shared" si="75"/>
        <v/>
      </c>
      <c r="AG774" s="7" t="str">
        <f t="shared" si="76"/>
        <v/>
      </c>
      <c r="AH774" s="7"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7" t="str">
        <f t="shared" si="72"/>
        <v/>
      </c>
      <c r="AD775" s="7" t="str">
        <f t="shared" si="73"/>
        <v/>
      </c>
      <c r="AE775" s="7" t="str">
        <f t="shared" si="74"/>
        <v/>
      </c>
      <c r="AF775" s="7" t="str">
        <f t="shared" si="75"/>
        <v/>
      </c>
      <c r="AG775" s="7" t="str">
        <f t="shared" si="76"/>
        <v/>
      </c>
      <c r="AH775" s="7"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7" t="str">
        <f t="shared" si="72"/>
        <v/>
      </c>
      <c r="AD776" s="7" t="str">
        <f t="shared" si="73"/>
        <v/>
      </c>
      <c r="AE776" s="7" t="str">
        <f t="shared" si="74"/>
        <v/>
      </c>
      <c r="AF776" s="7" t="str">
        <f t="shared" si="75"/>
        <v/>
      </c>
      <c r="AG776" s="7" t="str">
        <f t="shared" si="76"/>
        <v/>
      </c>
      <c r="AH776" s="7"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7" t="str">
        <f t="shared" si="72"/>
        <v/>
      </c>
      <c r="AD777" s="7" t="str">
        <f t="shared" si="73"/>
        <v/>
      </c>
      <c r="AE777" s="7" t="str">
        <f t="shared" si="74"/>
        <v/>
      </c>
      <c r="AF777" s="7" t="str">
        <f t="shared" si="75"/>
        <v/>
      </c>
      <c r="AG777" s="7" t="str">
        <f t="shared" si="76"/>
        <v/>
      </c>
      <c r="AH777" s="7"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7" t="str">
        <f t="shared" si="72"/>
        <v/>
      </c>
      <c r="AD778" s="7" t="str">
        <f t="shared" si="73"/>
        <v/>
      </c>
      <c r="AE778" s="7" t="str">
        <f t="shared" si="74"/>
        <v/>
      </c>
      <c r="AF778" s="7" t="str">
        <f t="shared" si="75"/>
        <v/>
      </c>
      <c r="AG778" s="7" t="str">
        <f t="shared" si="76"/>
        <v/>
      </c>
      <c r="AH778" s="7"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7" t="str">
        <f t="shared" si="72"/>
        <v/>
      </c>
      <c r="AD779" s="7" t="str">
        <f t="shared" si="73"/>
        <v/>
      </c>
      <c r="AE779" s="7" t="str">
        <f t="shared" si="74"/>
        <v/>
      </c>
      <c r="AF779" s="7" t="str">
        <f t="shared" si="75"/>
        <v/>
      </c>
      <c r="AG779" s="7" t="str">
        <f t="shared" si="76"/>
        <v/>
      </c>
      <c r="AH779" s="7"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7" t="str">
        <f t="shared" si="72"/>
        <v/>
      </c>
      <c r="AD780" s="7" t="str">
        <f t="shared" si="73"/>
        <v/>
      </c>
      <c r="AE780" s="7" t="str">
        <f t="shared" si="74"/>
        <v/>
      </c>
      <c r="AF780" s="7" t="str">
        <f t="shared" si="75"/>
        <v/>
      </c>
      <c r="AG780" s="7" t="str">
        <f t="shared" si="76"/>
        <v/>
      </c>
      <c r="AH780" s="7"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7" t="str">
        <f t="shared" si="72"/>
        <v/>
      </c>
      <c r="AD781" s="7" t="str">
        <f t="shared" si="73"/>
        <v/>
      </c>
      <c r="AE781" s="7" t="str">
        <f t="shared" si="74"/>
        <v/>
      </c>
      <c r="AF781" s="7" t="str">
        <f t="shared" si="75"/>
        <v/>
      </c>
      <c r="AG781" s="7" t="str">
        <f t="shared" si="76"/>
        <v/>
      </c>
      <c r="AH781" s="7"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7" t="str">
        <f t="shared" si="72"/>
        <v/>
      </c>
      <c r="AD782" s="7" t="str">
        <f t="shared" si="73"/>
        <v/>
      </c>
      <c r="AE782" s="7" t="str">
        <f t="shared" si="74"/>
        <v/>
      </c>
      <c r="AF782" s="7" t="str">
        <f t="shared" si="75"/>
        <v/>
      </c>
      <c r="AG782" s="7" t="str">
        <f t="shared" si="76"/>
        <v/>
      </c>
      <c r="AH782" s="7"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7" t="str">
        <f t="shared" si="72"/>
        <v/>
      </c>
      <c r="AD783" s="7" t="str">
        <f t="shared" si="73"/>
        <v/>
      </c>
      <c r="AE783" s="7" t="str">
        <f t="shared" si="74"/>
        <v/>
      </c>
      <c r="AF783" s="7" t="str">
        <f t="shared" si="75"/>
        <v/>
      </c>
      <c r="AG783" s="7" t="str">
        <f t="shared" si="76"/>
        <v/>
      </c>
      <c r="AH783" s="7"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7" t="str">
        <f t="shared" si="72"/>
        <v/>
      </c>
      <c r="AD784" s="7" t="str">
        <f t="shared" si="73"/>
        <v/>
      </c>
      <c r="AE784" s="7" t="str">
        <f t="shared" si="74"/>
        <v/>
      </c>
      <c r="AF784" s="7" t="str">
        <f t="shared" si="75"/>
        <v/>
      </c>
      <c r="AG784" s="7" t="str">
        <f t="shared" si="76"/>
        <v/>
      </c>
      <c r="AH784" s="7"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7" t="str">
        <f t="shared" si="72"/>
        <v/>
      </c>
      <c r="AD785" s="7" t="str">
        <f t="shared" si="73"/>
        <v/>
      </c>
      <c r="AE785" s="7" t="str">
        <f t="shared" si="74"/>
        <v/>
      </c>
      <c r="AF785" s="7" t="str">
        <f t="shared" si="75"/>
        <v/>
      </c>
      <c r="AG785" s="7" t="str">
        <f t="shared" si="76"/>
        <v/>
      </c>
      <c r="AH785" s="7"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7" t="str">
        <f t="shared" si="72"/>
        <v/>
      </c>
      <c r="AD786" s="7" t="str">
        <f t="shared" si="73"/>
        <v/>
      </c>
      <c r="AE786" s="7" t="str">
        <f t="shared" si="74"/>
        <v/>
      </c>
      <c r="AF786" s="7" t="str">
        <f t="shared" si="75"/>
        <v/>
      </c>
      <c r="AG786" s="7" t="str">
        <f t="shared" si="76"/>
        <v/>
      </c>
      <c r="AH786" s="7"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7" t="str">
        <f t="shared" si="72"/>
        <v/>
      </c>
      <c r="AD787" s="7" t="str">
        <f t="shared" si="73"/>
        <v/>
      </c>
      <c r="AE787" s="7" t="str">
        <f t="shared" si="74"/>
        <v/>
      </c>
      <c r="AF787" s="7" t="str">
        <f t="shared" si="75"/>
        <v/>
      </c>
      <c r="AG787" s="7" t="str">
        <f t="shared" si="76"/>
        <v/>
      </c>
      <c r="AH787" s="7"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7" t="str">
        <f t="shared" si="72"/>
        <v/>
      </c>
      <c r="AD788" s="7" t="str">
        <f t="shared" si="73"/>
        <v/>
      </c>
      <c r="AE788" s="7" t="str">
        <f t="shared" si="74"/>
        <v/>
      </c>
      <c r="AF788" s="7" t="str">
        <f t="shared" si="75"/>
        <v/>
      </c>
      <c r="AG788" s="7" t="str">
        <f t="shared" si="76"/>
        <v/>
      </c>
      <c r="AH788" s="7"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7" t="str">
        <f t="shared" si="72"/>
        <v/>
      </c>
      <c r="AD789" s="7" t="str">
        <f t="shared" si="73"/>
        <v/>
      </c>
      <c r="AE789" s="7" t="str">
        <f t="shared" si="74"/>
        <v/>
      </c>
      <c r="AF789" s="7" t="str">
        <f t="shared" si="75"/>
        <v/>
      </c>
      <c r="AG789" s="7" t="str">
        <f t="shared" si="76"/>
        <v/>
      </c>
      <c r="AH789" s="7"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7" t="str">
        <f t="shared" si="72"/>
        <v/>
      </c>
      <c r="AD790" s="7" t="str">
        <f t="shared" si="73"/>
        <v/>
      </c>
      <c r="AE790" s="7" t="str">
        <f t="shared" si="74"/>
        <v/>
      </c>
      <c r="AF790" s="7" t="str">
        <f t="shared" si="75"/>
        <v/>
      </c>
      <c r="AG790" s="7" t="str">
        <f t="shared" si="76"/>
        <v/>
      </c>
      <c r="AH790" s="7"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7" t="str">
        <f t="shared" si="72"/>
        <v/>
      </c>
      <c r="AD791" s="7" t="str">
        <f t="shared" si="73"/>
        <v/>
      </c>
      <c r="AE791" s="7" t="str">
        <f t="shared" si="74"/>
        <v/>
      </c>
      <c r="AF791" s="7" t="str">
        <f t="shared" si="75"/>
        <v/>
      </c>
      <c r="AG791" s="7" t="str">
        <f t="shared" si="76"/>
        <v/>
      </c>
      <c r="AH791" s="7"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7" t="str">
        <f t="shared" si="72"/>
        <v/>
      </c>
      <c r="AD792" s="7" t="str">
        <f t="shared" si="73"/>
        <v/>
      </c>
      <c r="AE792" s="7" t="str">
        <f t="shared" si="74"/>
        <v/>
      </c>
      <c r="AF792" s="7" t="str">
        <f t="shared" si="75"/>
        <v/>
      </c>
      <c r="AG792" s="7" t="str">
        <f t="shared" si="76"/>
        <v/>
      </c>
      <c r="AH792" s="7"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7" t="str">
        <f t="shared" si="72"/>
        <v/>
      </c>
      <c r="AD793" s="7" t="str">
        <f t="shared" si="73"/>
        <v/>
      </c>
      <c r="AE793" s="7" t="str">
        <f t="shared" si="74"/>
        <v/>
      </c>
      <c r="AF793" s="7" t="str">
        <f t="shared" si="75"/>
        <v/>
      </c>
      <c r="AG793" s="7" t="str">
        <f t="shared" si="76"/>
        <v/>
      </c>
      <c r="AH793" s="7"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7" t="str">
        <f t="shared" si="72"/>
        <v/>
      </c>
      <c r="AD794" s="7" t="str">
        <f t="shared" si="73"/>
        <v/>
      </c>
      <c r="AE794" s="7" t="str">
        <f t="shared" si="74"/>
        <v/>
      </c>
      <c r="AF794" s="7" t="str">
        <f t="shared" si="75"/>
        <v/>
      </c>
      <c r="AG794" s="7" t="str">
        <f t="shared" si="76"/>
        <v/>
      </c>
      <c r="AH794" s="7"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7" t="str">
        <f t="shared" si="72"/>
        <v/>
      </c>
      <c r="AD795" s="7" t="str">
        <f t="shared" si="73"/>
        <v/>
      </c>
      <c r="AE795" s="7" t="str">
        <f t="shared" si="74"/>
        <v/>
      </c>
      <c r="AF795" s="7" t="str">
        <f t="shared" si="75"/>
        <v/>
      </c>
      <c r="AG795" s="7" t="str">
        <f t="shared" si="76"/>
        <v/>
      </c>
      <c r="AH795" s="7"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7" t="str">
        <f t="shared" si="72"/>
        <v/>
      </c>
      <c r="AD796" s="7" t="str">
        <f t="shared" si="73"/>
        <v/>
      </c>
      <c r="AE796" s="7" t="str">
        <f t="shared" si="74"/>
        <v/>
      </c>
      <c r="AF796" s="7" t="str">
        <f t="shared" si="75"/>
        <v/>
      </c>
      <c r="AG796" s="7" t="str">
        <f t="shared" si="76"/>
        <v/>
      </c>
      <c r="AH796" s="7"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7" t="str">
        <f t="shared" si="72"/>
        <v/>
      </c>
      <c r="AD797" s="7" t="str">
        <f t="shared" si="73"/>
        <v/>
      </c>
      <c r="AE797" s="7" t="str">
        <f t="shared" si="74"/>
        <v/>
      </c>
      <c r="AF797" s="7" t="str">
        <f t="shared" si="75"/>
        <v/>
      </c>
      <c r="AG797" s="7" t="str">
        <f t="shared" si="76"/>
        <v/>
      </c>
      <c r="AH797" s="7"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7" t="str">
        <f t="shared" si="72"/>
        <v/>
      </c>
      <c r="AD798" s="7" t="str">
        <f t="shared" si="73"/>
        <v/>
      </c>
      <c r="AE798" s="7" t="str">
        <f t="shared" si="74"/>
        <v/>
      </c>
      <c r="AF798" s="7" t="str">
        <f t="shared" si="75"/>
        <v/>
      </c>
      <c r="AG798" s="7" t="str">
        <f t="shared" si="76"/>
        <v/>
      </c>
      <c r="AH798" s="7"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7" t="str">
        <f t="shared" si="72"/>
        <v/>
      </c>
      <c r="AD799" s="7" t="str">
        <f t="shared" si="73"/>
        <v/>
      </c>
      <c r="AE799" s="7" t="str">
        <f t="shared" si="74"/>
        <v/>
      </c>
      <c r="AF799" s="7" t="str">
        <f t="shared" si="75"/>
        <v/>
      </c>
      <c r="AG799" s="7" t="str">
        <f t="shared" si="76"/>
        <v/>
      </c>
      <c r="AH799" s="7"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7" t="str">
        <f t="shared" si="72"/>
        <v/>
      </c>
      <c r="AD800" s="7" t="str">
        <f t="shared" si="73"/>
        <v/>
      </c>
      <c r="AE800" s="7" t="str">
        <f t="shared" si="74"/>
        <v/>
      </c>
      <c r="AF800" s="7" t="str">
        <f t="shared" si="75"/>
        <v/>
      </c>
      <c r="AG800" s="7" t="str">
        <f t="shared" si="76"/>
        <v/>
      </c>
      <c r="AH800" s="7"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7" t="str">
        <f t="shared" si="72"/>
        <v/>
      </c>
      <c r="AD801" s="7" t="str">
        <f t="shared" si="73"/>
        <v/>
      </c>
      <c r="AE801" s="7" t="str">
        <f t="shared" si="74"/>
        <v/>
      </c>
      <c r="AF801" s="7" t="str">
        <f t="shared" si="75"/>
        <v/>
      </c>
      <c r="AG801" s="7" t="str">
        <f t="shared" si="76"/>
        <v/>
      </c>
      <c r="AH801" s="7"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7" t="str">
        <f t="shared" si="72"/>
        <v/>
      </c>
      <c r="AD802" s="7" t="str">
        <f t="shared" si="73"/>
        <v/>
      </c>
      <c r="AE802" s="7" t="str">
        <f t="shared" si="74"/>
        <v/>
      </c>
      <c r="AF802" s="7" t="str">
        <f t="shared" si="75"/>
        <v/>
      </c>
      <c r="AG802" s="7" t="str">
        <f t="shared" si="76"/>
        <v/>
      </c>
      <c r="AH802" s="7"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7" t="str">
        <f t="shared" si="72"/>
        <v/>
      </c>
      <c r="AD803" s="7" t="str">
        <f t="shared" si="73"/>
        <v/>
      </c>
      <c r="AE803" s="7" t="str">
        <f t="shared" si="74"/>
        <v/>
      </c>
      <c r="AF803" s="7" t="str">
        <f t="shared" si="75"/>
        <v/>
      </c>
      <c r="AG803" s="7" t="str">
        <f t="shared" si="76"/>
        <v/>
      </c>
      <c r="AH803" s="7"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7" t="str">
        <f t="shared" si="72"/>
        <v/>
      </c>
      <c r="AD804" s="7" t="str">
        <f t="shared" si="73"/>
        <v/>
      </c>
      <c r="AE804" s="7" t="str">
        <f t="shared" si="74"/>
        <v/>
      </c>
      <c r="AF804" s="7" t="str">
        <f t="shared" si="75"/>
        <v/>
      </c>
      <c r="AG804" s="7" t="str">
        <f t="shared" si="76"/>
        <v/>
      </c>
      <c r="AH804" s="7"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7" t="str">
        <f t="shared" si="72"/>
        <v/>
      </c>
      <c r="AD805" s="7" t="str">
        <f t="shared" si="73"/>
        <v/>
      </c>
      <c r="AE805" s="7" t="str">
        <f t="shared" si="74"/>
        <v/>
      </c>
      <c r="AF805" s="7" t="str">
        <f t="shared" si="75"/>
        <v/>
      </c>
      <c r="AG805" s="7" t="str">
        <f t="shared" si="76"/>
        <v/>
      </c>
      <c r="AH805" s="7"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7" t="str">
        <f t="shared" si="72"/>
        <v/>
      </c>
      <c r="AD806" s="7" t="str">
        <f t="shared" si="73"/>
        <v/>
      </c>
      <c r="AE806" s="7" t="str">
        <f t="shared" si="74"/>
        <v/>
      </c>
      <c r="AF806" s="7" t="str">
        <f t="shared" si="75"/>
        <v/>
      </c>
      <c r="AG806" s="7" t="str">
        <f t="shared" si="76"/>
        <v/>
      </c>
      <c r="AH806" s="7"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7" t="str">
        <f t="shared" si="72"/>
        <v/>
      </c>
      <c r="AD807" s="7" t="str">
        <f t="shared" si="73"/>
        <v/>
      </c>
      <c r="AE807" s="7" t="str">
        <f t="shared" si="74"/>
        <v/>
      </c>
      <c r="AF807" s="7" t="str">
        <f t="shared" si="75"/>
        <v/>
      </c>
      <c r="AG807" s="7" t="str">
        <f t="shared" si="76"/>
        <v/>
      </c>
      <c r="AH807" s="7"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7" t="str">
        <f t="shared" si="72"/>
        <v/>
      </c>
      <c r="AD808" s="7" t="str">
        <f t="shared" si="73"/>
        <v/>
      </c>
      <c r="AE808" s="7" t="str">
        <f t="shared" si="74"/>
        <v/>
      </c>
      <c r="AF808" s="7" t="str">
        <f t="shared" si="75"/>
        <v/>
      </c>
      <c r="AG808" s="7" t="str">
        <f t="shared" si="76"/>
        <v/>
      </c>
      <c r="AH808" s="7"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7" t="str">
        <f t="shared" si="72"/>
        <v/>
      </c>
      <c r="AD809" s="7" t="str">
        <f t="shared" si="73"/>
        <v/>
      </c>
      <c r="AE809" s="7" t="str">
        <f t="shared" si="74"/>
        <v/>
      </c>
      <c r="AF809" s="7" t="str">
        <f t="shared" si="75"/>
        <v/>
      </c>
      <c r="AG809" s="7" t="str">
        <f t="shared" si="76"/>
        <v/>
      </c>
      <c r="AH809" s="7"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7" t="str">
        <f t="shared" si="72"/>
        <v/>
      </c>
      <c r="AD810" s="7" t="str">
        <f t="shared" si="73"/>
        <v/>
      </c>
      <c r="AE810" s="7" t="str">
        <f t="shared" si="74"/>
        <v/>
      </c>
      <c r="AF810" s="7" t="str">
        <f t="shared" si="75"/>
        <v/>
      </c>
      <c r="AG810" s="7" t="str">
        <f t="shared" si="76"/>
        <v/>
      </c>
      <c r="AH810" s="7"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7" t="str">
        <f t="shared" si="72"/>
        <v/>
      </c>
      <c r="AD811" s="7" t="str">
        <f t="shared" si="73"/>
        <v/>
      </c>
      <c r="AE811" s="7" t="str">
        <f t="shared" si="74"/>
        <v/>
      </c>
      <c r="AF811" s="7" t="str">
        <f t="shared" si="75"/>
        <v/>
      </c>
      <c r="AG811" s="7" t="str">
        <f t="shared" si="76"/>
        <v/>
      </c>
      <c r="AH811" s="7"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7" t="str">
        <f t="shared" si="72"/>
        <v/>
      </c>
      <c r="AD812" s="7" t="str">
        <f t="shared" si="73"/>
        <v/>
      </c>
      <c r="AE812" s="7" t="str">
        <f t="shared" si="74"/>
        <v/>
      </c>
      <c r="AF812" s="7" t="str">
        <f t="shared" si="75"/>
        <v/>
      </c>
      <c r="AG812" s="7" t="str">
        <f t="shared" si="76"/>
        <v/>
      </c>
      <c r="AH812" s="7"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7" t="str">
        <f t="shared" si="72"/>
        <v/>
      </c>
      <c r="AD813" s="7" t="str">
        <f t="shared" si="73"/>
        <v/>
      </c>
      <c r="AE813" s="7" t="str">
        <f t="shared" si="74"/>
        <v/>
      </c>
      <c r="AF813" s="7" t="str">
        <f t="shared" si="75"/>
        <v/>
      </c>
      <c r="AG813" s="7" t="str">
        <f t="shared" si="76"/>
        <v/>
      </c>
      <c r="AH813" s="7"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7" t="str">
        <f t="shared" si="72"/>
        <v/>
      </c>
      <c r="AD814" s="7" t="str">
        <f t="shared" si="73"/>
        <v/>
      </c>
      <c r="AE814" s="7" t="str">
        <f t="shared" si="74"/>
        <v/>
      </c>
      <c r="AF814" s="7" t="str">
        <f t="shared" si="75"/>
        <v/>
      </c>
      <c r="AG814" s="7" t="str">
        <f t="shared" si="76"/>
        <v/>
      </c>
      <c r="AH814" s="7"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7" t="str">
        <f t="shared" si="72"/>
        <v/>
      </c>
      <c r="AD815" s="7" t="str">
        <f t="shared" si="73"/>
        <v/>
      </c>
      <c r="AE815" s="7" t="str">
        <f t="shared" si="74"/>
        <v/>
      </c>
      <c r="AF815" s="7" t="str">
        <f t="shared" si="75"/>
        <v/>
      </c>
      <c r="AG815" s="7" t="str">
        <f t="shared" si="76"/>
        <v/>
      </c>
      <c r="AH815" s="7"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7" t="str">
        <f t="shared" si="72"/>
        <v/>
      </c>
      <c r="AD816" s="7" t="str">
        <f t="shared" si="73"/>
        <v/>
      </c>
      <c r="AE816" s="7" t="str">
        <f t="shared" si="74"/>
        <v/>
      </c>
      <c r="AF816" s="7" t="str">
        <f t="shared" si="75"/>
        <v/>
      </c>
      <c r="AG816" s="7" t="str">
        <f t="shared" si="76"/>
        <v/>
      </c>
      <c r="AH816" s="7"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7" t="str">
        <f t="shared" si="72"/>
        <v/>
      </c>
      <c r="AD817" s="7" t="str">
        <f t="shared" si="73"/>
        <v/>
      </c>
      <c r="AE817" s="7" t="str">
        <f t="shared" si="74"/>
        <v/>
      </c>
      <c r="AF817" s="7" t="str">
        <f t="shared" si="75"/>
        <v/>
      </c>
      <c r="AG817" s="7" t="str">
        <f t="shared" si="76"/>
        <v/>
      </c>
      <c r="AH817" s="7"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7" t="str">
        <f t="shared" si="72"/>
        <v/>
      </c>
      <c r="AD818" s="7" t="str">
        <f t="shared" si="73"/>
        <v/>
      </c>
      <c r="AE818" s="7" t="str">
        <f t="shared" si="74"/>
        <v/>
      </c>
      <c r="AF818" s="7" t="str">
        <f t="shared" si="75"/>
        <v/>
      </c>
      <c r="AG818" s="7" t="str">
        <f t="shared" si="76"/>
        <v/>
      </c>
      <c r="AH818" s="7"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7" t="str">
        <f t="shared" si="72"/>
        <v/>
      </c>
      <c r="AD819" s="7" t="str">
        <f t="shared" si="73"/>
        <v/>
      </c>
      <c r="AE819" s="7" t="str">
        <f t="shared" si="74"/>
        <v/>
      </c>
      <c r="AF819" s="7" t="str">
        <f t="shared" si="75"/>
        <v/>
      </c>
      <c r="AG819" s="7" t="str">
        <f t="shared" si="76"/>
        <v/>
      </c>
      <c r="AH819" s="7"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7" t="str">
        <f t="shared" si="72"/>
        <v/>
      </c>
      <c r="AD820" s="7" t="str">
        <f t="shared" si="73"/>
        <v/>
      </c>
      <c r="AE820" s="7" t="str">
        <f t="shared" si="74"/>
        <v/>
      </c>
      <c r="AF820" s="7" t="str">
        <f t="shared" si="75"/>
        <v/>
      </c>
      <c r="AG820" s="7" t="str">
        <f t="shared" si="76"/>
        <v/>
      </c>
      <c r="AH820" s="7"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7" t="str">
        <f t="shared" si="72"/>
        <v/>
      </c>
      <c r="AD821" s="7" t="str">
        <f t="shared" si="73"/>
        <v/>
      </c>
      <c r="AE821" s="7" t="str">
        <f t="shared" si="74"/>
        <v/>
      </c>
      <c r="AF821" s="7" t="str">
        <f t="shared" si="75"/>
        <v/>
      </c>
      <c r="AG821" s="7" t="str">
        <f t="shared" si="76"/>
        <v/>
      </c>
      <c r="AH821" s="7"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7" t="str">
        <f t="shared" si="72"/>
        <v/>
      </c>
      <c r="AD822" s="7" t="str">
        <f t="shared" si="73"/>
        <v/>
      </c>
      <c r="AE822" s="7" t="str">
        <f t="shared" si="74"/>
        <v/>
      </c>
      <c r="AF822" s="7" t="str">
        <f t="shared" si="75"/>
        <v/>
      </c>
      <c r="AG822" s="7" t="str">
        <f t="shared" si="76"/>
        <v/>
      </c>
      <c r="AH822" s="7"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7" t="str">
        <f t="shared" si="72"/>
        <v/>
      </c>
      <c r="AD823" s="7" t="str">
        <f t="shared" si="73"/>
        <v/>
      </c>
      <c r="AE823" s="7" t="str">
        <f t="shared" si="74"/>
        <v/>
      </c>
      <c r="AF823" s="7" t="str">
        <f t="shared" si="75"/>
        <v/>
      </c>
      <c r="AG823" s="7" t="str">
        <f t="shared" si="76"/>
        <v/>
      </c>
      <c r="AH823" s="7"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7" t="str">
        <f t="shared" si="72"/>
        <v/>
      </c>
      <c r="AD824" s="7" t="str">
        <f t="shared" si="73"/>
        <v/>
      </c>
      <c r="AE824" s="7" t="str">
        <f t="shared" si="74"/>
        <v/>
      </c>
      <c r="AF824" s="7" t="str">
        <f t="shared" si="75"/>
        <v/>
      </c>
      <c r="AG824" s="7" t="str">
        <f t="shared" si="76"/>
        <v/>
      </c>
      <c r="AH824" s="7"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7" t="str">
        <f t="shared" si="72"/>
        <v/>
      </c>
      <c r="AD825" s="7" t="str">
        <f t="shared" si="73"/>
        <v/>
      </c>
      <c r="AE825" s="7" t="str">
        <f t="shared" si="74"/>
        <v/>
      </c>
      <c r="AF825" s="7" t="str">
        <f t="shared" si="75"/>
        <v/>
      </c>
      <c r="AG825" s="7" t="str">
        <f t="shared" si="76"/>
        <v/>
      </c>
      <c r="AH825" s="7"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7" t="str">
        <f t="shared" si="72"/>
        <v/>
      </c>
      <c r="AD826" s="7" t="str">
        <f t="shared" si="73"/>
        <v/>
      </c>
      <c r="AE826" s="7" t="str">
        <f t="shared" si="74"/>
        <v/>
      </c>
      <c r="AF826" s="7" t="str">
        <f t="shared" si="75"/>
        <v/>
      </c>
      <c r="AG826" s="7" t="str">
        <f t="shared" si="76"/>
        <v/>
      </c>
      <c r="AH826" s="7"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7" t="str">
        <f t="shared" si="72"/>
        <v/>
      </c>
      <c r="AD827" s="7" t="str">
        <f t="shared" si="73"/>
        <v/>
      </c>
      <c r="AE827" s="7" t="str">
        <f t="shared" si="74"/>
        <v/>
      </c>
      <c r="AF827" s="7" t="str">
        <f t="shared" si="75"/>
        <v/>
      </c>
      <c r="AG827" s="7" t="str">
        <f t="shared" si="76"/>
        <v/>
      </c>
      <c r="AH827" s="7"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7" t="str">
        <f t="shared" si="72"/>
        <v/>
      </c>
      <c r="AD828" s="7" t="str">
        <f t="shared" si="73"/>
        <v/>
      </c>
      <c r="AE828" s="7" t="str">
        <f t="shared" si="74"/>
        <v/>
      </c>
      <c r="AF828" s="7" t="str">
        <f t="shared" si="75"/>
        <v/>
      </c>
      <c r="AG828" s="7" t="str">
        <f t="shared" si="76"/>
        <v/>
      </c>
      <c r="AH828" s="7"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7" t="str">
        <f t="shared" si="72"/>
        <v/>
      </c>
      <c r="AD829" s="7" t="str">
        <f t="shared" si="73"/>
        <v/>
      </c>
      <c r="AE829" s="7" t="str">
        <f t="shared" si="74"/>
        <v/>
      </c>
      <c r="AF829" s="7" t="str">
        <f t="shared" si="75"/>
        <v/>
      </c>
      <c r="AG829" s="7" t="str">
        <f t="shared" si="76"/>
        <v/>
      </c>
      <c r="AH829" s="7"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7" t="str">
        <f t="shared" si="72"/>
        <v/>
      </c>
      <c r="AD830" s="7" t="str">
        <f t="shared" si="73"/>
        <v/>
      </c>
      <c r="AE830" s="7" t="str">
        <f t="shared" si="74"/>
        <v/>
      </c>
      <c r="AF830" s="7" t="str">
        <f t="shared" si="75"/>
        <v/>
      </c>
      <c r="AG830" s="7" t="str">
        <f t="shared" si="76"/>
        <v/>
      </c>
      <c r="AH830" s="7"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7" t="str">
        <f t="shared" si="72"/>
        <v/>
      </c>
      <c r="AD831" s="7" t="str">
        <f t="shared" si="73"/>
        <v/>
      </c>
      <c r="AE831" s="7" t="str">
        <f t="shared" si="74"/>
        <v/>
      </c>
      <c r="AF831" s="7" t="str">
        <f t="shared" si="75"/>
        <v/>
      </c>
      <c r="AG831" s="7" t="str">
        <f t="shared" si="76"/>
        <v/>
      </c>
      <c r="AH831" s="7"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7" t="str">
        <f t="shared" si="72"/>
        <v/>
      </c>
      <c r="AD832" s="7" t="str">
        <f t="shared" si="73"/>
        <v/>
      </c>
      <c r="AE832" s="7" t="str">
        <f t="shared" si="74"/>
        <v/>
      </c>
      <c r="AF832" s="7" t="str">
        <f t="shared" si="75"/>
        <v/>
      </c>
      <c r="AG832" s="7" t="str">
        <f t="shared" si="76"/>
        <v/>
      </c>
      <c r="AH832" s="7"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7" t="str">
        <f t="shared" si="72"/>
        <v/>
      </c>
      <c r="AD833" s="7" t="str">
        <f t="shared" si="73"/>
        <v/>
      </c>
      <c r="AE833" s="7" t="str">
        <f t="shared" si="74"/>
        <v/>
      </c>
      <c r="AF833" s="7" t="str">
        <f t="shared" si="75"/>
        <v/>
      </c>
      <c r="AG833" s="7" t="str">
        <f t="shared" si="76"/>
        <v/>
      </c>
      <c r="AH833" s="7"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7" t="str">
        <f t="shared" si="72"/>
        <v/>
      </c>
      <c r="AD834" s="7" t="str">
        <f t="shared" si="73"/>
        <v/>
      </c>
      <c r="AE834" s="7" t="str">
        <f t="shared" si="74"/>
        <v/>
      </c>
      <c r="AF834" s="7" t="str">
        <f t="shared" si="75"/>
        <v/>
      </c>
      <c r="AG834" s="7" t="str">
        <f t="shared" si="76"/>
        <v/>
      </c>
      <c r="AH834" s="7"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7" t="str">
        <f t="shared" si="72"/>
        <v/>
      </c>
      <c r="AD835" s="7" t="str">
        <f t="shared" si="73"/>
        <v/>
      </c>
      <c r="AE835" s="7" t="str">
        <f t="shared" si="74"/>
        <v/>
      </c>
      <c r="AF835" s="7" t="str">
        <f t="shared" si="75"/>
        <v/>
      </c>
      <c r="AG835" s="7" t="str">
        <f t="shared" si="76"/>
        <v/>
      </c>
      <c r="AH835" s="7"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7" t="str">
        <f t="shared" si="72"/>
        <v/>
      </c>
      <c r="AD836" s="7" t="str">
        <f t="shared" si="73"/>
        <v/>
      </c>
      <c r="AE836" s="7" t="str">
        <f t="shared" si="74"/>
        <v/>
      </c>
      <c r="AF836" s="7" t="str">
        <f t="shared" si="75"/>
        <v/>
      </c>
      <c r="AG836" s="7" t="str">
        <f t="shared" si="76"/>
        <v/>
      </c>
      <c r="AH836" s="7" t="str">
        <f t="shared" si="77"/>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7" t="str">
        <f t="shared" ref="AC837:AC900" si="78">IF(COUNT(A837,L837,N837,P837,X837,Y837)&gt;0,AVERAGE(A837,L837,N837,P837,X837,Y837),"")</f>
        <v/>
      </c>
      <c r="AD837" s="7" t="str">
        <f t="shared" ref="AD837:AD900" si="79">IF(COUNT(B837,D837,M837,U837)&gt;0,AVERAGE(B837,D837,M837,U837),"")</f>
        <v/>
      </c>
      <c r="AE837" s="7" t="str">
        <f t="shared" ref="AE837:AE900" si="80">IF(COUNT(I837,T837,V837,W837)&gt;0,AVERAGE(I837,T837,V837,W837),"")</f>
        <v/>
      </c>
      <c r="AF837" s="7" t="str">
        <f t="shared" ref="AF837:AF900" si="81">IF(COUNT(H837,K837,Q837,S837)&gt;0,AVERAGE(H837,K837,Q837,S837),"")</f>
        <v/>
      </c>
      <c r="AG837" s="7" t="str">
        <f t="shared" ref="AG837:AG900" si="82">IF(COUNT(E837,F837,G837,R837)&gt;0,AVERAGE(E837,F837,G837,R837),"")</f>
        <v/>
      </c>
      <c r="AH837" s="7" t="str">
        <f t="shared" ref="AH837:AH900" si="83">IF(COUNT(C837,J837,O837,Z837)&gt;0,AVERAGE(C837,J837,O837,Z837),"")</f>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7" t="str">
        <f t="shared" si="78"/>
        <v/>
      </c>
      <c r="AD838" s="7" t="str">
        <f t="shared" si="79"/>
        <v/>
      </c>
      <c r="AE838" s="7" t="str">
        <f t="shared" si="80"/>
        <v/>
      </c>
      <c r="AF838" s="7" t="str">
        <f t="shared" si="81"/>
        <v/>
      </c>
      <c r="AG838" s="7" t="str">
        <f t="shared" si="82"/>
        <v/>
      </c>
      <c r="AH838" s="7"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7" t="str">
        <f t="shared" si="78"/>
        <v/>
      </c>
      <c r="AD839" s="7" t="str">
        <f t="shared" si="79"/>
        <v/>
      </c>
      <c r="AE839" s="7" t="str">
        <f t="shared" si="80"/>
        <v/>
      </c>
      <c r="AF839" s="7" t="str">
        <f t="shared" si="81"/>
        <v/>
      </c>
      <c r="AG839" s="7" t="str">
        <f t="shared" si="82"/>
        <v/>
      </c>
      <c r="AH839" s="7"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7" t="str">
        <f t="shared" si="78"/>
        <v/>
      </c>
      <c r="AD840" s="7" t="str">
        <f t="shared" si="79"/>
        <v/>
      </c>
      <c r="AE840" s="7" t="str">
        <f t="shared" si="80"/>
        <v/>
      </c>
      <c r="AF840" s="7" t="str">
        <f t="shared" si="81"/>
        <v/>
      </c>
      <c r="AG840" s="7" t="str">
        <f t="shared" si="82"/>
        <v/>
      </c>
      <c r="AH840" s="7"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7" t="str">
        <f t="shared" si="78"/>
        <v/>
      </c>
      <c r="AD841" s="7" t="str">
        <f t="shared" si="79"/>
        <v/>
      </c>
      <c r="AE841" s="7" t="str">
        <f t="shared" si="80"/>
        <v/>
      </c>
      <c r="AF841" s="7" t="str">
        <f t="shared" si="81"/>
        <v/>
      </c>
      <c r="AG841" s="7" t="str">
        <f t="shared" si="82"/>
        <v/>
      </c>
      <c r="AH841" s="7"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7" t="str">
        <f t="shared" si="78"/>
        <v/>
      </c>
      <c r="AD842" s="7" t="str">
        <f t="shared" si="79"/>
        <v/>
      </c>
      <c r="AE842" s="7" t="str">
        <f t="shared" si="80"/>
        <v/>
      </c>
      <c r="AF842" s="7" t="str">
        <f t="shared" si="81"/>
        <v/>
      </c>
      <c r="AG842" s="7" t="str">
        <f t="shared" si="82"/>
        <v/>
      </c>
      <c r="AH842" s="7"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7" t="str">
        <f t="shared" si="78"/>
        <v/>
      </c>
      <c r="AD843" s="7" t="str">
        <f t="shared" si="79"/>
        <v/>
      </c>
      <c r="AE843" s="7" t="str">
        <f t="shared" si="80"/>
        <v/>
      </c>
      <c r="AF843" s="7" t="str">
        <f t="shared" si="81"/>
        <v/>
      </c>
      <c r="AG843" s="7" t="str">
        <f t="shared" si="82"/>
        <v/>
      </c>
      <c r="AH843" s="7"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7" t="str">
        <f t="shared" si="78"/>
        <v/>
      </c>
      <c r="AD844" s="7" t="str">
        <f t="shared" si="79"/>
        <v/>
      </c>
      <c r="AE844" s="7" t="str">
        <f t="shared" si="80"/>
        <v/>
      </c>
      <c r="AF844" s="7" t="str">
        <f t="shared" si="81"/>
        <v/>
      </c>
      <c r="AG844" s="7" t="str">
        <f t="shared" si="82"/>
        <v/>
      </c>
      <c r="AH844" s="7"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7" t="str">
        <f t="shared" si="78"/>
        <v/>
      </c>
      <c r="AD845" s="7" t="str">
        <f t="shared" si="79"/>
        <v/>
      </c>
      <c r="AE845" s="7" t="str">
        <f t="shared" si="80"/>
        <v/>
      </c>
      <c r="AF845" s="7" t="str">
        <f t="shared" si="81"/>
        <v/>
      </c>
      <c r="AG845" s="7" t="str">
        <f t="shared" si="82"/>
        <v/>
      </c>
      <c r="AH845" s="7"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7" t="str">
        <f t="shared" si="78"/>
        <v/>
      </c>
      <c r="AD846" s="7" t="str">
        <f t="shared" si="79"/>
        <v/>
      </c>
      <c r="AE846" s="7" t="str">
        <f t="shared" si="80"/>
        <v/>
      </c>
      <c r="AF846" s="7" t="str">
        <f t="shared" si="81"/>
        <v/>
      </c>
      <c r="AG846" s="7" t="str">
        <f t="shared" si="82"/>
        <v/>
      </c>
      <c r="AH846" s="7"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7" t="str">
        <f t="shared" si="78"/>
        <v/>
      </c>
      <c r="AD847" s="7" t="str">
        <f t="shared" si="79"/>
        <v/>
      </c>
      <c r="AE847" s="7" t="str">
        <f t="shared" si="80"/>
        <v/>
      </c>
      <c r="AF847" s="7" t="str">
        <f t="shared" si="81"/>
        <v/>
      </c>
      <c r="AG847" s="7" t="str">
        <f t="shared" si="82"/>
        <v/>
      </c>
      <c r="AH847" s="7"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7" t="str">
        <f t="shared" si="78"/>
        <v/>
      </c>
      <c r="AD848" s="7" t="str">
        <f t="shared" si="79"/>
        <v/>
      </c>
      <c r="AE848" s="7" t="str">
        <f t="shared" si="80"/>
        <v/>
      </c>
      <c r="AF848" s="7" t="str">
        <f t="shared" si="81"/>
        <v/>
      </c>
      <c r="AG848" s="7" t="str">
        <f t="shared" si="82"/>
        <v/>
      </c>
      <c r="AH848" s="7"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7" t="str">
        <f t="shared" si="78"/>
        <v/>
      </c>
      <c r="AD849" s="7" t="str">
        <f t="shared" si="79"/>
        <v/>
      </c>
      <c r="AE849" s="7" t="str">
        <f t="shared" si="80"/>
        <v/>
      </c>
      <c r="AF849" s="7" t="str">
        <f t="shared" si="81"/>
        <v/>
      </c>
      <c r="AG849" s="7" t="str">
        <f t="shared" si="82"/>
        <v/>
      </c>
      <c r="AH849" s="7"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7" t="str">
        <f t="shared" si="78"/>
        <v/>
      </c>
      <c r="AD850" s="7" t="str">
        <f t="shared" si="79"/>
        <v/>
      </c>
      <c r="AE850" s="7" t="str">
        <f t="shared" si="80"/>
        <v/>
      </c>
      <c r="AF850" s="7" t="str">
        <f t="shared" si="81"/>
        <v/>
      </c>
      <c r="AG850" s="7" t="str">
        <f t="shared" si="82"/>
        <v/>
      </c>
      <c r="AH850" s="7"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7" t="str">
        <f t="shared" si="78"/>
        <v/>
      </c>
      <c r="AD851" s="7" t="str">
        <f t="shared" si="79"/>
        <v/>
      </c>
      <c r="AE851" s="7" t="str">
        <f t="shared" si="80"/>
        <v/>
      </c>
      <c r="AF851" s="7" t="str">
        <f t="shared" si="81"/>
        <v/>
      </c>
      <c r="AG851" s="7" t="str">
        <f t="shared" si="82"/>
        <v/>
      </c>
      <c r="AH851" s="7"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7" t="str">
        <f t="shared" si="78"/>
        <v/>
      </c>
      <c r="AD852" s="7" t="str">
        <f t="shared" si="79"/>
        <v/>
      </c>
      <c r="AE852" s="7" t="str">
        <f t="shared" si="80"/>
        <v/>
      </c>
      <c r="AF852" s="7" t="str">
        <f t="shared" si="81"/>
        <v/>
      </c>
      <c r="AG852" s="7" t="str">
        <f t="shared" si="82"/>
        <v/>
      </c>
      <c r="AH852" s="7"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7" t="str">
        <f t="shared" si="78"/>
        <v/>
      </c>
      <c r="AD853" s="7" t="str">
        <f t="shared" si="79"/>
        <v/>
      </c>
      <c r="AE853" s="7" t="str">
        <f t="shared" si="80"/>
        <v/>
      </c>
      <c r="AF853" s="7" t="str">
        <f t="shared" si="81"/>
        <v/>
      </c>
      <c r="AG853" s="7" t="str">
        <f t="shared" si="82"/>
        <v/>
      </c>
      <c r="AH853" s="7"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7" t="str">
        <f t="shared" si="78"/>
        <v/>
      </c>
      <c r="AD854" s="7" t="str">
        <f t="shared" si="79"/>
        <v/>
      </c>
      <c r="AE854" s="7" t="str">
        <f t="shared" si="80"/>
        <v/>
      </c>
      <c r="AF854" s="7" t="str">
        <f t="shared" si="81"/>
        <v/>
      </c>
      <c r="AG854" s="7" t="str">
        <f t="shared" si="82"/>
        <v/>
      </c>
      <c r="AH854" s="7"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7" t="str">
        <f t="shared" si="78"/>
        <v/>
      </c>
      <c r="AD855" s="7" t="str">
        <f t="shared" si="79"/>
        <v/>
      </c>
      <c r="AE855" s="7" t="str">
        <f t="shared" si="80"/>
        <v/>
      </c>
      <c r="AF855" s="7" t="str">
        <f t="shared" si="81"/>
        <v/>
      </c>
      <c r="AG855" s="7" t="str">
        <f t="shared" si="82"/>
        <v/>
      </c>
      <c r="AH855" s="7"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7" t="str">
        <f t="shared" si="78"/>
        <v/>
      </c>
      <c r="AD856" s="7" t="str">
        <f t="shared" si="79"/>
        <v/>
      </c>
      <c r="AE856" s="7" t="str">
        <f t="shared" si="80"/>
        <v/>
      </c>
      <c r="AF856" s="7" t="str">
        <f t="shared" si="81"/>
        <v/>
      </c>
      <c r="AG856" s="7" t="str">
        <f t="shared" si="82"/>
        <v/>
      </c>
      <c r="AH856" s="7"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7" t="str">
        <f t="shared" si="78"/>
        <v/>
      </c>
      <c r="AD857" s="7" t="str">
        <f t="shared" si="79"/>
        <v/>
      </c>
      <c r="AE857" s="7" t="str">
        <f t="shared" si="80"/>
        <v/>
      </c>
      <c r="AF857" s="7" t="str">
        <f t="shared" si="81"/>
        <v/>
      </c>
      <c r="AG857" s="7" t="str">
        <f t="shared" si="82"/>
        <v/>
      </c>
      <c r="AH857" s="7"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7" t="str">
        <f t="shared" si="78"/>
        <v/>
      </c>
      <c r="AD858" s="7" t="str">
        <f t="shared" si="79"/>
        <v/>
      </c>
      <c r="AE858" s="7" t="str">
        <f t="shared" si="80"/>
        <v/>
      </c>
      <c r="AF858" s="7" t="str">
        <f t="shared" si="81"/>
        <v/>
      </c>
      <c r="AG858" s="7" t="str">
        <f t="shared" si="82"/>
        <v/>
      </c>
      <c r="AH858" s="7"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7" t="str">
        <f t="shared" si="78"/>
        <v/>
      </c>
      <c r="AD859" s="7" t="str">
        <f t="shared" si="79"/>
        <v/>
      </c>
      <c r="AE859" s="7" t="str">
        <f t="shared" si="80"/>
        <v/>
      </c>
      <c r="AF859" s="7" t="str">
        <f t="shared" si="81"/>
        <v/>
      </c>
      <c r="AG859" s="7" t="str">
        <f t="shared" si="82"/>
        <v/>
      </c>
      <c r="AH859" s="7"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7" t="str">
        <f t="shared" si="78"/>
        <v/>
      </c>
      <c r="AD860" s="7" t="str">
        <f t="shared" si="79"/>
        <v/>
      </c>
      <c r="AE860" s="7" t="str">
        <f t="shared" si="80"/>
        <v/>
      </c>
      <c r="AF860" s="7" t="str">
        <f t="shared" si="81"/>
        <v/>
      </c>
      <c r="AG860" s="7" t="str">
        <f t="shared" si="82"/>
        <v/>
      </c>
      <c r="AH860" s="7"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7" t="str">
        <f t="shared" si="78"/>
        <v/>
      </c>
      <c r="AD861" s="7" t="str">
        <f t="shared" si="79"/>
        <v/>
      </c>
      <c r="AE861" s="7" t="str">
        <f t="shared" si="80"/>
        <v/>
      </c>
      <c r="AF861" s="7" t="str">
        <f t="shared" si="81"/>
        <v/>
      </c>
      <c r="AG861" s="7" t="str">
        <f t="shared" si="82"/>
        <v/>
      </c>
      <c r="AH861" s="7"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7" t="str">
        <f t="shared" si="78"/>
        <v/>
      </c>
      <c r="AD862" s="7" t="str">
        <f t="shared" si="79"/>
        <v/>
      </c>
      <c r="AE862" s="7" t="str">
        <f t="shared" si="80"/>
        <v/>
      </c>
      <c r="AF862" s="7" t="str">
        <f t="shared" si="81"/>
        <v/>
      </c>
      <c r="AG862" s="7" t="str">
        <f t="shared" si="82"/>
        <v/>
      </c>
      <c r="AH862" s="7"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7" t="str">
        <f t="shared" si="78"/>
        <v/>
      </c>
      <c r="AD863" s="7" t="str">
        <f t="shared" si="79"/>
        <v/>
      </c>
      <c r="AE863" s="7" t="str">
        <f t="shared" si="80"/>
        <v/>
      </c>
      <c r="AF863" s="7" t="str">
        <f t="shared" si="81"/>
        <v/>
      </c>
      <c r="AG863" s="7" t="str">
        <f t="shared" si="82"/>
        <v/>
      </c>
      <c r="AH863" s="7"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7" t="str">
        <f t="shared" si="78"/>
        <v/>
      </c>
      <c r="AD864" s="7" t="str">
        <f t="shared" si="79"/>
        <v/>
      </c>
      <c r="AE864" s="7" t="str">
        <f t="shared" si="80"/>
        <v/>
      </c>
      <c r="AF864" s="7" t="str">
        <f t="shared" si="81"/>
        <v/>
      </c>
      <c r="AG864" s="7" t="str">
        <f t="shared" si="82"/>
        <v/>
      </c>
      <c r="AH864" s="7"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7" t="str">
        <f t="shared" si="78"/>
        <v/>
      </c>
      <c r="AD865" s="7" t="str">
        <f t="shared" si="79"/>
        <v/>
      </c>
      <c r="AE865" s="7" t="str">
        <f t="shared" si="80"/>
        <v/>
      </c>
      <c r="AF865" s="7" t="str">
        <f t="shared" si="81"/>
        <v/>
      </c>
      <c r="AG865" s="7" t="str">
        <f t="shared" si="82"/>
        <v/>
      </c>
      <c r="AH865" s="7"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7" t="str">
        <f t="shared" si="78"/>
        <v/>
      </c>
      <c r="AD866" s="7" t="str">
        <f t="shared" si="79"/>
        <v/>
      </c>
      <c r="AE866" s="7" t="str">
        <f t="shared" si="80"/>
        <v/>
      </c>
      <c r="AF866" s="7" t="str">
        <f t="shared" si="81"/>
        <v/>
      </c>
      <c r="AG866" s="7" t="str">
        <f t="shared" si="82"/>
        <v/>
      </c>
      <c r="AH866" s="7"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7" t="str">
        <f t="shared" si="78"/>
        <v/>
      </c>
      <c r="AD867" s="7" t="str">
        <f t="shared" si="79"/>
        <v/>
      </c>
      <c r="AE867" s="7" t="str">
        <f t="shared" si="80"/>
        <v/>
      </c>
      <c r="AF867" s="7" t="str">
        <f t="shared" si="81"/>
        <v/>
      </c>
      <c r="AG867" s="7" t="str">
        <f t="shared" si="82"/>
        <v/>
      </c>
      <c r="AH867" s="7"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7" t="str">
        <f t="shared" si="78"/>
        <v/>
      </c>
      <c r="AD868" s="7" t="str">
        <f t="shared" si="79"/>
        <v/>
      </c>
      <c r="AE868" s="7" t="str">
        <f t="shared" si="80"/>
        <v/>
      </c>
      <c r="AF868" s="7" t="str">
        <f t="shared" si="81"/>
        <v/>
      </c>
      <c r="AG868" s="7" t="str">
        <f t="shared" si="82"/>
        <v/>
      </c>
      <c r="AH868" s="7"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7" t="str">
        <f t="shared" si="78"/>
        <v/>
      </c>
      <c r="AD869" s="7" t="str">
        <f t="shared" si="79"/>
        <v/>
      </c>
      <c r="AE869" s="7" t="str">
        <f t="shared" si="80"/>
        <v/>
      </c>
      <c r="AF869" s="7" t="str">
        <f t="shared" si="81"/>
        <v/>
      </c>
      <c r="AG869" s="7" t="str">
        <f t="shared" si="82"/>
        <v/>
      </c>
      <c r="AH869" s="7"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7" t="str">
        <f t="shared" si="78"/>
        <v/>
      </c>
      <c r="AD870" s="7" t="str">
        <f t="shared" si="79"/>
        <v/>
      </c>
      <c r="AE870" s="7" t="str">
        <f t="shared" si="80"/>
        <v/>
      </c>
      <c r="AF870" s="7" t="str">
        <f t="shared" si="81"/>
        <v/>
      </c>
      <c r="AG870" s="7" t="str">
        <f t="shared" si="82"/>
        <v/>
      </c>
      <c r="AH870" s="7"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7" t="str">
        <f t="shared" si="78"/>
        <v/>
      </c>
      <c r="AD871" s="7" t="str">
        <f t="shared" si="79"/>
        <v/>
      </c>
      <c r="AE871" s="7" t="str">
        <f t="shared" si="80"/>
        <v/>
      </c>
      <c r="AF871" s="7" t="str">
        <f t="shared" si="81"/>
        <v/>
      </c>
      <c r="AG871" s="7" t="str">
        <f t="shared" si="82"/>
        <v/>
      </c>
      <c r="AH871" s="7"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7" t="str">
        <f t="shared" si="78"/>
        <v/>
      </c>
      <c r="AD872" s="7" t="str">
        <f t="shared" si="79"/>
        <v/>
      </c>
      <c r="AE872" s="7" t="str">
        <f t="shared" si="80"/>
        <v/>
      </c>
      <c r="AF872" s="7" t="str">
        <f t="shared" si="81"/>
        <v/>
      </c>
      <c r="AG872" s="7" t="str">
        <f t="shared" si="82"/>
        <v/>
      </c>
      <c r="AH872" s="7"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7" t="str">
        <f t="shared" si="78"/>
        <v/>
      </c>
      <c r="AD873" s="7" t="str">
        <f t="shared" si="79"/>
        <v/>
      </c>
      <c r="AE873" s="7" t="str">
        <f t="shared" si="80"/>
        <v/>
      </c>
      <c r="AF873" s="7" t="str">
        <f t="shared" si="81"/>
        <v/>
      </c>
      <c r="AG873" s="7" t="str">
        <f t="shared" si="82"/>
        <v/>
      </c>
      <c r="AH873" s="7"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7" t="str">
        <f t="shared" si="78"/>
        <v/>
      </c>
      <c r="AD874" s="7" t="str">
        <f t="shared" si="79"/>
        <v/>
      </c>
      <c r="AE874" s="7" t="str">
        <f t="shared" si="80"/>
        <v/>
      </c>
      <c r="AF874" s="7" t="str">
        <f t="shared" si="81"/>
        <v/>
      </c>
      <c r="AG874" s="7" t="str">
        <f t="shared" si="82"/>
        <v/>
      </c>
      <c r="AH874" s="7"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7" t="str">
        <f t="shared" si="78"/>
        <v/>
      </c>
      <c r="AD875" s="7" t="str">
        <f t="shared" si="79"/>
        <v/>
      </c>
      <c r="AE875" s="7" t="str">
        <f t="shared" si="80"/>
        <v/>
      </c>
      <c r="AF875" s="7" t="str">
        <f t="shared" si="81"/>
        <v/>
      </c>
      <c r="AG875" s="7" t="str">
        <f t="shared" si="82"/>
        <v/>
      </c>
      <c r="AH875" s="7"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7" t="str">
        <f t="shared" si="78"/>
        <v/>
      </c>
      <c r="AD876" s="7" t="str">
        <f t="shared" si="79"/>
        <v/>
      </c>
      <c r="AE876" s="7" t="str">
        <f t="shared" si="80"/>
        <v/>
      </c>
      <c r="AF876" s="7" t="str">
        <f t="shared" si="81"/>
        <v/>
      </c>
      <c r="AG876" s="7" t="str">
        <f t="shared" si="82"/>
        <v/>
      </c>
      <c r="AH876" s="7"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7" t="str">
        <f t="shared" si="78"/>
        <v/>
      </c>
      <c r="AD877" s="7" t="str">
        <f t="shared" si="79"/>
        <v/>
      </c>
      <c r="AE877" s="7" t="str">
        <f t="shared" si="80"/>
        <v/>
      </c>
      <c r="AF877" s="7" t="str">
        <f t="shared" si="81"/>
        <v/>
      </c>
      <c r="AG877" s="7" t="str">
        <f t="shared" si="82"/>
        <v/>
      </c>
      <c r="AH877" s="7"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7" t="str">
        <f t="shared" si="78"/>
        <v/>
      </c>
      <c r="AD878" s="7" t="str">
        <f t="shared" si="79"/>
        <v/>
      </c>
      <c r="AE878" s="7" t="str">
        <f t="shared" si="80"/>
        <v/>
      </c>
      <c r="AF878" s="7" t="str">
        <f t="shared" si="81"/>
        <v/>
      </c>
      <c r="AG878" s="7" t="str">
        <f t="shared" si="82"/>
        <v/>
      </c>
      <c r="AH878" s="7"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7" t="str">
        <f t="shared" si="78"/>
        <v/>
      </c>
      <c r="AD879" s="7" t="str">
        <f t="shared" si="79"/>
        <v/>
      </c>
      <c r="AE879" s="7" t="str">
        <f t="shared" si="80"/>
        <v/>
      </c>
      <c r="AF879" s="7" t="str">
        <f t="shared" si="81"/>
        <v/>
      </c>
      <c r="AG879" s="7" t="str">
        <f t="shared" si="82"/>
        <v/>
      </c>
      <c r="AH879" s="7"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7" t="str">
        <f t="shared" si="78"/>
        <v/>
      </c>
      <c r="AD880" s="7" t="str">
        <f t="shared" si="79"/>
        <v/>
      </c>
      <c r="AE880" s="7" t="str">
        <f t="shared" si="80"/>
        <v/>
      </c>
      <c r="AF880" s="7" t="str">
        <f t="shared" si="81"/>
        <v/>
      </c>
      <c r="AG880" s="7" t="str">
        <f t="shared" si="82"/>
        <v/>
      </c>
      <c r="AH880" s="7"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7" t="str">
        <f t="shared" si="78"/>
        <v/>
      </c>
      <c r="AD881" s="7" t="str">
        <f t="shared" si="79"/>
        <v/>
      </c>
      <c r="AE881" s="7" t="str">
        <f t="shared" si="80"/>
        <v/>
      </c>
      <c r="AF881" s="7" t="str">
        <f t="shared" si="81"/>
        <v/>
      </c>
      <c r="AG881" s="7" t="str">
        <f t="shared" si="82"/>
        <v/>
      </c>
      <c r="AH881" s="7"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7" t="str">
        <f t="shared" si="78"/>
        <v/>
      </c>
      <c r="AD882" s="7" t="str">
        <f t="shared" si="79"/>
        <v/>
      </c>
      <c r="AE882" s="7" t="str">
        <f t="shared" si="80"/>
        <v/>
      </c>
      <c r="AF882" s="7" t="str">
        <f t="shared" si="81"/>
        <v/>
      </c>
      <c r="AG882" s="7" t="str">
        <f t="shared" si="82"/>
        <v/>
      </c>
      <c r="AH882" s="7"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7" t="str">
        <f t="shared" si="78"/>
        <v/>
      </c>
      <c r="AD883" s="7" t="str">
        <f t="shared" si="79"/>
        <v/>
      </c>
      <c r="AE883" s="7" t="str">
        <f t="shared" si="80"/>
        <v/>
      </c>
      <c r="AF883" s="7" t="str">
        <f t="shared" si="81"/>
        <v/>
      </c>
      <c r="AG883" s="7" t="str">
        <f t="shared" si="82"/>
        <v/>
      </c>
      <c r="AH883" s="7"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7" t="str">
        <f t="shared" si="78"/>
        <v/>
      </c>
      <c r="AD884" s="7" t="str">
        <f t="shared" si="79"/>
        <v/>
      </c>
      <c r="AE884" s="7" t="str">
        <f t="shared" si="80"/>
        <v/>
      </c>
      <c r="AF884" s="7" t="str">
        <f t="shared" si="81"/>
        <v/>
      </c>
      <c r="AG884" s="7" t="str">
        <f t="shared" si="82"/>
        <v/>
      </c>
      <c r="AH884" s="7"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7" t="str">
        <f t="shared" si="78"/>
        <v/>
      </c>
      <c r="AD885" s="7" t="str">
        <f t="shared" si="79"/>
        <v/>
      </c>
      <c r="AE885" s="7" t="str">
        <f t="shared" si="80"/>
        <v/>
      </c>
      <c r="AF885" s="7" t="str">
        <f t="shared" si="81"/>
        <v/>
      </c>
      <c r="AG885" s="7" t="str">
        <f t="shared" si="82"/>
        <v/>
      </c>
      <c r="AH885" s="7"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7" t="str">
        <f t="shared" si="78"/>
        <v/>
      </c>
      <c r="AD886" s="7" t="str">
        <f t="shared" si="79"/>
        <v/>
      </c>
      <c r="AE886" s="7" t="str">
        <f t="shared" si="80"/>
        <v/>
      </c>
      <c r="AF886" s="7" t="str">
        <f t="shared" si="81"/>
        <v/>
      </c>
      <c r="AG886" s="7" t="str">
        <f t="shared" si="82"/>
        <v/>
      </c>
      <c r="AH886" s="7"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7" t="str">
        <f t="shared" si="78"/>
        <v/>
      </c>
      <c r="AD887" s="7" t="str">
        <f t="shared" si="79"/>
        <v/>
      </c>
      <c r="AE887" s="7" t="str">
        <f t="shared" si="80"/>
        <v/>
      </c>
      <c r="AF887" s="7" t="str">
        <f t="shared" si="81"/>
        <v/>
      </c>
      <c r="AG887" s="7" t="str">
        <f t="shared" si="82"/>
        <v/>
      </c>
      <c r="AH887" s="7"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7" t="str">
        <f t="shared" si="78"/>
        <v/>
      </c>
      <c r="AD888" s="7" t="str">
        <f t="shared" si="79"/>
        <v/>
      </c>
      <c r="AE888" s="7" t="str">
        <f t="shared" si="80"/>
        <v/>
      </c>
      <c r="AF888" s="7" t="str">
        <f t="shared" si="81"/>
        <v/>
      </c>
      <c r="AG888" s="7" t="str">
        <f t="shared" si="82"/>
        <v/>
      </c>
      <c r="AH888" s="7"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7" t="str">
        <f t="shared" si="78"/>
        <v/>
      </c>
      <c r="AD889" s="7" t="str">
        <f t="shared" si="79"/>
        <v/>
      </c>
      <c r="AE889" s="7" t="str">
        <f t="shared" si="80"/>
        <v/>
      </c>
      <c r="AF889" s="7" t="str">
        <f t="shared" si="81"/>
        <v/>
      </c>
      <c r="AG889" s="7" t="str">
        <f t="shared" si="82"/>
        <v/>
      </c>
      <c r="AH889" s="7"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7" t="str">
        <f t="shared" si="78"/>
        <v/>
      </c>
      <c r="AD890" s="7" t="str">
        <f t="shared" si="79"/>
        <v/>
      </c>
      <c r="AE890" s="7" t="str">
        <f t="shared" si="80"/>
        <v/>
      </c>
      <c r="AF890" s="7" t="str">
        <f t="shared" si="81"/>
        <v/>
      </c>
      <c r="AG890" s="7" t="str">
        <f t="shared" si="82"/>
        <v/>
      </c>
      <c r="AH890" s="7"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7" t="str">
        <f t="shared" si="78"/>
        <v/>
      </c>
      <c r="AD891" s="7" t="str">
        <f t="shared" si="79"/>
        <v/>
      </c>
      <c r="AE891" s="7" t="str">
        <f t="shared" si="80"/>
        <v/>
      </c>
      <c r="AF891" s="7" t="str">
        <f t="shared" si="81"/>
        <v/>
      </c>
      <c r="AG891" s="7" t="str">
        <f t="shared" si="82"/>
        <v/>
      </c>
      <c r="AH891" s="7"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7" t="str">
        <f t="shared" si="78"/>
        <v/>
      </c>
      <c r="AD892" s="7" t="str">
        <f t="shared" si="79"/>
        <v/>
      </c>
      <c r="AE892" s="7" t="str">
        <f t="shared" si="80"/>
        <v/>
      </c>
      <c r="AF892" s="7" t="str">
        <f t="shared" si="81"/>
        <v/>
      </c>
      <c r="AG892" s="7" t="str">
        <f t="shared" si="82"/>
        <v/>
      </c>
      <c r="AH892" s="7"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7" t="str">
        <f t="shared" si="78"/>
        <v/>
      </c>
      <c r="AD893" s="7" t="str">
        <f t="shared" si="79"/>
        <v/>
      </c>
      <c r="AE893" s="7" t="str">
        <f t="shared" si="80"/>
        <v/>
      </c>
      <c r="AF893" s="7" t="str">
        <f t="shared" si="81"/>
        <v/>
      </c>
      <c r="AG893" s="7" t="str">
        <f t="shared" si="82"/>
        <v/>
      </c>
      <c r="AH893" s="7"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7" t="str">
        <f t="shared" si="78"/>
        <v/>
      </c>
      <c r="AD894" s="7" t="str">
        <f t="shared" si="79"/>
        <v/>
      </c>
      <c r="AE894" s="7" t="str">
        <f t="shared" si="80"/>
        <v/>
      </c>
      <c r="AF894" s="7" t="str">
        <f t="shared" si="81"/>
        <v/>
      </c>
      <c r="AG894" s="7" t="str">
        <f t="shared" si="82"/>
        <v/>
      </c>
      <c r="AH894" s="7"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7" t="str">
        <f t="shared" si="78"/>
        <v/>
      </c>
      <c r="AD895" s="7" t="str">
        <f t="shared" si="79"/>
        <v/>
      </c>
      <c r="AE895" s="7" t="str">
        <f t="shared" si="80"/>
        <v/>
      </c>
      <c r="AF895" s="7" t="str">
        <f t="shared" si="81"/>
        <v/>
      </c>
      <c r="AG895" s="7" t="str">
        <f t="shared" si="82"/>
        <v/>
      </c>
      <c r="AH895" s="7"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7" t="str">
        <f t="shared" si="78"/>
        <v/>
      </c>
      <c r="AD896" s="7" t="str">
        <f t="shared" si="79"/>
        <v/>
      </c>
      <c r="AE896" s="7" t="str">
        <f t="shared" si="80"/>
        <v/>
      </c>
      <c r="AF896" s="7" t="str">
        <f t="shared" si="81"/>
        <v/>
      </c>
      <c r="AG896" s="7" t="str">
        <f t="shared" si="82"/>
        <v/>
      </c>
      <c r="AH896" s="7"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7" t="str">
        <f t="shared" si="78"/>
        <v/>
      </c>
      <c r="AD897" s="7" t="str">
        <f t="shared" si="79"/>
        <v/>
      </c>
      <c r="AE897" s="7" t="str">
        <f t="shared" si="80"/>
        <v/>
      </c>
      <c r="AF897" s="7" t="str">
        <f t="shared" si="81"/>
        <v/>
      </c>
      <c r="AG897" s="7" t="str">
        <f t="shared" si="82"/>
        <v/>
      </c>
      <c r="AH897" s="7"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7" t="str">
        <f t="shared" si="78"/>
        <v/>
      </c>
      <c r="AD898" s="7" t="str">
        <f t="shared" si="79"/>
        <v/>
      </c>
      <c r="AE898" s="7" t="str">
        <f t="shared" si="80"/>
        <v/>
      </c>
      <c r="AF898" s="7" t="str">
        <f t="shared" si="81"/>
        <v/>
      </c>
      <c r="AG898" s="7" t="str">
        <f t="shared" si="82"/>
        <v/>
      </c>
      <c r="AH898" s="7"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7" t="str">
        <f t="shared" si="78"/>
        <v/>
      </c>
      <c r="AD899" s="7" t="str">
        <f t="shared" si="79"/>
        <v/>
      </c>
      <c r="AE899" s="7" t="str">
        <f t="shared" si="80"/>
        <v/>
      </c>
      <c r="AF899" s="7" t="str">
        <f t="shared" si="81"/>
        <v/>
      </c>
      <c r="AG899" s="7" t="str">
        <f t="shared" si="82"/>
        <v/>
      </c>
      <c r="AH899" s="7"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7" t="str">
        <f t="shared" si="78"/>
        <v/>
      </c>
      <c r="AD900" s="7" t="str">
        <f t="shared" si="79"/>
        <v/>
      </c>
      <c r="AE900" s="7" t="str">
        <f t="shared" si="80"/>
        <v/>
      </c>
      <c r="AF900" s="7" t="str">
        <f t="shared" si="81"/>
        <v/>
      </c>
      <c r="AG900" s="7" t="str">
        <f t="shared" si="82"/>
        <v/>
      </c>
      <c r="AH900" s="7" t="str">
        <f t="shared" si="83"/>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7" t="str">
        <f t="shared" ref="AC901:AC964" si="84">IF(COUNT(A901,L901,N901,P901,X901,Y901)&gt;0,AVERAGE(A901,L901,N901,P901,X901,Y901),"")</f>
        <v/>
      </c>
      <c r="AD901" s="7" t="str">
        <f t="shared" ref="AD901:AD964" si="85">IF(COUNT(B901,D901,M901,U901)&gt;0,AVERAGE(B901,D901,M901,U901),"")</f>
        <v/>
      </c>
      <c r="AE901" s="7" t="str">
        <f t="shared" ref="AE901:AE964" si="86">IF(COUNT(I901,T901,V901,W901)&gt;0,AVERAGE(I901,T901,V901,W901),"")</f>
        <v/>
      </c>
      <c r="AF901" s="7" t="str">
        <f t="shared" ref="AF901:AF964" si="87">IF(COUNT(H901,K901,Q901,S901)&gt;0,AVERAGE(H901,K901,Q901,S901),"")</f>
        <v/>
      </c>
      <c r="AG901" s="7" t="str">
        <f t="shared" ref="AG901:AG964" si="88">IF(COUNT(E901,F901,G901,R901)&gt;0,AVERAGE(E901,F901,G901,R901),"")</f>
        <v/>
      </c>
      <c r="AH901" s="7" t="str">
        <f t="shared" ref="AH901:AH964" si="89">IF(COUNT(C901,J901,O901,Z901)&gt;0,AVERAGE(C901,J901,O901,Z901),"")</f>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7" t="str">
        <f t="shared" si="84"/>
        <v/>
      </c>
      <c r="AD902" s="7" t="str">
        <f t="shared" si="85"/>
        <v/>
      </c>
      <c r="AE902" s="7" t="str">
        <f t="shared" si="86"/>
        <v/>
      </c>
      <c r="AF902" s="7" t="str">
        <f t="shared" si="87"/>
        <v/>
      </c>
      <c r="AG902" s="7" t="str">
        <f t="shared" si="88"/>
        <v/>
      </c>
      <c r="AH902" s="7"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7" t="str">
        <f t="shared" si="84"/>
        <v/>
      </c>
      <c r="AD903" s="7" t="str">
        <f t="shared" si="85"/>
        <v/>
      </c>
      <c r="AE903" s="7" t="str">
        <f t="shared" si="86"/>
        <v/>
      </c>
      <c r="AF903" s="7" t="str">
        <f t="shared" si="87"/>
        <v/>
      </c>
      <c r="AG903" s="7" t="str">
        <f t="shared" si="88"/>
        <v/>
      </c>
      <c r="AH903" s="7"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7" t="str">
        <f t="shared" si="84"/>
        <v/>
      </c>
      <c r="AD904" s="7" t="str">
        <f t="shared" si="85"/>
        <v/>
      </c>
      <c r="AE904" s="7" t="str">
        <f t="shared" si="86"/>
        <v/>
      </c>
      <c r="AF904" s="7" t="str">
        <f t="shared" si="87"/>
        <v/>
      </c>
      <c r="AG904" s="7" t="str">
        <f t="shared" si="88"/>
        <v/>
      </c>
      <c r="AH904" s="7"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7" t="str">
        <f t="shared" si="84"/>
        <v/>
      </c>
      <c r="AD905" s="7" t="str">
        <f t="shared" si="85"/>
        <v/>
      </c>
      <c r="AE905" s="7" t="str">
        <f t="shared" si="86"/>
        <v/>
      </c>
      <c r="AF905" s="7" t="str">
        <f t="shared" si="87"/>
        <v/>
      </c>
      <c r="AG905" s="7" t="str">
        <f t="shared" si="88"/>
        <v/>
      </c>
      <c r="AH905" s="7"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7" t="str">
        <f t="shared" si="84"/>
        <v/>
      </c>
      <c r="AD906" s="7" t="str">
        <f t="shared" si="85"/>
        <v/>
      </c>
      <c r="AE906" s="7" t="str">
        <f t="shared" si="86"/>
        <v/>
      </c>
      <c r="AF906" s="7" t="str">
        <f t="shared" si="87"/>
        <v/>
      </c>
      <c r="AG906" s="7" t="str">
        <f t="shared" si="88"/>
        <v/>
      </c>
      <c r="AH906" s="7"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7" t="str">
        <f t="shared" si="84"/>
        <v/>
      </c>
      <c r="AD907" s="7" t="str">
        <f t="shared" si="85"/>
        <v/>
      </c>
      <c r="AE907" s="7" t="str">
        <f t="shared" si="86"/>
        <v/>
      </c>
      <c r="AF907" s="7" t="str">
        <f t="shared" si="87"/>
        <v/>
      </c>
      <c r="AG907" s="7" t="str">
        <f t="shared" si="88"/>
        <v/>
      </c>
      <c r="AH907" s="7"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7" t="str">
        <f t="shared" si="84"/>
        <v/>
      </c>
      <c r="AD908" s="7" t="str">
        <f t="shared" si="85"/>
        <v/>
      </c>
      <c r="AE908" s="7" t="str">
        <f t="shared" si="86"/>
        <v/>
      </c>
      <c r="AF908" s="7" t="str">
        <f t="shared" si="87"/>
        <v/>
      </c>
      <c r="AG908" s="7" t="str">
        <f t="shared" si="88"/>
        <v/>
      </c>
      <c r="AH908" s="7"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7" t="str">
        <f t="shared" si="84"/>
        <v/>
      </c>
      <c r="AD909" s="7" t="str">
        <f t="shared" si="85"/>
        <v/>
      </c>
      <c r="AE909" s="7" t="str">
        <f t="shared" si="86"/>
        <v/>
      </c>
      <c r="AF909" s="7" t="str">
        <f t="shared" si="87"/>
        <v/>
      </c>
      <c r="AG909" s="7" t="str">
        <f t="shared" si="88"/>
        <v/>
      </c>
      <c r="AH909" s="7"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7" t="str">
        <f t="shared" si="84"/>
        <v/>
      </c>
      <c r="AD910" s="7" t="str">
        <f t="shared" si="85"/>
        <v/>
      </c>
      <c r="AE910" s="7" t="str">
        <f t="shared" si="86"/>
        <v/>
      </c>
      <c r="AF910" s="7" t="str">
        <f t="shared" si="87"/>
        <v/>
      </c>
      <c r="AG910" s="7" t="str">
        <f t="shared" si="88"/>
        <v/>
      </c>
      <c r="AH910" s="7"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7" t="str">
        <f t="shared" si="84"/>
        <v/>
      </c>
      <c r="AD911" s="7" t="str">
        <f t="shared" si="85"/>
        <v/>
      </c>
      <c r="AE911" s="7" t="str">
        <f t="shared" si="86"/>
        <v/>
      </c>
      <c r="AF911" s="7" t="str">
        <f t="shared" si="87"/>
        <v/>
      </c>
      <c r="AG911" s="7" t="str">
        <f t="shared" si="88"/>
        <v/>
      </c>
      <c r="AH911" s="7"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7" t="str">
        <f t="shared" si="84"/>
        <v/>
      </c>
      <c r="AD912" s="7" t="str">
        <f t="shared" si="85"/>
        <v/>
      </c>
      <c r="AE912" s="7" t="str">
        <f t="shared" si="86"/>
        <v/>
      </c>
      <c r="AF912" s="7" t="str">
        <f t="shared" si="87"/>
        <v/>
      </c>
      <c r="AG912" s="7" t="str">
        <f t="shared" si="88"/>
        <v/>
      </c>
      <c r="AH912" s="7"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7" t="str">
        <f t="shared" si="84"/>
        <v/>
      </c>
      <c r="AD913" s="7" t="str">
        <f t="shared" si="85"/>
        <v/>
      </c>
      <c r="AE913" s="7" t="str">
        <f t="shared" si="86"/>
        <v/>
      </c>
      <c r="AF913" s="7" t="str">
        <f t="shared" si="87"/>
        <v/>
      </c>
      <c r="AG913" s="7" t="str">
        <f t="shared" si="88"/>
        <v/>
      </c>
      <c r="AH913" s="7"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7" t="str">
        <f t="shared" si="84"/>
        <v/>
      </c>
      <c r="AD914" s="7" t="str">
        <f t="shared" si="85"/>
        <v/>
      </c>
      <c r="AE914" s="7" t="str">
        <f t="shared" si="86"/>
        <v/>
      </c>
      <c r="AF914" s="7" t="str">
        <f t="shared" si="87"/>
        <v/>
      </c>
      <c r="AG914" s="7" t="str">
        <f t="shared" si="88"/>
        <v/>
      </c>
      <c r="AH914" s="7"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7" t="str">
        <f t="shared" si="84"/>
        <v/>
      </c>
      <c r="AD915" s="7" t="str">
        <f t="shared" si="85"/>
        <v/>
      </c>
      <c r="AE915" s="7" t="str">
        <f t="shared" si="86"/>
        <v/>
      </c>
      <c r="AF915" s="7" t="str">
        <f t="shared" si="87"/>
        <v/>
      </c>
      <c r="AG915" s="7" t="str">
        <f t="shared" si="88"/>
        <v/>
      </c>
      <c r="AH915" s="7"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7" t="str">
        <f t="shared" si="84"/>
        <v/>
      </c>
      <c r="AD916" s="7" t="str">
        <f t="shared" si="85"/>
        <v/>
      </c>
      <c r="AE916" s="7" t="str">
        <f t="shared" si="86"/>
        <v/>
      </c>
      <c r="AF916" s="7" t="str">
        <f t="shared" si="87"/>
        <v/>
      </c>
      <c r="AG916" s="7" t="str">
        <f t="shared" si="88"/>
        <v/>
      </c>
      <c r="AH916" s="7"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7" t="str">
        <f t="shared" si="84"/>
        <v/>
      </c>
      <c r="AD917" s="7" t="str">
        <f t="shared" si="85"/>
        <v/>
      </c>
      <c r="AE917" s="7" t="str">
        <f t="shared" si="86"/>
        <v/>
      </c>
      <c r="AF917" s="7" t="str">
        <f t="shared" si="87"/>
        <v/>
      </c>
      <c r="AG917" s="7" t="str">
        <f t="shared" si="88"/>
        <v/>
      </c>
      <c r="AH917" s="7"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7" t="str">
        <f t="shared" si="84"/>
        <v/>
      </c>
      <c r="AD918" s="7" t="str">
        <f t="shared" si="85"/>
        <v/>
      </c>
      <c r="AE918" s="7" t="str">
        <f t="shared" si="86"/>
        <v/>
      </c>
      <c r="AF918" s="7" t="str">
        <f t="shared" si="87"/>
        <v/>
      </c>
      <c r="AG918" s="7" t="str">
        <f t="shared" si="88"/>
        <v/>
      </c>
      <c r="AH918" s="7"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7" t="str">
        <f t="shared" si="84"/>
        <v/>
      </c>
      <c r="AD919" s="7" t="str">
        <f t="shared" si="85"/>
        <v/>
      </c>
      <c r="AE919" s="7" t="str">
        <f t="shared" si="86"/>
        <v/>
      </c>
      <c r="AF919" s="7" t="str">
        <f t="shared" si="87"/>
        <v/>
      </c>
      <c r="AG919" s="7" t="str">
        <f t="shared" si="88"/>
        <v/>
      </c>
      <c r="AH919" s="7"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7" t="str">
        <f t="shared" si="84"/>
        <v/>
      </c>
      <c r="AD920" s="7" t="str">
        <f t="shared" si="85"/>
        <v/>
      </c>
      <c r="AE920" s="7" t="str">
        <f t="shared" si="86"/>
        <v/>
      </c>
      <c r="AF920" s="7" t="str">
        <f t="shared" si="87"/>
        <v/>
      </c>
      <c r="AG920" s="7" t="str">
        <f t="shared" si="88"/>
        <v/>
      </c>
      <c r="AH920" s="7"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7" t="str">
        <f t="shared" si="84"/>
        <v/>
      </c>
      <c r="AD921" s="7" t="str">
        <f t="shared" si="85"/>
        <v/>
      </c>
      <c r="AE921" s="7" t="str">
        <f t="shared" si="86"/>
        <v/>
      </c>
      <c r="AF921" s="7" t="str">
        <f t="shared" si="87"/>
        <v/>
      </c>
      <c r="AG921" s="7" t="str">
        <f t="shared" si="88"/>
        <v/>
      </c>
      <c r="AH921" s="7"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7" t="str">
        <f t="shared" si="84"/>
        <v/>
      </c>
      <c r="AD922" s="7" t="str">
        <f t="shared" si="85"/>
        <v/>
      </c>
      <c r="AE922" s="7" t="str">
        <f t="shared" si="86"/>
        <v/>
      </c>
      <c r="AF922" s="7" t="str">
        <f t="shared" si="87"/>
        <v/>
      </c>
      <c r="AG922" s="7" t="str">
        <f t="shared" si="88"/>
        <v/>
      </c>
      <c r="AH922" s="7"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7" t="str">
        <f t="shared" si="84"/>
        <v/>
      </c>
      <c r="AD923" s="7" t="str">
        <f t="shared" si="85"/>
        <v/>
      </c>
      <c r="AE923" s="7" t="str">
        <f t="shared" si="86"/>
        <v/>
      </c>
      <c r="AF923" s="7" t="str">
        <f t="shared" si="87"/>
        <v/>
      </c>
      <c r="AG923" s="7" t="str">
        <f t="shared" si="88"/>
        <v/>
      </c>
      <c r="AH923" s="7"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7" t="str">
        <f t="shared" si="84"/>
        <v/>
      </c>
      <c r="AD924" s="7" t="str">
        <f t="shared" si="85"/>
        <v/>
      </c>
      <c r="AE924" s="7" t="str">
        <f t="shared" si="86"/>
        <v/>
      </c>
      <c r="AF924" s="7" t="str">
        <f t="shared" si="87"/>
        <v/>
      </c>
      <c r="AG924" s="7" t="str">
        <f t="shared" si="88"/>
        <v/>
      </c>
      <c r="AH924" s="7"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7" t="str">
        <f t="shared" si="84"/>
        <v/>
      </c>
      <c r="AD925" s="7" t="str">
        <f t="shared" si="85"/>
        <v/>
      </c>
      <c r="AE925" s="7" t="str">
        <f t="shared" si="86"/>
        <v/>
      </c>
      <c r="AF925" s="7" t="str">
        <f t="shared" si="87"/>
        <v/>
      </c>
      <c r="AG925" s="7" t="str">
        <f t="shared" si="88"/>
        <v/>
      </c>
      <c r="AH925" s="7"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7" t="str">
        <f t="shared" si="84"/>
        <v/>
      </c>
      <c r="AD926" s="7" t="str">
        <f t="shared" si="85"/>
        <v/>
      </c>
      <c r="AE926" s="7" t="str">
        <f t="shared" si="86"/>
        <v/>
      </c>
      <c r="AF926" s="7" t="str">
        <f t="shared" si="87"/>
        <v/>
      </c>
      <c r="AG926" s="7" t="str">
        <f t="shared" si="88"/>
        <v/>
      </c>
      <c r="AH926" s="7"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7" t="str">
        <f t="shared" si="84"/>
        <v/>
      </c>
      <c r="AD927" s="7" t="str">
        <f t="shared" si="85"/>
        <v/>
      </c>
      <c r="AE927" s="7" t="str">
        <f t="shared" si="86"/>
        <v/>
      </c>
      <c r="AF927" s="7" t="str">
        <f t="shared" si="87"/>
        <v/>
      </c>
      <c r="AG927" s="7" t="str">
        <f t="shared" si="88"/>
        <v/>
      </c>
      <c r="AH927" s="7"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7" t="str">
        <f t="shared" si="84"/>
        <v/>
      </c>
      <c r="AD928" s="7" t="str">
        <f t="shared" si="85"/>
        <v/>
      </c>
      <c r="AE928" s="7" t="str">
        <f t="shared" si="86"/>
        <v/>
      </c>
      <c r="AF928" s="7" t="str">
        <f t="shared" si="87"/>
        <v/>
      </c>
      <c r="AG928" s="7" t="str">
        <f t="shared" si="88"/>
        <v/>
      </c>
      <c r="AH928" s="7"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7" t="str">
        <f t="shared" si="84"/>
        <v/>
      </c>
      <c r="AD929" s="7" t="str">
        <f t="shared" si="85"/>
        <v/>
      </c>
      <c r="AE929" s="7" t="str">
        <f t="shared" si="86"/>
        <v/>
      </c>
      <c r="AF929" s="7" t="str">
        <f t="shared" si="87"/>
        <v/>
      </c>
      <c r="AG929" s="7" t="str">
        <f t="shared" si="88"/>
        <v/>
      </c>
      <c r="AH929" s="7"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7" t="str">
        <f t="shared" si="84"/>
        <v/>
      </c>
      <c r="AD930" s="7" t="str">
        <f t="shared" si="85"/>
        <v/>
      </c>
      <c r="AE930" s="7" t="str">
        <f t="shared" si="86"/>
        <v/>
      </c>
      <c r="AF930" s="7" t="str">
        <f t="shared" si="87"/>
        <v/>
      </c>
      <c r="AG930" s="7" t="str">
        <f t="shared" si="88"/>
        <v/>
      </c>
      <c r="AH930" s="7"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7" t="str">
        <f t="shared" si="84"/>
        <v/>
      </c>
      <c r="AD931" s="7" t="str">
        <f t="shared" si="85"/>
        <v/>
      </c>
      <c r="AE931" s="7" t="str">
        <f t="shared" si="86"/>
        <v/>
      </c>
      <c r="AF931" s="7" t="str">
        <f t="shared" si="87"/>
        <v/>
      </c>
      <c r="AG931" s="7" t="str">
        <f t="shared" si="88"/>
        <v/>
      </c>
      <c r="AH931" s="7"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7" t="str">
        <f t="shared" si="84"/>
        <v/>
      </c>
      <c r="AD932" s="7" t="str">
        <f t="shared" si="85"/>
        <v/>
      </c>
      <c r="AE932" s="7" t="str">
        <f t="shared" si="86"/>
        <v/>
      </c>
      <c r="AF932" s="7" t="str">
        <f t="shared" si="87"/>
        <v/>
      </c>
      <c r="AG932" s="7" t="str">
        <f t="shared" si="88"/>
        <v/>
      </c>
      <c r="AH932" s="7"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7" t="str">
        <f t="shared" si="84"/>
        <v/>
      </c>
      <c r="AD933" s="7" t="str">
        <f t="shared" si="85"/>
        <v/>
      </c>
      <c r="AE933" s="7" t="str">
        <f t="shared" si="86"/>
        <v/>
      </c>
      <c r="AF933" s="7" t="str">
        <f t="shared" si="87"/>
        <v/>
      </c>
      <c r="AG933" s="7" t="str">
        <f t="shared" si="88"/>
        <v/>
      </c>
      <c r="AH933" s="7"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7" t="str">
        <f t="shared" si="84"/>
        <v/>
      </c>
      <c r="AD934" s="7" t="str">
        <f t="shared" si="85"/>
        <v/>
      </c>
      <c r="AE934" s="7" t="str">
        <f t="shared" si="86"/>
        <v/>
      </c>
      <c r="AF934" s="7" t="str">
        <f t="shared" si="87"/>
        <v/>
      </c>
      <c r="AG934" s="7" t="str">
        <f t="shared" si="88"/>
        <v/>
      </c>
      <c r="AH934" s="7"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7" t="str">
        <f t="shared" si="84"/>
        <v/>
      </c>
      <c r="AD935" s="7" t="str">
        <f t="shared" si="85"/>
        <v/>
      </c>
      <c r="AE935" s="7" t="str">
        <f t="shared" si="86"/>
        <v/>
      </c>
      <c r="AF935" s="7" t="str">
        <f t="shared" si="87"/>
        <v/>
      </c>
      <c r="AG935" s="7" t="str">
        <f t="shared" si="88"/>
        <v/>
      </c>
      <c r="AH935" s="7"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7" t="str">
        <f t="shared" si="84"/>
        <v/>
      </c>
      <c r="AD936" s="7" t="str">
        <f t="shared" si="85"/>
        <v/>
      </c>
      <c r="AE936" s="7" t="str">
        <f t="shared" si="86"/>
        <v/>
      </c>
      <c r="AF936" s="7" t="str">
        <f t="shared" si="87"/>
        <v/>
      </c>
      <c r="AG936" s="7" t="str">
        <f t="shared" si="88"/>
        <v/>
      </c>
      <c r="AH936" s="7"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7" t="str">
        <f t="shared" si="84"/>
        <v/>
      </c>
      <c r="AD937" s="7" t="str">
        <f t="shared" si="85"/>
        <v/>
      </c>
      <c r="AE937" s="7" t="str">
        <f t="shared" si="86"/>
        <v/>
      </c>
      <c r="AF937" s="7" t="str">
        <f t="shared" si="87"/>
        <v/>
      </c>
      <c r="AG937" s="7" t="str">
        <f t="shared" si="88"/>
        <v/>
      </c>
      <c r="AH937" s="7"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7" t="str">
        <f t="shared" si="84"/>
        <v/>
      </c>
      <c r="AD938" s="7" t="str">
        <f t="shared" si="85"/>
        <v/>
      </c>
      <c r="AE938" s="7" t="str">
        <f t="shared" si="86"/>
        <v/>
      </c>
      <c r="AF938" s="7" t="str">
        <f t="shared" si="87"/>
        <v/>
      </c>
      <c r="AG938" s="7" t="str">
        <f t="shared" si="88"/>
        <v/>
      </c>
      <c r="AH938" s="7"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7" t="str">
        <f t="shared" si="84"/>
        <v/>
      </c>
      <c r="AD939" s="7" t="str">
        <f t="shared" si="85"/>
        <v/>
      </c>
      <c r="AE939" s="7" t="str">
        <f t="shared" si="86"/>
        <v/>
      </c>
      <c r="AF939" s="7" t="str">
        <f t="shared" si="87"/>
        <v/>
      </c>
      <c r="AG939" s="7" t="str">
        <f t="shared" si="88"/>
        <v/>
      </c>
      <c r="AH939" s="7"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7" t="str">
        <f t="shared" si="84"/>
        <v/>
      </c>
      <c r="AD940" s="7" t="str">
        <f t="shared" si="85"/>
        <v/>
      </c>
      <c r="AE940" s="7" t="str">
        <f t="shared" si="86"/>
        <v/>
      </c>
      <c r="AF940" s="7" t="str">
        <f t="shared" si="87"/>
        <v/>
      </c>
      <c r="AG940" s="7" t="str">
        <f t="shared" si="88"/>
        <v/>
      </c>
      <c r="AH940" s="7"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7" t="str">
        <f t="shared" si="84"/>
        <v/>
      </c>
      <c r="AD941" s="7" t="str">
        <f t="shared" si="85"/>
        <v/>
      </c>
      <c r="AE941" s="7" t="str">
        <f t="shared" si="86"/>
        <v/>
      </c>
      <c r="AF941" s="7" t="str">
        <f t="shared" si="87"/>
        <v/>
      </c>
      <c r="AG941" s="7" t="str">
        <f t="shared" si="88"/>
        <v/>
      </c>
      <c r="AH941" s="7"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7" t="str">
        <f t="shared" si="84"/>
        <v/>
      </c>
      <c r="AD942" s="7" t="str">
        <f t="shared" si="85"/>
        <v/>
      </c>
      <c r="AE942" s="7" t="str">
        <f t="shared" si="86"/>
        <v/>
      </c>
      <c r="AF942" s="7" t="str">
        <f t="shared" si="87"/>
        <v/>
      </c>
      <c r="AG942" s="7" t="str">
        <f t="shared" si="88"/>
        <v/>
      </c>
      <c r="AH942" s="7"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7" t="str">
        <f t="shared" si="84"/>
        <v/>
      </c>
      <c r="AD943" s="7" t="str">
        <f t="shared" si="85"/>
        <v/>
      </c>
      <c r="AE943" s="7" t="str">
        <f t="shared" si="86"/>
        <v/>
      </c>
      <c r="AF943" s="7" t="str">
        <f t="shared" si="87"/>
        <v/>
      </c>
      <c r="AG943" s="7" t="str">
        <f t="shared" si="88"/>
        <v/>
      </c>
      <c r="AH943" s="7"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7" t="str">
        <f t="shared" si="84"/>
        <v/>
      </c>
      <c r="AD944" s="7" t="str">
        <f t="shared" si="85"/>
        <v/>
      </c>
      <c r="AE944" s="7" t="str">
        <f t="shared" si="86"/>
        <v/>
      </c>
      <c r="AF944" s="7" t="str">
        <f t="shared" si="87"/>
        <v/>
      </c>
      <c r="AG944" s="7" t="str">
        <f t="shared" si="88"/>
        <v/>
      </c>
      <c r="AH944" s="7"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7" t="str">
        <f t="shared" si="84"/>
        <v/>
      </c>
      <c r="AD945" s="7" t="str">
        <f t="shared" si="85"/>
        <v/>
      </c>
      <c r="AE945" s="7" t="str">
        <f t="shared" si="86"/>
        <v/>
      </c>
      <c r="AF945" s="7" t="str">
        <f t="shared" si="87"/>
        <v/>
      </c>
      <c r="AG945" s="7" t="str">
        <f t="shared" si="88"/>
        <v/>
      </c>
      <c r="AH945" s="7"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7" t="str">
        <f t="shared" si="84"/>
        <v/>
      </c>
      <c r="AD946" s="7" t="str">
        <f t="shared" si="85"/>
        <v/>
      </c>
      <c r="AE946" s="7" t="str">
        <f t="shared" si="86"/>
        <v/>
      </c>
      <c r="AF946" s="7" t="str">
        <f t="shared" si="87"/>
        <v/>
      </c>
      <c r="AG946" s="7" t="str">
        <f t="shared" si="88"/>
        <v/>
      </c>
      <c r="AH946" s="7"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7" t="str">
        <f t="shared" si="84"/>
        <v/>
      </c>
      <c r="AD947" s="7" t="str">
        <f t="shared" si="85"/>
        <v/>
      </c>
      <c r="AE947" s="7" t="str">
        <f t="shared" si="86"/>
        <v/>
      </c>
      <c r="AF947" s="7" t="str">
        <f t="shared" si="87"/>
        <v/>
      </c>
      <c r="AG947" s="7" t="str">
        <f t="shared" si="88"/>
        <v/>
      </c>
      <c r="AH947" s="7"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7" t="str">
        <f t="shared" si="84"/>
        <v/>
      </c>
      <c r="AD948" s="7" t="str">
        <f t="shared" si="85"/>
        <v/>
      </c>
      <c r="AE948" s="7" t="str">
        <f t="shared" si="86"/>
        <v/>
      </c>
      <c r="AF948" s="7" t="str">
        <f t="shared" si="87"/>
        <v/>
      </c>
      <c r="AG948" s="7" t="str">
        <f t="shared" si="88"/>
        <v/>
      </c>
      <c r="AH948" s="7"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7" t="str">
        <f t="shared" si="84"/>
        <v/>
      </c>
      <c r="AD949" s="7" t="str">
        <f t="shared" si="85"/>
        <v/>
      </c>
      <c r="AE949" s="7" t="str">
        <f t="shared" si="86"/>
        <v/>
      </c>
      <c r="AF949" s="7" t="str">
        <f t="shared" si="87"/>
        <v/>
      </c>
      <c r="AG949" s="7" t="str">
        <f t="shared" si="88"/>
        <v/>
      </c>
      <c r="AH949" s="7"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7" t="str">
        <f t="shared" si="84"/>
        <v/>
      </c>
      <c r="AD950" s="7" t="str">
        <f t="shared" si="85"/>
        <v/>
      </c>
      <c r="AE950" s="7" t="str">
        <f t="shared" si="86"/>
        <v/>
      </c>
      <c r="AF950" s="7" t="str">
        <f t="shared" si="87"/>
        <v/>
      </c>
      <c r="AG950" s="7" t="str">
        <f t="shared" si="88"/>
        <v/>
      </c>
      <c r="AH950" s="7"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7" t="str">
        <f t="shared" si="84"/>
        <v/>
      </c>
      <c r="AD951" s="7" t="str">
        <f t="shared" si="85"/>
        <v/>
      </c>
      <c r="AE951" s="7" t="str">
        <f t="shared" si="86"/>
        <v/>
      </c>
      <c r="AF951" s="7" t="str">
        <f t="shared" si="87"/>
        <v/>
      </c>
      <c r="AG951" s="7" t="str">
        <f t="shared" si="88"/>
        <v/>
      </c>
      <c r="AH951" s="7"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7" t="str">
        <f t="shared" si="84"/>
        <v/>
      </c>
      <c r="AD952" s="7" t="str">
        <f t="shared" si="85"/>
        <v/>
      </c>
      <c r="AE952" s="7" t="str">
        <f t="shared" si="86"/>
        <v/>
      </c>
      <c r="AF952" s="7" t="str">
        <f t="shared" si="87"/>
        <v/>
      </c>
      <c r="AG952" s="7" t="str">
        <f t="shared" si="88"/>
        <v/>
      </c>
      <c r="AH952" s="7"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7" t="str">
        <f t="shared" si="84"/>
        <v/>
      </c>
      <c r="AD953" s="7" t="str">
        <f t="shared" si="85"/>
        <v/>
      </c>
      <c r="AE953" s="7" t="str">
        <f t="shared" si="86"/>
        <v/>
      </c>
      <c r="AF953" s="7" t="str">
        <f t="shared" si="87"/>
        <v/>
      </c>
      <c r="AG953" s="7" t="str">
        <f t="shared" si="88"/>
        <v/>
      </c>
      <c r="AH953" s="7"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7" t="str">
        <f t="shared" si="84"/>
        <v/>
      </c>
      <c r="AD954" s="7" t="str">
        <f t="shared" si="85"/>
        <v/>
      </c>
      <c r="AE954" s="7" t="str">
        <f t="shared" si="86"/>
        <v/>
      </c>
      <c r="AF954" s="7" t="str">
        <f t="shared" si="87"/>
        <v/>
      </c>
      <c r="AG954" s="7" t="str">
        <f t="shared" si="88"/>
        <v/>
      </c>
      <c r="AH954" s="7"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7" t="str">
        <f t="shared" si="84"/>
        <v/>
      </c>
      <c r="AD955" s="7" t="str">
        <f t="shared" si="85"/>
        <v/>
      </c>
      <c r="AE955" s="7" t="str">
        <f t="shared" si="86"/>
        <v/>
      </c>
      <c r="AF955" s="7" t="str">
        <f t="shared" si="87"/>
        <v/>
      </c>
      <c r="AG955" s="7" t="str">
        <f t="shared" si="88"/>
        <v/>
      </c>
      <c r="AH955" s="7"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7" t="str">
        <f t="shared" si="84"/>
        <v/>
      </c>
      <c r="AD956" s="7" t="str">
        <f t="shared" si="85"/>
        <v/>
      </c>
      <c r="AE956" s="7" t="str">
        <f t="shared" si="86"/>
        <v/>
      </c>
      <c r="AF956" s="7" t="str">
        <f t="shared" si="87"/>
        <v/>
      </c>
      <c r="AG956" s="7" t="str">
        <f t="shared" si="88"/>
        <v/>
      </c>
      <c r="AH956" s="7"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7" t="str">
        <f t="shared" si="84"/>
        <v/>
      </c>
      <c r="AD957" s="7" t="str">
        <f t="shared" si="85"/>
        <v/>
      </c>
      <c r="AE957" s="7" t="str">
        <f t="shared" si="86"/>
        <v/>
      </c>
      <c r="AF957" s="7" t="str">
        <f t="shared" si="87"/>
        <v/>
      </c>
      <c r="AG957" s="7" t="str">
        <f t="shared" si="88"/>
        <v/>
      </c>
      <c r="AH957" s="7"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7" t="str">
        <f t="shared" si="84"/>
        <v/>
      </c>
      <c r="AD958" s="7" t="str">
        <f t="shared" si="85"/>
        <v/>
      </c>
      <c r="AE958" s="7" t="str">
        <f t="shared" si="86"/>
        <v/>
      </c>
      <c r="AF958" s="7" t="str">
        <f t="shared" si="87"/>
        <v/>
      </c>
      <c r="AG958" s="7" t="str">
        <f t="shared" si="88"/>
        <v/>
      </c>
      <c r="AH958" s="7"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7" t="str">
        <f t="shared" si="84"/>
        <v/>
      </c>
      <c r="AD959" s="7" t="str">
        <f t="shared" si="85"/>
        <v/>
      </c>
      <c r="AE959" s="7" t="str">
        <f t="shared" si="86"/>
        <v/>
      </c>
      <c r="AF959" s="7" t="str">
        <f t="shared" si="87"/>
        <v/>
      </c>
      <c r="AG959" s="7" t="str">
        <f t="shared" si="88"/>
        <v/>
      </c>
      <c r="AH959" s="7"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7" t="str">
        <f t="shared" si="84"/>
        <v/>
      </c>
      <c r="AD960" s="7" t="str">
        <f t="shared" si="85"/>
        <v/>
      </c>
      <c r="AE960" s="7" t="str">
        <f t="shared" si="86"/>
        <v/>
      </c>
      <c r="AF960" s="7" t="str">
        <f t="shared" si="87"/>
        <v/>
      </c>
      <c r="AG960" s="7" t="str">
        <f t="shared" si="88"/>
        <v/>
      </c>
      <c r="AH960" s="7"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7" t="str">
        <f t="shared" si="84"/>
        <v/>
      </c>
      <c r="AD961" s="7" t="str">
        <f t="shared" si="85"/>
        <v/>
      </c>
      <c r="AE961" s="7" t="str">
        <f t="shared" si="86"/>
        <v/>
      </c>
      <c r="AF961" s="7" t="str">
        <f t="shared" si="87"/>
        <v/>
      </c>
      <c r="AG961" s="7" t="str">
        <f t="shared" si="88"/>
        <v/>
      </c>
      <c r="AH961" s="7"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7" t="str">
        <f t="shared" si="84"/>
        <v/>
      </c>
      <c r="AD962" s="7" t="str">
        <f t="shared" si="85"/>
        <v/>
      </c>
      <c r="AE962" s="7" t="str">
        <f t="shared" si="86"/>
        <v/>
      </c>
      <c r="AF962" s="7" t="str">
        <f t="shared" si="87"/>
        <v/>
      </c>
      <c r="AG962" s="7" t="str">
        <f t="shared" si="88"/>
        <v/>
      </c>
      <c r="AH962" s="7"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7" t="str">
        <f t="shared" si="84"/>
        <v/>
      </c>
      <c r="AD963" s="7" t="str">
        <f t="shared" si="85"/>
        <v/>
      </c>
      <c r="AE963" s="7" t="str">
        <f t="shared" si="86"/>
        <v/>
      </c>
      <c r="AF963" s="7" t="str">
        <f t="shared" si="87"/>
        <v/>
      </c>
      <c r="AG963" s="7" t="str">
        <f t="shared" si="88"/>
        <v/>
      </c>
      <c r="AH963" s="7"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7" t="str">
        <f t="shared" si="84"/>
        <v/>
      </c>
      <c r="AD964" s="7" t="str">
        <f t="shared" si="85"/>
        <v/>
      </c>
      <c r="AE964" s="7" t="str">
        <f t="shared" si="86"/>
        <v/>
      </c>
      <c r="AF964" s="7" t="str">
        <f t="shared" si="87"/>
        <v/>
      </c>
      <c r="AG964" s="7" t="str">
        <f t="shared" si="88"/>
        <v/>
      </c>
      <c r="AH964" s="7" t="str">
        <f t="shared" si="89"/>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7" t="str">
        <f t="shared" ref="AC965:AC1000" si="90">IF(COUNT(A965,L965,N965,P965,X965,Y965)&gt;0,AVERAGE(A965,L965,N965,P965,X965,Y965),"")</f>
        <v/>
      </c>
      <c r="AD965" s="7" t="str">
        <f t="shared" ref="AD965:AD1000" si="91">IF(COUNT(B965,D965,M965,U965)&gt;0,AVERAGE(B965,D965,M965,U965),"")</f>
        <v/>
      </c>
      <c r="AE965" s="7" t="str">
        <f t="shared" ref="AE965:AE1000" si="92">IF(COUNT(I965,T965,V965,W965)&gt;0,AVERAGE(I965,T965,V965,W965),"")</f>
        <v/>
      </c>
      <c r="AF965" s="7" t="str">
        <f t="shared" ref="AF965:AF1000" si="93">IF(COUNT(H965,K965,Q965,S965)&gt;0,AVERAGE(H965,K965,Q965,S965),"")</f>
        <v/>
      </c>
      <c r="AG965" s="7" t="str">
        <f t="shared" ref="AG965:AG1000" si="94">IF(COUNT(E965,F965,G965,R965)&gt;0,AVERAGE(E965,F965,G965,R965),"")</f>
        <v/>
      </c>
      <c r="AH965" s="7" t="str">
        <f t="shared" ref="AH965:AH1000" si="95">IF(COUNT(C965,J965,O965,Z965)&gt;0,AVERAGE(C965,J965,O965,Z965),"")</f>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7" t="str">
        <f t="shared" si="90"/>
        <v/>
      </c>
      <c r="AD966" s="7" t="str">
        <f t="shared" si="91"/>
        <v/>
      </c>
      <c r="AE966" s="7" t="str">
        <f t="shared" si="92"/>
        <v/>
      </c>
      <c r="AF966" s="7" t="str">
        <f t="shared" si="93"/>
        <v/>
      </c>
      <c r="AG966" s="7" t="str">
        <f t="shared" si="94"/>
        <v/>
      </c>
      <c r="AH966" s="7"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7" t="str">
        <f t="shared" si="90"/>
        <v/>
      </c>
      <c r="AD967" s="7" t="str">
        <f t="shared" si="91"/>
        <v/>
      </c>
      <c r="AE967" s="7" t="str">
        <f t="shared" si="92"/>
        <v/>
      </c>
      <c r="AF967" s="7" t="str">
        <f t="shared" si="93"/>
        <v/>
      </c>
      <c r="AG967" s="7" t="str">
        <f t="shared" si="94"/>
        <v/>
      </c>
      <c r="AH967" s="7"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7" t="str">
        <f t="shared" si="90"/>
        <v/>
      </c>
      <c r="AD968" s="7" t="str">
        <f t="shared" si="91"/>
        <v/>
      </c>
      <c r="AE968" s="7" t="str">
        <f t="shared" si="92"/>
        <v/>
      </c>
      <c r="AF968" s="7" t="str">
        <f t="shared" si="93"/>
        <v/>
      </c>
      <c r="AG968" s="7" t="str">
        <f t="shared" si="94"/>
        <v/>
      </c>
      <c r="AH968" s="7"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7" t="str">
        <f t="shared" si="90"/>
        <v/>
      </c>
      <c r="AD969" s="7" t="str">
        <f t="shared" si="91"/>
        <v/>
      </c>
      <c r="AE969" s="7" t="str">
        <f t="shared" si="92"/>
        <v/>
      </c>
      <c r="AF969" s="7" t="str">
        <f t="shared" si="93"/>
        <v/>
      </c>
      <c r="AG969" s="7" t="str">
        <f t="shared" si="94"/>
        <v/>
      </c>
      <c r="AH969" s="7"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7" t="str">
        <f t="shared" si="90"/>
        <v/>
      </c>
      <c r="AD970" s="7" t="str">
        <f t="shared" si="91"/>
        <v/>
      </c>
      <c r="AE970" s="7" t="str">
        <f t="shared" si="92"/>
        <v/>
      </c>
      <c r="AF970" s="7" t="str">
        <f t="shared" si="93"/>
        <v/>
      </c>
      <c r="AG970" s="7" t="str">
        <f t="shared" si="94"/>
        <v/>
      </c>
      <c r="AH970" s="7"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7" t="str">
        <f t="shared" si="90"/>
        <v/>
      </c>
      <c r="AD971" s="7" t="str">
        <f t="shared" si="91"/>
        <v/>
      </c>
      <c r="AE971" s="7" t="str">
        <f t="shared" si="92"/>
        <v/>
      </c>
      <c r="AF971" s="7" t="str">
        <f t="shared" si="93"/>
        <v/>
      </c>
      <c r="AG971" s="7" t="str">
        <f t="shared" si="94"/>
        <v/>
      </c>
      <c r="AH971" s="7"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7" t="str">
        <f t="shared" si="90"/>
        <v/>
      </c>
      <c r="AD972" s="7" t="str">
        <f t="shared" si="91"/>
        <v/>
      </c>
      <c r="AE972" s="7" t="str">
        <f t="shared" si="92"/>
        <v/>
      </c>
      <c r="AF972" s="7" t="str">
        <f t="shared" si="93"/>
        <v/>
      </c>
      <c r="AG972" s="7" t="str">
        <f t="shared" si="94"/>
        <v/>
      </c>
      <c r="AH972" s="7"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7" t="str">
        <f t="shared" si="90"/>
        <v/>
      </c>
      <c r="AD973" s="7" t="str">
        <f t="shared" si="91"/>
        <v/>
      </c>
      <c r="AE973" s="7" t="str">
        <f t="shared" si="92"/>
        <v/>
      </c>
      <c r="AF973" s="7" t="str">
        <f t="shared" si="93"/>
        <v/>
      </c>
      <c r="AG973" s="7" t="str">
        <f t="shared" si="94"/>
        <v/>
      </c>
      <c r="AH973" s="7"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7" t="str">
        <f t="shared" si="90"/>
        <v/>
      </c>
      <c r="AD974" s="7" t="str">
        <f t="shared" si="91"/>
        <v/>
      </c>
      <c r="AE974" s="7" t="str">
        <f t="shared" si="92"/>
        <v/>
      </c>
      <c r="AF974" s="7" t="str">
        <f t="shared" si="93"/>
        <v/>
      </c>
      <c r="AG974" s="7" t="str">
        <f t="shared" si="94"/>
        <v/>
      </c>
      <c r="AH974" s="7"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7" t="str">
        <f t="shared" si="90"/>
        <v/>
      </c>
      <c r="AD975" s="7" t="str">
        <f t="shared" si="91"/>
        <v/>
      </c>
      <c r="AE975" s="7" t="str">
        <f t="shared" si="92"/>
        <v/>
      </c>
      <c r="AF975" s="7" t="str">
        <f t="shared" si="93"/>
        <v/>
      </c>
      <c r="AG975" s="7" t="str">
        <f t="shared" si="94"/>
        <v/>
      </c>
      <c r="AH975" s="7"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7" t="str">
        <f t="shared" si="90"/>
        <v/>
      </c>
      <c r="AD976" s="7" t="str">
        <f t="shared" si="91"/>
        <v/>
      </c>
      <c r="AE976" s="7" t="str">
        <f t="shared" si="92"/>
        <v/>
      </c>
      <c r="AF976" s="7" t="str">
        <f t="shared" si="93"/>
        <v/>
      </c>
      <c r="AG976" s="7" t="str">
        <f t="shared" si="94"/>
        <v/>
      </c>
      <c r="AH976" s="7"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7" t="str">
        <f t="shared" si="90"/>
        <v/>
      </c>
      <c r="AD977" s="7" t="str">
        <f t="shared" si="91"/>
        <v/>
      </c>
      <c r="AE977" s="7" t="str">
        <f t="shared" si="92"/>
        <v/>
      </c>
      <c r="AF977" s="7" t="str">
        <f t="shared" si="93"/>
        <v/>
      </c>
      <c r="AG977" s="7" t="str">
        <f t="shared" si="94"/>
        <v/>
      </c>
      <c r="AH977" s="7"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7" t="str">
        <f t="shared" si="90"/>
        <v/>
      </c>
      <c r="AD978" s="7" t="str">
        <f t="shared" si="91"/>
        <v/>
      </c>
      <c r="AE978" s="7" t="str">
        <f t="shared" si="92"/>
        <v/>
      </c>
      <c r="AF978" s="7" t="str">
        <f t="shared" si="93"/>
        <v/>
      </c>
      <c r="AG978" s="7" t="str">
        <f t="shared" si="94"/>
        <v/>
      </c>
      <c r="AH978" s="7"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7" t="str">
        <f t="shared" si="90"/>
        <v/>
      </c>
      <c r="AD979" s="7" t="str">
        <f t="shared" si="91"/>
        <v/>
      </c>
      <c r="AE979" s="7" t="str">
        <f t="shared" si="92"/>
        <v/>
      </c>
      <c r="AF979" s="7" t="str">
        <f t="shared" si="93"/>
        <v/>
      </c>
      <c r="AG979" s="7" t="str">
        <f t="shared" si="94"/>
        <v/>
      </c>
      <c r="AH979" s="7"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7" t="str">
        <f t="shared" si="90"/>
        <v/>
      </c>
      <c r="AD980" s="7" t="str">
        <f t="shared" si="91"/>
        <v/>
      </c>
      <c r="AE980" s="7" t="str">
        <f t="shared" si="92"/>
        <v/>
      </c>
      <c r="AF980" s="7" t="str">
        <f t="shared" si="93"/>
        <v/>
      </c>
      <c r="AG980" s="7" t="str">
        <f t="shared" si="94"/>
        <v/>
      </c>
      <c r="AH980" s="7"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7" t="str">
        <f t="shared" si="90"/>
        <v/>
      </c>
      <c r="AD981" s="7" t="str">
        <f t="shared" si="91"/>
        <v/>
      </c>
      <c r="AE981" s="7" t="str">
        <f t="shared" si="92"/>
        <v/>
      </c>
      <c r="AF981" s="7" t="str">
        <f t="shared" si="93"/>
        <v/>
      </c>
      <c r="AG981" s="7" t="str">
        <f t="shared" si="94"/>
        <v/>
      </c>
      <c r="AH981" s="7"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7" t="str">
        <f t="shared" si="90"/>
        <v/>
      </c>
      <c r="AD982" s="7" t="str">
        <f t="shared" si="91"/>
        <v/>
      </c>
      <c r="AE982" s="7" t="str">
        <f t="shared" si="92"/>
        <v/>
      </c>
      <c r="AF982" s="7" t="str">
        <f t="shared" si="93"/>
        <v/>
      </c>
      <c r="AG982" s="7" t="str">
        <f t="shared" si="94"/>
        <v/>
      </c>
      <c r="AH982" s="7"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7" t="str">
        <f t="shared" si="90"/>
        <v/>
      </c>
      <c r="AD983" s="7" t="str">
        <f t="shared" si="91"/>
        <v/>
      </c>
      <c r="AE983" s="7" t="str">
        <f t="shared" si="92"/>
        <v/>
      </c>
      <c r="AF983" s="7" t="str">
        <f t="shared" si="93"/>
        <v/>
      </c>
      <c r="AG983" s="7" t="str">
        <f t="shared" si="94"/>
        <v/>
      </c>
      <c r="AH983" s="7"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7" t="str">
        <f t="shared" si="90"/>
        <v/>
      </c>
      <c r="AD984" s="7" t="str">
        <f t="shared" si="91"/>
        <v/>
      </c>
      <c r="AE984" s="7" t="str">
        <f t="shared" si="92"/>
        <v/>
      </c>
      <c r="AF984" s="7" t="str">
        <f t="shared" si="93"/>
        <v/>
      </c>
      <c r="AG984" s="7" t="str">
        <f t="shared" si="94"/>
        <v/>
      </c>
      <c r="AH984" s="7"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7" t="str">
        <f t="shared" si="90"/>
        <v/>
      </c>
      <c r="AD985" s="7" t="str">
        <f t="shared" si="91"/>
        <v/>
      </c>
      <c r="AE985" s="7" t="str">
        <f t="shared" si="92"/>
        <v/>
      </c>
      <c r="AF985" s="7" t="str">
        <f t="shared" si="93"/>
        <v/>
      </c>
      <c r="AG985" s="7" t="str">
        <f t="shared" si="94"/>
        <v/>
      </c>
      <c r="AH985" s="7"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7" t="str">
        <f t="shared" si="90"/>
        <v/>
      </c>
      <c r="AD986" s="7" t="str">
        <f t="shared" si="91"/>
        <v/>
      </c>
      <c r="AE986" s="7" t="str">
        <f t="shared" si="92"/>
        <v/>
      </c>
      <c r="AF986" s="7" t="str">
        <f t="shared" si="93"/>
        <v/>
      </c>
      <c r="AG986" s="7" t="str">
        <f t="shared" si="94"/>
        <v/>
      </c>
      <c r="AH986" s="7"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7" t="str">
        <f t="shared" si="90"/>
        <v/>
      </c>
      <c r="AD987" s="7" t="str">
        <f t="shared" si="91"/>
        <v/>
      </c>
      <c r="AE987" s="7" t="str">
        <f t="shared" si="92"/>
        <v/>
      </c>
      <c r="AF987" s="7" t="str">
        <f t="shared" si="93"/>
        <v/>
      </c>
      <c r="AG987" s="7" t="str">
        <f t="shared" si="94"/>
        <v/>
      </c>
      <c r="AH987" s="7"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7" t="str">
        <f t="shared" si="90"/>
        <v/>
      </c>
      <c r="AD988" s="7" t="str">
        <f t="shared" si="91"/>
        <v/>
      </c>
      <c r="AE988" s="7" t="str">
        <f t="shared" si="92"/>
        <v/>
      </c>
      <c r="AF988" s="7" t="str">
        <f t="shared" si="93"/>
        <v/>
      </c>
      <c r="AG988" s="7" t="str">
        <f t="shared" si="94"/>
        <v/>
      </c>
      <c r="AH988" s="7"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7" t="str">
        <f t="shared" si="90"/>
        <v/>
      </c>
      <c r="AD989" s="7" t="str">
        <f t="shared" si="91"/>
        <v/>
      </c>
      <c r="AE989" s="7" t="str">
        <f t="shared" si="92"/>
        <v/>
      </c>
      <c r="AF989" s="7" t="str">
        <f t="shared" si="93"/>
        <v/>
      </c>
      <c r="AG989" s="7" t="str">
        <f t="shared" si="94"/>
        <v/>
      </c>
      <c r="AH989" s="7"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7" t="str">
        <f t="shared" si="90"/>
        <v/>
      </c>
      <c r="AD990" s="7" t="str">
        <f t="shared" si="91"/>
        <v/>
      </c>
      <c r="AE990" s="7" t="str">
        <f t="shared" si="92"/>
        <v/>
      </c>
      <c r="AF990" s="7" t="str">
        <f t="shared" si="93"/>
        <v/>
      </c>
      <c r="AG990" s="7" t="str">
        <f t="shared" si="94"/>
        <v/>
      </c>
      <c r="AH990" s="7"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7" t="str">
        <f t="shared" si="90"/>
        <v/>
      </c>
      <c r="AD991" s="7" t="str">
        <f t="shared" si="91"/>
        <v/>
      </c>
      <c r="AE991" s="7" t="str">
        <f t="shared" si="92"/>
        <v/>
      </c>
      <c r="AF991" s="7" t="str">
        <f t="shared" si="93"/>
        <v/>
      </c>
      <c r="AG991" s="7" t="str">
        <f t="shared" si="94"/>
        <v/>
      </c>
      <c r="AH991" s="7"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7" t="str">
        <f t="shared" si="90"/>
        <v/>
      </c>
      <c r="AD992" s="7" t="str">
        <f t="shared" si="91"/>
        <v/>
      </c>
      <c r="AE992" s="7" t="str">
        <f t="shared" si="92"/>
        <v/>
      </c>
      <c r="AF992" s="7" t="str">
        <f t="shared" si="93"/>
        <v/>
      </c>
      <c r="AG992" s="7" t="str">
        <f t="shared" si="94"/>
        <v/>
      </c>
      <c r="AH992" s="7" t="str">
        <f t="shared" si="95"/>
        <v/>
      </c>
    </row>
    <row r="993" spans="1:35">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7" t="str">
        <f t="shared" si="90"/>
        <v/>
      </c>
      <c r="AD993" s="7" t="str">
        <f t="shared" si="91"/>
        <v/>
      </c>
      <c r="AE993" s="7" t="str">
        <f t="shared" si="92"/>
        <v/>
      </c>
      <c r="AF993" s="7" t="str">
        <f t="shared" si="93"/>
        <v/>
      </c>
      <c r="AG993" s="7" t="str">
        <f t="shared" si="94"/>
        <v/>
      </c>
      <c r="AH993" s="7" t="str">
        <f t="shared" si="95"/>
        <v/>
      </c>
    </row>
    <row r="994" spans="1:35">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7" t="str">
        <f t="shared" si="90"/>
        <v/>
      </c>
      <c r="AD994" s="7" t="str">
        <f t="shared" si="91"/>
        <v/>
      </c>
      <c r="AE994" s="7" t="str">
        <f t="shared" si="92"/>
        <v/>
      </c>
      <c r="AF994" s="7" t="str">
        <f t="shared" si="93"/>
        <v/>
      </c>
      <c r="AG994" s="7" t="str">
        <f t="shared" si="94"/>
        <v/>
      </c>
      <c r="AH994" s="7" t="str">
        <f t="shared" si="95"/>
        <v/>
      </c>
    </row>
    <row r="995" spans="1:35">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7" t="str">
        <f t="shared" si="90"/>
        <v/>
      </c>
      <c r="AD995" s="7" t="str">
        <f t="shared" si="91"/>
        <v/>
      </c>
      <c r="AE995" s="7" t="str">
        <f t="shared" si="92"/>
        <v/>
      </c>
      <c r="AF995" s="7" t="str">
        <f t="shared" si="93"/>
        <v/>
      </c>
      <c r="AG995" s="7" t="str">
        <f t="shared" si="94"/>
        <v/>
      </c>
      <c r="AH995" s="7" t="str">
        <f t="shared" si="95"/>
        <v/>
      </c>
    </row>
    <row r="996" spans="1:35">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7" t="str">
        <f t="shared" si="90"/>
        <v/>
      </c>
      <c r="AD996" s="7" t="str">
        <f t="shared" si="91"/>
        <v/>
      </c>
      <c r="AE996" s="7" t="str">
        <f t="shared" si="92"/>
        <v/>
      </c>
      <c r="AF996" s="7" t="str">
        <f t="shared" si="93"/>
        <v/>
      </c>
      <c r="AG996" s="7" t="str">
        <f t="shared" si="94"/>
        <v/>
      </c>
      <c r="AH996" s="7" t="str">
        <f t="shared" si="95"/>
        <v/>
      </c>
    </row>
    <row r="997" spans="1:35">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7" t="str">
        <f t="shared" si="90"/>
        <v/>
      </c>
      <c r="AD997" s="7" t="str">
        <f t="shared" si="91"/>
        <v/>
      </c>
      <c r="AE997" s="7" t="str">
        <f t="shared" si="92"/>
        <v/>
      </c>
      <c r="AF997" s="7" t="str">
        <f t="shared" si="93"/>
        <v/>
      </c>
      <c r="AG997" s="7" t="str">
        <f t="shared" si="94"/>
        <v/>
      </c>
      <c r="AH997" s="7" t="str">
        <f t="shared" si="95"/>
        <v/>
      </c>
    </row>
    <row r="998" spans="1:35">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7" t="str">
        <f t="shared" si="90"/>
        <v/>
      </c>
      <c r="AD998" s="7" t="str">
        <f t="shared" si="91"/>
        <v/>
      </c>
      <c r="AE998" s="7" t="str">
        <f t="shared" si="92"/>
        <v/>
      </c>
      <c r="AF998" s="7" t="str">
        <f t="shared" si="93"/>
        <v/>
      </c>
      <c r="AG998" s="7" t="str">
        <f t="shared" si="94"/>
        <v/>
      </c>
      <c r="AH998" s="7" t="str">
        <f t="shared" si="95"/>
        <v/>
      </c>
    </row>
    <row r="999" spans="1:35">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7" t="str">
        <f t="shared" si="90"/>
        <v/>
      </c>
      <c r="AD999" s="7" t="str">
        <f t="shared" si="91"/>
        <v/>
      </c>
      <c r="AE999" s="7" t="str">
        <f t="shared" si="92"/>
        <v/>
      </c>
      <c r="AF999" s="7" t="str">
        <f t="shared" si="93"/>
        <v/>
      </c>
      <c r="AG999" s="7" t="str">
        <f t="shared" si="94"/>
        <v/>
      </c>
      <c r="AH999" s="7" t="str">
        <f t="shared" si="95"/>
        <v/>
      </c>
    </row>
    <row r="1000" spans="1:35">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7" t="str">
        <f t="shared" si="90"/>
        <v/>
      </c>
      <c r="AD1000" s="7" t="str">
        <f t="shared" si="91"/>
        <v/>
      </c>
      <c r="AE1000" s="7" t="str">
        <f t="shared" si="92"/>
        <v/>
      </c>
      <c r="AF1000" s="7" t="str">
        <f t="shared" si="93"/>
        <v/>
      </c>
      <c r="AG1000" s="7" t="str">
        <f t="shared" si="94"/>
        <v/>
      </c>
      <c r="AH1000" s="7" t="str">
        <f t="shared" si="95"/>
        <v/>
      </c>
    </row>
    <row r="1001" spans="1:35">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7" t="str">
        <f t="shared" ref="AC1001:AC1004" si="96">IF(COUNT(A1001,L1001,N1001,P1001,X1001,Y1001)&gt;0,AVERAGE(A1001,L1001,N1001,P1001,X1001,Y1001),"")</f>
        <v/>
      </c>
      <c r="AD1001" s="7" t="str">
        <f t="shared" ref="AD1001:AD1004" si="97">IF(COUNT(B1001,D1001,M1001,U1001)&gt;0,AVERAGE(B1001,D1001,M1001,U1001),"")</f>
        <v/>
      </c>
      <c r="AE1001" s="7" t="str">
        <f t="shared" ref="AE1001:AE1004" si="98">IF(COUNT(I1001,T1001,V1001,W1001)&gt;0,AVERAGE(I1001,T1001,V1001,W1001),"")</f>
        <v/>
      </c>
      <c r="AF1001" s="7" t="str">
        <f t="shared" ref="AF1001:AF1004" si="99">IF(COUNT(H1001,K1001,Q1001,S1001)&gt;0,AVERAGE(H1001,K1001,Q1001,S1001),"")</f>
        <v/>
      </c>
      <c r="AG1001" s="7" t="str">
        <f t="shared" ref="AG1001:AG1004" si="100">IF(COUNT(E1001,F1001,G1001,R1001)&gt;0,AVERAGE(E1001,F1001,G1001,R1001),"")</f>
        <v/>
      </c>
      <c r="AH1001" s="7" t="str">
        <f t="shared" ref="AH1001:AH1004" si="101">IF(COUNT(C1001,J1001,O1001,Z1001)&gt;0,AVERAGE(C1001,J1001,O1001,Z1001),"")</f>
        <v/>
      </c>
    </row>
    <row r="1002" spans="1:35">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7" t="str">
        <f t="shared" si="96"/>
        <v/>
      </c>
      <c r="AD1002" s="7" t="str">
        <f t="shared" si="97"/>
        <v/>
      </c>
      <c r="AE1002" s="7" t="str">
        <f t="shared" si="98"/>
        <v/>
      </c>
      <c r="AF1002" s="7" t="str">
        <f t="shared" si="99"/>
        <v/>
      </c>
      <c r="AG1002" s="7" t="str">
        <f t="shared" si="100"/>
        <v/>
      </c>
      <c r="AH1002" s="7" t="str">
        <f t="shared" si="101"/>
        <v/>
      </c>
    </row>
    <row r="1003" spans="1:35">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7" t="str">
        <f t="shared" si="96"/>
        <v/>
      </c>
      <c r="AD1003" s="7" t="str">
        <f t="shared" si="97"/>
        <v/>
      </c>
      <c r="AE1003" s="7" t="str">
        <f t="shared" si="98"/>
        <v/>
      </c>
      <c r="AF1003" s="7" t="str">
        <f t="shared" si="99"/>
        <v/>
      </c>
      <c r="AG1003" s="7" t="str">
        <f t="shared" si="100"/>
        <v/>
      </c>
      <c r="AH1003" s="7" t="str">
        <f t="shared" si="101"/>
        <v/>
      </c>
    </row>
    <row r="1004" spans="1:35">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A1004" s="15"/>
      <c r="AB1004" s="15"/>
      <c r="AC1004" s="7" t="str">
        <f t="shared" si="96"/>
        <v/>
      </c>
      <c r="AD1004" s="7" t="str">
        <f t="shared" si="97"/>
        <v/>
      </c>
      <c r="AE1004" s="7" t="str">
        <f t="shared" si="98"/>
        <v/>
      </c>
      <c r="AF1004" s="7" t="str">
        <f t="shared" si="99"/>
        <v/>
      </c>
      <c r="AG1004" s="7" t="str">
        <f t="shared" si="100"/>
        <v/>
      </c>
      <c r="AH1004" s="7" t="str">
        <f t="shared" si="101"/>
        <v/>
      </c>
    </row>
    <row r="1005" spans="1:3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row>
    <row r="1006" spans="1:35">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row>
    <row r="1007" spans="1:35">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row>
    <row r="1008" spans="1:35">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row>
    <row r="1009" spans="1:35">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c r="AD1009" s="15"/>
      <c r="AE1009" s="15"/>
      <c r="AF1009" s="15"/>
      <c r="AG1009" s="15"/>
      <c r="AH1009" s="15"/>
      <c r="AI1009" s="15"/>
    </row>
    <row r="1010" spans="1:35">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c r="AD1010" s="15"/>
      <c r="AE1010" s="15"/>
      <c r="AF1010" s="15"/>
      <c r="AG1010" s="15"/>
      <c r="AH1010" s="15"/>
      <c r="AI1010" s="15"/>
    </row>
    <row r="1011" spans="1:35">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5"/>
      <c r="AE1011" s="15"/>
      <c r="AF1011" s="15"/>
      <c r="AG1011" s="15"/>
      <c r="AH1011" s="15"/>
      <c r="AI1011" s="15"/>
    </row>
    <row r="1012" spans="1:35">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c r="AD1012" s="15"/>
      <c r="AE1012" s="15"/>
      <c r="AF1012" s="15"/>
      <c r="AG1012" s="15"/>
      <c r="AH1012" s="15"/>
      <c r="AI1012" s="15"/>
    </row>
    <row r="1013" spans="1:35">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c r="AD1013" s="15"/>
      <c r="AE1013" s="15"/>
      <c r="AF1013" s="15"/>
      <c r="AG1013" s="15"/>
      <c r="AH1013" s="15"/>
      <c r="AI1013" s="15"/>
    </row>
    <row r="1014" spans="1:35">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row>
    <row r="1015" spans="1:3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5"/>
      <c r="AE1015" s="15"/>
      <c r="AF1015" s="15"/>
      <c r="AG1015" s="15"/>
      <c r="AH1015" s="15"/>
      <c r="AI1015" s="15"/>
    </row>
    <row r="1016" spans="1:35">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5"/>
      <c r="AE1016" s="15"/>
      <c r="AF1016" s="15"/>
      <c r="AG1016" s="15"/>
      <c r="AH1016" s="15"/>
      <c r="AI1016" s="15"/>
    </row>
    <row r="1017" spans="1:35">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c r="AD1017" s="15"/>
      <c r="AE1017" s="15"/>
      <c r="AF1017" s="15"/>
      <c r="AG1017" s="15"/>
      <c r="AH1017" s="15"/>
      <c r="AI1017" s="15"/>
    </row>
    <row r="1018" spans="1:35">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c r="AD1018" s="15"/>
      <c r="AE1018" s="15"/>
      <c r="AF1018" s="15"/>
      <c r="AG1018" s="15"/>
      <c r="AH1018" s="15"/>
      <c r="AI1018" s="15"/>
    </row>
    <row r="1019" spans="1:35">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c r="AC1019" s="15"/>
      <c r="AD1019" s="15"/>
      <c r="AE1019" s="15"/>
      <c r="AF1019" s="15"/>
      <c r="AG1019" s="15"/>
      <c r="AH1019" s="15"/>
      <c r="AI1019" s="15"/>
    </row>
    <row r="1020" spans="1:35">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c r="AC1020" s="15"/>
      <c r="AD1020" s="15"/>
      <c r="AE1020" s="15"/>
      <c r="AF1020" s="15"/>
      <c r="AG1020" s="15"/>
      <c r="AH1020" s="15"/>
      <c r="AI1020" s="15"/>
    </row>
    <row r="1021" spans="1:35">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c r="AC1021" s="15"/>
      <c r="AD1021" s="15"/>
      <c r="AE1021" s="15"/>
      <c r="AF1021" s="15"/>
      <c r="AG1021" s="15"/>
      <c r="AH1021" s="15"/>
      <c r="AI1021" s="15"/>
    </row>
    <row r="1022" spans="1:35">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c r="AC1022" s="15"/>
      <c r="AD1022" s="15"/>
      <c r="AE1022" s="15"/>
      <c r="AF1022" s="15"/>
      <c r="AG1022" s="15"/>
      <c r="AH1022" s="15"/>
      <c r="AI1022" s="15"/>
    </row>
    <row r="1023" spans="1:35">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5"/>
      <c r="AD1023" s="15"/>
      <c r="AE1023" s="15"/>
      <c r="AF1023" s="15"/>
      <c r="AG1023" s="15"/>
      <c r="AH1023" s="15"/>
      <c r="AI1023" s="15"/>
    </row>
    <row r="1024" spans="1:35">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5"/>
      <c r="AD1024" s="15"/>
      <c r="AE1024" s="15"/>
      <c r="AF1024" s="15"/>
      <c r="AG1024" s="15"/>
      <c r="AH1024" s="15"/>
      <c r="AI1024" s="15"/>
    </row>
    <row r="1025" spans="1:35">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5"/>
      <c r="AD1025" s="15"/>
      <c r="AE1025" s="15"/>
      <c r="AF1025" s="15"/>
      <c r="AG1025" s="15"/>
      <c r="AH1025" s="15"/>
      <c r="AI1025" s="15"/>
    </row>
    <row r="1026" spans="1:35">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5"/>
      <c r="AD1026" s="15"/>
      <c r="AE1026" s="15"/>
      <c r="AF1026" s="15"/>
      <c r="AG1026" s="15"/>
      <c r="AH1026" s="15"/>
      <c r="AI1026" s="15"/>
    </row>
    <row r="1027" spans="1:35">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5"/>
      <c r="AD1027" s="15"/>
      <c r="AE1027" s="15"/>
      <c r="AF1027" s="15"/>
      <c r="AG1027" s="15"/>
      <c r="AH1027" s="15"/>
      <c r="AI1027" s="15"/>
    </row>
    <row r="1028" spans="1:35">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c r="AC1028" s="15"/>
      <c r="AD1028" s="15"/>
      <c r="AE1028" s="15"/>
      <c r="AF1028" s="15"/>
      <c r="AG1028" s="15"/>
      <c r="AH1028" s="15"/>
      <c r="AI1028" s="15"/>
    </row>
    <row r="1029" spans="1:35">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5"/>
      <c r="AD1029" s="15"/>
      <c r="AE1029" s="15"/>
      <c r="AF1029" s="15"/>
      <c r="AG1029" s="15"/>
      <c r="AH1029" s="15"/>
      <c r="AI1029" s="15"/>
    </row>
    <row r="1030" spans="1:35">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5"/>
      <c r="AD1030" s="15"/>
      <c r="AE1030" s="15"/>
      <c r="AF1030" s="15"/>
      <c r="AG1030" s="15"/>
      <c r="AH1030" s="15"/>
      <c r="AI1030" s="15"/>
    </row>
    <row r="1031" spans="1:35">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c r="AC1031" s="15"/>
      <c r="AD1031" s="15"/>
      <c r="AE1031" s="15"/>
      <c r="AF1031" s="15"/>
      <c r="AG1031" s="15"/>
      <c r="AH1031" s="15"/>
      <c r="AI1031" s="15"/>
    </row>
    <row r="1032" spans="1:35">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c r="AD1032" s="15"/>
      <c r="AE1032" s="15"/>
      <c r="AF1032" s="15"/>
      <c r="AG1032" s="15"/>
      <c r="AH1032" s="15"/>
      <c r="AI1032" s="15"/>
    </row>
    <row r="1033" spans="1:35">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5"/>
      <c r="AE1033" s="15"/>
      <c r="AF1033" s="15"/>
      <c r="AG1033" s="15"/>
      <c r="AH1033" s="15"/>
      <c r="AI1033" s="15"/>
    </row>
    <row r="1034" spans="1:35">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c r="AD1034" s="15"/>
      <c r="AE1034" s="15"/>
      <c r="AF1034" s="15"/>
      <c r="AG1034" s="15"/>
      <c r="AH1034" s="15"/>
      <c r="AI1034" s="15"/>
    </row>
    <row r="1035" spans="1:35">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5"/>
      <c r="AD1035" s="15"/>
      <c r="AE1035" s="15"/>
      <c r="AF1035" s="15"/>
      <c r="AG1035" s="15"/>
      <c r="AH1035" s="15"/>
      <c r="AI1035" s="15"/>
    </row>
    <row r="1036" spans="1:35">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c r="AC1036" s="15"/>
      <c r="AD1036" s="15"/>
      <c r="AE1036" s="15"/>
      <c r="AF1036" s="15"/>
      <c r="AG1036" s="15"/>
      <c r="AH1036" s="15"/>
      <c r="AI1036" s="15"/>
    </row>
    <row r="1037" spans="1:35">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c r="AC1037" s="15"/>
      <c r="AD1037" s="15"/>
      <c r="AE1037" s="15"/>
      <c r="AF1037" s="15"/>
      <c r="AG1037" s="15"/>
      <c r="AH1037" s="15"/>
      <c r="AI1037" s="15"/>
    </row>
    <row r="1038" spans="1:35">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c r="AC1038" s="15"/>
      <c r="AD1038" s="15"/>
      <c r="AE1038" s="15"/>
      <c r="AF1038" s="15"/>
      <c r="AG1038" s="15"/>
      <c r="AH1038" s="15"/>
      <c r="AI1038" s="15"/>
    </row>
    <row r="1039" spans="1:35">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c r="AC1039" s="15"/>
      <c r="AD1039" s="15"/>
      <c r="AE1039" s="15"/>
      <c r="AF1039" s="15"/>
      <c r="AG1039" s="15"/>
      <c r="AH1039" s="15"/>
      <c r="AI1039" s="15"/>
    </row>
    <row r="1040" spans="1:35">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c r="AC1040" s="15"/>
      <c r="AD1040" s="15"/>
      <c r="AE1040" s="15"/>
      <c r="AF1040" s="15"/>
      <c r="AG1040" s="15"/>
      <c r="AH1040" s="15"/>
      <c r="AI1040" s="15"/>
    </row>
    <row r="1041" spans="1:35">
      <c r="A1041" s="1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c r="AC1041" s="15"/>
      <c r="AD1041" s="15"/>
      <c r="AE1041" s="15"/>
      <c r="AF1041" s="15"/>
      <c r="AG1041" s="15"/>
      <c r="AH1041" s="15"/>
      <c r="AI1041" s="15"/>
    </row>
    <row r="1042" spans="1:35">
      <c r="A1042" s="1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c r="AC1042" s="15"/>
      <c r="AD1042" s="15"/>
      <c r="AE1042" s="15"/>
      <c r="AF1042" s="15"/>
      <c r="AG1042" s="15"/>
      <c r="AH1042" s="15"/>
      <c r="AI1042" s="15"/>
    </row>
    <row r="1043" spans="1:35">
      <c r="A1043" s="1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c r="AC1043" s="15"/>
      <c r="AD1043" s="15"/>
      <c r="AE1043" s="15"/>
      <c r="AF1043" s="15"/>
      <c r="AG1043" s="15"/>
      <c r="AH1043" s="15"/>
      <c r="AI1043" s="15"/>
    </row>
    <row r="1044" spans="1:35">
      <c r="A1044" s="1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c r="AB1044" s="15"/>
      <c r="AC1044" s="15"/>
      <c r="AD1044" s="15"/>
      <c r="AE1044" s="15"/>
      <c r="AF1044" s="15"/>
      <c r="AG1044" s="15"/>
      <c r="AH1044" s="15"/>
      <c r="AI1044" s="15"/>
    </row>
    <row r="1045" spans="1:35">
      <c r="A1045" s="1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c r="AB1045" s="15"/>
      <c r="AC1045" s="15"/>
      <c r="AD1045" s="15"/>
      <c r="AE1045" s="15"/>
      <c r="AF1045" s="15"/>
      <c r="AG1045" s="15"/>
      <c r="AH1045" s="15"/>
      <c r="AI1045" s="15"/>
    </row>
    <row r="1046" spans="1:35">
      <c r="A1046" s="15"/>
      <c r="B1046" s="15"/>
      <c r="C1046" s="15"/>
      <c r="D1046" s="15"/>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c r="AB1046" s="15"/>
      <c r="AC1046" s="15"/>
      <c r="AD1046" s="15"/>
      <c r="AE1046" s="15"/>
      <c r="AF1046" s="15"/>
      <c r="AG1046" s="15"/>
      <c r="AH1046" s="15"/>
      <c r="AI1046" s="15"/>
    </row>
    <row r="1047" spans="1:35">
      <c r="A1047" s="15"/>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c r="AB1047" s="15"/>
      <c r="AC1047" s="15"/>
      <c r="AD1047" s="15"/>
      <c r="AE1047" s="15"/>
      <c r="AF1047" s="15"/>
      <c r="AG1047" s="15"/>
      <c r="AH1047" s="15"/>
      <c r="AI1047" s="15"/>
    </row>
    <row r="1048" spans="1:35">
      <c r="A1048" s="15"/>
      <c r="B1048" s="15"/>
      <c r="C1048" s="15"/>
      <c r="D1048" s="15"/>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c r="AA1048" s="15"/>
      <c r="AB1048" s="15"/>
      <c r="AC1048" s="15"/>
      <c r="AD1048" s="15"/>
      <c r="AE1048" s="15"/>
      <c r="AF1048" s="15"/>
      <c r="AG1048" s="15"/>
      <c r="AH1048" s="15"/>
      <c r="AI1048" s="15"/>
    </row>
    <row r="1049" spans="1:35">
      <c r="A1049" s="15"/>
      <c r="B1049" s="15"/>
      <c r="C1049" s="15"/>
      <c r="D1049" s="15"/>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c r="AA1049" s="15"/>
      <c r="AB1049" s="15"/>
      <c r="AC1049" s="15"/>
      <c r="AD1049" s="15"/>
      <c r="AE1049" s="15"/>
      <c r="AF1049" s="15"/>
      <c r="AG1049" s="15"/>
      <c r="AH1049" s="15"/>
      <c r="AI1049" s="15"/>
    </row>
    <row r="1050" spans="1:35">
      <c r="A1050" s="1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c r="AB1050" s="15"/>
      <c r="AC1050" s="15"/>
      <c r="AD1050" s="15"/>
      <c r="AE1050" s="15"/>
      <c r="AF1050" s="15"/>
      <c r="AG1050" s="15"/>
      <c r="AH1050" s="15"/>
      <c r="AI1050" s="15"/>
    </row>
    <row r="1051" spans="1:35">
      <c r="A1051" s="1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c r="AA1051" s="15"/>
      <c r="AB1051" s="15"/>
      <c r="AC1051" s="15"/>
      <c r="AD1051" s="15"/>
      <c r="AE1051" s="15"/>
      <c r="AF1051" s="15"/>
      <c r="AG1051" s="15"/>
      <c r="AH1051" s="15"/>
      <c r="AI1051" s="15"/>
    </row>
    <row r="1052" spans="1:35">
      <c r="A1052" s="15"/>
      <c r="B1052" s="15"/>
      <c r="C1052" s="15"/>
      <c r="D1052" s="15"/>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c r="AA1052" s="15"/>
      <c r="AB1052" s="15"/>
      <c r="AC1052" s="15"/>
      <c r="AD1052" s="15"/>
      <c r="AE1052" s="15"/>
      <c r="AF1052" s="15"/>
      <c r="AG1052" s="15"/>
      <c r="AH1052" s="15"/>
      <c r="AI1052" s="15"/>
    </row>
    <row r="1053" spans="1:35">
      <c r="A1053" s="15"/>
      <c r="B1053" s="15"/>
      <c r="C1053" s="15"/>
      <c r="D1053" s="15"/>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c r="AA1053" s="15"/>
      <c r="AB1053" s="15"/>
      <c r="AC1053" s="15"/>
      <c r="AD1053" s="15"/>
      <c r="AE1053" s="15"/>
      <c r="AF1053" s="15"/>
      <c r="AG1053" s="15"/>
      <c r="AH1053" s="15"/>
      <c r="AI1053" s="15"/>
    </row>
    <row r="1054" spans="1:35">
      <c r="A1054" s="15"/>
      <c r="B1054" s="15"/>
      <c r="C1054" s="15"/>
      <c r="D1054" s="15"/>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c r="AA1054" s="15"/>
      <c r="AB1054" s="15"/>
      <c r="AC1054" s="15"/>
      <c r="AD1054" s="15"/>
      <c r="AE1054" s="15"/>
      <c r="AF1054" s="15"/>
      <c r="AG1054" s="15"/>
      <c r="AH1054" s="15"/>
      <c r="AI1054" s="15"/>
    </row>
    <row r="1055" spans="1:35">
      <c r="A1055" s="1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c r="AA1055" s="15"/>
      <c r="AB1055" s="15"/>
      <c r="AC1055" s="15"/>
      <c r="AD1055" s="15"/>
      <c r="AE1055" s="15"/>
      <c r="AF1055" s="15"/>
      <c r="AG1055" s="15"/>
      <c r="AH1055" s="15"/>
      <c r="AI1055" s="15"/>
    </row>
    <row r="1056" spans="1:35">
      <c r="A1056" s="15"/>
      <c r="B1056" s="15"/>
      <c r="C1056" s="15"/>
      <c r="D1056" s="15"/>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c r="AA1056" s="15"/>
      <c r="AB1056" s="15"/>
      <c r="AC1056" s="15"/>
      <c r="AD1056" s="15"/>
      <c r="AE1056" s="15"/>
      <c r="AF1056" s="15"/>
      <c r="AG1056" s="15"/>
      <c r="AH1056" s="15"/>
      <c r="AI1056" s="15"/>
    </row>
    <row r="1057" spans="1:35">
      <c r="A1057" s="15"/>
      <c r="B1057" s="15"/>
      <c r="C1057" s="15"/>
      <c r="D1057" s="15"/>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c r="AA1057" s="15"/>
      <c r="AB1057" s="15"/>
      <c r="AC1057" s="15"/>
      <c r="AD1057" s="15"/>
      <c r="AE1057" s="15"/>
      <c r="AF1057" s="15"/>
      <c r="AG1057" s="15"/>
      <c r="AH1057" s="15"/>
      <c r="AI1057" s="15"/>
    </row>
    <row r="1058" spans="1:35">
      <c r="A1058" s="15"/>
      <c r="B1058" s="15"/>
      <c r="C1058" s="15"/>
      <c r="D1058" s="15"/>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c r="AA1058" s="15"/>
      <c r="AB1058" s="15"/>
      <c r="AC1058" s="15"/>
      <c r="AD1058" s="15"/>
      <c r="AE1058" s="15"/>
      <c r="AF1058" s="15"/>
      <c r="AG1058" s="15"/>
      <c r="AH1058" s="15"/>
      <c r="AI1058" s="15"/>
    </row>
    <row r="1059" spans="1:35">
      <c r="A1059" s="1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c r="AA1059" s="15"/>
      <c r="AB1059" s="15"/>
      <c r="AC1059" s="15"/>
      <c r="AD1059" s="15"/>
      <c r="AE1059" s="15"/>
      <c r="AF1059" s="15"/>
      <c r="AG1059" s="15"/>
      <c r="AH1059" s="15"/>
      <c r="AI1059" s="15"/>
    </row>
    <row r="1060" spans="1:35">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c r="AA1060" s="15"/>
      <c r="AB1060" s="15"/>
      <c r="AC1060" s="15"/>
      <c r="AD1060" s="15"/>
      <c r="AE1060" s="15"/>
      <c r="AF1060" s="15"/>
      <c r="AG1060" s="15"/>
      <c r="AH1060" s="15"/>
      <c r="AI1060" s="15"/>
    </row>
    <row r="1061" spans="1:35">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c r="AA1061" s="15"/>
      <c r="AB1061" s="15"/>
      <c r="AC1061" s="15"/>
      <c r="AD1061" s="15"/>
      <c r="AE1061" s="15"/>
      <c r="AF1061" s="15"/>
      <c r="AG1061" s="15"/>
      <c r="AH1061" s="15"/>
      <c r="AI1061" s="15"/>
    </row>
    <row r="1062" spans="1:35">
      <c r="A1062" s="1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c r="AA1062" s="15"/>
      <c r="AB1062" s="15"/>
      <c r="AC1062" s="15"/>
      <c r="AD1062" s="15"/>
      <c r="AE1062" s="15"/>
      <c r="AF1062" s="15"/>
      <c r="AG1062" s="15"/>
      <c r="AH1062" s="15"/>
      <c r="AI1062" s="15"/>
    </row>
    <row r="1063" spans="1:35">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c r="AA1063" s="15"/>
      <c r="AB1063" s="15"/>
      <c r="AC1063" s="15"/>
      <c r="AD1063" s="15"/>
      <c r="AE1063" s="15"/>
      <c r="AF1063" s="15"/>
      <c r="AG1063" s="15"/>
      <c r="AH1063" s="15"/>
      <c r="AI1063" s="15"/>
    </row>
    <row r="1064" spans="1:35">
      <c r="A1064" s="1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c r="AA1064" s="15"/>
      <c r="AB1064" s="15"/>
      <c r="AC1064" s="15"/>
      <c r="AD1064" s="15"/>
      <c r="AE1064" s="15"/>
      <c r="AF1064" s="15"/>
      <c r="AG1064" s="15"/>
      <c r="AH1064" s="15"/>
      <c r="AI1064" s="15"/>
    </row>
    <row r="1065" spans="1:35">
      <c r="A1065" s="1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c r="AA1065" s="15"/>
      <c r="AB1065" s="15"/>
      <c r="AC1065" s="15"/>
      <c r="AD1065" s="15"/>
      <c r="AE1065" s="15"/>
      <c r="AF1065" s="15"/>
      <c r="AG1065" s="15"/>
      <c r="AH1065" s="15"/>
      <c r="AI1065" s="15"/>
    </row>
    <row r="1066" spans="1:35">
      <c r="A1066" s="1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c r="AA1066" s="15"/>
      <c r="AB1066" s="15"/>
      <c r="AC1066" s="15"/>
      <c r="AD1066" s="15"/>
      <c r="AE1066" s="15"/>
      <c r="AF1066" s="15"/>
      <c r="AG1066" s="15"/>
      <c r="AH1066" s="15"/>
      <c r="AI1066" s="15"/>
    </row>
    <row r="1067" spans="1:35">
      <c r="A1067" s="1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c r="AA1067" s="15"/>
      <c r="AB1067" s="15"/>
      <c r="AC1067" s="15"/>
      <c r="AD1067" s="15"/>
      <c r="AE1067" s="15"/>
      <c r="AF1067" s="15"/>
      <c r="AG1067" s="15"/>
      <c r="AH1067" s="15"/>
      <c r="AI1067" s="15"/>
    </row>
    <row r="1068" spans="1:35">
      <c r="A1068" s="1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c r="AA1068" s="15"/>
      <c r="AB1068" s="15"/>
      <c r="AC1068" s="15"/>
      <c r="AD1068" s="15"/>
      <c r="AE1068" s="15"/>
      <c r="AF1068" s="15"/>
      <c r="AG1068" s="15"/>
      <c r="AH1068" s="15"/>
      <c r="AI1068" s="15"/>
    </row>
    <row r="1069" spans="1:35">
      <c r="A1069" s="1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c r="AA1069" s="15"/>
      <c r="AB1069" s="15"/>
      <c r="AC1069" s="15"/>
      <c r="AD1069" s="15"/>
      <c r="AE1069" s="15"/>
      <c r="AF1069" s="15"/>
      <c r="AG1069" s="15"/>
      <c r="AH1069" s="15"/>
      <c r="AI1069" s="15"/>
    </row>
    <row r="1070" spans="1:35">
      <c r="A1070" s="1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c r="AA1070" s="15"/>
      <c r="AB1070" s="15"/>
      <c r="AC1070" s="15"/>
      <c r="AD1070" s="15"/>
      <c r="AE1070" s="15"/>
      <c r="AF1070" s="15"/>
      <c r="AG1070" s="15"/>
      <c r="AH1070" s="15"/>
      <c r="AI1070" s="15"/>
    </row>
    <row r="1071" spans="1:35">
      <c r="A1071" s="1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c r="AA1071" s="15"/>
      <c r="AB1071" s="15"/>
      <c r="AC1071" s="15"/>
      <c r="AD1071" s="15"/>
      <c r="AE1071" s="15"/>
      <c r="AF1071" s="15"/>
      <c r="AG1071" s="15"/>
      <c r="AH1071" s="15"/>
      <c r="AI1071" s="15"/>
    </row>
    <row r="1072" spans="1:35">
      <c r="A1072" s="1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c r="AA1072" s="15"/>
      <c r="AB1072" s="15"/>
      <c r="AC1072" s="15"/>
      <c r="AD1072" s="15"/>
      <c r="AE1072" s="15"/>
      <c r="AF1072" s="15"/>
      <c r="AG1072" s="15"/>
      <c r="AH1072" s="15"/>
      <c r="AI1072" s="15"/>
    </row>
    <row r="1073" spans="1:35">
      <c r="A1073" s="1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c r="AA1073" s="15"/>
      <c r="AB1073" s="15"/>
      <c r="AC1073" s="15"/>
      <c r="AD1073" s="15"/>
      <c r="AE1073" s="15"/>
      <c r="AF1073" s="15"/>
      <c r="AG1073" s="15"/>
      <c r="AH1073" s="15"/>
      <c r="AI1073" s="15"/>
    </row>
    <row r="1074" spans="1:35">
      <c r="A1074" s="1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c r="AA1074" s="15"/>
      <c r="AB1074" s="15"/>
      <c r="AC1074" s="15"/>
      <c r="AD1074" s="15"/>
      <c r="AE1074" s="15"/>
      <c r="AF1074" s="15"/>
      <c r="AG1074" s="15"/>
      <c r="AH1074" s="15"/>
      <c r="AI1074" s="15"/>
    </row>
    <row r="1075" spans="1:35">
      <c r="A1075" s="1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c r="AA1075" s="15"/>
      <c r="AB1075" s="15"/>
      <c r="AC1075" s="15"/>
      <c r="AD1075" s="15"/>
      <c r="AE1075" s="15"/>
      <c r="AF1075" s="15"/>
      <c r="AG1075" s="15"/>
      <c r="AH1075" s="15"/>
      <c r="AI1075" s="15"/>
    </row>
    <row r="1076" spans="1:35">
      <c r="A1076" s="1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c r="AA1076" s="15"/>
      <c r="AB1076" s="15"/>
      <c r="AC1076" s="15"/>
      <c r="AD1076" s="15"/>
      <c r="AE1076" s="15"/>
      <c r="AF1076" s="15"/>
      <c r="AG1076" s="15"/>
      <c r="AH1076" s="15"/>
      <c r="AI1076" s="15"/>
    </row>
    <row r="1077" spans="1:35">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c r="AA1077" s="15"/>
      <c r="AB1077" s="15"/>
      <c r="AC1077" s="15"/>
      <c r="AD1077" s="15"/>
      <c r="AE1077" s="15"/>
      <c r="AF1077" s="15"/>
      <c r="AG1077" s="15"/>
      <c r="AH1077" s="15"/>
      <c r="AI1077" s="15"/>
    </row>
    <row r="1078" spans="1:35">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c r="AA1078" s="15"/>
      <c r="AB1078" s="15"/>
      <c r="AC1078" s="15"/>
      <c r="AD1078" s="15"/>
      <c r="AE1078" s="15"/>
      <c r="AF1078" s="15"/>
      <c r="AG1078" s="15"/>
      <c r="AH1078" s="15"/>
      <c r="AI1078" s="15"/>
    </row>
    <row r="1079" spans="1:35">
      <c r="A1079" s="1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c r="AA1079" s="15"/>
      <c r="AB1079" s="15"/>
      <c r="AC1079" s="15"/>
      <c r="AD1079" s="15"/>
      <c r="AE1079" s="15"/>
      <c r="AF1079" s="15"/>
      <c r="AG1079" s="15"/>
      <c r="AH1079" s="15"/>
      <c r="AI1079" s="15"/>
    </row>
    <row r="1080" spans="1:35">
      <c r="A1080" s="1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c r="AA1080" s="15"/>
      <c r="AB1080" s="15"/>
      <c r="AC1080" s="15"/>
      <c r="AD1080" s="15"/>
      <c r="AE1080" s="15"/>
      <c r="AF1080" s="15"/>
      <c r="AG1080" s="15"/>
      <c r="AH1080" s="15"/>
      <c r="AI1080" s="15"/>
    </row>
    <row r="1081" spans="1:35">
      <c r="A1081" s="1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c r="AA1081" s="15"/>
      <c r="AB1081" s="15"/>
      <c r="AC1081" s="15"/>
      <c r="AD1081" s="15"/>
      <c r="AE1081" s="15"/>
      <c r="AF1081" s="15"/>
      <c r="AG1081" s="15"/>
      <c r="AH1081" s="15"/>
      <c r="AI1081" s="15"/>
    </row>
    <row r="1082" spans="1:35">
      <c r="A1082" s="1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c r="AA1082" s="15"/>
      <c r="AB1082" s="15"/>
      <c r="AC1082" s="15"/>
      <c r="AD1082" s="15"/>
      <c r="AE1082" s="15"/>
      <c r="AF1082" s="15"/>
      <c r="AG1082" s="15"/>
      <c r="AH1082" s="15"/>
      <c r="AI1082" s="15"/>
    </row>
    <row r="1083" spans="1:35">
      <c r="A1083" s="1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c r="AA1083" s="15"/>
      <c r="AB1083" s="15"/>
      <c r="AC1083" s="15"/>
      <c r="AD1083" s="15"/>
      <c r="AE1083" s="15"/>
      <c r="AF1083" s="15"/>
      <c r="AG1083" s="15"/>
      <c r="AH1083" s="15"/>
      <c r="AI1083" s="15"/>
    </row>
    <row r="1084" spans="1:35">
      <c r="A1084" s="1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c r="AA1084" s="15"/>
      <c r="AB1084" s="15"/>
      <c r="AC1084" s="15"/>
      <c r="AD1084" s="15"/>
      <c r="AE1084" s="15"/>
      <c r="AF1084" s="15"/>
      <c r="AG1084" s="15"/>
      <c r="AH1084" s="15"/>
      <c r="AI1084" s="15"/>
    </row>
    <row r="1085" spans="1:35">
      <c r="A1085" s="1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c r="AA1085" s="15"/>
      <c r="AB1085" s="15"/>
      <c r="AC1085" s="15"/>
      <c r="AD1085" s="15"/>
      <c r="AE1085" s="15"/>
      <c r="AF1085" s="15"/>
      <c r="AG1085" s="15"/>
      <c r="AH1085" s="15"/>
      <c r="AI1085" s="15"/>
    </row>
    <row r="1086" spans="1:35">
      <c r="A1086" s="1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c r="AA1086" s="15"/>
      <c r="AB1086" s="15"/>
      <c r="AC1086" s="15"/>
      <c r="AD1086" s="15"/>
      <c r="AE1086" s="15"/>
      <c r="AF1086" s="15"/>
      <c r="AG1086" s="15"/>
      <c r="AH1086" s="15"/>
      <c r="AI1086" s="15"/>
    </row>
    <row r="1087" spans="1:35">
      <c r="A1087" s="1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c r="AA1087" s="15"/>
      <c r="AB1087" s="15"/>
      <c r="AC1087" s="15"/>
      <c r="AD1087" s="15"/>
      <c r="AE1087" s="15"/>
      <c r="AF1087" s="15"/>
      <c r="AG1087" s="15"/>
      <c r="AH1087" s="15"/>
      <c r="AI1087" s="15"/>
    </row>
    <row r="1088" spans="1:35">
      <c r="A1088" s="1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c r="AA1088" s="15"/>
      <c r="AB1088" s="15"/>
      <c r="AC1088" s="15"/>
      <c r="AD1088" s="15"/>
      <c r="AE1088" s="15"/>
      <c r="AF1088" s="15"/>
      <c r="AG1088" s="15"/>
      <c r="AH1088" s="15"/>
      <c r="AI1088" s="15"/>
    </row>
    <row r="1089" spans="1:35">
      <c r="A1089" s="1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c r="AA1089" s="15"/>
      <c r="AB1089" s="15"/>
      <c r="AC1089" s="15"/>
      <c r="AD1089" s="15"/>
      <c r="AE1089" s="15"/>
      <c r="AF1089" s="15"/>
      <c r="AG1089" s="15"/>
      <c r="AH1089" s="15"/>
      <c r="AI1089" s="15"/>
    </row>
    <row r="1090" spans="1:35">
      <c r="A1090" s="1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c r="AA1090" s="15"/>
      <c r="AB1090" s="15"/>
      <c r="AC1090" s="15"/>
      <c r="AD1090" s="15"/>
      <c r="AE1090" s="15"/>
      <c r="AF1090" s="15"/>
      <c r="AG1090" s="15"/>
      <c r="AH1090" s="15"/>
      <c r="AI1090" s="15"/>
    </row>
    <row r="1091" spans="1:35">
      <c r="A1091" s="1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c r="AA1091" s="15"/>
      <c r="AB1091" s="15"/>
      <c r="AC1091" s="15"/>
      <c r="AD1091" s="15"/>
      <c r="AE1091" s="15"/>
      <c r="AF1091" s="15"/>
      <c r="AG1091" s="15"/>
      <c r="AH1091" s="15"/>
      <c r="AI1091" s="15"/>
    </row>
    <row r="1092" spans="1:35">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c r="AA1092" s="15"/>
      <c r="AB1092" s="15"/>
      <c r="AC1092" s="15"/>
      <c r="AD1092" s="15"/>
      <c r="AE1092" s="15"/>
      <c r="AF1092" s="15"/>
      <c r="AG1092" s="15"/>
      <c r="AH1092" s="15"/>
      <c r="AI1092" s="15"/>
    </row>
    <row r="1093" spans="1:35">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c r="AA1093" s="15"/>
      <c r="AB1093" s="15"/>
      <c r="AC1093" s="15"/>
      <c r="AD1093" s="15"/>
      <c r="AE1093" s="15"/>
      <c r="AF1093" s="15"/>
      <c r="AG1093" s="15"/>
      <c r="AH1093" s="15"/>
      <c r="AI1093" s="15"/>
    </row>
    <row r="1094" spans="1:35">
      <c r="A1094" s="1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c r="AA1094" s="15"/>
      <c r="AB1094" s="15"/>
      <c r="AC1094" s="15"/>
      <c r="AD1094" s="15"/>
      <c r="AE1094" s="15"/>
      <c r="AF1094" s="15"/>
      <c r="AG1094" s="15"/>
      <c r="AH1094" s="15"/>
      <c r="AI1094" s="15"/>
    </row>
    <row r="1095" spans="1:35">
      <c r="A1095" s="1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c r="AA1095" s="15"/>
      <c r="AB1095" s="15"/>
      <c r="AC1095" s="15"/>
      <c r="AD1095" s="15"/>
      <c r="AE1095" s="15"/>
      <c r="AF1095" s="15"/>
      <c r="AG1095" s="15"/>
      <c r="AH1095" s="15"/>
      <c r="AI1095" s="15"/>
    </row>
    <row r="1096" spans="1:35">
      <c r="A1096" s="1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c r="AA1096" s="15"/>
      <c r="AB1096" s="15"/>
      <c r="AC1096" s="15"/>
      <c r="AD1096" s="15"/>
      <c r="AE1096" s="15"/>
      <c r="AF1096" s="15"/>
      <c r="AG1096" s="15"/>
      <c r="AH1096" s="15"/>
      <c r="AI1096" s="15"/>
    </row>
    <row r="1097" spans="1:35">
      <c r="A1097" s="1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c r="AA1097" s="15"/>
      <c r="AB1097" s="15"/>
      <c r="AC1097" s="15"/>
      <c r="AD1097" s="15"/>
      <c r="AE1097" s="15"/>
      <c r="AF1097" s="15"/>
      <c r="AG1097" s="15"/>
      <c r="AH1097" s="15"/>
      <c r="AI1097" s="15"/>
    </row>
    <row r="1098" spans="1:35">
      <c r="A1098" s="1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c r="AA1098" s="15"/>
      <c r="AB1098" s="15"/>
      <c r="AC1098" s="15"/>
      <c r="AD1098" s="15"/>
      <c r="AE1098" s="15"/>
      <c r="AF1098" s="15"/>
      <c r="AG1098" s="15"/>
      <c r="AH1098" s="15"/>
      <c r="AI1098" s="15"/>
    </row>
    <row r="1099" spans="1:35">
      <c r="A1099" s="1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c r="AA1099" s="15"/>
      <c r="AB1099" s="15"/>
      <c r="AC1099" s="15"/>
      <c r="AD1099" s="15"/>
      <c r="AE1099" s="15"/>
      <c r="AF1099" s="15"/>
      <c r="AG1099" s="15"/>
      <c r="AH1099" s="15"/>
      <c r="AI1099" s="15"/>
    </row>
    <row r="1100" spans="1:35">
      <c r="A1100" s="1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c r="AA1100" s="15"/>
      <c r="AB1100" s="15"/>
      <c r="AC1100" s="15"/>
      <c r="AD1100" s="15"/>
      <c r="AE1100" s="15"/>
      <c r="AF1100" s="15"/>
      <c r="AG1100" s="15"/>
      <c r="AH1100" s="15"/>
      <c r="AI1100" s="15"/>
    </row>
    <row r="1101" spans="1:35">
      <c r="A1101" s="1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c r="AA1101" s="15"/>
      <c r="AB1101" s="15"/>
      <c r="AC1101" s="15"/>
      <c r="AD1101" s="15"/>
      <c r="AE1101" s="15"/>
      <c r="AF1101" s="15"/>
      <c r="AG1101" s="15"/>
      <c r="AH1101" s="15"/>
      <c r="AI1101" s="15"/>
    </row>
    <row r="1102" spans="1:35">
      <c r="A1102" s="1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c r="AA1102" s="15"/>
      <c r="AB1102" s="15"/>
      <c r="AC1102" s="15"/>
      <c r="AD1102" s="15"/>
      <c r="AE1102" s="15"/>
      <c r="AF1102" s="15"/>
      <c r="AG1102" s="15"/>
      <c r="AH1102" s="15"/>
      <c r="AI1102" s="15"/>
    </row>
    <row r="1103" spans="1:35">
      <c r="A1103" s="1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c r="AA1103" s="15"/>
      <c r="AB1103" s="15"/>
      <c r="AC1103" s="15"/>
      <c r="AD1103" s="15"/>
      <c r="AE1103" s="15"/>
      <c r="AF1103" s="15"/>
      <c r="AG1103" s="15"/>
      <c r="AH1103" s="15"/>
      <c r="AI1103" s="15"/>
    </row>
    <row r="1104" spans="1:35">
      <c r="A1104" s="15"/>
      <c r="B1104" s="15"/>
      <c r="C1104" s="15"/>
      <c r="D1104" s="15"/>
      <c r="E1104" s="15"/>
      <c r="F1104" s="15"/>
      <c r="G1104" s="15"/>
      <c r="H1104" s="15"/>
      <c r="I1104" s="15"/>
      <c r="J1104" s="15"/>
      <c r="K1104" s="15"/>
      <c r="L1104" s="15"/>
      <c r="M1104" s="15"/>
      <c r="N1104" s="15"/>
      <c r="O1104" s="15"/>
      <c r="P1104" s="15"/>
      <c r="Q1104" s="15"/>
      <c r="R1104" s="15"/>
      <c r="S1104" s="15"/>
      <c r="T1104" s="15"/>
      <c r="U1104" s="15"/>
      <c r="V1104" s="15"/>
      <c r="W1104" s="15"/>
      <c r="X1104" s="15"/>
      <c r="Y1104" s="15"/>
      <c r="Z1104" s="15"/>
      <c r="AA1104" s="15"/>
      <c r="AB1104" s="15"/>
      <c r="AC1104" s="15"/>
      <c r="AD1104" s="15"/>
      <c r="AE1104" s="15"/>
      <c r="AF1104" s="15"/>
      <c r="AG1104" s="15"/>
      <c r="AH1104" s="15"/>
      <c r="AI1104" s="15"/>
    </row>
    <row r="1105" spans="1:35">
      <c r="A1105" s="15"/>
      <c r="B1105" s="15"/>
      <c r="C1105" s="15"/>
      <c r="D1105" s="15"/>
      <c r="E1105" s="15"/>
      <c r="F1105" s="15"/>
      <c r="G1105" s="15"/>
      <c r="H1105" s="15"/>
      <c r="I1105" s="15"/>
      <c r="J1105" s="15"/>
      <c r="K1105" s="15"/>
      <c r="L1105" s="15"/>
      <c r="M1105" s="15"/>
      <c r="N1105" s="15"/>
      <c r="O1105" s="15"/>
      <c r="P1105" s="15"/>
      <c r="Q1105" s="15"/>
      <c r="R1105" s="15"/>
      <c r="S1105" s="15"/>
      <c r="T1105" s="15"/>
      <c r="U1105" s="15"/>
      <c r="V1105" s="15"/>
      <c r="W1105" s="15"/>
      <c r="X1105" s="15"/>
      <c r="Y1105" s="15"/>
      <c r="Z1105" s="15"/>
      <c r="AA1105" s="15"/>
      <c r="AB1105" s="15"/>
      <c r="AC1105" s="15"/>
      <c r="AD1105" s="15"/>
      <c r="AE1105" s="15"/>
      <c r="AF1105" s="15"/>
      <c r="AG1105" s="15"/>
      <c r="AH1105" s="15"/>
      <c r="AI1105" s="15"/>
    </row>
    <row r="1106" spans="1:35">
      <c r="A1106" s="15"/>
      <c r="B1106" s="15"/>
      <c r="C1106" s="15"/>
      <c r="D1106" s="15"/>
      <c r="E1106" s="15"/>
      <c r="F1106" s="15"/>
      <c r="G1106" s="15"/>
      <c r="H1106" s="15"/>
      <c r="I1106" s="15"/>
      <c r="J1106" s="15"/>
      <c r="K1106" s="15"/>
      <c r="L1106" s="15"/>
      <c r="M1106" s="15"/>
      <c r="N1106" s="15"/>
      <c r="O1106" s="15"/>
      <c r="P1106" s="15"/>
      <c r="Q1106" s="15"/>
      <c r="R1106" s="15"/>
      <c r="S1106" s="15"/>
      <c r="T1106" s="15"/>
      <c r="U1106" s="15"/>
      <c r="V1106" s="15"/>
      <c r="W1106" s="15"/>
      <c r="X1106" s="15"/>
      <c r="Y1106" s="15"/>
      <c r="Z1106" s="15"/>
      <c r="AA1106" s="15"/>
      <c r="AB1106" s="15"/>
      <c r="AC1106" s="15"/>
      <c r="AD1106" s="15"/>
      <c r="AE1106" s="15"/>
      <c r="AF1106" s="15"/>
      <c r="AG1106" s="15"/>
      <c r="AH1106" s="15"/>
      <c r="AI1106" s="15"/>
    </row>
    <row r="1107" spans="1:35">
      <c r="A1107" s="1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c r="AA1107" s="15"/>
      <c r="AB1107" s="15"/>
      <c r="AC1107" s="15"/>
      <c r="AD1107" s="15"/>
      <c r="AE1107" s="15"/>
      <c r="AF1107" s="15"/>
      <c r="AG1107" s="15"/>
      <c r="AH1107" s="15"/>
      <c r="AI1107" s="15"/>
    </row>
    <row r="1108" spans="1:35">
      <c r="A1108" s="1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c r="AA1108" s="15"/>
      <c r="AB1108" s="15"/>
      <c r="AC1108" s="15"/>
      <c r="AD1108" s="15"/>
      <c r="AE1108" s="15"/>
      <c r="AF1108" s="15"/>
      <c r="AG1108" s="15"/>
      <c r="AH1108" s="15"/>
      <c r="AI1108" s="15"/>
    </row>
    <row r="1109" spans="1:35">
      <c r="A1109" s="15"/>
      <c r="B1109" s="15"/>
      <c r="C1109" s="15"/>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c r="AA1109" s="15"/>
      <c r="AB1109" s="15"/>
      <c r="AC1109" s="15"/>
      <c r="AD1109" s="15"/>
      <c r="AE1109" s="15"/>
      <c r="AF1109" s="15"/>
      <c r="AG1109" s="15"/>
      <c r="AH1109" s="15"/>
      <c r="AI1109" s="15"/>
    </row>
    <row r="1110" spans="1:35">
      <c r="A1110" s="15"/>
      <c r="B1110" s="15"/>
      <c r="C1110" s="15"/>
      <c r="D1110" s="15"/>
      <c r="E1110" s="15"/>
      <c r="F1110" s="15"/>
      <c r="G1110" s="15"/>
      <c r="H1110" s="15"/>
      <c r="I1110" s="15"/>
      <c r="J1110" s="15"/>
      <c r="K1110" s="15"/>
      <c r="L1110" s="15"/>
      <c r="M1110" s="15"/>
      <c r="N1110" s="15"/>
      <c r="O1110" s="15"/>
      <c r="P1110" s="15"/>
      <c r="Q1110" s="15"/>
      <c r="R1110" s="15"/>
      <c r="S1110" s="15"/>
      <c r="T1110" s="15"/>
      <c r="U1110" s="15"/>
      <c r="V1110" s="15"/>
      <c r="W1110" s="15"/>
      <c r="X1110" s="15"/>
      <c r="Y1110" s="15"/>
      <c r="Z1110" s="15"/>
      <c r="AA1110" s="15"/>
      <c r="AB1110" s="15"/>
      <c r="AC1110" s="15"/>
      <c r="AD1110" s="15"/>
      <c r="AE1110" s="15"/>
      <c r="AF1110" s="15"/>
      <c r="AG1110" s="15"/>
      <c r="AH1110" s="15"/>
      <c r="AI1110" s="15"/>
    </row>
    <row r="1111" spans="1:35">
      <c r="A1111" s="15"/>
      <c r="B1111" s="15"/>
      <c r="C1111" s="15"/>
      <c r="D1111" s="15"/>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c r="AA1111" s="15"/>
      <c r="AB1111" s="15"/>
      <c r="AC1111" s="15"/>
      <c r="AD1111" s="15"/>
      <c r="AE1111" s="15"/>
      <c r="AF1111" s="15"/>
      <c r="AG1111" s="15"/>
      <c r="AH1111" s="15"/>
      <c r="AI1111" s="15"/>
    </row>
    <row r="1112" spans="1:35">
      <c r="A1112" s="15"/>
      <c r="B1112" s="15"/>
      <c r="C1112" s="15"/>
      <c r="D1112" s="15"/>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c r="AA1112" s="15"/>
      <c r="AB1112" s="15"/>
      <c r="AC1112" s="15"/>
      <c r="AD1112" s="15"/>
      <c r="AE1112" s="15"/>
      <c r="AF1112" s="15"/>
      <c r="AG1112" s="15"/>
      <c r="AH1112" s="15"/>
      <c r="AI1112" s="15"/>
    </row>
    <row r="1113" spans="1:35">
      <c r="A1113" s="15"/>
      <c r="B1113" s="15"/>
      <c r="C1113" s="15"/>
      <c r="D1113" s="15"/>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c r="AA1113" s="15"/>
      <c r="AB1113" s="15"/>
      <c r="AC1113" s="15"/>
      <c r="AD1113" s="15"/>
      <c r="AE1113" s="15"/>
      <c r="AF1113" s="15"/>
      <c r="AG1113" s="15"/>
      <c r="AH1113" s="15"/>
      <c r="AI1113" s="15"/>
    </row>
    <row r="1114" spans="1:35">
      <c r="A1114" s="15"/>
      <c r="B1114" s="15"/>
      <c r="C1114" s="15"/>
      <c r="D1114" s="15"/>
      <c r="E1114" s="15"/>
      <c r="F1114" s="15"/>
      <c r="G1114" s="15"/>
      <c r="H1114" s="15"/>
      <c r="I1114" s="15"/>
      <c r="J1114" s="15"/>
      <c r="K1114" s="15"/>
      <c r="L1114" s="15"/>
      <c r="M1114" s="15"/>
      <c r="N1114" s="15"/>
      <c r="O1114" s="15"/>
      <c r="P1114" s="15"/>
      <c r="Q1114" s="15"/>
      <c r="R1114" s="15"/>
      <c r="S1114" s="15"/>
      <c r="T1114" s="15"/>
      <c r="U1114" s="15"/>
      <c r="V1114" s="15"/>
      <c r="W1114" s="15"/>
      <c r="X1114" s="15"/>
      <c r="Y1114" s="15"/>
      <c r="Z1114" s="15"/>
      <c r="AA1114" s="15"/>
      <c r="AB1114" s="15"/>
      <c r="AC1114" s="15"/>
      <c r="AD1114" s="15"/>
      <c r="AE1114" s="15"/>
      <c r="AF1114" s="15"/>
      <c r="AG1114" s="15"/>
      <c r="AH1114" s="15"/>
      <c r="AI1114" s="15"/>
    </row>
    <row r="1115" spans="1:35">
      <c r="A1115" s="15"/>
      <c r="B1115" s="15"/>
      <c r="C1115" s="15"/>
      <c r="D1115" s="15"/>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c r="AA1115" s="15"/>
      <c r="AB1115" s="15"/>
      <c r="AC1115" s="15"/>
      <c r="AD1115" s="15"/>
      <c r="AE1115" s="15"/>
      <c r="AF1115" s="15"/>
      <c r="AG1115" s="15"/>
      <c r="AH1115" s="15"/>
      <c r="AI1115" s="15"/>
    </row>
    <row r="1116" spans="1:35">
      <c r="A1116" s="15"/>
      <c r="B1116" s="15"/>
      <c r="C1116" s="15"/>
      <c r="D1116" s="15"/>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c r="AA1116" s="15"/>
      <c r="AB1116" s="15"/>
      <c r="AC1116" s="15"/>
      <c r="AD1116" s="15"/>
      <c r="AE1116" s="15"/>
      <c r="AF1116" s="15"/>
      <c r="AG1116" s="15"/>
      <c r="AH1116" s="15"/>
      <c r="AI1116" s="15"/>
    </row>
    <row r="1117" spans="1:35">
      <c r="A1117" s="15"/>
      <c r="B1117" s="15"/>
      <c r="C1117" s="15"/>
      <c r="D1117" s="15"/>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c r="AA1117" s="15"/>
      <c r="AB1117" s="15"/>
      <c r="AC1117" s="15"/>
      <c r="AD1117" s="15"/>
      <c r="AE1117" s="15"/>
      <c r="AF1117" s="15"/>
      <c r="AG1117" s="15"/>
      <c r="AH1117" s="15"/>
      <c r="AI1117" s="15"/>
    </row>
    <row r="1118" spans="1:35">
      <c r="A1118" s="15"/>
      <c r="B1118" s="15"/>
      <c r="C1118" s="15"/>
      <c r="D1118" s="15"/>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c r="AA1118" s="15"/>
      <c r="AB1118" s="15"/>
      <c r="AC1118" s="15"/>
      <c r="AD1118" s="15"/>
      <c r="AE1118" s="15"/>
      <c r="AF1118" s="15"/>
      <c r="AG1118" s="15"/>
      <c r="AH1118" s="15"/>
      <c r="AI1118" s="15"/>
    </row>
    <row r="1119" spans="1:35">
      <c r="A1119" s="15"/>
      <c r="B1119" s="15"/>
      <c r="C1119" s="15"/>
      <c r="D1119" s="15"/>
      <c r="E1119" s="15"/>
      <c r="F1119" s="15"/>
      <c r="G1119" s="15"/>
      <c r="H1119" s="15"/>
      <c r="I1119" s="15"/>
      <c r="J1119" s="15"/>
      <c r="K1119" s="15"/>
      <c r="L1119" s="15"/>
      <c r="M1119" s="15"/>
      <c r="N1119" s="15"/>
      <c r="O1119" s="15"/>
      <c r="P1119" s="15"/>
      <c r="Q1119" s="15"/>
      <c r="R1119" s="15"/>
      <c r="S1119" s="15"/>
      <c r="T1119" s="15"/>
      <c r="U1119" s="15"/>
      <c r="V1119" s="15"/>
      <c r="W1119" s="15"/>
      <c r="X1119" s="15"/>
      <c r="Y1119" s="15"/>
      <c r="Z1119" s="15"/>
      <c r="AA1119" s="15"/>
      <c r="AB1119" s="15"/>
      <c r="AC1119" s="15"/>
      <c r="AD1119" s="15"/>
      <c r="AE1119" s="15"/>
      <c r="AF1119" s="15"/>
      <c r="AG1119" s="15"/>
      <c r="AH1119" s="15"/>
      <c r="AI1119" s="15"/>
    </row>
    <row r="1120" spans="1:35">
      <c r="A1120" s="15"/>
      <c r="B1120" s="15"/>
      <c r="C1120" s="15"/>
      <c r="D1120" s="15"/>
      <c r="E1120" s="15"/>
      <c r="F1120" s="15"/>
      <c r="G1120" s="15"/>
      <c r="H1120" s="15"/>
      <c r="I1120" s="15"/>
      <c r="J1120" s="15"/>
      <c r="K1120" s="15"/>
      <c r="L1120" s="15"/>
      <c r="M1120" s="15"/>
      <c r="N1120" s="15"/>
      <c r="O1120" s="15"/>
      <c r="P1120" s="15"/>
      <c r="Q1120" s="15"/>
      <c r="R1120" s="15"/>
      <c r="S1120" s="15"/>
      <c r="T1120" s="15"/>
      <c r="U1120" s="15"/>
      <c r="V1120" s="15"/>
      <c r="W1120" s="15"/>
      <c r="X1120" s="15"/>
      <c r="Y1120" s="15"/>
      <c r="Z1120" s="15"/>
      <c r="AA1120" s="15"/>
      <c r="AB1120" s="15"/>
      <c r="AC1120" s="15"/>
      <c r="AD1120" s="15"/>
      <c r="AE1120" s="15"/>
      <c r="AF1120" s="15"/>
      <c r="AG1120" s="15"/>
      <c r="AH1120" s="15"/>
      <c r="AI1120" s="15"/>
    </row>
    <row r="1121" spans="1:35">
      <c r="A1121" s="15"/>
      <c r="B1121" s="15"/>
      <c r="C1121" s="15"/>
      <c r="D1121" s="15"/>
      <c r="E1121" s="15"/>
      <c r="F1121" s="15"/>
      <c r="G1121" s="15"/>
      <c r="H1121" s="15"/>
      <c r="I1121" s="15"/>
      <c r="J1121" s="15"/>
      <c r="K1121" s="15"/>
      <c r="L1121" s="15"/>
      <c r="M1121" s="15"/>
      <c r="N1121" s="15"/>
      <c r="O1121" s="15"/>
      <c r="P1121" s="15"/>
      <c r="Q1121" s="15"/>
      <c r="R1121" s="15"/>
      <c r="S1121" s="15"/>
      <c r="T1121" s="15"/>
      <c r="U1121" s="15"/>
      <c r="V1121" s="15"/>
      <c r="W1121" s="15"/>
      <c r="X1121" s="15"/>
      <c r="Y1121" s="15"/>
      <c r="Z1121" s="15"/>
      <c r="AA1121" s="15"/>
      <c r="AB1121" s="15"/>
      <c r="AC1121" s="15"/>
      <c r="AD1121" s="15"/>
      <c r="AE1121" s="15"/>
      <c r="AF1121" s="15"/>
      <c r="AG1121" s="15"/>
      <c r="AH1121" s="15"/>
      <c r="AI1121" s="15"/>
    </row>
    <row r="1122" spans="1:35">
      <c r="A1122" s="15"/>
      <c r="B1122" s="15"/>
      <c r="C1122" s="15"/>
      <c r="D1122" s="15"/>
      <c r="E1122" s="15"/>
      <c r="F1122" s="15"/>
      <c r="G1122" s="15"/>
      <c r="H1122" s="15"/>
      <c r="I1122" s="15"/>
      <c r="J1122" s="15"/>
      <c r="K1122" s="15"/>
      <c r="L1122" s="15"/>
      <c r="M1122" s="15"/>
      <c r="N1122" s="15"/>
      <c r="O1122" s="15"/>
      <c r="P1122" s="15"/>
      <c r="Q1122" s="15"/>
      <c r="R1122" s="15"/>
      <c r="S1122" s="15"/>
      <c r="T1122" s="15"/>
      <c r="U1122" s="15"/>
      <c r="V1122" s="15"/>
      <c r="W1122" s="15"/>
      <c r="X1122" s="15"/>
      <c r="Y1122" s="15"/>
      <c r="Z1122" s="15"/>
      <c r="AA1122" s="15"/>
      <c r="AB1122" s="15"/>
      <c r="AC1122" s="15"/>
      <c r="AD1122" s="15"/>
      <c r="AE1122" s="15"/>
      <c r="AF1122" s="15"/>
      <c r="AG1122" s="15"/>
      <c r="AH1122" s="15"/>
      <c r="AI1122" s="15"/>
    </row>
    <row r="1123" spans="1:35">
      <c r="A1123" s="15"/>
      <c r="B1123" s="15"/>
      <c r="C1123" s="15"/>
      <c r="D1123" s="15"/>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c r="AA1123" s="15"/>
      <c r="AB1123" s="15"/>
      <c r="AC1123" s="15"/>
      <c r="AD1123" s="15"/>
      <c r="AE1123" s="15"/>
      <c r="AF1123" s="15"/>
      <c r="AG1123" s="15"/>
      <c r="AH1123" s="15"/>
      <c r="AI1123" s="15"/>
    </row>
    <row r="1124" spans="1:35">
      <c r="A1124" s="15"/>
      <c r="B1124" s="15"/>
      <c r="C1124" s="15"/>
      <c r="D1124" s="15"/>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c r="AA1124" s="15"/>
      <c r="AB1124" s="15"/>
      <c r="AC1124" s="15"/>
      <c r="AD1124" s="15"/>
      <c r="AE1124" s="15"/>
      <c r="AF1124" s="15"/>
      <c r="AG1124" s="15"/>
      <c r="AH1124" s="15"/>
      <c r="AI1124" s="15"/>
    </row>
    <row r="1125" spans="1:35">
      <c r="A1125" s="15"/>
      <c r="B1125" s="15"/>
      <c r="C1125" s="15"/>
      <c r="D1125" s="15"/>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c r="AA1125" s="15"/>
      <c r="AB1125" s="15"/>
      <c r="AC1125" s="15"/>
      <c r="AD1125" s="15"/>
      <c r="AE1125" s="15"/>
      <c r="AF1125" s="15"/>
      <c r="AG1125" s="15"/>
      <c r="AH1125" s="15"/>
      <c r="AI1125" s="15"/>
    </row>
    <row r="1126" spans="1:35">
      <c r="A1126" s="15"/>
      <c r="B1126" s="15"/>
      <c r="C1126" s="15"/>
      <c r="D1126" s="15"/>
      <c r="E1126" s="15"/>
      <c r="F1126" s="15"/>
      <c r="G1126" s="15"/>
      <c r="H1126" s="15"/>
      <c r="I1126" s="15"/>
      <c r="J1126" s="15"/>
      <c r="K1126" s="15"/>
      <c r="L1126" s="15"/>
      <c r="M1126" s="15"/>
      <c r="N1126" s="15"/>
      <c r="O1126" s="15"/>
      <c r="P1126" s="15"/>
      <c r="Q1126" s="15"/>
      <c r="R1126" s="15"/>
      <c r="S1126" s="15"/>
      <c r="T1126" s="15"/>
      <c r="U1126" s="15"/>
      <c r="V1126" s="15"/>
      <c r="W1126" s="15"/>
      <c r="X1126" s="15"/>
      <c r="Y1126" s="15"/>
      <c r="Z1126" s="15"/>
      <c r="AA1126" s="15"/>
      <c r="AB1126" s="15"/>
      <c r="AC1126" s="15"/>
      <c r="AD1126" s="15"/>
      <c r="AE1126" s="15"/>
      <c r="AF1126" s="15"/>
      <c r="AG1126" s="15"/>
      <c r="AH1126" s="15"/>
      <c r="AI1126" s="15"/>
    </row>
    <row r="1127" spans="1:35">
      <c r="A1127" s="15"/>
      <c r="B1127" s="15"/>
      <c r="C1127" s="15"/>
      <c r="D1127" s="15"/>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c r="AA1127" s="15"/>
      <c r="AB1127" s="15"/>
      <c r="AC1127" s="15"/>
      <c r="AD1127" s="15"/>
      <c r="AE1127" s="15"/>
      <c r="AF1127" s="15"/>
      <c r="AG1127" s="15"/>
      <c r="AH1127" s="15"/>
      <c r="AI1127" s="15"/>
    </row>
    <row r="1128" spans="1:35">
      <c r="A1128" s="15"/>
      <c r="B1128" s="15"/>
      <c r="C1128" s="15"/>
      <c r="D1128" s="15"/>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c r="AA1128" s="15"/>
      <c r="AB1128" s="15"/>
      <c r="AC1128" s="15"/>
      <c r="AD1128" s="15"/>
      <c r="AE1128" s="15"/>
      <c r="AF1128" s="15"/>
      <c r="AG1128" s="15"/>
      <c r="AH1128" s="15"/>
      <c r="AI1128" s="15"/>
    </row>
    <row r="1129" spans="1:35">
      <c r="A1129" s="15"/>
      <c r="B1129" s="15"/>
      <c r="C1129" s="15"/>
      <c r="D1129" s="15"/>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c r="AA1129" s="15"/>
      <c r="AB1129" s="15"/>
      <c r="AC1129" s="15"/>
      <c r="AD1129" s="15"/>
      <c r="AE1129" s="15"/>
      <c r="AF1129" s="15"/>
      <c r="AG1129" s="15"/>
      <c r="AH1129" s="15"/>
      <c r="AI1129" s="15"/>
    </row>
    <row r="1130" spans="1:35">
      <c r="A1130" s="15"/>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c r="AA1130" s="15"/>
      <c r="AB1130" s="15"/>
      <c r="AC1130" s="15"/>
      <c r="AD1130" s="15"/>
      <c r="AE1130" s="15"/>
      <c r="AF1130" s="15"/>
      <c r="AG1130" s="15"/>
      <c r="AH1130" s="15"/>
      <c r="AI1130" s="15"/>
    </row>
    <row r="1131" spans="1:35">
      <c r="A1131" s="15"/>
      <c r="B1131" s="15"/>
      <c r="C1131" s="15"/>
      <c r="D1131" s="15"/>
      <c r="E1131" s="15"/>
      <c r="F1131" s="15"/>
      <c r="G1131" s="15"/>
      <c r="H1131" s="15"/>
      <c r="I1131" s="15"/>
      <c r="J1131" s="15"/>
      <c r="K1131" s="15"/>
      <c r="L1131" s="15"/>
      <c r="M1131" s="15"/>
      <c r="N1131" s="15"/>
      <c r="O1131" s="15"/>
      <c r="P1131" s="15"/>
      <c r="Q1131" s="15"/>
      <c r="R1131" s="15"/>
      <c r="S1131" s="15"/>
      <c r="T1131" s="15"/>
      <c r="U1131" s="15"/>
      <c r="V1131" s="15"/>
      <c r="W1131" s="15"/>
      <c r="X1131" s="15"/>
      <c r="Y1131" s="15"/>
      <c r="Z1131" s="15"/>
      <c r="AA1131" s="15"/>
      <c r="AB1131" s="15"/>
      <c r="AC1131" s="15"/>
      <c r="AD1131" s="15"/>
      <c r="AE1131" s="15"/>
      <c r="AF1131" s="15"/>
      <c r="AG1131" s="15"/>
      <c r="AH1131" s="15"/>
      <c r="AI1131" s="15"/>
    </row>
    <row r="1132" spans="1:35">
      <c r="A1132" s="15"/>
      <c r="B1132" s="15"/>
      <c r="C1132" s="15"/>
      <c r="D1132" s="15"/>
      <c r="E1132" s="15"/>
      <c r="F1132" s="15"/>
      <c r="G1132" s="15"/>
      <c r="H1132" s="15"/>
      <c r="I1132" s="15"/>
      <c r="J1132" s="15"/>
      <c r="K1132" s="15"/>
      <c r="L1132" s="15"/>
      <c r="M1132" s="15"/>
      <c r="N1132" s="15"/>
      <c r="O1132" s="15"/>
      <c r="P1132" s="15"/>
      <c r="Q1132" s="15"/>
      <c r="R1132" s="15"/>
      <c r="S1132" s="15"/>
      <c r="T1132" s="15"/>
      <c r="U1132" s="15"/>
      <c r="V1132" s="15"/>
      <c r="W1132" s="15"/>
      <c r="X1132" s="15"/>
      <c r="Y1132" s="15"/>
      <c r="Z1132" s="15"/>
      <c r="AA1132" s="15"/>
      <c r="AB1132" s="15"/>
      <c r="AC1132" s="15"/>
      <c r="AD1132" s="15"/>
      <c r="AE1132" s="15"/>
      <c r="AF1132" s="15"/>
      <c r="AG1132" s="15"/>
      <c r="AH1132" s="15"/>
      <c r="AI1132" s="15"/>
    </row>
    <row r="1133" spans="1:35">
      <c r="A1133" s="15"/>
      <c r="B1133" s="15"/>
      <c r="C1133" s="15"/>
      <c r="D1133" s="15"/>
      <c r="E1133" s="15"/>
      <c r="F1133" s="15"/>
      <c r="G1133" s="15"/>
      <c r="H1133" s="15"/>
      <c r="I1133" s="15"/>
      <c r="J1133" s="15"/>
      <c r="K1133" s="15"/>
      <c r="L1133" s="15"/>
      <c r="M1133" s="15"/>
      <c r="N1133" s="15"/>
      <c r="O1133" s="15"/>
      <c r="P1133" s="15"/>
      <c r="Q1133" s="15"/>
      <c r="R1133" s="15"/>
      <c r="S1133" s="15"/>
      <c r="T1133" s="15"/>
      <c r="U1133" s="15"/>
      <c r="V1133" s="15"/>
      <c r="W1133" s="15"/>
      <c r="X1133" s="15"/>
      <c r="Y1133" s="15"/>
      <c r="Z1133" s="15"/>
      <c r="AA1133" s="15"/>
      <c r="AB1133" s="15"/>
      <c r="AC1133" s="15"/>
      <c r="AD1133" s="15"/>
      <c r="AE1133" s="15"/>
      <c r="AF1133" s="15"/>
      <c r="AG1133" s="15"/>
      <c r="AH1133" s="15"/>
      <c r="AI1133" s="15"/>
    </row>
    <row r="1134" spans="1:35">
      <c r="A1134" s="15"/>
      <c r="B1134" s="15"/>
      <c r="C1134" s="15"/>
      <c r="D1134" s="15"/>
      <c r="E1134" s="15"/>
      <c r="F1134" s="15"/>
      <c r="G1134" s="15"/>
      <c r="H1134" s="15"/>
      <c r="I1134" s="15"/>
      <c r="J1134" s="15"/>
      <c r="K1134" s="15"/>
      <c r="L1134" s="15"/>
      <c r="M1134" s="15"/>
      <c r="N1134" s="15"/>
      <c r="O1134" s="15"/>
      <c r="P1134" s="15"/>
      <c r="Q1134" s="15"/>
      <c r="R1134" s="15"/>
      <c r="S1134" s="15"/>
      <c r="T1134" s="15"/>
      <c r="U1134" s="15"/>
      <c r="V1134" s="15"/>
      <c r="W1134" s="15"/>
      <c r="X1134" s="15"/>
      <c r="Y1134" s="15"/>
      <c r="Z1134" s="15"/>
      <c r="AA1134" s="15"/>
      <c r="AB1134" s="15"/>
      <c r="AC1134" s="15"/>
      <c r="AD1134" s="15"/>
      <c r="AE1134" s="15"/>
      <c r="AF1134" s="15"/>
      <c r="AG1134" s="15"/>
      <c r="AH1134" s="15"/>
      <c r="AI1134" s="15"/>
    </row>
    <row r="1135" spans="1:35">
      <c r="A1135" s="15"/>
      <c r="B1135" s="15"/>
      <c r="C1135" s="15"/>
      <c r="D1135" s="15"/>
      <c r="E1135" s="15"/>
      <c r="F1135" s="15"/>
      <c r="G1135" s="15"/>
      <c r="H1135" s="15"/>
      <c r="I1135" s="15"/>
      <c r="J1135" s="15"/>
      <c r="K1135" s="15"/>
      <c r="L1135" s="15"/>
      <c r="M1135" s="15"/>
      <c r="N1135" s="15"/>
      <c r="O1135" s="15"/>
      <c r="P1135" s="15"/>
      <c r="Q1135" s="15"/>
      <c r="R1135" s="15"/>
      <c r="S1135" s="15"/>
      <c r="T1135" s="15"/>
      <c r="U1135" s="15"/>
      <c r="V1135" s="15"/>
      <c r="W1135" s="15"/>
      <c r="X1135" s="15"/>
      <c r="Y1135" s="15"/>
      <c r="Z1135" s="15"/>
      <c r="AA1135" s="15"/>
      <c r="AB1135" s="15"/>
      <c r="AC1135" s="15"/>
      <c r="AD1135" s="15"/>
      <c r="AE1135" s="15"/>
      <c r="AF1135" s="15"/>
      <c r="AG1135" s="15"/>
      <c r="AH1135" s="15"/>
      <c r="AI1135" s="15"/>
    </row>
    <row r="1136" spans="1:35">
      <c r="A1136" s="15"/>
      <c r="B1136" s="15"/>
      <c r="C1136" s="15"/>
      <c r="D1136" s="15"/>
      <c r="E1136" s="15"/>
      <c r="F1136" s="15"/>
      <c r="G1136" s="15"/>
      <c r="H1136" s="15"/>
      <c r="I1136" s="15"/>
      <c r="J1136" s="15"/>
      <c r="K1136" s="15"/>
      <c r="L1136" s="15"/>
      <c r="M1136" s="15"/>
      <c r="N1136" s="15"/>
      <c r="O1136" s="15"/>
      <c r="P1136" s="15"/>
      <c r="Q1136" s="15"/>
      <c r="R1136" s="15"/>
      <c r="S1136" s="15"/>
      <c r="T1136" s="15"/>
      <c r="U1136" s="15"/>
      <c r="V1136" s="15"/>
      <c r="W1136" s="15"/>
      <c r="X1136" s="15"/>
      <c r="Y1136" s="15"/>
      <c r="Z1136" s="15"/>
      <c r="AA1136" s="15"/>
      <c r="AB1136" s="15"/>
      <c r="AC1136" s="15"/>
      <c r="AD1136" s="15"/>
      <c r="AE1136" s="15"/>
      <c r="AF1136" s="15"/>
      <c r="AG1136" s="15"/>
      <c r="AH1136" s="15"/>
      <c r="AI1136" s="15"/>
    </row>
    <row r="1137" spans="1:35">
      <c r="A1137" s="15"/>
      <c r="B1137" s="15"/>
      <c r="C1137" s="15"/>
      <c r="D1137" s="15"/>
      <c r="E1137" s="15"/>
      <c r="F1137" s="15"/>
      <c r="G1137" s="15"/>
      <c r="H1137" s="15"/>
      <c r="I1137" s="15"/>
      <c r="J1137" s="15"/>
      <c r="K1137" s="15"/>
      <c r="L1137" s="15"/>
      <c r="M1137" s="15"/>
      <c r="N1137" s="15"/>
      <c r="O1137" s="15"/>
      <c r="P1137" s="15"/>
      <c r="Q1137" s="15"/>
      <c r="R1137" s="15"/>
      <c r="S1137" s="15"/>
      <c r="T1137" s="15"/>
      <c r="U1137" s="15"/>
      <c r="V1137" s="15"/>
      <c r="W1137" s="15"/>
      <c r="X1137" s="15"/>
      <c r="Y1137" s="15"/>
      <c r="Z1137" s="15"/>
      <c r="AA1137" s="15"/>
      <c r="AB1137" s="15"/>
      <c r="AC1137" s="15"/>
      <c r="AD1137" s="15"/>
      <c r="AE1137" s="15"/>
      <c r="AF1137" s="15"/>
      <c r="AG1137" s="15"/>
      <c r="AH1137" s="15"/>
      <c r="AI1137" s="15"/>
    </row>
    <row r="1138" spans="1:35">
      <c r="A1138" s="15"/>
      <c r="B1138" s="15"/>
      <c r="C1138" s="15"/>
      <c r="D1138" s="15"/>
      <c r="E1138" s="15"/>
      <c r="F1138" s="15"/>
      <c r="G1138" s="15"/>
      <c r="H1138" s="15"/>
      <c r="I1138" s="15"/>
      <c r="J1138" s="15"/>
      <c r="K1138" s="15"/>
      <c r="L1138" s="15"/>
      <c r="M1138" s="15"/>
      <c r="N1138" s="15"/>
      <c r="O1138" s="15"/>
      <c r="P1138" s="15"/>
      <c r="Q1138" s="15"/>
      <c r="R1138" s="15"/>
      <c r="S1138" s="15"/>
      <c r="T1138" s="15"/>
      <c r="U1138" s="15"/>
      <c r="V1138" s="15"/>
      <c r="W1138" s="15"/>
      <c r="X1138" s="15"/>
      <c r="Y1138" s="15"/>
      <c r="Z1138" s="15"/>
      <c r="AA1138" s="15"/>
      <c r="AB1138" s="15"/>
      <c r="AC1138" s="15"/>
      <c r="AD1138" s="15"/>
      <c r="AE1138" s="15"/>
      <c r="AF1138" s="15"/>
      <c r="AG1138" s="15"/>
      <c r="AH1138" s="15"/>
      <c r="AI1138" s="15"/>
    </row>
    <row r="1139" spans="1:35">
      <c r="A1139" s="15"/>
      <c r="B1139" s="15"/>
      <c r="C1139" s="15"/>
      <c r="D1139" s="15"/>
      <c r="E1139" s="15"/>
      <c r="F1139" s="15"/>
      <c r="G1139" s="15"/>
      <c r="H1139" s="15"/>
      <c r="I1139" s="15"/>
      <c r="J1139" s="15"/>
      <c r="K1139" s="15"/>
      <c r="L1139" s="15"/>
      <c r="M1139" s="15"/>
      <c r="N1139" s="15"/>
      <c r="O1139" s="15"/>
      <c r="P1139" s="15"/>
      <c r="Q1139" s="15"/>
      <c r="R1139" s="15"/>
      <c r="S1139" s="15"/>
      <c r="T1139" s="15"/>
      <c r="U1139" s="15"/>
      <c r="V1139" s="15"/>
      <c r="W1139" s="15"/>
      <c r="X1139" s="15"/>
      <c r="Y1139" s="15"/>
      <c r="Z1139" s="15"/>
      <c r="AA1139" s="15"/>
      <c r="AB1139" s="15"/>
      <c r="AC1139" s="15"/>
      <c r="AD1139" s="15"/>
      <c r="AE1139" s="15"/>
      <c r="AF1139" s="15"/>
      <c r="AG1139" s="15"/>
      <c r="AH1139" s="15"/>
      <c r="AI1139" s="15"/>
    </row>
    <row r="1140" spans="1:35">
      <c r="A1140" s="15"/>
      <c r="B1140" s="15"/>
      <c r="C1140" s="15"/>
      <c r="D1140" s="15"/>
      <c r="E1140" s="15"/>
      <c r="F1140" s="15"/>
      <c r="G1140" s="15"/>
      <c r="H1140" s="15"/>
      <c r="I1140" s="15"/>
      <c r="J1140" s="15"/>
      <c r="K1140" s="15"/>
      <c r="L1140" s="15"/>
      <c r="M1140" s="15"/>
      <c r="N1140" s="15"/>
      <c r="O1140" s="15"/>
      <c r="P1140" s="15"/>
      <c r="Q1140" s="15"/>
      <c r="R1140" s="15"/>
      <c r="S1140" s="15"/>
      <c r="T1140" s="15"/>
      <c r="U1140" s="15"/>
      <c r="V1140" s="15"/>
      <c r="W1140" s="15"/>
      <c r="X1140" s="15"/>
      <c r="Y1140" s="15"/>
      <c r="Z1140" s="15"/>
      <c r="AA1140" s="15"/>
      <c r="AB1140" s="15"/>
      <c r="AC1140" s="15"/>
      <c r="AD1140" s="15"/>
      <c r="AE1140" s="15"/>
      <c r="AF1140" s="15"/>
      <c r="AG1140" s="15"/>
      <c r="AH1140" s="15"/>
      <c r="AI1140" s="15"/>
    </row>
    <row r="1141" spans="1:35">
      <c r="A1141" s="15"/>
      <c r="B1141" s="15"/>
      <c r="C1141" s="15"/>
      <c r="D1141" s="15"/>
      <c r="E1141" s="15"/>
      <c r="F1141" s="15"/>
      <c r="G1141" s="15"/>
      <c r="H1141" s="15"/>
      <c r="I1141" s="15"/>
      <c r="J1141" s="15"/>
      <c r="K1141" s="15"/>
      <c r="L1141" s="15"/>
      <c r="M1141" s="15"/>
      <c r="N1141" s="15"/>
      <c r="O1141" s="15"/>
      <c r="P1141" s="15"/>
      <c r="Q1141" s="15"/>
      <c r="R1141" s="15"/>
      <c r="S1141" s="15"/>
      <c r="T1141" s="15"/>
      <c r="U1141" s="15"/>
      <c r="V1141" s="15"/>
      <c r="W1141" s="15"/>
      <c r="X1141" s="15"/>
      <c r="Y1141" s="15"/>
      <c r="Z1141" s="15"/>
      <c r="AA1141" s="15"/>
      <c r="AB1141" s="15"/>
      <c r="AC1141" s="15"/>
      <c r="AD1141" s="15"/>
      <c r="AE1141" s="15"/>
      <c r="AF1141" s="15"/>
      <c r="AG1141" s="15"/>
      <c r="AH1141" s="15"/>
      <c r="AI1141" s="15"/>
    </row>
    <row r="1142" spans="1:35">
      <c r="A1142" s="15"/>
      <c r="B1142" s="15"/>
      <c r="C1142" s="15"/>
      <c r="D1142" s="15"/>
      <c r="E1142" s="15"/>
      <c r="F1142" s="15"/>
      <c r="G1142" s="15"/>
      <c r="H1142" s="15"/>
      <c r="I1142" s="15"/>
      <c r="J1142" s="15"/>
      <c r="K1142" s="15"/>
      <c r="L1142" s="15"/>
      <c r="M1142" s="15"/>
      <c r="N1142" s="15"/>
      <c r="O1142" s="15"/>
      <c r="P1142" s="15"/>
      <c r="Q1142" s="15"/>
      <c r="R1142" s="15"/>
      <c r="S1142" s="15"/>
      <c r="T1142" s="15"/>
      <c r="U1142" s="15"/>
      <c r="V1142" s="15"/>
      <c r="W1142" s="15"/>
      <c r="X1142" s="15"/>
      <c r="Y1142" s="15"/>
      <c r="Z1142" s="15"/>
      <c r="AA1142" s="15"/>
      <c r="AB1142" s="15"/>
      <c r="AC1142" s="15"/>
      <c r="AD1142" s="15"/>
      <c r="AE1142" s="15"/>
      <c r="AF1142" s="15"/>
      <c r="AG1142" s="15"/>
      <c r="AH1142" s="15"/>
      <c r="AI1142" s="15"/>
    </row>
    <row r="1143" spans="1:35">
      <c r="A1143" s="15"/>
      <c r="B1143" s="15"/>
      <c r="C1143" s="15"/>
      <c r="D1143" s="15"/>
      <c r="E1143" s="15"/>
      <c r="F1143" s="15"/>
      <c r="G1143" s="15"/>
      <c r="H1143" s="15"/>
      <c r="I1143" s="15"/>
      <c r="J1143" s="15"/>
      <c r="K1143" s="15"/>
      <c r="L1143" s="15"/>
      <c r="M1143" s="15"/>
      <c r="N1143" s="15"/>
      <c r="O1143" s="15"/>
      <c r="P1143" s="15"/>
      <c r="Q1143" s="15"/>
      <c r="R1143" s="15"/>
      <c r="S1143" s="15"/>
      <c r="T1143" s="15"/>
      <c r="U1143" s="15"/>
      <c r="V1143" s="15"/>
      <c r="W1143" s="15"/>
      <c r="X1143" s="15"/>
      <c r="Y1143" s="15"/>
      <c r="Z1143" s="15"/>
      <c r="AA1143" s="15"/>
      <c r="AB1143" s="15"/>
      <c r="AC1143" s="15"/>
      <c r="AD1143" s="15"/>
      <c r="AE1143" s="15"/>
      <c r="AF1143" s="15"/>
      <c r="AG1143" s="15"/>
      <c r="AH1143" s="15"/>
      <c r="AI1143" s="15"/>
    </row>
    <row r="1144" spans="1:35">
      <c r="A1144" s="15"/>
      <c r="B1144" s="15"/>
      <c r="C1144" s="15"/>
      <c r="D1144" s="15"/>
      <c r="E1144" s="15"/>
      <c r="F1144" s="15"/>
      <c r="G1144" s="15"/>
      <c r="H1144" s="15"/>
      <c r="I1144" s="15"/>
      <c r="J1144" s="15"/>
      <c r="K1144" s="15"/>
      <c r="L1144" s="15"/>
      <c r="M1144" s="15"/>
      <c r="N1144" s="15"/>
      <c r="O1144" s="15"/>
      <c r="P1144" s="15"/>
      <c r="Q1144" s="15"/>
      <c r="R1144" s="15"/>
      <c r="S1144" s="15"/>
      <c r="T1144" s="15"/>
      <c r="U1144" s="15"/>
      <c r="V1144" s="15"/>
      <c r="W1144" s="15"/>
      <c r="X1144" s="15"/>
      <c r="Y1144" s="15"/>
      <c r="Z1144" s="15"/>
      <c r="AA1144" s="15"/>
      <c r="AB1144" s="15"/>
      <c r="AC1144" s="15"/>
      <c r="AD1144" s="15"/>
      <c r="AE1144" s="15"/>
      <c r="AF1144" s="15"/>
      <c r="AG1144" s="15"/>
      <c r="AH1144" s="15"/>
      <c r="AI1144" s="15"/>
    </row>
    <row r="1145" spans="1:35">
      <c r="A1145" s="15"/>
      <c r="B1145" s="15"/>
      <c r="C1145" s="15"/>
      <c r="D1145" s="15"/>
      <c r="E1145" s="15"/>
      <c r="F1145" s="15"/>
      <c r="G1145" s="15"/>
      <c r="H1145" s="15"/>
      <c r="I1145" s="15"/>
      <c r="J1145" s="15"/>
      <c r="K1145" s="15"/>
      <c r="L1145" s="15"/>
      <c r="M1145" s="15"/>
      <c r="N1145" s="15"/>
      <c r="O1145" s="15"/>
      <c r="P1145" s="15"/>
      <c r="Q1145" s="15"/>
      <c r="R1145" s="15"/>
      <c r="S1145" s="15"/>
      <c r="T1145" s="15"/>
      <c r="U1145" s="15"/>
      <c r="V1145" s="15"/>
      <c r="W1145" s="15"/>
      <c r="X1145" s="15"/>
      <c r="Y1145" s="15"/>
      <c r="Z1145" s="15"/>
      <c r="AA1145" s="15"/>
      <c r="AB1145" s="15"/>
      <c r="AC1145" s="15"/>
      <c r="AD1145" s="15"/>
      <c r="AE1145" s="15"/>
      <c r="AF1145" s="15"/>
      <c r="AG1145" s="15"/>
      <c r="AH1145" s="15"/>
      <c r="AI1145" s="15"/>
    </row>
    <row r="1146" spans="1:35">
      <c r="A1146" s="15"/>
      <c r="B1146" s="15"/>
      <c r="C1146" s="15"/>
      <c r="D1146" s="15"/>
      <c r="E1146" s="15"/>
      <c r="F1146" s="15"/>
      <c r="G1146" s="15"/>
      <c r="H1146" s="15"/>
      <c r="I1146" s="15"/>
      <c r="J1146" s="15"/>
      <c r="K1146" s="15"/>
      <c r="L1146" s="15"/>
      <c r="M1146" s="15"/>
      <c r="N1146" s="15"/>
      <c r="O1146" s="15"/>
      <c r="P1146" s="15"/>
      <c r="Q1146" s="15"/>
      <c r="R1146" s="15"/>
      <c r="S1146" s="15"/>
      <c r="T1146" s="15"/>
      <c r="U1146" s="15"/>
      <c r="V1146" s="15"/>
      <c r="W1146" s="15"/>
      <c r="X1146" s="15"/>
      <c r="Y1146" s="15"/>
      <c r="Z1146" s="15"/>
      <c r="AA1146" s="15"/>
      <c r="AB1146" s="15"/>
      <c r="AC1146" s="15"/>
      <c r="AD1146" s="15"/>
      <c r="AE1146" s="15"/>
      <c r="AF1146" s="15"/>
      <c r="AG1146" s="15"/>
      <c r="AH1146" s="15"/>
      <c r="AI1146" s="15"/>
    </row>
    <row r="1147" spans="1:35">
      <c r="A1147" s="15"/>
      <c r="B1147" s="15"/>
      <c r="C1147" s="15"/>
      <c r="D1147" s="15"/>
      <c r="E1147" s="15"/>
      <c r="F1147" s="15"/>
      <c r="G1147" s="15"/>
      <c r="H1147" s="15"/>
      <c r="I1147" s="15"/>
      <c r="J1147" s="15"/>
      <c r="K1147" s="15"/>
      <c r="L1147" s="15"/>
      <c r="M1147" s="15"/>
      <c r="N1147" s="15"/>
      <c r="O1147" s="15"/>
      <c r="P1147" s="15"/>
      <c r="Q1147" s="15"/>
      <c r="R1147" s="15"/>
      <c r="S1147" s="15"/>
      <c r="T1147" s="15"/>
      <c r="U1147" s="15"/>
      <c r="V1147" s="15"/>
      <c r="W1147" s="15"/>
      <c r="X1147" s="15"/>
      <c r="Y1147" s="15"/>
      <c r="Z1147" s="15"/>
      <c r="AA1147" s="15"/>
      <c r="AB1147" s="15"/>
      <c r="AC1147" s="15"/>
      <c r="AD1147" s="15"/>
      <c r="AE1147" s="15"/>
      <c r="AF1147" s="15"/>
      <c r="AG1147" s="15"/>
      <c r="AH1147" s="15"/>
      <c r="AI1147" s="15"/>
    </row>
    <row r="1148" spans="1:35">
      <c r="A1148" s="15"/>
      <c r="B1148" s="15"/>
      <c r="C1148" s="15"/>
      <c r="D1148" s="15"/>
      <c r="E1148" s="15"/>
      <c r="F1148" s="15"/>
      <c r="G1148" s="15"/>
      <c r="H1148" s="15"/>
      <c r="I1148" s="15"/>
      <c r="J1148" s="15"/>
      <c r="K1148" s="15"/>
      <c r="L1148" s="15"/>
      <c r="M1148" s="15"/>
      <c r="N1148" s="15"/>
      <c r="O1148" s="15"/>
      <c r="P1148" s="15"/>
      <c r="Q1148" s="15"/>
      <c r="R1148" s="15"/>
      <c r="S1148" s="15"/>
      <c r="T1148" s="15"/>
      <c r="U1148" s="15"/>
      <c r="V1148" s="15"/>
      <c r="W1148" s="15"/>
      <c r="X1148" s="15"/>
      <c r="Y1148" s="15"/>
      <c r="Z1148" s="15"/>
      <c r="AA1148" s="15"/>
      <c r="AB1148" s="15"/>
      <c r="AC1148" s="15"/>
      <c r="AD1148" s="15"/>
      <c r="AE1148" s="15"/>
      <c r="AF1148" s="15"/>
      <c r="AG1148" s="15"/>
      <c r="AH1148" s="15"/>
      <c r="AI1148" s="15"/>
    </row>
    <row r="1149" spans="1:35">
      <c r="A1149" s="15"/>
      <c r="B1149" s="15"/>
      <c r="C1149" s="15"/>
      <c r="D1149" s="15"/>
      <c r="E1149" s="15"/>
      <c r="F1149" s="15"/>
      <c r="G1149" s="15"/>
      <c r="H1149" s="15"/>
      <c r="I1149" s="15"/>
      <c r="J1149" s="15"/>
      <c r="K1149" s="15"/>
      <c r="L1149" s="15"/>
      <c r="M1149" s="15"/>
      <c r="N1149" s="15"/>
      <c r="O1149" s="15"/>
      <c r="P1149" s="15"/>
      <c r="Q1149" s="15"/>
      <c r="R1149" s="15"/>
      <c r="S1149" s="15"/>
      <c r="T1149" s="15"/>
      <c r="U1149" s="15"/>
      <c r="V1149" s="15"/>
      <c r="W1149" s="15"/>
      <c r="X1149" s="15"/>
      <c r="Y1149" s="15"/>
      <c r="Z1149" s="15"/>
      <c r="AA1149" s="15"/>
      <c r="AB1149" s="15"/>
      <c r="AC1149" s="15"/>
      <c r="AD1149" s="15"/>
      <c r="AE1149" s="15"/>
      <c r="AF1149" s="15"/>
      <c r="AG1149" s="15"/>
      <c r="AH1149" s="15"/>
      <c r="AI1149" s="15"/>
    </row>
    <row r="1150" spans="1:35">
      <c r="A1150" s="15"/>
      <c r="B1150" s="15"/>
      <c r="C1150" s="15"/>
      <c r="D1150" s="15"/>
      <c r="E1150" s="15"/>
      <c r="F1150" s="15"/>
      <c r="G1150" s="15"/>
      <c r="H1150" s="15"/>
      <c r="I1150" s="15"/>
      <c r="J1150" s="15"/>
      <c r="K1150" s="15"/>
      <c r="L1150" s="15"/>
      <c r="M1150" s="15"/>
      <c r="N1150" s="15"/>
      <c r="O1150" s="15"/>
      <c r="P1150" s="15"/>
      <c r="Q1150" s="15"/>
      <c r="R1150" s="15"/>
      <c r="S1150" s="15"/>
      <c r="T1150" s="15"/>
      <c r="U1150" s="15"/>
      <c r="V1150" s="15"/>
      <c r="W1150" s="15"/>
      <c r="X1150" s="15"/>
      <c r="Y1150" s="15"/>
      <c r="Z1150" s="15"/>
      <c r="AA1150" s="15"/>
      <c r="AB1150" s="15"/>
      <c r="AC1150" s="15"/>
      <c r="AD1150" s="15"/>
      <c r="AE1150" s="15"/>
      <c r="AF1150" s="15"/>
      <c r="AG1150" s="15"/>
      <c r="AH1150" s="15"/>
      <c r="AI1150" s="15"/>
    </row>
    <row r="1151" spans="1:35">
      <c r="A1151" s="15"/>
      <c r="B1151" s="15"/>
      <c r="C1151" s="15"/>
      <c r="D1151" s="15"/>
      <c r="E1151" s="15"/>
      <c r="F1151" s="15"/>
      <c r="G1151" s="15"/>
      <c r="H1151" s="15"/>
      <c r="I1151" s="15"/>
      <c r="J1151" s="15"/>
      <c r="K1151" s="15"/>
      <c r="L1151" s="15"/>
      <c r="M1151" s="15"/>
      <c r="N1151" s="15"/>
      <c r="O1151" s="15"/>
      <c r="P1151" s="15"/>
      <c r="Q1151" s="15"/>
      <c r="R1151" s="15"/>
      <c r="S1151" s="15"/>
      <c r="T1151" s="15"/>
      <c r="U1151" s="15"/>
      <c r="V1151" s="15"/>
      <c r="W1151" s="15"/>
      <c r="X1151" s="15"/>
      <c r="Y1151" s="15"/>
      <c r="Z1151" s="15"/>
      <c r="AA1151" s="15"/>
      <c r="AB1151" s="15"/>
      <c r="AC1151" s="15"/>
      <c r="AD1151" s="15"/>
      <c r="AE1151" s="15"/>
      <c r="AF1151" s="15"/>
      <c r="AG1151" s="15"/>
      <c r="AH1151" s="15"/>
      <c r="AI1151" s="15"/>
    </row>
    <row r="1152" spans="1:35">
      <c r="A1152" s="15"/>
      <c r="B1152" s="15"/>
      <c r="C1152" s="15"/>
      <c r="D1152" s="15"/>
      <c r="E1152" s="15"/>
      <c r="F1152" s="15"/>
      <c r="G1152" s="15"/>
      <c r="H1152" s="15"/>
      <c r="I1152" s="15"/>
      <c r="J1152" s="15"/>
      <c r="K1152" s="15"/>
      <c r="L1152" s="15"/>
      <c r="M1152" s="15"/>
      <c r="N1152" s="15"/>
      <c r="O1152" s="15"/>
      <c r="P1152" s="15"/>
      <c r="Q1152" s="15"/>
      <c r="R1152" s="15"/>
      <c r="S1152" s="15"/>
      <c r="T1152" s="15"/>
      <c r="U1152" s="15"/>
      <c r="V1152" s="15"/>
      <c r="W1152" s="15"/>
      <c r="X1152" s="15"/>
      <c r="Y1152" s="15"/>
      <c r="Z1152" s="15"/>
      <c r="AA1152" s="15"/>
      <c r="AB1152" s="15"/>
      <c r="AC1152" s="15"/>
      <c r="AD1152" s="15"/>
      <c r="AE1152" s="15"/>
      <c r="AF1152" s="15"/>
      <c r="AG1152" s="15"/>
      <c r="AH1152" s="15"/>
      <c r="AI1152" s="15"/>
    </row>
    <row r="1153" spans="1:35">
      <c r="A1153" s="15"/>
      <c r="B1153" s="15"/>
      <c r="C1153" s="15"/>
      <c r="D1153" s="15"/>
      <c r="E1153" s="15"/>
      <c r="F1153" s="15"/>
      <c r="G1153" s="15"/>
      <c r="H1153" s="15"/>
      <c r="I1153" s="15"/>
      <c r="J1153" s="15"/>
      <c r="K1153" s="15"/>
      <c r="L1153" s="15"/>
      <c r="M1153" s="15"/>
      <c r="N1153" s="15"/>
      <c r="O1153" s="15"/>
      <c r="P1153" s="15"/>
      <c r="Q1153" s="15"/>
      <c r="R1153" s="15"/>
      <c r="S1153" s="15"/>
      <c r="T1153" s="15"/>
      <c r="U1153" s="15"/>
      <c r="V1153" s="15"/>
      <c r="W1153" s="15"/>
      <c r="X1153" s="15"/>
      <c r="Y1153" s="15"/>
      <c r="Z1153" s="15"/>
      <c r="AA1153" s="15"/>
      <c r="AB1153" s="15"/>
      <c r="AC1153" s="15"/>
      <c r="AD1153" s="15"/>
      <c r="AE1153" s="15"/>
      <c r="AF1153" s="15"/>
      <c r="AG1153" s="15"/>
      <c r="AH1153" s="15"/>
      <c r="AI1153" s="15"/>
    </row>
    <row r="1154" spans="1:35">
      <c r="A1154" s="15"/>
      <c r="B1154" s="15"/>
      <c r="C1154" s="15"/>
      <c r="D1154" s="15"/>
      <c r="E1154" s="15"/>
      <c r="F1154" s="15"/>
      <c r="G1154" s="15"/>
      <c r="H1154" s="15"/>
      <c r="I1154" s="15"/>
      <c r="J1154" s="15"/>
      <c r="K1154" s="15"/>
      <c r="L1154" s="15"/>
      <c r="M1154" s="15"/>
      <c r="N1154" s="15"/>
      <c r="O1154" s="15"/>
      <c r="P1154" s="15"/>
      <c r="Q1154" s="15"/>
      <c r="R1154" s="15"/>
      <c r="S1154" s="15"/>
      <c r="T1154" s="15"/>
      <c r="U1154" s="15"/>
      <c r="V1154" s="15"/>
      <c r="W1154" s="15"/>
      <c r="X1154" s="15"/>
      <c r="Y1154" s="15"/>
      <c r="Z1154" s="15"/>
      <c r="AA1154" s="15"/>
      <c r="AB1154" s="15"/>
      <c r="AC1154" s="15"/>
      <c r="AD1154" s="15"/>
      <c r="AE1154" s="15"/>
      <c r="AF1154" s="15"/>
      <c r="AG1154" s="15"/>
      <c r="AH1154" s="15"/>
      <c r="AI1154" s="15"/>
    </row>
    <row r="1155" spans="1:35">
      <c r="A1155" s="15"/>
      <c r="B1155" s="15"/>
      <c r="C1155" s="15"/>
      <c r="D1155" s="15"/>
      <c r="E1155" s="15"/>
      <c r="F1155" s="15"/>
      <c r="G1155" s="15"/>
      <c r="H1155" s="15"/>
      <c r="I1155" s="15"/>
      <c r="J1155" s="15"/>
      <c r="K1155" s="15"/>
      <c r="L1155" s="15"/>
      <c r="M1155" s="15"/>
      <c r="N1155" s="15"/>
      <c r="O1155" s="15"/>
      <c r="P1155" s="15"/>
      <c r="Q1155" s="15"/>
      <c r="R1155" s="15"/>
      <c r="S1155" s="15"/>
      <c r="T1155" s="15"/>
      <c r="U1155" s="15"/>
      <c r="V1155" s="15"/>
      <c r="W1155" s="15"/>
      <c r="X1155" s="15"/>
      <c r="Y1155" s="15"/>
      <c r="Z1155" s="15"/>
      <c r="AA1155" s="15"/>
      <c r="AB1155" s="15"/>
      <c r="AC1155" s="15"/>
      <c r="AD1155" s="15"/>
      <c r="AE1155" s="15"/>
      <c r="AF1155" s="15"/>
      <c r="AG1155" s="15"/>
      <c r="AH1155" s="15"/>
      <c r="AI1155" s="15"/>
    </row>
    <row r="1156" spans="1:35">
      <c r="A1156" s="15"/>
      <c r="B1156" s="15"/>
      <c r="C1156" s="15"/>
      <c r="D1156" s="15"/>
      <c r="E1156" s="15"/>
      <c r="F1156" s="15"/>
      <c r="G1156" s="15"/>
      <c r="H1156" s="15"/>
      <c r="I1156" s="15"/>
      <c r="J1156" s="15"/>
      <c r="K1156" s="15"/>
      <c r="L1156" s="15"/>
      <c r="M1156" s="15"/>
      <c r="N1156" s="15"/>
      <c r="O1156" s="15"/>
      <c r="P1156" s="15"/>
      <c r="Q1156" s="15"/>
      <c r="R1156" s="15"/>
      <c r="S1156" s="15"/>
      <c r="T1156" s="15"/>
      <c r="U1156" s="15"/>
      <c r="V1156" s="15"/>
      <c r="W1156" s="15"/>
      <c r="X1156" s="15"/>
      <c r="Y1156" s="15"/>
      <c r="Z1156" s="15"/>
      <c r="AA1156" s="15"/>
      <c r="AB1156" s="15"/>
      <c r="AC1156" s="15"/>
      <c r="AD1156" s="15"/>
      <c r="AE1156" s="15"/>
      <c r="AF1156" s="15"/>
      <c r="AG1156" s="15"/>
      <c r="AH1156" s="15"/>
      <c r="AI1156" s="15"/>
    </row>
    <row r="1157" spans="1:35">
      <c r="A1157" s="15"/>
      <c r="B1157" s="15"/>
      <c r="C1157" s="15"/>
      <c r="D1157" s="15"/>
      <c r="E1157" s="15"/>
      <c r="F1157" s="15"/>
      <c r="G1157" s="15"/>
      <c r="H1157" s="15"/>
      <c r="I1157" s="15"/>
      <c r="J1157" s="15"/>
      <c r="K1157" s="15"/>
      <c r="L1157" s="15"/>
      <c r="M1157" s="15"/>
      <c r="N1157" s="15"/>
      <c r="O1157" s="15"/>
      <c r="P1157" s="15"/>
      <c r="Q1157" s="15"/>
      <c r="R1157" s="15"/>
      <c r="S1157" s="15"/>
      <c r="T1157" s="15"/>
      <c r="U1157" s="15"/>
      <c r="V1157" s="15"/>
      <c r="W1157" s="15"/>
      <c r="X1157" s="15"/>
      <c r="Y1157" s="15"/>
      <c r="Z1157" s="15"/>
      <c r="AA1157" s="15"/>
      <c r="AB1157" s="15"/>
      <c r="AC1157" s="15"/>
      <c r="AD1157" s="15"/>
      <c r="AE1157" s="15"/>
      <c r="AF1157" s="15"/>
      <c r="AG1157" s="15"/>
      <c r="AH1157" s="15"/>
      <c r="AI1157" s="15"/>
    </row>
    <row r="1158" spans="1:35">
      <c r="A1158" s="15"/>
      <c r="B1158" s="15"/>
      <c r="C1158" s="15"/>
      <c r="D1158" s="15"/>
      <c r="E1158" s="15"/>
      <c r="F1158" s="15"/>
      <c r="G1158" s="15"/>
      <c r="H1158" s="15"/>
      <c r="I1158" s="15"/>
      <c r="J1158" s="15"/>
      <c r="K1158" s="15"/>
      <c r="L1158" s="15"/>
      <c r="M1158" s="15"/>
      <c r="N1158" s="15"/>
      <c r="O1158" s="15"/>
      <c r="P1158" s="15"/>
      <c r="Q1158" s="15"/>
      <c r="R1158" s="15"/>
      <c r="S1158" s="15"/>
      <c r="T1158" s="15"/>
      <c r="U1158" s="15"/>
      <c r="V1158" s="15"/>
      <c r="W1158" s="15"/>
      <c r="X1158" s="15"/>
      <c r="Y1158" s="15"/>
      <c r="Z1158" s="15"/>
      <c r="AA1158" s="15"/>
      <c r="AB1158" s="15"/>
      <c r="AC1158" s="15"/>
      <c r="AD1158" s="15"/>
      <c r="AE1158" s="15"/>
      <c r="AF1158" s="15"/>
      <c r="AG1158" s="15"/>
      <c r="AH1158" s="15"/>
      <c r="AI1158" s="15"/>
    </row>
    <row r="1159" spans="1:35">
      <c r="A1159" s="15"/>
      <c r="B1159" s="15"/>
      <c r="C1159" s="15"/>
      <c r="D1159" s="15"/>
      <c r="E1159" s="15"/>
      <c r="F1159" s="15"/>
      <c r="G1159" s="15"/>
      <c r="H1159" s="15"/>
      <c r="I1159" s="15"/>
      <c r="J1159" s="15"/>
      <c r="K1159" s="15"/>
      <c r="L1159" s="15"/>
      <c r="M1159" s="15"/>
      <c r="N1159" s="15"/>
      <c r="O1159" s="15"/>
      <c r="P1159" s="15"/>
      <c r="Q1159" s="15"/>
      <c r="R1159" s="15"/>
      <c r="S1159" s="15"/>
      <c r="T1159" s="15"/>
      <c r="U1159" s="15"/>
      <c r="V1159" s="15"/>
      <c r="W1159" s="15"/>
      <c r="X1159" s="15"/>
      <c r="Y1159" s="15"/>
      <c r="Z1159" s="15"/>
      <c r="AA1159" s="15"/>
      <c r="AB1159" s="15"/>
      <c r="AC1159" s="15"/>
      <c r="AD1159" s="15"/>
      <c r="AE1159" s="15"/>
      <c r="AF1159" s="15"/>
      <c r="AG1159" s="15"/>
      <c r="AH1159" s="15"/>
      <c r="AI1159" s="15"/>
    </row>
    <row r="1160" spans="1:35">
      <c r="A1160" s="15"/>
      <c r="B1160" s="15"/>
      <c r="C1160" s="15"/>
      <c r="D1160" s="15"/>
      <c r="E1160" s="15"/>
      <c r="F1160" s="15"/>
      <c r="G1160" s="15"/>
      <c r="H1160" s="15"/>
      <c r="I1160" s="15"/>
      <c r="J1160" s="15"/>
      <c r="K1160" s="15"/>
      <c r="L1160" s="15"/>
      <c r="M1160" s="15"/>
      <c r="N1160" s="15"/>
      <c r="O1160" s="15"/>
      <c r="P1160" s="15"/>
      <c r="Q1160" s="15"/>
      <c r="R1160" s="15"/>
      <c r="S1160" s="15"/>
      <c r="T1160" s="15"/>
      <c r="U1160" s="15"/>
      <c r="V1160" s="15"/>
      <c r="W1160" s="15"/>
      <c r="X1160" s="15"/>
      <c r="Y1160" s="15"/>
      <c r="Z1160" s="15"/>
      <c r="AA1160" s="15"/>
      <c r="AB1160" s="15"/>
      <c r="AC1160" s="15"/>
      <c r="AD1160" s="15"/>
      <c r="AE1160" s="15"/>
      <c r="AF1160" s="15"/>
      <c r="AG1160" s="15"/>
      <c r="AH1160" s="15"/>
      <c r="AI1160" s="15"/>
    </row>
    <row r="1161" spans="1:35">
      <c r="A1161" s="15"/>
      <c r="B1161" s="15"/>
      <c r="C1161" s="15"/>
      <c r="D1161" s="15"/>
      <c r="E1161" s="15"/>
      <c r="F1161" s="15"/>
      <c r="G1161" s="15"/>
      <c r="H1161" s="15"/>
      <c r="I1161" s="15"/>
      <c r="J1161" s="15"/>
      <c r="K1161" s="15"/>
      <c r="L1161" s="15"/>
      <c r="M1161" s="15"/>
      <c r="N1161" s="15"/>
      <c r="O1161" s="15"/>
      <c r="P1161" s="15"/>
      <c r="Q1161" s="15"/>
      <c r="R1161" s="15"/>
      <c r="S1161" s="15"/>
      <c r="T1161" s="15"/>
      <c r="U1161" s="15"/>
      <c r="V1161" s="15"/>
      <c r="W1161" s="15"/>
      <c r="X1161" s="15"/>
      <c r="Y1161" s="15"/>
      <c r="Z1161" s="15"/>
      <c r="AA1161" s="15"/>
      <c r="AB1161" s="15"/>
      <c r="AC1161" s="15"/>
      <c r="AD1161" s="15"/>
      <c r="AE1161" s="15"/>
      <c r="AF1161" s="15"/>
      <c r="AG1161" s="15"/>
      <c r="AH1161" s="15"/>
      <c r="AI1161" s="15"/>
    </row>
    <row r="1162" spans="1:35">
      <c r="A1162" s="15"/>
      <c r="B1162" s="15"/>
      <c r="C1162" s="15"/>
      <c r="D1162" s="15"/>
      <c r="E1162" s="15"/>
      <c r="F1162" s="15"/>
      <c r="G1162" s="15"/>
      <c r="H1162" s="15"/>
      <c r="I1162" s="15"/>
      <c r="J1162" s="15"/>
      <c r="K1162" s="15"/>
      <c r="L1162" s="15"/>
      <c r="M1162" s="15"/>
      <c r="N1162" s="15"/>
      <c r="O1162" s="15"/>
      <c r="P1162" s="15"/>
      <c r="Q1162" s="15"/>
      <c r="R1162" s="15"/>
      <c r="S1162" s="15"/>
      <c r="T1162" s="15"/>
      <c r="U1162" s="15"/>
      <c r="V1162" s="15"/>
      <c r="W1162" s="15"/>
      <c r="X1162" s="15"/>
      <c r="Y1162" s="15"/>
      <c r="Z1162" s="15"/>
      <c r="AA1162" s="15"/>
      <c r="AB1162" s="15"/>
      <c r="AC1162" s="15"/>
      <c r="AD1162" s="15"/>
      <c r="AE1162" s="15"/>
      <c r="AF1162" s="15"/>
      <c r="AG1162" s="15"/>
      <c r="AH1162" s="15"/>
      <c r="AI1162" s="15"/>
    </row>
    <row r="1163" spans="1:35">
      <c r="A1163" s="15"/>
      <c r="B1163" s="15"/>
      <c r="C1163" s="15"/>
      <c r="D1163" s="15"/>
      <c r="E1163" s="15"/>
      <c r="F1163" s="15"/>
      <c r="G1163" s="15"/>
      <c r="H1163" s="15"/>
      <c r="I1163" s="15"/>
      <c r="J1163" s="15"/>
      <c r="K1163" s="15"/>
      <c r="L1163" s="15"/>
      <c r="M1163" s="15"/>
      <c r="N1163" s="15"/>
      <c r="O1163" s="15"/>
      <c r="P1163" s="15"/>
      <c r="Q1163" s="15"/>
      <c r="R1163" s="15"/>
      <c r="S1163" s="15"/>
      <c r="T1163" s="15"/>
      <c r="U1163" s="15"/>
      <c r="V1163" s="15"/>
      <c r="W1163" s="15"/>
      <c r="X1163" s="15"/>
      <c r="Y1163" s="15"/>
      <c r="Z1163" s="15"/>
      <c r="AA1163" s="15"/>
      <c r="AB1163" s="15"/>
      <c r="AC1163" s="15"/>
      <c r="AD1163" s="15"/>
      <c r="AE1163" s="15"/>
      <c r="AF1163" s="15"/>
      <c r="AG1163" s="15"/>
      <c r="AH1163" s="15"/>
      <c r="AI1163" s="15"/>
    </row>
    <row r="1164" spans="1:35">
      <c r="A1164" s="15"/>
      <c r="B1164" s="15"/>
      <c r="C1164" s="15"/>
      <c r="D1164" s="15"/>
      <c r="E1164" s="15"/>
      <c r="F1164" s="15"/>
      <c r="G1164" s="15"/>
      <c r="H1164" s="15"/>
      <c r="I1164" s="15"/>
      <c r="J1164" s="15"/>
      <c r="K1164" s="15"/>
      <c r="L1164" s="15"/>
      <c r="M1164" s="15"/>
      <c r="N1164" s="15"/>
      <c r="O1164" s="15"/>
      <c r="P1164" s="15"/>
      <c r="Q1164" s="15"/>
      <c r="R1164" s="15"/>
      <c r="S1164" s="15"/>
      <c r="T1164" s="15"/>
      <c r="U1164" s="15"/>
      <c r="V1164" s="15"/>
      <c r="W1164" s="15"/>
      <c r="X1164" s="15"/>
      <c r="Y1164" s="15"/>
      <c r="Z1164" s="15"/>
      <c r="AA1164" s="15"/>
      <c r="AB1164" s="15"/>
      <c r="AC1164" s="15"/>
      <c r="AD1164" s="15"/>
      <c r="AE1164" s="15"/>
      <c r="AF1164" s="15"/>
      <c r="AG1164" s="15"/>
      <c r="AH1164" s="15"/>
      <c r="AI1164" s="15"/>
    </row>
    <row r="1165" spans="1:35">
      <c r="A1165" s="15"/>
      <c r="B1165" s="15"/>
      <c r="C1165" s="15"/>
      <c r="D1165" s="15"/>
      <c r="E1165" s="15"/>
      <c r="F1165" s="15"/>
      <c r="G1165" s="15"/>
      <c r="H1165" s="15"/>
      <c r="I1165" s="15"/>
      <c r="J1165" s="15"/>
      <c r="K1165" s="15"/>
      <c r="L1165" s="15"/>
      <c r="M1165" s="15"/>
      <c r="N1165" s="15"/>
      <c r="O1165" s="15"/>
      <c r="P1165" s="15"/>
      <c r="Q1165" s="15"/>
      <c r="R1165" s="15"/>
      <c r="S1165" s="15"/>
      <c r="T1165" s="15"/>
      <c r="U1165" s="15"/>
      <c r="V1165" s="15"/>
      <c r="W1165" s="15"/>
      <c r="X1165" s="15"/>
      <c r="Y1165" s="15"/>
      <c r="Z1165" s="15"/>
      <c r="AA1165" s="15"/>
      <c r="AB1165" s="15"/>
      <c r="AC1165" s="15"/>
      <c r="AD1165" s="15"/>
      <c r="AE1165" s="15"/>
      <c r="AF1165" s="15"/>
      <c r="AG1165" s="15"/>
      <c r="AH1165" s="15"/>
      <c r="AI1165" s="15"/>
    </row>
    <row r="1166" spans="1:35">
      <c r="A1166" s="15"/>
      <c r="B1166" s="15"/>
      <c r="C1166" s="15"/>
      <c r="D1166" s="15"/>
      <c r="E1166" s="15"/>
      <c r="F1166" s="15"/>
      <c r="G1166" s="15"/>
      <c r="H1166" s="15"/>
      <c r="I1166" s="15"/>
      <c r="J1166" s="15"/>
      <c r="K1166" s="15"/>
      <c r="L1166" s="15"/>
      <c r="M1166" s="15"/>
      <c r="N1166" s="15"/>
      <c r="O1166" s="15"/>
      <c r="P1166" s="15"/>
      <c r="Q1166" s="15"/>
      <c r="R1166" s="15"/>
      <c r="S1166" s="15"/>
      <c r="T1166" s="15"/>
      <c r="U1166" s="15"/>
      <c r="V1166" s="15"/>
      <c r="W1166" s="15"/>
      <c r="X1166" s="15"/>
      <c r="Y1166" s="15"/>
      <c r="Z1166" s="15"/>
      <c r="AA1166" s="15"/>
      <c r="AB1166" s="15"/>
      <c r="AC1166" s="15"/>
      <c r="AD1166" s="15"/>
      <c r="AE1166" s="15"/>
      <c r="AF1166" s="15"/>
      <c r="AG1166" s="15"/>
      <c r="AH1166" s="15"/>
      <c r="AI1166" s="15"/>
    </row>
    <row r="1167" spans="1:35">
      <c r="A1167" s="15"/>
      <c r="B1167" s="15"/>
      <c r="C1167" s="15"/>
      <c r="D1167" s="15"/>
      <c r="E1167" s="15"/>
      <c r="F1167" s="15"/>
      <c r="G1167" s="15"/>
      <c r="H1167" s="15"/>
      <c r="I1167" s="15"/>
      <c r="J1167" s="15"/>
      <c r="K1167" s="15"/>
      <c r="L1167" s="15"/>
      <c r="M1167" s="15"/>
      <c r="N1167" s="15"/>
      <c r="O1167" s="15"/>
      <c r="P1167" s="15"/>
      <c r="Q1167" s="15"/>
      <c r="R1167" s="15"/>
      <c r="S1167" s="15"/>
      <c r="T1167" s="15"/>
      <c r="U1167" s="15"/>
      <c r="V1167" s="15"/>
      <c r="W1167" s="15"/>
      <c r="X1167" s="15"/>
      <c r="Y1167" s="15"/>
      <c r="Z1167" s="15"/>
      <c r="AA1167" s="15"/>
      <c r="AB1167" s="15"/>
      <c r="AC1167" s="15"/>
      <c r="AD1167" s="15"/>
      <c r="AE1167" s="15"/>
      <c r="AF1167" s="15"/>
      <c r="AG1167" s="15"/>
      <c r="AH1167" s="15"/>
      <c r="AI1167" s="15"/>
    </row>
    <row r="1168" spans="1:35">
      <c r="A1168" s="15"/>
      <c r="B1168" s="15"/>
      <c r="C1168" s="15"/>
      <c r="D1168" s="15"/>
      <c r="E1168" s="15"/>
      <c r="F1168" s="15"/>
      <c r="G1168" s="15"/>
      <c r="H1168" s="15"/>
      <c r="I1168" s="15"/>
      <c r="J1168" s="15"/>
      <c r="K1168" s="15"/>
      <c r="L1168" s="15"/>
      <c r="M1168" s="15"/>
      <c r="N1168" s="15"/>
      <c r="O1168" s="15"/>
      <c r="P1168" s="15"/>
      <c r="Q1168" s="15"/>
      <c r="R1168" s="15"/>
      <c r="S1168" s="15"/>
      <c r="T1168" s="15"/>
      <c r="U1168" s="15"/>
      <c r="V1168" s="15"/>
      <c r="W1168" s="15"/>
      <c r="X1168" s="15"/>
      <c r="Y1168" s="15"/>
      <c r="Z1168" s="15"/>
      <c r="AA1168" s="15"/>
      <c r="AB1168" s="15"/>
      <c r="AC1168" s="15"/>
      <c r="AD1168" s="15"/>
      <c r="AE1168" s="15"/>
      <c r="AF1168" s="15"/>
      <c r="AG1168" s="15"/>
      <c r="AH1168" s="15"/>
      <c r="AI1168" s="15"/>
    </row>
    <row r="1169" spans="1:35">
      <c r="A1169" s="15"/>
      <c r="B1169" s="15"/>
      <c r="C1169" s="15"/>
      <c r="D1169" s="15"/>
      <c r="E1169" s="15"/>
      <c r="F1169" s="15"/>
      <c r="G1169" s="15"/>
      <c r="H1169" s="15"/>
      <c r="I1169" s="15"/>
      <c r="J1169" s="15"/>
      <c r="K1169" s="15"/>
      <c r="L1169" s="15"/>
      <c r="M1169" s="15"/>
      <c r="N1169" s="15"/>
      <c r="O1169" s="15"/>
      <c r="P1169" s="15"/>
      <c r="Q1169" s="15"/>
      <c r="R1169" s="15"/>
      <c r="S1169" s="15"/>
      <c r="T1169" s="15"/>
      <c r="U1169" s="15"/>
      <c r="V1169" s="15"/>
      <c r="W1169" s="15"/>
      <c r="X1169" s="15"/>
      <c r="Y1169" s="15"/>
      <c r="Z1169" s="15"/>
      <c r="AA1169" s="15"/>
      <c r="AB1169" s="15"/>
      <c r="AC1169" s="15"/>
      <c r="AD1169" s="15"/>
      <c r="AE1169" s="15"/>
      <c r="AF1169" s="15"/>
      <c r="AG1169" s="15"/>
      <c r="AH1169" s="15"/>
      <c r="AI1169" s="15"/>
    </row>
    <row r="1170" spans="1:35">
      <c r="A1170" s="15"/>
      <c r="B1170" s="15"/>
      <c r="C1170" s="15"/>
      <c r="D1170" s="15"/>
      <c r="E1170" s="15"/>
      <c r="F1170" s="15"/>
      <c r="G1170" s="15"/>
      <c r="H1170" s="15"/>
      <c r="I1170" s="15"/>
      <c r="J1170" s="15"/>
      <c r="K1170" s="15"/>
      <c r="L1170" s="15"/>
      <c r="M1170" s="15"/>
      <c r="N1170" s="15"/>
      <c r="O1170" s="15"/>
      <c r="P1170" s="15"/>
      <c r="Q1170" s="15"/>
      <c r="R1170" s="15"/>
      <c r="S1170" s="15"/>
      <c r="T1170" s="15"/>
      <c r="U1170" s="15"/>
      <c r="V1170" s="15"/>
      <c r="W1170" s="15"/>
      <c r="X1170" s="15"/>
      <c r="Y1170" s="15"/>
      <c r="Z1170" s="15"/>
      <c r="AA1170" s="15"/>
      <c r="AB1170" s="15"/>
      <c r="AC1170" s="15"/>
      <c r="AD1170" s="15"/>
      <c r="AE1170" s="15"/>
      <c r="AF1170" s="15"/>
      <c r="AG1170" s="15"/>
      <c r="AH1170" s="15"/>
      <c r="AI1170" s="15"/>
    </row>
    <row r="1171" spans="1:35">
      <c r="A1171" s="15"/>
      <c r="B1171" s="15"/>
      <c r="C1171" s="15"/>
      <c r="D1171" s="15"/>
      <c r="E1171" s="15"/>
      <c r="F1171" s="15"/>
      <c r="G1171" s="15"/>
      <c r="H1171" s="15"/>
      <c r="I1171" s="15"/>
      <c r="J1171" s="15"/>
      <c r="K1171" s="15"/>
      <c r="L1171" s="15"/>
      <c r="M1171" s="15"/>
      <c r="N1171" s="15"/>
      <c r="O1171" s="15"/>
      <c r="P1171" s="15"/>
      <c r="Q1171" s="15"/>
      <c r="R1171" s="15"/>
      <c r="S1171" s="15"/>
      <c r="T1171" s="15"/>
      <c r="U1171" s="15"/>
      <c r="V1171" s="15"/>
      <c r="W1171" s="15"/>
      <c r="X1171" s="15"/>
      <c r="Y1171" s="15"/>
      <c r="Z1171" s="15"/>
      <c r="AA1171" s="15"/>
      <c r="AB1171" s="15"/>
      <c r="AC1171" s="15"/>
      <c r="AD1171" s="15"/>
      <c r="AE1171" s="15"/>
      <c r="AF1171" s="15"/>
      <c r="AG1171" s="15"/>
      <c r="AH1171" s="15"/>
      <c r="AI1171" s="15"/>
    </row>
    <row r="1172" spans="1:35">
      <c r="A1172" s="15"/>
      <c r="B1172" s="15"/>
      <c r="C1172" s="15"/>
      <c r="D1172" s="15"/>
      <c r="E1172" s="15"/>
      <c r="F1172" s="15"/>
      <c r="G1172" s="15"/>
      <c r="H1172" s="15"/>
      <c r="I1172" s="15"/>
      <c r="J1172" s="15"/>
      <c r="K1172" s="15"/>
      <c r="L1172" s="15"/>
      <c r="M1172" s="15"/>
      <c r="N1172" s="15"/>
      <c r="O1172" s="15"/>
      <c r="P1172" s="15"/>
      <c r="Q1172" s="15"/>
      <c r="R1172" s="15"/>
      <c r="S1172" s="15"/>
      <c r="T1172" s="15"/>
      <c r="U1172" s="15"/>
      <c r="V1172" s="15"/>
      <c r="W1172" s="15"/>
      <c r="X1172" s="15"/>
      <c r="Y1172" s="15"/>
      <c r="Z1172" s="15"/>
      <c r="AA1172" s="15"/>
      <c r="AB1172" s="15"/>
      <c r="AC1172" s="15"/>
      <c r="AD1172" s="15"/>
      <c r="AE1172" s="15"/>
      <c r="AF1172" s="15"/>
      <c r="AG1172" s="15"/>
      <c r="AH1172" s="15"/>
      <c r="AI1172" s="15"/>
    </row>
    <row r="1173" spans="1:35">
      <c r="A1173" s="15"/>
      <c r="B1173" s="15"/>
      <c r="C1173" s="15"/>
      <c r="D1173" s="15"/>
      <c r="E1173" s="15"/>
      <c r="F1173" s="15"/>
      <c r="G1173" s="15"/>
      <c r="H1173" s="15"/>
      <c r="I1173" s="15"/>
      <c r="J1173" s="15"/>
      <c r="K1173" s="15"/>
      <c r="L1173" s="15"/>
      <c r="M1173" s="15"/>
      <c r="N1173" s="15"/>
      <c r="O1173" s="15"/>
      <c r="P1173" s="15"/>
      <c r="Q1173" s="15"/>
      <c r="R1173" s="15"/>
      <c r="S1173" s="15"/>
      <c r="T1173" s="15"/>
      <c r="U1173" s="15"/>
      <c r="V1173" s="15"/>
      <c r="W1173" s="15"/>
      <c r="X1173" s="15"/>
      <c r="Y1173" s="15"/>
      <c r="Z1173" s="15"/>
      <c r="AA1173" s="15"/>
      <c r="AB1173" s="15"/>
      <c r="AC1173" s="15"/>
      <c r="AD1173" s="15"/>
      <c r="AE1173" s="15"/>
      <c r="AF1173" s="15"/>
      <c r="AG1173" s="15"/>
      <c r="AH1173" s="15"/>
      <c r="AI1173" s="15"/>
    </row>
    <row r="1174" spans="1:35">
      <c r="A1174" s="15"/>
      <c r="B1174" s="15"/>
      <c r="C1174" s="15"/>
      <c r="D1174" s="15"/>
      <c r="E1174" s="15"/>
      <c r="F1174" s="15"/>
      <c r="G1174" s="15"/>
      <c r="H1174" s="15"/>
      <c r="I1174" s="15"/>
      <c r="J1174" s="15"/>
      <c r="K1174" s="15"/>
      <c r="L1174" s="15"/>
      <c r="M1174" s="15"/>
      <c r="N1174" s="15"/>
      <c r="O1174" s="15"/>
      <c r="P1174" s="15"/>
      <c r="Q1174" s="15"/>
      <c r="R1174" s="15"/>
      <c r="S1174" s="15"/>
      <c r="T1174" s="15"/>
      <c r="U1174" s="15"/>
      <c r="V1174" s="15"/>
      <c r="W1174" s="15"/>
      <c r="X1174" s="15"/>
      <c r="Y1174" s="15"/>
      <c r="Z1174" s="15"/>
      <c r="AA1174" s="15"/>
      <c r="AB1174" s="15"/>
      <c r="AC1174" s="15"/>
      <c r="AD1174" s="15"/>
      <c r="AE1174" s="15"/>
      <c r="AF1174" s="15"/>
      <c r="AG1174" s="15"/>
      <c r="AH1174" s="15"/>
      <c r="AI1174" s="15"/>
    </row>
  </sheetData>
  <mergeCells count="4">
    <mergeCell ref="A1:Z1"/>
    <mergeCell ref="A2:Z2"/>
    <mergeCell ref="AC2:AH2"/>
    <mergeCell ref="AC1:AH1"/>
  </mergeCells>
  <pageMargins left="0.7" right="0.7" top="0.75" bottom="0.75" header="0.3" footer="0.3"/>
  <pageSetup orientation="portrait"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topLeftCell="A44" workbookViewId="0">
      <selection activeCell="E3" sqref="E3"/>
    </sheetView>
  </sheetViews>
  <sheetFormatPr defaultColWidth="9.109375" defaultRowHeight="14.4"/>
  <cols>
    <col min="1" max="1" width="5.44140625" customWidth="1"/>
    <col min="2" max="2" width="8.109375" customWidth="1"/>
    <col min="5" max="5" width="7.44140625" customWidth="1"/>
    <col min="6" max="6" width="19.109375" customWidth="1"/>
    <col min="7" max="7" width="24.44140625" customWidth="1"/>
    <col min="8" max="8" width="17.33203125" customWidth="1"/>
    <col min="9" max="9" width="2.6640625" customWidth="1"/>
    <col min="11" max="11" width="23.5546875" customWidth="1"/>
    <col min="12" max="12" width="10.6640625" bestFit="1" customWidth="1"/>
  </cols>
  <sheetData>
    <row r="1" spans="1:18" ht="183" customHeight="1">
      <c r="A1" s="176" t="s">
        <v>1507</v>
      </c>
      <c r="B1" s="177"/>
      <c r="C1" s="177"/>
      <c r="D1" s="177"/>
      <c r="E1" s="177"/>
      <c r="F1" s="177"/>
      <c r="G1" s="177"/>
      <c r="H1" s="177"/>
      <c r="I1" s="177"/>
      <c r="J1" s="177"/>
      <c r="K1" s="177"/>
      <c r="L1" s="177"/>
      <c r="M1" s="177"/>
      <c r="N1" s="177"/>
    </row>
    <row r="2" spans="1:18">
      <c r="A2" s="76" t="s">
        <v>2</v>
      </c>
      <c r="B2" s="77" t="s">
        <v>106</v>
      </c>
      <c r="C2" s="78" t="s">
        <v>107</v>
      </c>
      <c r="D2" s="79" t="s">
        <v>108</v>
      </c>
      <c r="E2" s="78" t="s">
        <v>109</v>
      </c>
      <c r="F2" s="80" t="s">
        <v>117</v>
      </c>
      <c r="G2" s="81" t="s">
        <v>118</v>
      </c>
      <c r="H2" s="78" t="s">
        <v>110</v>
      </c>
      <c r="I2" s="82"/>
      <c r="K2" s="175" t="s">
        <v>1251</v>
      </c>
      <c r="L2" s="175"/>
      <c r="M2" s="175"/>
    </row>
    <row r="3" spans="1:18">
      <c r="A3" s="70">
        <v>1</v>
      </c>
      <c r="B3" s="71">
        <f>AVERAGE(DT!A4:A1004)</f>
        <v>1.5725490196078431</v>
      </c>
      <c r="C3" s="71">
        <f>VAR(DT!A4:A1004)</f>
        <v>1.8756214296742317</v>
      </c>
      <c r="D3" s="71">
        <f>SQRT(C3)</f>
        <v>1.3695332889982017</v>
      </c>
      <c r="E3" s="72">
        <f>COUNTA(Data!A4:A1004)</f>
        <v>255</v>
      </c>
      <c r="F3" s="73" t="str">
        <f>VLOOKUP(Read_First!B5,Items!A1:BA50,2,FALSE)</f>
        <v>annoying</v>
      </c>
      <c r="G3" s="74" t="str">
        <f>VLOOKUP(Read_First!B5,Items!A1:BA50,3,FALSE)</f>
        <v>enjoyable</v>
      </c>
      <c r="H3" s="75" t="str">
        <f>VLOOKUP(Read_First!B5,Items!A1:BI50,54,FALSE)</f>
        <v>Attractiveness</v>
      </c>
      <c r="I3" s="135"/>
      <c r="K3" s="30" t="str">
        <f>VLOOKUP(Read_First!B5,Items!A1:BI50,54,FALSE)</f>
        <v>Attractiveness</v>
      </c>
      <c r="L3" s="11">
        <f>AVERAGE(DT!AC4:AC1004)</f>
        <v>1.4732026143790853</v>
      </c>
      <c r="M3" s="7">
        <f>VAR(DT!AC4:AC1004)</f>
        <v>1.3053814351637423</v>
      </c>
      <c r="R3" s="5"/>
    </row>
    <row r="4" spans="1:18">
      <c r="A4" s="2">
        <v>2</v>
      </c>
      <c r="B4" s="3">
        <f>AVERAGE(DT!B4:B1004)</f>
        <v>1.8862745098039215</v>
      </c>
      <c r="C4" s="3">
        <f>VAR(DT!B4:B1004)</f>
        <v>1.7232360660799755</v>
      </c>
      <c r="D4" s="3">
        <f t="shared" ref="D4:D28" si="0">SQRT(C4)</f>
        <v>1.3127208637330237</v>
      </c>
      <c r="E4" s="4">
        <f>COUNTA(Data!B4:B1004)</f>
        <v>255</v>
      </c>
      <c r="F4" s="22" t="str">
        <f>VLOOKUP(Read_First!B5,Items!A1:BA50,4,FALSE)</f>
        <v>not understandable</v>
      </c>
      <c r="G4" s="22" t="str">
        <f>VLOOKUP(Read_First!B5,Items!A1:BA50,5,FALSE)</f>
        <v>understandable</v>
      </c>
      <c r="H4" s="28" t="str">
        <f>VLOOKUP(Read_First!B5,Items!A1:BI50,55,FALSE)</f>
        <v>Perspicuity</v>
      </c>
      <c r="I4" s="9"/>
      <c r="K4" s="30" t="str">
        <f>VLOOKUP(Read_First!B5,Items!A1:BI50,55,FALSE)</f>
        <v>Perspicuity</v>
      </c>
      <c r="L4" s="11">
        <f>AVERAGE(DT!AD4:AD1004)</f>
        <v>1.642156862745098</v>
      </c>
      <c r="M4" s="7">
        <f>VAR(DT!AD4:AD1004)</f>
        <v>1.2949185579743707</v>
      </c>
    </row>
    <row r="5" spans="1:18">
      <c r="A5" s="2">
        <v>3</v>
      </c>
      <c r="B5" s="3">
        <f>AVERAGE(DT!C4:C1004)</f>
        <v>0.78823529411764703</v>
      </c>
      <c r="C5" s="3">
        <f>VAR(DT!C4:C1004)</f>
        <v>2.3171838814265859</v>
      </c>
      <c r="D5" s="3">
        <f t="shared" si="0"/>
        <v>1.5222299042610437</v>
      </c>
      <c r="E5" s="4">
        <f>COUNTA(Data!C4:C1004)</f>
        <v>255</v>
      </c>
      <c r="F5" s="22" t="str">
        <f>VLOOKUP(Read_First!B5,Items!A1:BA50,6,FALSE)</f>
        <v>creative</v>
      </c>
      <c r="G5" s="22" t="str">
        <f>VLOOKUP(Read_First!B5,Items!A1:BA50,7,FALSE)</f>
        <v>dull</v>
      </c>
      <c r="H5" s="28" t="str">
        <f>VLOOKUP(Read_First!B5,Items!A1:BI50,59,FALSE)</f>
        <v>Novelty</v>
      </c>
      <c r="I5" s="137"/>
      <c r="K5" s="30" t="str">
        <f>VLOOKUP(Read_First!B5,Items!A1:BI50,56,FALSE)</f>
        <v>Efficiency</v>
      </c>
      <c r="L5" s="11">
        <f>AVERAGE(DT!AE4:AE1004)</f>
        <v>1.6068627450980393</v>
      </c>
      <c r="M5" s="7">
        <f>VAR(DT!AE4:AE1004)</f>
        <v>1.0980334259688127</v>
      </c>
    </row>
    <row r="6" spans="1:18">
      <c r="A6" s="2">
        <v>4</v>
      </c>
      <c r="B6" s="3">
        <f>AVERAGE(DT!D4:D1004)</f>
        <v>1.4862745098039216</v>
      </c>
      <c r="C6" s="3">
        <f>VAR(DT!D4:D1004)</f>
        <v>2.6523699243476919</v>
      </c>
      <c r="D6" s="3">
        <f t="shared" si="0"/>
        <v>1.6286098134137876</v>
      </c>
      <c r="E6" s="4">
        <f>COUNTA(Data!D4:D1004)</f>
        <v>255</v>
      </c>
      <c r="F6" s="22" t="str">
        <f>VLOOKUP(Read_First!B5,Items!A1:BA50,8,FALSE)</f>
        <v>easy to learn</v>
      </c>
      <c r="G6" s="23" t="str">
        <f>VLOOKUP(Read_First!B5,Items!A1:BA50,9,FALSE)</f>
        <v>difficult to learn</v>
      </c>
      <c r="H6" s="28" t="str">
        <f>VLOOKUP(Read_First!B5,Items!A1:BI50,55,FALSE)</f>
        <v>Perspicuity</v>
      </c>
      <c r="I6" s="9"/>
      <c r="K6" s="31" t="str">
        <f>VLOOKUP(Read_First!B5,Items!A1:BI50,57,FALSE)</f>
        <v>Dependability</v>
      </c>
      <c r="L6" s="11">
        <f>AVERAGE(DT!AF4:AF1004)</f>
        <v>1.2431372549019608</v>
      </c>
      <c r="M6" s="7">
        <f>VAR(DT!AF4:AF1004)</f>
        <v>0.82500192990582066</v>
      </c>
    </row>
    <row r="7" spans="1:18">
      <c r="A7" s="2">
        <v>5</v>
      </c>
      <c r="B7" s="3">
        <f>AVERAGE(DT!E4:E1004)</f>
        <v>1.4980392156862745</v>
      </c>
      <c r="C7" s="3">
        <f>VAR(DT!E4:E1004)</f>
        <v>2.1879882661726109</v>
      </c>
      <c r="D7" s="3">
        <f t="shared" si="0"/>
        <v>1.4791850006583391</v>
      </c>
      <c r="E7" s="4">
        <f>COUNTA(Data!E4:E1004)</f>
        <v>255</v>
      </c>
      <c r="F7" s="22" t="str">
        <f>VLOOKUP(Read_First!B5,Items!A1:BA50,10,FALSE)</f>
        <v>valuable</v>
      </c>
      <c r="G7" s="23" t="str">
        <f>VLOOKUP(Read_First!B5,Items!A1:BA50,11,FALSE)</f>
        <v>inferior</v>
      </c>
      <c r="H7" s="29" t="str">
        <f>VLOOKUP(Read_First!B5,Items!A1:BI50,58,FALSE)</f>
        <v>Stimulation</v>
      </c>
      <c r="I7" s="138"/>
      <c r="K7" s="31" t="str">
        <f>VLOOKUP(Read_First!B5,Items!A1:BI50,58,FALSE)</f>
        <v>Stimulation</v>
      </c>
      <c r="L7" s="11">
        <f>AVERAGE(DT!AG4:AG1004)</f>
        <v>1.1352941176470588</v>
      </c>
      <c r="M7" s="7">
        <f>VAR(DT!AG4:AG1004)</f>
        <v>1.1258163501621121</v>
      </c>
    </row>
    <row r="8" spans="1:18">
      <c r="A8" s="2">
        <v>6</v>
      </c>
      <c r="B8" s="3">
        <f>AVERAGE(DT!F4:F1004)</f>
        <v>0.9882352941176471</v>
      </c>
      <c r="C8" s="3">
        <f>VAR(DT!F4:F1004)</f>
        <v>1.6573413617415471</v>
      </c>
      <c r="D8" s="3">
        <f t="shared" si="0"/>
        <v>1.2873777074897432</v>
      </c>
      <c r="E8" s="4">
        <f>COUNTA(Data!F4:F1004)</f>
        <v>255</v>
      </c>
      <c r="F8" s="22" t="str">
        <f>VLOOKUP(Read_First!B5,Items!A1:BA50,12,FALSE)</f>
        <v>boring</v>
      </c>
      <c r="G8" s="23" t="str">
        <f>VLOOKUP(Read_First!B5,Items!A1:BA50,13,FALSE)</f>
        <v>exciting</v>
      </c>
      <c r="H8" s="29" t="str">
        <f>VLOOKUP(Read_First!B5,Items!A1:BI50,58,FALSE)</f>
        <v>Stimulation</v>
      </c>
      <c r="I8" s="138"/>
      <c r="K8" s="30" t="str">
        <f>VLOOKUP(Read_First!B5,Items!A1:BI50,59,FALSE)</f>
        <v>Novelty</v>
      </c>
      <c r="L8" s="11">
        <f>AVERAGE(DT!AH4:AH1004)</f>
        <v>0.77352941176470591</v>
      </c>
      <c r="M8" s="7">
        <f>VAR(DT!AH4:AH1004)</f>
        <v>1.1652906438165818</v>
      </c>
    </row>
    <row r="9" spans="1:18">
      <c r="A9" s="2">
        <v>7</v>
      </c>
      <c r="B9" s="3">
        <f>AVERAGE(DT!G4:G1004)</f>
        <v>1.2274509803921569</v>
      </c>
      <c r="C9" s="3">
        <f>VAR(DT!G4:G1004)</f>
        <v>1.8693222170758068</v>
      </c>
      <c r="D9" s="3">
        <f t="shared" si="0"/>
        <v>1.367231588676844</v>
      </c>
      <c r="E9" s="4">
        <f>COUNTA(Data!G4:G1004)</f>
        <v>255</v>
      </c>
      <c r="F9" s="22" t="str">
        <f>VLOOKUP(Read_First!B5,Items!A1:BA50,14,FALSE)</f>
        <v>not interesting</v>
      </c>
      <c r="G9" s="23" t="str">
        <f>VLOOKUP(Read_First!B5,Items!A1:BA50,15,FALSE)</f>
        <v>interesting</v>
      </c>
      <c r="H9" s="29" t="str">
        <f>VLOOKUP(Read_First!B5,Items!A1:BI50,58,FALSE)</f>
        <v>Stimulation</v>
      </c>
      <c r="I9" s="138"/>
    </row>
    <row r="10" spans="1:18">
      <c r="A10" s="2">
        <v>8</v>
      </c>
      <c r="B10" s="3">
        <f>AVERAGE(DT!H4:H1004)</f>
        <v>0.62352941176470589</v>
      </c>
      <c r="C10" s="3">
        <f>VAR(DT!H4:H1004)</f>
        <v>1.8025937934228811</v>
      </c>
      <c r="D10" s="3">
        <f t="shared" si="0"/>
        <v>1.3426070882513921</v>
      </c>
      <c r="E10" s="4">
        <f>COUNTA(Data!H4:H1004)</f>
        <v>255</v>
      </c>
      <c r="F10" s="22" t="str">
        <f>VLOOKUP(Read_First!B5,Items!A1:BA50,16,FALSE)</f>
        <v>unpredictable</v>
      </c>
      <c r="G10" s="23" t="str">
        <f>VLOOKUP(Read_First!B5,Items!A1:BA50,17,FALSE)</f>
        <v>predictable</v>
      </c>
      <c r="H10" s="28" t="str">
        <f>VLOOKUP(Read_First!B5,Items!A1:BI50,57,FALSE)</f>
        <v>Dependability</v>
      </c>
      <c r="I10" s="140"/>
    </row>
    <row r="11" spans="1:18">
      <c r="A11" s="2">
        <v>9</v>
      </c>
      <c r="B11" s="3">
        <f>AVERAGE(DT!I4:I1004)</f>
        <v>1.4313725490196079</v>
      </c>
      <c r="C11" s="3">
        <f>VAR(DT!I4:I1004)</f>
        <v>1.8131851165663113</v>
      </c>
      <c r="D11" s="3">
        <f t="shared" si="0"/>
        <v>1.3465456236482711</v>
      </c>
      <c r="E11" s="4">
        <f>COUNTA(Data!I4:I1004)</f>
        <v>255</v>
      </c>
      <c r="F11" s="22" t="str">
        <f>VLOOKUP(Read_First!B5,Items!A1:BA50,18,FALSE)</f>
        <v>fast</v>
      </c>
      <c r="G11" s="23" t="str">
        <f>VLOOKUP(Read_First!B5,Items!A1:BA50,19,FALSE)</f>
        <v>slow</v>
      </c>
      <c r="H11" s="28" t="str">
        <f>VLOOKUP(Read_First!B5,Items!A1:BI50,56,FALSE)</f>
        <v>Efficiency</v>
      </c>
      <c r="I11" s="139"/>
    </row>
    <row r="12" spans="1:18">
      <c r="A12" s="2">
        <v>10</v>
      </c>
      <c r="B12" s="3">
        <f>AVERAGE(DT!J4:J1004)</f>
        <v>0.78823529411764703</v>
      </c>
      <c r="C12" s="3">
        <f>VAR(DT!J4:J1004)</f>
        <v>2.2226956924502081</v>
      </c>
      <c r="D12" s="3">
        <f t="shared" si="0"/>
        <v>1.4908707832841208</v>
      </c>
      <c r="E12" s="4">
        <f>COUNTA(Data!J4:J1004)</f>
        <v>255</v>
      </c>
      <c r="F12" s="22" t="str">
        <f>VLOOKUP(Read_First!B5,Items!A1:BA50,20,FALSE)</f>
        <v>inventive</v>
      </c>
      <c r="G12" s="23" t="str">
        <f>VLOOKUP(Read_First!B5,Items!A1:BA50,21,FALSE)</f>
        <v>conventional</v>
      </c>
      <c r="H12" s="28" t="str">
        <f>VLOOKUP(Read_First!B5,Items!A1:BI50,59,FALSE)</f>
        <v>Novelty</v>
      </c>
      <c r="I12" s="137"/>
    </row>
    <row r="13" spans="1:18">
      <c r="A13" s="2">
        <v>11</v>
      </c>
      <c r="B13" s="3">
        <f>AVERAGE(DT!K4:K1004)</f>
        <v>1.0392156862745099</v>
      </c>
      <c r="C13" s="3">
        <f>VAR(DT!K4:K1004)</f>
        <v>1.785857650146673</v>
      </c>
      <c r="D13" s="3">
        <f t="shared" si="0"/>
        <v>1.3363598505442584</v>
      </c>
      <c r="E13" s="4">
        <f>COUNTA(Data!K4:K1004)</f>
        <v>255</v>
      </c>
      <c r="F13" s="22" t="str">
        <f>VLOOKUP(Read_First!B5,Items!A1:BA50,22,FALSE)</f>
        <v>obstructive</v>
      </c>
      <c r="G13" s="23" t="str">
        <f>VLOOKUP(Read_First!B5,Items!A1:BA50,23,FALSE)</f>
        <v>supportive</v>
      </c>
      <c r="H13" s="28" t="str">
        <f>VLOOKUP(Read_First!B5,Items!A1:BI50,57,FALSE)</f>
        <v>Dependability</v>
      </c>
      <c r="I13" s="140"/>
    </row>
    <row r="14" spans="1:18">
      <c r="A14" s="2">
        <v>12</v>
      </c>
      <c r="B14" s="3">
        <f>AVERAGE(DT!L4:L1004)</f>
        <v>1.6862745098039216</v>
      </c>
      <c r="C14" s="3">
        <f>VAR(DT!L4:L1004)</f>
        <v>2.0665431526941482</v>
      </c>
      <c r="D14" s="3">
        <f t="shared" si="0"/>
        <v>1.4375476175397282</v>
      </c>
      <c r="E14" s="4">
        <f>COUNTA(Data!L4:L1004)</f>
        <v>255</v>
      </c>
      <c r="F14" s="22" t="str">
        <f>VLOOKUP(Read_First!B5,Items!A1:BA50,24,FALSE)</f>
        <v>good</v>
      </c>
      <c r="G14" s="23" t="str">
        <f>VLOOKUP(Read_First!B5,Items!A1:BA50,25,FALSE)</f>
        <v>bad</v>
      </c>
      <c r="H14" s="28" t="str">
        <f>VLOOKUP(Read_First!B5,Items!A1:BI50,54,FALSE)</f>
        <v>Attractiveness</v>
      </c>
      <c r="I14" s="136"/>
    </row>
    <row r="15" spans="1:18">
      <c r="A15" s="2">
        <v>13</v>
      </c>
      <c r="B15" s="3">
        <f>AVERAGE(DT!M4:M1004)</f>
        <v>1.5254901960784313</v>
      </c>
      <c r="C15" s="3">
        <f>VAR(DT!M4:M1004)</f>
        <v>1.9904894241161033</v>
      </c>
      <c r="D15" s="3">
        <f t="shared" si="0"/>
        <v>1.4108470590805027</v>
      </c>
      <c r="E15" s="4">
        <f>COUNTA(Data!M4:M1004)</f>
        <v>255</v>
      </c>
      <c r="F15" s="22" t="str">
        <f>VLOOKUP(Read_First!B5,Items!A1:BA50,26,FALSE)</f>
        <v>complicated</v>
      </c>
      <c r="G15" s="23" t="str">
        <f>VLOOKUP(Read_First!B5,Items!A1:BA50,27,FALSE)</f>
        <v>easy</v>
      </c>
      <c r="H15" s="28" t="str">
        <f>VLOOKUP(Read_First!B5,Items!A1:BI50,55,FALSE)</f>
        <v>Perspicuity</v>
      </c>
      <c r="I15" s="9"/>
    </row>
    <row r="16" spans="1:18">
      <c r="A16" s="2">
        <v>14</v>
      </c>
      <c r="B16" s="3">
        <f>AVERAGE(DT!N4:N1004)</f>
        <v>1.4274509803921569</v>
      </c>
      <c r="C16" s="3">
        <f>VAR(DT!N4:N1004)</f>
        <v>2.088219854871082</v>
      </c>
      <c r="D16" s="3">
        <f t="shared" si="0"/>
        <v>1.4450674222578965</v>
      </c>
      <c r="E16" s="4">
        <f>COUNTA(Data!N4:N1004)</f>
        <v>255</v>
      </c>
      <c r="F16" s="22" t="str">
        <f>VLOOKUP(Read_First!B5,Items!A1:BA50,28,FALSE)</f>
        <v>unlikable</v>
      </c>
      <c r="G16" s="23" t="str">
        <f>VLOOKUP(Read_First!B5,Items!A1:BA50,29,FALSE)</f>
        <v>pleasing</v>
      </c>
      <c r="H16" s="28" t="str">
        <f>VLOOKUP(Read_First!B5,Items!A1:BI50,54,FALSE)</f>
        <v>Attractiveness</v>
      </c>
      <c r="I16" s="136"/>
    </row>
    <row r="17" spans="1:9">
      <c r="A17" s="2">
        <v>15</v>
      </c>
      <c r="B17" s="3">
        <f>AVERAGE(DT!O4:O1004)</f>
        <v>0.82745098039215681</v>
      </c>
      <c r="C17" s="3">
        <f>VAR(DT!O4:O1004)</f>
        <v>2.1275899336112398</v>
      </c>
      <c r="D17" s="3">
        <f t="shared" si="0"/>
        <v>1.4586260431005749</v>
      </c>
      <c r="E17" s="4">
        <f>COUNTA(Data!O4:O1004)</f>
        <v>255</v>
      </c>
      <c r="F17" s="22" t="str">
        <f>VLOOKUP(Read_First!B5,Items!A1:BA50,30,FALSE)</f>
        <v>usual</v>
      </c>
      <c r="G17" s="23" t="str">
        <f>VLOOKUP(Read_First!B5,Items!A1:BA50,31,FALSE)</f>
        <v>leading edge</v>
      </c>
      <c r="H17" s="28" t="str">
        <f>VLOOKUP(Read_First!B5,Items!A1:BI50,59,FALSE)</f>
        <v>Novelty</v>
      </c>
      <c r="I17" s="137"/>
    </row>
    <row r="18" spans="1:9">
      <c r="A18" s="2">
        <v>16</v>
      </c>
      <c r="B18" s="3">
        <f>AVERAGE(DT!P4:P1004)</f>
        <v>1.4784313725490197</v>
      </c>
      <c r="C18" s="3">
        <f>VAR(DT!P4:P1004)</f>
        <v>1.9434306005866913</v>
      </c>
      <c r="D18" s="3">
        <f t="shared" si="0"/>
        <v>1.3940697976022187</v>
      </c>
      <c r="E18" s="4">
        <f>COUNTA(Data!P4:P1004)</f>
        <v>255</v>
      </c>
      <c r="F18" s="22" t="str">
        <f>VLOOKUP(Read_First!B5,Items!A1:BA50,32,FALSE)</f>
        <v>unpleasant</v>
      </c>
      <c r="G18" s="23" t="str">
        <f>VLOOKUP(Read_First!B5,Items!A1:BA50,33,FALSE)</f>
        <v>pleasant</v>
      </c>
      <c r="H18" s="28" t="str">
        <f>VLOOKUP(Read_First!B5,Items!A1:BI50,54,FALSE)</f>
        <v>Attractiveness</v>
      </c>
      <c r="I18" s="136"/>
    </row>
    <row r="19" spans="1:9">
      <c r="A19" s="2">
        <v>17</v>
      </c>
      <c r="B19" s="3">
        <f>AVERAGE(DT!Q4:Q1004)</f>
        <v>1.5607843137254902</v>
      </c>
      <c r="C19" s="3">
        <f>VAR(DT!Q4:Q1004)</f>
        <v>2.1212907210128145</v>
      </c>
      <c r="D19" s="3">
        <f t="shared" si="0"/>
        <v>1.456465145828356</v>
      </c>
      <c r="E19" s="4">
        <f>COUNTA(Data!Q4:Q1004)</f>
        <v>255</v>
      </c>
      <c r="F19" s="22" t="str">
        <f>VLOOKUP(Read_First!B5,Items!A1:BA50,34,FALSE)</f>
        <v>secure</v>
      </c>
      <c r="G19" s="23" t="str">
        <f>VLOOKUP(Read_First!B5,Items!A1:BA50,35,FALSE)</f>
        <v>not secure</v>
      </c>
      <c r="H19" s="28" t="str">
        <f>VLOOKUP(Read_First!B5,Items!A1:BI50,57,FALSE)</f>
        <v>Dependability</v>
      </c>
      <c r="I19" s="140"/>
    </row>
    <row r="20" spans="1:9">
      <c r="A20" s="2">
        <v>18</v>
      </c>
      <c r="B20" s="3">
        <f>AVERAGE(DT!R4:R1004)</f>
        <v>0.82745098039215681</v>
      </c>
      <c r="C20" s="3">
        <f>VAR(DT!R4:R1004)</f>
        <v>1.7102670989655704</v>
      </c>
      <c r="D20" s="3">
        <f t="shared" si="0"/>
        <v>1.3077718069164705</v>
      </c>
      <c r="E20" s="4">
        <f>COUNTA(Data!R4:R1004)</f>
        <v>255</v>
      </c>
      <c r="F20" s="22" t="str">
        <f>VLOOKUP(Read_First!B5,Items!A1:BA50,36,FALSE)</f>
        <v>motivating</v>
      </c>
      <c r="G20" s="23" t="str">
        <f>VLOOKUP(Read_First!B5,Items!A1:BA50,37,FALSE)</f>
        <v>demotivating</v>
      </c>
      <c r="H20" s="29" t="str">
        <f>VLOOKUP(Read_First!B5,Items!A1:BI50,58,FALSE)</f>
        <v>Stimulation</v>
      </c>
      <c r="I20" s="138"/>
    </row>
    <row r="21" spans="1:9">
      <c r="A21" s="2">
        <v>19</v>
      </c>
      <c r="B21" s="3">
        <f>AVERAGE(DT!S4:S1004)</f>
        <v>1.7490196078431373</v>
      </c>
      <c r="C21" s="3">
        <f>VAR(DT!S4:S1004)</f>
        <v>1.865894704338428</v>
      </c>
      <c r="D21" s="3">
        <f t="shared" si="0"/>
        <v>1.3659775636292231</v>
      </c>
      <c r="E21" s="4">
        <f>COUNTA(Data!S4:S1004)</f>
        <v>255</v>
      </c>
      <c r="F21" s="22" t="str">
        <f>VLOOKUP(Read_First!B5,Items!A1:BA50,38,FALSE)</f>
        <v>meets expectations</v>
      </c>
      <c r="G21" s="23" t="str">
        <f>VLOOKUP(Read_First!B5,Items!A1:BA50,39,FALSE)</f>
        <v>does not meet expectations</v>
      </c>
      <c r="H21" s="28" t="str">
        <f>VLOOKUP(Read_First!B5,Items!A1:BI50,57,FALSE)</f>
        <v>Dependability</v>
      </c>
      <c r="I21" s="140"/>
    </row>
    <row r="22" spans="1:9">
      <c r="A22" s="2">
        <v>20</v>
      </c>
      <c r="B22" s="3">
        <f>AVERAGE(DT!T4:T1004)</f>
        <v>1.7411764705882353</v>
      </c>
      <c r="C22" s="3">
        <f>VAR(DT!T4:T1004)</f>
        <v>1.7752663270032421</v>
      </c>
      <c r="D22" s="3">
        <f t="shared" si="0"/>
        <v>1.3323912064417274</v>
      </c>
      <c r="E22" s="4">
        <f>COUNTA(Data!T4:T1004)</f>
        <v>255</v>
      </c>
      <c r="F22" s="22" t="str">
        <f>VLOOKUP(Read_First!B5,Items!A1:BA50,40,FALSE)</f>
        <v>inefficient</v>
      </c>
      <c r="G22" s="23" t="str">
        <f>VLOOKUP(Read_First!B5,Items!A1:BA50,41,FALSE)</f>
        <v>efficient</v>
      </c>
      <c r="H22" s="28" t="str">
        <f>VLOOKUP(Read_First!B5,Items!A1:BI50,56,FALSE)</f>
        <v>Efficiency</v>
      </c>
      <c r="I22" s="139"/>
    </row>
    <row r="23" spans="1:9">
      <c r="A23" s="6">
        <v>21</v>
      </c>
      <c r="B23" s="3">
        <f>AVERAGE(DT!U4:U1004)</f>
        <v>1.6705882352941177</v>
      </c>
      <c r="C23" s="3">
        <f>VAR(DT!U4:U1004)</f>
        <v>1.9461787864752202</v>
      </c>
      <c r="D23" s="3">
        <f t="shared" si="0"/>
        <v>1.3950551195114909</v>
      </c>
      <c r="E23" s="4">
        <f>COUNTA(Data!U4:U1004)</f>
        <v>255</v>
      </c>
      <c r="F23" s="22" t="str">
        <f>VLOOKUP(Read_First!B5,Items!A1:BA50,42,FALSE)</f>
        <v>clear</v>
      </c>
      <c r="G23" s="23" t="str">
        <f>VLOOKUP(Read_First!B5,Items!A1:BA50,43,FALSE)</f>
        <v>confusing</v>
      </c>
      <c r="H23" s="28" t="str">
        <f>VLOOKUP(Read_First!B5,Items!A1:BI50,55,FALSE)</f>
        <v>Perspicuity</v>
      </c>
      <c r="I23" s="9"/>
    </row>
    <row r="24" spans="1:9">
      <c r="A24" s="6">
        <v>22</v>
      </c>
      <c r="B24" s="3">
        <f>AVERAGE(DT!V4:V1004)</f>
        <v>1.9294117647058824</v>
      </c>
      <c r="C24" s="3">
        <f>VAR(DT!V4:V1004)</f>
        <v>1.2390921723019916</v>
      </c>
      <c r="D24" s="3">
        <f t="shared" si="0"/>
        <v>1.1131451712611395</v>
      </c>
      <c r="E24" s="4">
        <f>COUNTA(Data!V4:V1004)</f>
        <v>255</v>
      </c>
      <c r="F24" s="22" t="str">
        <f>VLOOKUP(Read_First!B5,Items!A1:BA50,44,FALSE)</f>
        <v>impractical</v>
      </c>
      <c r="G24" s="23" t="str">
        <f>VLOOKUP(Read_First!B5,Items!A1:BA50,45,FALSE)</f>
        <v>practical</v>
      </c>
      <c r="H24" s="28" t="str">
        <f>VLOOKUP(Read_First!B5,Items!A1:BI50,56,FALSE)</f>
        <v>Efficiency</v>
      </c>
      <c r="I24" s="139"/>
    </row>
    <row r="25" spans="1:9">
      <c r="A25" s="6">
        <v>23</v>
      </c>
      <c r="B25" s="3">
        <f>AVERAGE(DT!W4:W1004)</f>
        <v>1.3254901960784313</v>
      </c>
      <c r="C25" s="3">
        <f>VAR(DT!W4:W1004)</f>
        <v>2.5511193453759455</v>
      </c>
      <c r="D25" s="3">
        <f t="shared" si="0"/>
        <v>1.5972223844461815</v>
      </c>
      <c r="E25" s="4">
        <f>COUNTA(Data!W4:W1004)</f>
        <v>255</v>
      </c>
      <c r="F25" s="22" t="str">
        <f>VLOOKUP(Read_First!B5,Items!A1:BA50,46,FALSE)</f>
        <v>organized</v>
      </c>
      <c r="G25" s="23" t="str">
        <f>VLOOKUP(Read_First!B5,Items!A1:BA50,47,FALSE)</f>
        <v>cluttered</v>
      </c>
      <c r="H25" s="28" t="str">
        <f>VLOOKUP(Read_First!B5,Items!A1:BI50,56,FALSE)</f>
        <v>Efficiency</v>
      </c>
      <c r="I25" s="139"/>
    </row>
    <row r="26" spans="1:9">
      <c r="A26" s="6">
        <v>24</v>
      </c>
      <c r="B26" s="3">
        <f>AVERAGE(DT!X4:X1004)</f>
        <v>1.2039215686274509</v>
      </c>
      <c r="C26" s="3">
        <f>VAR(DT!X4:X1004)</f>
        <v>1.7928979465802068</v>
      </c>
      <c r="D26" s="3">
        <f t="shared" si="0"/>
        <v>1.3389913915258032</v>
      </c>
      <c r="E26" s="4">
        <f>COUNTA(Data!X4:X1004)</f>
        <v>255</v>
      </c>
      <c r="F26" s="22" t="str">
        <f>VLOOKUP(Read_First!B5,Items!A1:BA50,48,FALSE)</f>
        <v>attractive</v>
      </c>
      <c r="G26" s="23" t="str">
        <f>VLOOKUP(Read_First!B5,Items!A1:BA50,49,FALSE)</f>
        <v>unattractive</v>
      </c>
      <c r="H26" s="28" t="str">
        <f>VLOOKUP(Read_First!B5,Items!A1:BI50,54,FALSE)</f>
        <v>Attractiveness</v>
      </c>
      <c r="I26" s="136"/>
    </row>
    <row r="27" spans="1:9">
      <c r="A27" s="6">
        <v>25</v>
      </c>
      <c r="B27" s="3">
        <f>AVERAGE(DT!Y4:Y1004)</f>
        <v>1.4705882352941178</v>
      </c>
      <c r="C27" s="3">
        <f>VAR(DT!Y4:Y1004)</f>
        <v>1.7698008337193143</v>
      </c>
      <c r="D27" s="3">
        <f t="shared" si="0"/>
        <v>1.3303386161873654</v>
      </c>
      <c r="E27" s="4">
        <f>COUNTA(Data!Y4:Y1004)</f>
        <v>255</v>
      </c>
      <c r="F27" s="22" t="str">
        <f>VLOOKUP(Read_First!B5,Items!A1:BA50,50,FALSE)</f>
        <v>friendly</v>
      </c>
      <c r="G27" s="23" t="str">
        <f>VLOOKUP(Read_First!B5,Items!A1:BA50,51,FALSE)</f>
        <v>unfriendly</v>
      </c>
      <c r="H27" s="28" t="str">
        <f>VLOOKUP(Read_First!B5,Items!A1:BI50,54,FALSE)</f>
        <v>Attractiveness</v>
      </c>
      <c r="I27" s="136"/>
    </row>
    <row r="28" spans="1:9">
      <c r="A28" s="6">
        <v>26</v>
      </c>
      <c r="B28" s="3">
        <f>AVERAGE(DT!Z4:Z1004)</f>
        <v>0.69019607843137254</v>
      </c>
      <c r="C28" s="3">
        <f>VAR(DT!Z4:Z1004)</f>
        <v>2.1752972054963715</v>
      </c>
      <c r="D28" s="3">
        <f t="shared" si="0"/>
        <v>1.4748888790333905</v>
      </c>
      <c r="E28" s="4">
        <f>COUNTA(Data!Z4:Z1004)</f>
        <v>255</v>
      </c>
      <c r="F28" s="22" t="str">
        <f>VLOOKUP(Read_First!B5,Items!A1:BA50,52,FALSE)</f>
        <v>conservative</v>
      </c>
      <c r="G28" s="23" t="str">
        <f>VLOOKUP(Read_First!B5,Items!A1:BA50,53,FALSE)</f>
        <v>innovative</v>
      </c>
      <c r="H28" s="28" t="str">
        <f>VLOOKUP(Read_First!B5,Items!A1:BI50,59,FALSE)</f>
        <v>Novelty</v>
      </c>
      <c r="I28" s="137"/>
    </row>
    <row r="39" spans="11:15">
      <c r="K39" s="175" t="s">
        <v>820</v>
      </c>
      <c r="L39" s="175"/>
    </row>
    <row r="40" spans="11:15">
      <c r="K40" s="42" t="str">
        <f>VLOOKUP(Read_First!B5,Items!A1:BI50,54,FALSE)</f>
        <v>Attractiveness</v>
      </c>
      <c r="L40" s="43">
        <f>AVERAGE(DT!AC4:AC1004)</f>
        <v>1.4732026143790853</v>
      </c>
    </row>
    <row r="41" spans="11:15">
      <c r="K41" s="1" t="str">
        <f>VLOOKUP(Read_First!B5,Items!A1:BI50,60,FALSE)</f>
        <v>Pragmatic Quality</v>
      </c>
      <c r="L41" s="44">
        <f>(L4+L5+L6)/3</f>
        <v>1.4973856209150327</v>
      </c>
    </row>
    <row r="42" spans="11:15">
      <c r="K42" s="1" t="str">
        <f>VLOOKUP(Read_First!B5,Items!A1:BI50,61,FALSE)</f>
        <v>Hedonic Quality</v>
      </c>
      <c r="L42" s="44">
        <f>(L7+L8)/2</f>
        <v>0.95441176470588229</v>
      </c>
    </row>
    <row r="44" spans="11:15" ht="102.75" customHeight="1">
      <c r="K44" s="164" t="s">
        <v>821</v>
      </c>
      <c r="L44" s="164"/>
      <c r="M44" s="164"/>
      <c r="N44" s="164"/>
      <c r="O44" s="164"/>
    </row>
  </sheetData>
  <mergeCells count="4">
    <mergeCell ref="K44:O44"/>
    <mergeCell ref="K39:L39"/>
    <mergeCell ref="A1:N1"/>
    <mergeCell ref="K2:M2"/>
  </mergeCells>
  <conditionalFormatting sqref="B3:B28">
    <cfRule type="iconSet" priority="15">
      <iconSet iconSet="3Arrows">
        <cfvo type="percent" val="0"/>
        <cfvo type="num" val="-0.8"/>
        <cfvo type="num" val="0.8"/>
      </iconSet>
    </cfRule>
  </conditionalFormatting>
  <conditionalFormatting sqref="L3">
    <cfRule type="iconSet" priority="12">
      <iconSet iconSet="3Arrows">
        <cfvo type="percent" val="0"/>
        <cfvo type="num" val="-0.8"/>
        <cfvo type="num" val="0.8"/>
      </iconSet>
    </cfRule>
    <cfRule type="iconSet" priority="14">
      <iconSet iconSet="3Arrows">
        <cfvo type="percent" val="0"/>
        <cfvo type="num" val="-0.8"/>
        <cfvo type="num" val="0.8"/>
      </iconSet>
    </cfRule>
  </conditionalFormatting>
  <conditionalFormatting sqref="L4">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4:L7">
    <cfRule type="iconSet" priority="13">
      <iconSet iconSet="3Arrows">
        <cfvo type="percent" val="0"/>
        <cfvo type="num" val="-0.8"/>
        <cfvo type="num" val="0.8"/>
      </iconSet>
    </cfRule>
  </conditionalFormatting>
  <conditionalFormatting sqref="L5">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L8">
    <cfRule type="iconSet" priority="11">
      <iconSet iconSet="3Arrows">
        <cfvo type="percent" val="0"/>
        <cfvo type="num" val="-0.8"/>
        <cfvo type="num" val="0.8"/>
      </iconSet>
    </cfRule>
  </conditionalFormatting>
  <pageMargins left="0.7" right="0.7" top="0.75" bottom="0.75" header="0.3" footer="0.3"/>
  <pageSetup paperSize="9" orientation="portrait" r:id="rId1"/>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workbookViewId="0">
      <selection activeCell="M5" sqref="M5"/>
    </sheetView>
  </sheetViews>
  <sheetFormatPr defaultColWidth="9.109375" defaultRowHeight="14.4"/>
  <cols>
    <col min="5" max="5" width="12.6640625" customWidth="1"/>
    <col min="9" max="9" width="18.6640625" customWidth="1"/>
    <col min="13" max="13" width="11.88671875" customWidth="1"/>
    <col min="15" max="15" width="9.5546875" customWidth="1"/>
  </cols>
  <sheetData>
    <row r="1" spans="1:15" ht="100.8" customHeight="1">
      <c r="A1" s="181" t="s">
        <v>1260</v>
      </c>
      <c r="B1" s="182"/>
      <c r="C1" s="182"/>
      <c r="D1" s="182"/>
      <c r="E1" s="182"/>
      <c r="F1" s="182"/>
      <c r="G1" s="182"/>
      <c r="H1" s="182"/>
      <c r="I1" s="182"/>
      <c r="J1" s="182"/>
      <c r="K1" s="182"/>
      <c r="L1" s="182"/>
      <c r="M1" s="182"/>
      <c r="N1" s="182"/>
      <c r="O1" s="182"/>
    </row>
    <row r="3" spans="1:15">
      <c r="A3" s="178" t="s">
        <v>114</v>
      </c>
      <c r="B3" s="178"/>
      <c r="C3" s="178"/>
      <c r="D3" s="178"/>
      <c r="E3" s="178"/>
      <c r="F3" s="178"/>
      <c r="G3" s="178"/>
      <c r="I3" s="178" t="s">
        <v>111</v>
      </c>
      <c r="J3" s="178"/>
      <c r="K3" s="178"/>
      <c r="L3" s="178"/>
      <c r="M3" s="178"/>
      <c r="N3" s="178"/>
      <c r="O3" s="178"/>
    </row>
    <row r="4" spans="1:15">
      <c r="A4" s="115" t="s">
        <v>2</v>
      </c>
      <c r="B4" s="116" t="s">
        <v>106</v>
      </c>
      <c r="C4" s="116" t="s">
        <v>108</v>
      </c>
      <c r="D4" s="117" t="s">
        <v>3</v>
      </c>
      <c r="E4" s="116" t="s">
        <v>112</v>
      </c>
      <c r="F4" s="179" t="s">
        <v>113</v>
      </c>
      <c r="G4" s="180"/>
      <c r="I4" s="118" t="s">
        <v>110</v>
      </c>
      <c r="J4" s="117" t="s">
        <v>106</v>
      </c>
      <c r="K4" s="117" t="s">
        <v>108</v>
      </c>
      <c r="L4" s="117" t="s">
        <v>3</v>
      </c>
      <c r="M4" s="119" t="s">
        <v>112</v>
      </c>
      <c r="N4" s="179" t="s">
        <v>113</v>
      </c>
      <c r="O4" s="180"/>
    </row>
    <row r="5" spans="1:15">
      <c r="A5" s="85">
        <v>1</v>
      </c>
      <c r="B5" s="84">
        <f>Results!B3</f>
        <v>1.5725490196078431</v>
      </c>
      <c r="C5" s="84">
        <f>Results!D3</f>
        <v>1.3695332889982017</v>
      </c>
      <c r="D5" s="72">
        <f>Results!E3</f>
        <v>255</v>
      </c>
      <c r="E5" s="84">
        <f t="shared" ref="E5:E24" si="0">CONFIDENCE(0.05, C5, D5)</f>
        <v>0.16809337374005476</v>
      </c>
      <c r="F5" s="84">
        <f t="shared" ref="F5:F24" si="1">B5-E5</f>
        <v>1.4044556458677884</v>
      </c>
      <c r="G5" s="84">
        <f t="shared" ref="G5:G24" si="2">B5+E5</f>
        <v>1.7406423933478978</v>
      </c>
      <c r="I5" s="86" t="str">
        <f>VLOOKUP(Read_First!B5,Items!A1:BI50,54,FALSE)</f>
        <v>Attractiveness</v>
      </c>
      <c r="J5" s="84">
        <f>AVERAGE(DT!AC4:AC1004)</f>
        <v>1.4732026143790853</v>
      </c>
      <c r="K5" s="84">
        <f>STDEV(DT!AC4:AC1004)</f>
        <v>1.1425329033177742</v>
      </c>
      <c r="L5" s="72">
        <f>MAX(D5:D24)</f>
        <v>255</v>
      </c>
      <c r="M5" s="84">
        <f>CONFIDENCE(0.05, K5, L5)</f>
        <v>0.1402318672138218</v>
      </c>
      <c r="N5" s="84">
        <f t="shared" ref="N5:N10" si="3">J5-M5</f>
        <v>1.3329707471652634</v>
      </c>
      <c r="O5" s="84">
        <f t="shared" ref="O5:O10" si="4">J5+M5</f>
        <v>1.6134344815929071</v>
      </c>
    </row>
    <row r="6" spans="1:15">
      <c r="A6" s="13">
        <v>2</v>
      </c>
      <c r="B6" s="11">
        <f>Results!B4</f>
        <v>1.8862745098039215</v>
      </c>
      <c r="C6" s="11">
        <f>Results!D4</f>
        <v>1.3127208637330237</v>
      </c>
      <c r="D6" s="4">
        <f>Results!E4</f>
        <v>255</v>
      </c>
      <c r="E6" s="11">
        <f t="shared" si="0"/>
        <v>0.16112034700905498</v>
      </c>
      <c r="F6" s="11">
        <f t="shared" si="1"/>
        <v>1.7251541627948666</v>
      </c>
      <c r="G6" s="11">
        <f t="shared" si="2"/>
        <v>2.0473948568129767</v>
      </c>
      <c r="I6" s="10" t="str">
        <f>VLOOKUP(Read_First!B5,Items!A1:BI50,55,FALSE)</f>
        <v>Perspicuity</v>
      </c>
      <c r="J6" s="11">
        <f>AVERAGE(DT!AD4:AD1004)</f>
        <v>1.642156862745098</v>
      </c>
      <c r="K6" s="11">
        <f>STDEV(DT!AD4:AD1004)</f>
        <v>1.1379448835397832</v>
      </c>
      <c r="L6" s="4">
        <f>L5</f>
        <v>255</v>
      </c>
      <c r="M6" s="11">
        <f t="shared" ref="M6:M10" si="5">CONFIDENCE(0.05, K6, L6)</f>
        <v>0.13966874419267003</v>
      </c>
      <c r="N6" s="11">
        <f t="shared" si="3"/>
        <v>1.5024881185524279</v>
      </c>
      <c r="O6" s="11">
        <f t="shared" si="4"/>
        <v>1.781825606937768</v>
      </c>
    </row>
    <row r="7" spans="1:15">
      <c r="A7" s="13">
        <v>3</v>
      </c>
      <c r="B7" s="11">
        <f>Results!B5</f>
        <v>0.78823529411764703</v>
      </c>
      <c r="C7" s="11">
        <f>Results!D5</f>
        <v>1.5222299042610437</v>
      </c>
      <c r="D7" s="4">
        <f>Results!E5</f>
        <v>255</v>
      </c>
      <c r="E7" s="11">
        <f t="shared" si="0"/>
        <v>0.18683500596207514</v>
      </c>
      <c r="F7" s="11">
        <f t="shared" si="1"/>
        <v>0.60140028815557189</v>
      </c>
      <c r="G7" s="11">
        <f t="shared" si="2"/>
        <v>0.97507030007972217</v>
      </c>
      <c r="I7" s="10" t="str">
        <f>VLOOKUP(Read_First!B5,Items!A1:BI50,56,FALSE)</f>
        <v>Efficiency</v>
      </c>
      <c r="J7" s="11">
        <f>AVERAGE(DT!AE4:AE1004)</f>
        <v>1.6068627450980393</v>
      </c>
      <c r="K7" s="11">
        <f>STDEV(DT!AE4:AE1004)</f>
        <v>1.0478709013847138</v>
      </c>
      <c r="L7" s="4">
        <f>L6</f>
        <v>255</v>
      </c>
      <c r="M7" s="11">
        <f t="shared" si="5"/>
        <v>0.12861327028175656</v>
      </c>
      <c r="N7" s="11">
        <f t="shared" si="3"/>
        <v>1.4782494748162827</v>
      </c>
      <c r="O7" s="11">
        <f t="shared" si="4"/>
        <v>1.7354760153797959</v>
      </c>
    </row>
    <row r="8" spans="1:15">
      <c r="A8" s="13">
        <v>4</v>
      </c>
      <c r="B8" s="11">
        <f>Results!B6</f>
        <v>1.4862745098039216</v>
      </c>
      <c r="C8" s="11">
        <f>Results!D6</f>
        <v>1.6286098134137876</v>
      </c>
      <c r="D8" s="4">
        <f>Results!E6</f>
        <v>255</v>
      </c>
      <c r="E8" s="11">
        <f t="shared" si="0"/>
        <v>0.19989183194162147</v>
      </c>
      <c r="F8" s="11">
        <f t="shared" si="1"/>
        <v>1.2863826778623002</v>
      </c>
      <c r="G8" s="11">
        <f t="shared" si="2"/>
        <v>1.686166341745543</v>
      </c>
      <c r="I8" s="12" t="str">
        <f>VLOOKUP(Read_First!B5,Items!A1:BI50,57,FALSE)</f>
        <v>Dependability</v>
      </c>
      <c r="J8" s="11">
        <f>AVERAGE(DT!AF4:AF1004)</f>
        <v>1.2431372549019608</v>
      </c>
      <c r="K8" s="11">
        <f>STDEV(DT!AF4:AF1004)</f>
        <v>0.9082961686068155</v>
      </c>
      <c r="L8" s="4">
        <f>L7</f>
        <v>255</v>
      </c>
      <c r="M8" s="11">
        <f t="shared" si="5"/>
        <v>0.11148218781010273</v>
      </c>
      <c r="N8" s="11">
        <f t="shared" si="3"/>
        <v>1.1316550670918581</v>
      </c>
      <c r="O8" s="11">
        <f t="shared" si="4"/>
        <v>1.3546194427120635</v>
      </c>
    </row>
    <row r="9" spans="1:15">
      <c r="A9" s="13">
        <v>5</v>
      </c>
      <c r="B9" s="11">
        <f>Results!B7</f>
        <v>1.4980392156862745</v>
      </c>
      <c r="C9" s="11">
        <f>Results!D7</f>
        <v>1.4791850006583391</v>
      </c>
      <c r="D9" s="4">
        <f>Results!E7</f>
        <v>255</v>
      </c>
      <c r="E9" s="11">
        <f t="shared" si="0"/>
        <v>0.18155177325278715</v>
      </c>
      <c r="F9" s="11">
        <f t="shared" si="1"/>
        <v>1.3164874424334874</v>
      </c>
      <c r="G9" s="11">
        <f t="shared" si="2"/>
        <v>1.6795909889390617</v>
      </c>
      <c r="I9" s="12" t="str">
        <f>VLOOKUP(Read_First!B5,Items!A1:BI50,58,FALSE)</f>
        <v>Stimulation</v>
      </c>
      <c r="J9" s="11">
        <f>AVERAGE(DT!AG4:AG1004)</f>
        <v>1.1352941176470588</v>
      </c>
      <c r="K9" s="11">
        <f>STDEV(DT!AG4:AG1004)</f>
        <v>1.0610449331494458</v>
      </c>
      <c r="L9" s="4">
        <f>L8</f>
        <v>255</v>
      </c>
      <c r="M9" s="11">
        <f t="shared" si="5"/>
        <v>0.13023022071507703</v>
      </c>
      <c r="N9" s="11">
        <f t="shared" si="3"/>
        <v>1.0050638969319818</v>
      </c>
      <c r="O9" s="11">
        <f t="shared" si="4"/>
        <v>1.2655243383621357</v>
      </c>
    </row>
    <row r="10" spans="1:15">
      <c r="A10" s="13">
        <v>6</v>
      </c>
      <c r="B10" s="11">
        <f>Results!B8</f>
        <v>0.9882352941176471</v>
      </c>
      <c r="C10" s="11">
        <f>Results!D8</f>
        <v>1.2873777074897432</v>
      </c>
      <c r="D10" s="4">
        <f>Results!E8</f>
        <v>255</v>
      </c>
      <c r="E10" s="11">
        <f t="shared" si="0"/>
        <v>0.15800978615713843</v>
      </c>
      <c r="F10" s="11">
        <f t="shared" si="1"/>
        <v>0.83022550796050865</v>
      </c>
      <c r="G10" s="11">
        <f t="shared" si="2"/>
        <v>1.1462450802747854</v>
      </c>
      <c r="I10" s="10" t="str">
        <f>VLOOKUP(Read_First!B5,Items!A1:BI50,59,FALSE)</f>
        <v>Novelty</v>
      </c>
      <c r="J10" s="11">
        <f>AVERAGE(DT!AH4:AH1004)</f>
        <v>0.77352941176470591</v>
      </c>
      <c r="K10" s="11">
        <f>STDEV(DT!AH4:AH1004)</f>
        <v>1.079486286997932</v>
      </c>
      <c r="L10" s="4">
        <f>L9</f>
        <v>255</v>
      </c>
      <c r="M10" s="11">
        <f t="shared" si="5"/>
        <v>0.13249367017601985</v>
      </c>
      <c r="N10" s="11">
        <f t="shared" si="3"/>
        <v>0.64103574158868604</v>
      </c>
      <c r="O10" s="11">
        <f t="shared" si="4"/>
        <v>0.90602308194072578</v>
      </c>
    </row>
    <row r="11" spans="1:15">
      <c r="A11" s="13">
        <v>7</v>
      </c>
      <c r="B11" s="11">
        <f>Results!B9</f>
        <v>1.2274509803921569</v>
      </c>
      <c r="C11" s="11">
        <f>Results!D9</f>
        <v>1.367231588676844</v>
      </c>
      <c r="D11" s="4">
        <f>Results!E9</f>
        <v>255</v>
      </c>
      <c r="E11" s="11">
        <f t="shared" si="0"/>
        <v>0.16781086832345507</v>
      </c>
      <c r="F11" s="11">
        <f t="shared" si="1"/>
        <v>1.0596401120687018</v>
      </c>
      <c r="G11" s="11">
        <f t="shared" si="2"/>
        <v>1.3952618487156121</v>
      </c>
    </row>
    <row r="12" spans="1:15">
      <c r="A12" s="13">
        <v>8</v>
      </c>
      <c r="B12" s="11">
        <f>Results!B10</f>
        <v>0.62352941176470589</v>
      </c>
      <c r="C12" s="11">
        <f>Results!D10</f>
        <v>1.3426070882513921</v>
      </c>
      <c r="D12" s="4">
        <f>Results!E10</f>
        <v>255</v>
      </c>
      <c r="E12" s="11">
        <f t="shared" si="0"/>
        <v>0.16478851363779026</v>
      </c>
      <c r="F12" s="11">
        <f t="shared" si="1"/>
        <v>0.45874089812691565</v>
      </c>
      <c r="G12" s="11">
        <f t="shared" si="2"/>
        <v>0.78831792540249612</v>
      </c>
    </row>
    <row r="13" spans="1:15">
      <c r="A13" s="13">
        <v>9</v>
      </c>
      <c r="B13" s="11">
        <f>Results!B11</f>
        <v>1.4313725490196079</v>
      </c>
      <c r="C13" s="11">
        <f>Results!D11</f>
        <v>1.3465456236482711</v>
      </c>
      <c r="D13" s="4">
        <f>Results!E11</f>
        <v>255</v>
      </c>
      <c r="E13" s="11">
        <f t="shared" si="0"/>
        <v>0.16527192043613126</v>
      </c>
      <c r="F13" s="11">
        <f t="shared" si="1"/>
        <v>1.2661006285834766</v>
      </c>
      <c r="G13" s="11">
        <f t="shared" si="2"/>
        <v>1.5966444694557391</v>
      </c>
      <c r="I13" s="15"/>
    </row>
    <row r="14" spans="1:15">
      <c r="A14" s="13">
        <v>10</v>
      </c>
      <c r="B14" s="11">
        <f>Results!B12</f>
        <v>0.78823529411764703</v>
      </c>
      <c r="C14" s="11">
        <f>Results!D12</f>
        <v>1.4908707832841208</v>
      </c>
      <c r="D14" s="4">
        <f>Results!E12</f>
        <v>255</v>
      </c>
      <c r="E14" s="11">
        <f t="shared" si="0"/>
        <v>0.18298605940131696</v>
      </c>
      <c r="F14" s="11">
        <f t="shared" si="1"/>
        <v>0.60524923471633008</v>
      </c>
      <c r="G14" s="11">
        <f t="shared" si="2"/>
        <v>0.97122135351896399</v>
      </c>
    </row>
    <row r="15" spans="1:15">
      <c r="A15" s="13">
        <v>11</v>
      </c>
      <c r="B15" s="11">
        <f>Results!B13</f>
        <v>1.0392156862745099</v>
      </c>
      <c r="C15" s="11">
        <f>Results!D13</f>
        <v>1.3363598505442584</v>
      </c>
      <c r="D15" s="4">
        <f>Results!E13</f>
        <v>255</v>
      </c>
      <c r="E15" s="11">
        <f t="shared" si="0"/>
        <v>0.16402174201479719</v>
      </c>
      <c r="F15" s="11">
        <f t="shared" si="1"/>
        <v>0.87519394425971275</v>
      </c>
      <c r="G15" s="11">
        <f t="shared" si="2"/>
        <v>1.203237428289307</v>
      </c>
      <c r="J15" s="83"/>
    </row>
    <row r="16" spans="1:15">
      <c r="A16" s="13">
        <v>12</v>
      </c>
      <c r="B16" s="11">
        <f>Results!B14</f>
        <v>1.6862745098039216</v>
      </c>
      <c r="C16" s="11">
        <f>Results!D14</f>
        <v>1.4375476175397282</v>
      </c>
      <c r="D16" s="4">
        <f>Results!E14</f>
        <v>255</v>
      </c>
      <c r="E16" s="11">
        <f t="shared" si="0"/>
        <v>0.17644129637841036</v>
      </c>
      <c r="F16" s="11">
        <f t="shared" si="1"/>
        <v>1.5098332134255112</v>
      </c>
      <c r="G16" s="11">
        <f t="shared" si="2"/>
        <v>1.8627158061823319</v>
      </c>
    </row>
    <row r="17" spans="1:7">
      <c r="A17" s="13">
        <v>13</v>
      </c>
      <c r="B17" s="11">
        <f>Results!B15</f>
        <v>1.5254901960784313</v>
      </c>
      <c r="C17" s="11">
        <f>Results!D15</f>
        <v>1.4108470590805027</v>
      </c>
      <c r="D17" s="4">
        <f>Results!E15</f>
        <v>255</v>
      </c>
      <c r="E17" s="11">
        <f t="shared" si="0"/>
        <v>0.17316413109282769</v>
      </c>
      <c r="F17" s="11">
        <f t="shared" si="1"/>
        <v>1.3523260649856037</v>
      </c>
      <c r="G17" s="11">
        <f t="shared" si="2"/>
        <v>1.6986543271712589</v>
      </c>
    </row>
    <row r="18" spans="1:7">
      <c r="A18" s="13">
        <v>14</v>
      </c>
      <c r="B18" s="11">
        <f>Results!B16</f>
        <v>1.4274509803921569</v>
      </c>
      <c r="C18" s="11">
        <f>Results!D16</f>
        <v>1.4450674222578965</v>
      </c>
      <c r="D18" s="4">
        <f>Results!E16</f>
        <v>255</v>
      </c>
      <c r="E18" s="11">
        <f t="shared" si="0"/>
        <v>0.17736425995665819</v>
      </c>
      <c r="F18" s="11">
        <f t="shared" si="1"/>
        <v>1.2500867204354986</v>
      </c>
      <c r="G18" s="11">
        <f t="shared" si="2"/>
        <v>1.6048152403488152</v>
      </c>
    </row>
    <row r="19" spans="1:7">
      <c r="A19" s="13">
        <v>15</v>
      </c>
      <c r="B19" s="11">
        <f>Results!B17</f>
        <v>0.82745098039215681</v>
      </c>
      <c r="C19" s="11">
        <f>Results!D17</f>
        <v>1.4586260431005749</v>
      </c>
      <c r="D19" s="4">
        <f>Results!E17</f>
        <v>255</v>
      </c>
      <c r="E19" s="11">
        <f t="shared" si="0"/>
        <v>0.17902841397103425</v>
      </c>
      <c r="F19" s="11">
        <f t="shared" si="1"/>
        <v>0.6484225664211225</v>
      </c>
      <c r="G19" s="11">
        <f t="shared" si="2"/>
        <v>1.0064793943631911</v>
      </c>
    </row>
    <row r="20" spans="1:7">
      <c r="A20" s="13">
        <v>16</v>
      </c>
      <c r="B20" s="11">
        <f>Results!B18</f>
        <v>1.4784313725490197</v>
      </c>
      <c r="C20" s="11">
        <f>Results!D18</f>
        <v>1.3940697976022187</v>
      </c>
      <c r="D20" s="4">
        <f>Results!E18</f>
        <v>255</v>
      </c>
      <c r="E20" s="11">
        <f t="shared" si="0"/>
        <v>0.17110492851143827</v>
      </c>
      <c r="F20" s="11">
        <f t="shared" si="1"/>
        <v>1.3073264440375814</v>
      </c>
      <c r="G20" s="11">
        <f t="shared" si="2"/>
        <v>1.649536301060458</v>
      </c>
    </row>
    <row r="21" spans="1:7">
      <c r="A21" s="13">
        <v>17</v>
      </c>
      <c r="B21" s="11">
        <f>Results!B19</f>
        <v>1.5607843137254902</v>
      </c>
      <c r="C21" s="11">
        <f>Results!D19</f>
        <v>1.456465145828356</v>
      </c>
      <c r="D21" s="4">
        <f>Results!E19</f>
        <v>255</v>
      </c>
      <c r="E21" s="11">
        <f t="shared" si="0"/>
        <v>0.17876319039763822</v>
      </c>
      <c r="F21" s="11">
        <f t="shared" si="1"/>
        <v>1.3820211233278519</v>
      </c>
      <c r="G21" s="11">
        <f t="shared" si="2"/>
        <v>1.7395475041231285</v>
      </c>
    </row>
    <row r="22" spans="1:7">
      <c r="A22" s="13">
        <v>18</v>
      </c>
      <c r="B22" s="11">
        <f>Results!B20</f>
        <v>0.82745098039215681</v>
      </c>
      <c r="C22" s="11">
        <f>Results!D20</f>
        <v>1.3077718069164705</v>
      </c>
      <c r="D22" s="4">
        <f>Results!E20</f>
        <v>255</v>
      </c>
      <c r="E22" s="11">
        <f t="shared" si="0"/>
        <v>0.16051291113012561</v>
      </c>
      <c r="F22" s="11">
        <f t="shared" si="1"/>
        <v>0.66693806926203125</v>
      </c>
      <c r="G22" s="11">
        <f t="shared" si="2"/>
        <v>0.98796389152228237</v>
      </c>
    </row>
    <row r="23" spans="1:7">
      <c r="A23" s="13">
        <v>19</v>
      </c>
      <c r="B23" s="11">
        <f>Results!B21</f>
        <v>1.7490196078431373</v>
      </c>
      <c r="C23" s="11">
        <f>Results!D21</f>
        <v>1.3659775636292231</v>
      </c>
      <c r="D23" s="4">
        <f>Results!E21</f>
        <v>255</v>
      </c>
      <c r="E23" s="11">
        <f t="shared" si="0"/>
        <v>0.16765695216624846</v>
      </c>
      <c r="F23" s="11">
        <f t="shared" si="1"/>
        <v>1.5813626556768887</v>
      </c>
      <c r="G23" s="11">
        <f t="shared" si="2"/>
        <v>1.9166765600093858</v>
      </c>
    </row>
    <row r="24" spans="1:7">
      <c r="A24" s="13">
        <v>20</v>
      </c>
      <c r="B24" s="11">
        <f>Results!B22</f>
        <v>1.7411764705882353</v>
      </c>
      <c r="C24" s="11">
        <f>Results!D22</f>
        <v>1.3323912064417274</v>
      </c>
      <c r="D24" s="4">
        <f>Results!E22</f>
        <v>255</v>
      </c>
      <c r="E24" s="11">
        <f t="shared" si="0"/>
        <v>0.16353463974300358</v>
      </c>
      <c r="F24" s="11">
        <f t="shared" si="1"/>
        <v>1.5776418308452318</v>
      </c>
      <c r="G24" s="11">
        <f t="shared" si="2"/>
        <v>1.9047111103312389</v>
      </c>
    </row>
    <row r="25" spans="1:7">
      <c r="A25" s="14">
        <v>21</v>
      </c>
      <c r="B25" s="11">
        <f>Results!B23</f>
        <v>1.6705882352941177</v>
      </c>
      <c r="C25" s="11">
        <f>Results!D23</f>
        <v>1.3950551195114909</v>
      </c>
      <c r="D25" s="4">
        <f>Results!E23</f>
        <v>255</v>
      </c>
      <c r="E25" s="11">
        <f t="shared" ref="E25:E30" si="6">CONFIDENCE(0.05, C25, D25)</f>
        <v>0.17122586466193571</v>
      </c>
      <c r="F25" s="11">
        <f t="shared" ref="F25:F30" si="7">B25-E25</f>
        <v>1.4993623706321819</v>
      </c>
      <c r="G25" s="11">
        <f t="shared" ref="G25:G30" si="8">B25+E25</f>
        <v>1.8418140999560535</v>
      </c>
    </row>
    <row r="26" spans="1:7">
      <c r="A26" s="14">
        <v>22</v>
      </c>
      <c r="B26" s="11">
        <f>Results!B24</f>
        <v>1.9294117647058824</v>
      </c>
      <c r="C26" s="11">
        <f>Results!D24</f>
        <v>1.1131451712611395</v>
      </c>
      <c r="D26" s="4">
        <f>Results!E24</f>
        <v>255</v>
      </c>
      <c r="E26" s="11">
        <f t="shared" si="6"/>
        <v>0.13662488440613704</v>
      </c>
      <c r="F26" s="11">
        <f t="shared" si="7"/>
        <v>1.7927868802997453</v>
      </c>
      <c r="G26" s="11">
        <f t="shared" si="8"/>
        <v>2.0660366491120192</v>
      </c>
    </row>
    <row r="27" spans="1:7">
      <c r="A27" s="14">
        <v>23</v>
      </c>
      <c r="B27" s="11">
        <f>Results!B25</f>
        <v>1.3254901960784313</v>
      </c>
      <c r="C27" s="11">
        <f>Results!D25</f>
        <v>1.5972223844461815</v>
      </c>
      <c r="D27" s="4">
        <f>Results!E25</f>
        <v>255</v>
      </c>
      <c r="E27" s="11">
        <f t="shared" si="6"/>
        <v>0.19603941092303448</v>
      </c>
      <c r="F27" s="11">
        <f t="shared" si="7"/>
        <v>1.1294507851553968</v>
      </c>
      <c r="G27" s="11">
        <f t="shared" si="8"/>
        <v>1.5215296070014659</v>
      </c>
    </row>
    <row r="28" spans="1:7">
      <c r="A28" s="14">
        <v>24</v>
      </c>
      <c r="B28" s="11">
        <f>Results!B26</f>
        <v>1.2039215686274509</v>
      </c>
      <c r="C28" s="11">
        <f>Results!D26</f>
        <v>1.3389913915258032</v>
      </c>
      <c r="D28" s="4">
        <f>Results!E26</f>
        <v>255</v>
      </c>
      <c r="E28" s="11">
        <f t="shared" si="6"/>
        <v>0.16434473131726726</v>
      </c>
      <c r="F28" s="11">
        <f t="shared" si="7"/>
        <v>1.0395768373101837</v>
      </c>
      <c r="G28" s="11">
        <f t="shared" si="8"/>
        <v>1.3682662999447182</v>
      </c>
    </row>
    <row r="29" spans="1:7">
      <c r="A29" s="14">
        <v>25</v>
      </c>
      <c r="B29" s="11">
        <f>Results!B27</f>
        <v>1.4705882352941178</v>
      </c>
      <c r="C29" s="11">
        <f>Results!D27</f>
        <v>1.3303386161873654</v>
      </c>
      <c r="D29" s="4">
        <f>Results!E27</f>
        <v>255</v>
      </c>
      <c r="E29" s="11">
        <f t="shared" si="6"/>
        <v>0.16328270952448803</v>
      </c>
      <c r="F29" s="11">
        <f t="shared" si="7"/>
        <v>1.3073055257696298</v>
      </c>
      <c r="G29" s="11">
        <f t="shared" si="8"/>
        <v>1.6338709448186057</v>
      </c>
    </row>
    <row r="30" spans="1:7">
      <c r="A30" s="14">
        <v>26</v>
      </c>
      <c r="B30" s="11">
        <f>Results!B28</f>
        <v>0.69019607843137254</v>
      </c>
      <c r="C30" s="11">
        <f>Results!D28</f>
        <v>1.4748888790333905</v>
      </c>
      <c r="D30" s="4">
        <f>Results!E28</f>
        <v>255</v>
      </c>
      <c r="E30" s="11">
        <f t="shared" si="6"/>
        <v>0.18102447714123118</v>
      </c>
      <c r="F30" s="11">
        <f t="shared" si="7"/>
        <v>0.50917160129014138</v>
      </c>
      <c r="G30" s="11">
        <f t="shared" si="8"/>
        <v>0.87122055557260369</v>
      </c>
    </row>
  </sheetData>
  <mergeCells count="5">
    <mergeCell ref="A3:G3"/>
    <mergeCell ref="F4:G4"/>
    <mergeCell ref="I3:O3"/>
    <mergeCell ref="N4:O4"/>
    <mergeCell ref="A1:O1"/>
  </mergeCells>
  <pageMargins left="0.7" right="0.7" top="0.75" bottom="0.75" header="0.3" footer="0.3"/>
  <pageSetup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topLeftCell="A20" workbookViewId="0">
      <selection activeCell="M19" sqref="M19"/>
    </sheetView>
  </sheetViews>
  <sheetFormatPr defaultColWidth="8.88671875" defaultRowHeight="14.4"/>
  <cols>
    <col min="1" max="1" width="8.88671875" style="45"/>
    <col min="2" max="2" width="39.88671875" style="45" customWidth="1"/>
    <col min="3" max="3" width="8.88671875" style="45" customWidth="1"/>
    <col min="4" max="9" width="8.88671875" style="45"/>
    <col min="10" max="10" width="18" style="45" customWidth="1"/>
    <col min="11" max="11" width="5.33203125" style="45" customWidth="1"/>
    <col min="12" max="16384" width="8.88671875" style="45"/>
  </cols>
  <sheetData>
    <row r="1" spans="1:11" ht="82.2" customHeight="1">
      <c r="A1" s="183" t="s">
        <v>1261</v>
      </c>
      <c r="B1" s="177"/>
      <c r="C1" s="177"/>
      <c r="D1" s="177"/>
      <c r="E1" s="177"/>
      <c r="F1" s="177"/>
      <c r="G1" s="177"/>
      <c r="H1" s="177"/>
      <c r="I1" s="177"/>
      <c r="J1" s="177"/>
      <c r="K1" s="177"/>
    </row>
    <row r="2" spans="1:11">
      <c r="A2" s="87" t="s">
        <v>1266</v>
      </c>
      <c r="B2" s="88" t="s">
        <v>2</v>
      </c>
      <c r="C2" s="89">
        <v>1</v>
      </c>
      <c r="D2" s="91">
        <v>2</v>
      </c>
      <c r="E2" s="91">
        <v>3</v>
      </c>
      <c r="F2" s="91">
        <v>4</v>
      </c>
      <c r="G2" s="91">
        <v>5</v>
      </c>
      <c r="H2" s="91">
        <v>6</v>
      </c>
      <c r="I2" s="91">
        <v>7</v>
      </c>
      <c r="J2" s="69" t="s">
        <v>110</v>
      </c>
    </row>
    <row r="3" spans="1:11">
      <c r="A3" s="2">
        <v>1</v>
      </c>
      <c r="B3" s="1" t="str">
        <f>_xlfn.CONCAT(Results!F3,"/",Results!G3)</f>
        <v>annoying/enjoyable</v>
      </c>
      <c r="C3" s="1">
        <f>COUNTIF(DT!A4:A1004,"-3")</f>
        <v>2</v>
      </c>
      <c r="D3" s="1">
        <f>COUNTIF(DT!A4:A1004,"-2")</f>
        <v>12</v>
      </c>
      <c r="E3" s="1">
        <f>COUNTIF(DT!A4:A1004,"-1")</f>
        <v>10</v>
      </c>
      <c r="F3" s="1">
        <f>COUNTIF(DT!A4:A1004,"0")</f>
        <v>17</v>
      </c>
      <c r="G3" s="1">
        <f>COUNTIF(DT!A4:A1004,"1")</f>
        <v>55</v>
      </c>
      <c r="H3" s="1">
        <f>COUNTIF(DT!A4:A1004,"2")</f>
        <v>91</v>
      </c>
      <c r="I3" s="1">
        <f>COUNTIF(DT!A4:A1004,"3")</f>
        <v>68</v>
      </c>
      <c r="J3" s="28" t="str">
        <f>Results!H3</f>
        <v>Attractiveness</v>
      </c>
    </row>
    <row r="4" spans="1:11">
      <c r="A4" s="2">
        <v>2</v>
      </c>
      <c r="B4" s="1" t="str">
        <f>_xlfn.CONCAT(Results!F4,"/",Results!G4)</f>
        <v>not understandable/understandable</v>
      </c>
      <c r="C4" s="1">
        <f>COUNTIF(DT!B4:B1004,"-3")</f>
        <v>3</v>
      </c>
      <c r="D4" s="1">
        <f>COUNTIF(DT!B4:B1004,"-2")</f>
        <v>7</v>
      </c>
      <c r="E4" s="1">
        <f>COUNTIF(DT!B4:B1004,"-1")</f>
        <v>7</v>
      </c>
      <c r="F4" s="1">
        <f>COUNTIF(DT!B4:B1004,"0")</f>
        <v>12</v>
      </c>
      <c r="G4" s="1">
        <f>COUNTIF(DT!B4:B1004,"1")</f>
        <v>42</v>
      </c>
      <c r="H4" s="1">
        <f>COUNTIF(DT!B4:B1004,"2")</f>
        <v>83</v>
      </c>
      <c r="I4" s="1">
        <f>COUNTIF(DT!B4:B1004,"3")</f>
        <v>101</v>
      </c>
      <c r="J4" s="28" t="str">
        <f>Results!H4</f>
        <v>Perspicuity</v>
      </c>
    </row>
    <row r="5" spans="1:11">
      <c r="A5" s="2">
        <v>3</v>
      </c>
      <c r="B5" s="1" t="str">
        <f>_xlfn.CONCAT(Results!G5,"/",Results!F5)</f>
        <v>dull/creative</v>
      </c>
      <c r="C5" s="1">
        <f>COUNTIF(DT!C4:C1004,"-3")</f>
        <v>7</v>
      </c>
      <c r="D5" s="1">
        <f>COUNTIF(DT!C4:C1004,"-2")</f>
        <v>12</v>
      </c>
      <c r="E5" s="1">
        <f>COUNTIF(DT!C4:C1004,"-1")</f>
        <v>27</v>
      </c>
      <c r="F5" s="1">
        <f>COUNTIF(DT!C4:C1004,"0")</f>
        <v>65</v>
      </c>
      <c r="G5" s="1">
        <f>COUNTIF(DT!C4:C1004,"1")</f>
        <v>54</v>
      </c>
      <c r="H5" s="1">
        <f>COUNTIF(DT!C4:C1004,"2")</f>
        <v>51</v>
      </c>
      <c r="I5" s="1">
        <f>COUNTIF(DT!C4:C1004,"3")</f>
        <v>39</v>
      </c>
      <c r="J5" s="28" t="str">
        <f>Results!H5</f>
        <v>Novelty</v>
      </c>
    </row>
    <row r="6" spans="1:11">
      <c r="A6" s="2">
        <v>4</v>
      </c>
      <c r="B6" s="1" t="str">
        <f>_xlfn.CONCAT(Results!G6,"/",Results!F6)</f>
        <v>difficult to learn/easy to learn</v>
      </c>
      <c r="C6" s="1">
        <f>COUNTIF(DT!D4:D1004,"-3")</f>
        <v>5</v>
      </c>
      <c r="D6" s="1">
        <f>COUNTIF(DT!D4:D1004,"-2")</f>
        <v>12</v>
      </c>
      <c r="E6" s="1">
        <f>COUNTIF(DT!D4:D1004,"-1")</f>
        <v>30</v>
      </c>
      <c r="F6" s="1">
        <f>COUNTIF(DT!D4:D1004,"0")</f>
        <v>10</v>
      </c>
      <c r="G6" s="1">
        <f>COUNTIF(DT!D4:D1004,"1")</f>
        <v>31</v>
      </c>
      <c r="H6" s="1">
        <f>COUNTIF(DT!D4:D1004,"2")</f>
        <v>84</v>
      </c>
      <c r="I6" s="1">
        <f>COUNTIF(DT!D4:D1004,"3")</f>
        <v>83</v>
      </c>
      <c r="J6" s="28" t="str">
        <f>Results!H6</f>
        <v>Perspicuity</v>
      </c>
    </row>
    <row r="7" spans="1:11">
      <c r="A7" s="2">
        <v>5</v>
      </c>
      <c r="B7" s="1" t="str">
        <f>_xlfn.CONCAT(Results!G7,"/",Results!F7)</f>
        <v>inferior/valuable</v>
      </c>
      <c r="C7" s="1">
        <f>COUNTIF(DT!E4:E1004,"-3")</f>
        <v>4</v>
      </c>
      <c r="D7" s="1">
        <f>COUNTIF(DT!E4:E1004,"-2")</f>
        <v>11</v>
      </c>
      <c r="E7" s="1">
        <f>COUNTIF(DT!E4:E1004,"-1")</f>
        <v>13</v>
      </c>
      <c r="F7" s="1">
        <f>COUNTIF(DT!E4:E1004,"0")</f>
        <v>27</v>
      </c>
      <c r="G7" s="1">
        <f>COUNTIF(DT!E4:E1004,"1")</f>
        <v>45</v>
      </c>
      <c r="H7" s="1">
        <f>COUNTIF(DT!E4:E1004,"2")</f>
        <v>81</v>
      </c>
      <c r="I7" s="1">
        <f>COUNTIF(DT!E4:E1004,"3")</f>
        <v>74</v>
      </c>
      <c r="J7" s="29" t="str">
        <f>Results!H7</f>
        <v>Stimulation</v>
      </c>
    </row>
    <row r="8" spans="1:11">
      <c r="A8" s="2">
        <v>6</v>
      </c>
      <c r="B8" s="1" t="str">
        <f>_xlfn.CONCAT(Results!F8,"/",Results!G8)</f>
        <v>boring/exciting</v>
      </c>
      <c r="C8" s="1">
        <f>COUNTIF(DT!F4:F1004,"-3")</f>
        <v>2</v>
      </c>
      <c r="D8" s="1">
        <f>COUNTIF(DT!F4:F1004,"-2")</f>
        <v>8</v>
      </c>
      <c r="E8" s="1">
        <f>COUNTIF(DT!F4:F1004,"-1")</f>
        <v>14</v>
      </c>
      <c r="F8" s="1">
        <f>COUNTIF(DT!F4:F1004,"0")</f>
        <v>70</v>
      </c>
      <c r="G8" s="1">
        <f>COUNTIF(DT!F4:F1004,"1")</f>
        <v>66</v>
      </c>
      <c r="H8" s="1">
        <f>COUNTIF(DT!F4:F1004,"2")</f>
        <v>63</v>
      </c>
      <c r="I8" s="1">
        <f>COUNTIF(DT!F4:F1004,"3")</f>
        <v>32</v>
      </c>
      <c r="J8" s="29" t="str">
        <f>Results!H8</f>
        <v>Stimulation</v>
      </c>
    </row>
    <row r="9" spans="1:11">
      <c r="A9" s="2">
        <v>7</v>
      </c>
      <c r="B9" s="1" t="str">
        <f>_xlfn.CONCAT(Results!F9,"/",Results!G9)</f>
        <v>not interesting/interesting</v>
      </c>
      <c r="C9" s="1">
        <f>COUNTIF(DT!G4:G1004,"-3")</f>
        <v>2</v>
      </c>
      <c r="D9" s="1">
        <f>COUNTIF(DT!G4:G1004,"-2")</f>
        <v>13</v>
      </c>
      <c r="E9" s="1">
        <f>COUNTIF(DT!G4:G1004,"-1")</f>
        <v>11</v>
      </c>
      <c r="F9" s="1">
        <f>COUNTIF(DT!G4:G1004,"0")</f>
        <v>41</v>
      </c>
      <c r="G9" s="1">
        <f>COUNTIF(DT!G4:G1004,"1")</f>
        <v>63</v>
      </c>
      <c r="H9" s="1">
        <f>COUNTIF(DT!G4:G1004,"2")</f>
        <v>82</v>
      </c>
      <c r="I9" s="1">
        <f>COUNTIF(DT!G4:G1004,"3")</f>
        <v>43</v>
      </c>
      <c r="J9" s="29" t="str">
        <f>Results!H9</f>
        <v>Stimulation</v>
      </c>
    </row>
    <row r="10" spans="1:11">
      <c r="A10" s="2">
        <v>8</v>
      </c>
      <c r="B10" s="1" t="str">
        <f>_xlfn.CONCAT(Results!F10,"/",Results!G10)</f>
        <v>unpredictable/predictable</v>
      </c>
      <c r="C10" s="1">
        <f>COUNTIF(DT!H4:H1004,"-3")</f>
        <v>5</v>
      </c>
      <c r="D10" s="1">
        <f>COUNTIF(DT!H4:H1004,"-2")</f>
        <v>7</v>
      </c>
      <c r="E10" s="1">
        <f>COUNTIF(DT!H4:H1004,"-1")</f>
        <v>33</v>
      </c>
      <c r="F10" s="1">
        <f>COUNTIF(DT!H4:H1004,"0")</f>
        <v>84</v>
      </c>
      <c r="G10" s="1">
        <f>COUNTIF(DT!H4:H1004,"1")</f>
        <v>51</v>
      </c>
      <c r="H10" s="1">
        <f>COUNTIF(DT!H4:H1004,"2")</f>
        <v>55</v>
      </c>
      <c r="I10" s="1">
        <f>COUNTIF(DT!H4:H1004,"3")</f>
        <v>20</v>
      </c>
      <c r="J10" s="28" t="str">
        <f>Results!H10</f>
        <v>Dependability</v>
      </c>
    </row>
    <row r="11" spans="1:11">
      <c r="A11" s="2">
        <v>9</v>
      </c>
      <c r="B11" s="1" t="str">
        <f>_xlfn.CONCAT(Results!G11,"/",Results!F11)</f>
        <v>slow/fast</v>
      </c>
      <c r="C11" s="1">
        <f>COUNTIF(DT!I4:I1004,"-3")</f>
        <v>2</v>
      </c>
      <c r="D11" s="1">
        <f>COUNTIF(DT!I4:I1004,"-2")</f>
        <v>7</v>
      </c>
      <c r="E11" s="1">
        <f>COUNTIF(DT!I4:I1004,"-1")</f>
        <v>19</v>
      </c>
      <c r="F11" s="1">
        <f>COUNTIF(DT!I4:I1004,"0")</f>
        <v>27</v>
      </c>
      <c r="G11" s="1">
        <f>COUNTIF(DT!I4:I1004,"1")</f>
        <v>49</v>
      </c>
      <c r="H11" s="1">
        <f>COUNTIF(DT!I4:I1004,"2")</f>
        <v>98</v>
      </c>
      <c r="I11" s="1">
        <f>COUNTIF(DT!I4:I1004,"3")</f>
        <v>53</v>
      </c>
      <c r="J11" s="28" t="str">
        <f>Results!H11</f>
        <v>Efficiency</v>
      </c>
    </row>
    <row r="12" spans="1:11">
      <c r="A12" s="2">
        <v>10</v>
      </c>
      <c r="B12" s="1" t="str">
        <f>_xlfn.CONCAT(Results!G12,"/",Results!F12)</f>
        <v>conventional/inventive</v>
      </c>
      <c r="C12" s="1">
        <f>COUNTIF(DT!J4:J1004,"-3")</f>
        <v>6</v>
      </c>
      <c r="D12" s="1">
        <f>COUNTIF(DT!J4:J1004,"-2")</f>
        <v>14</v>
      </c>
      <c r="E12" s="1">
        <f>COUNTIF(DT!J4:J1004,"-1")</f>
        <v>28</v>
      </c>
      <c r="F12" s="1">
        <f>COUNTIF(DT!J4:J1004,"0")</f>
        <v>55</v>
      </c>
      <c r="G12" s="1">
        <f>COUNTIF(DT!J4:J1004,"1")</f>
        <v>61</v>
      </c>
      <c r="H12" s="1">
        <f>COUNTIF(DT!J4:J1004,"2")</f>
        <v>59</v>
      </c>
      <c r="I12" s="1">
        <f>COUNTIF(DT!J4:J1004,"3")</f>
        <v>32</v>
      </c>
      <c r="J12" s="28" t="str">
        <f>Results!H12</f>
        <v>Novelty</v>
      </c>
    </row>
    <row r="13" spans="1:11">
      <c r="A13" s="2">
        <v>11</v>
      </c>
      <c r="B13" s="1" t="str">
        <f>_xlfn.CONCAT(Results!F13,"/",Results!G13)</f>
        <v>obstructive/supportive</v>
      </c>
      <c r="C13" s="1">
        <f>COUNTIF(DT!K4:K1004,"-3")</f>
        <v>2</v>
      </c>
      <c r="D13" s="1">
        <f>COUNTIF(DT!K4:K1004,"-2")</f>
        <v>9</v>
      </c>
      <c r="E13" s="1">
        <f>COUNTIF(DT!K4:K1004,"-1")</f>
        <v>15</v>
      </c>
      <c r="F13" s="1">
        <f>COUNTIF(DT!K4:K1004,"0")</f>
        <v>64</v>
      </c>
      <c r="G13" s="1">
        <f>COUNTIF(DT!K4:K1004,"1")</f>
        <v>65</v>
      </c>
      <c r="H13" s="1">
        <f>COUNTIF(DT!K4:K1004,"2")</f>
        <v>61</v>
      </c>
      <c r="I13" s="1">
        <f>COUNTIF(DT!K4:K1004,"3")</f>
        <v>39</v>
      </c>
      <c r="J13" s="28" t="str">
        <f>Results!H13</f>
        <v>Dependability</v>
      </c>
    </row>
    <row r="14" spans="1:11">
      <c r="A14" s="2">
        <v>12</v>
      </c>
      <c r="B14" s="1" t="str">
        <f>_xlfn.CONCAT(Results!G14,"/",Results!F14)</f>
        <v>bad/good</v>
      </c>
      <c r="C14" s="1">
        <f>COUNTIF(DT!L4:L1004,"-3")</f>
        <v>3</v>
      </c>
      <c r="D14" s="1">
        <f>COUNTIF(DT!L4:L1004,"-2")</f>
        <v>10</v>
      </c>
      <c r="E14" s="1">
        <f>COUNTIF(DT!L4:L1004,"-1")</f>
        <v>12</v>
      </c>
      <c r="F14" s="1">
        <f>COUNTIF(DT!L4:L1004,"0")</f>
        <v>20</v>
      </c>
      <c r="G14" s="1">
        <f>COUNTIF(DT!L4:L1004,"1")</f>
        <v>38</v>
      </c>
      <c r="H14" s="1">
        <f>COUNTIF(DT!L4:L1004,"2")</f>
        <v>83</v>
      </c>
      <c r="I14" s="1">
        <f>COUNTIF(DT!L4:L1004,"3")</f>
        <v>89</v>
      </c>
      <c r="J14" s="28" t="str">
        <f>Results!H14</f>
        <v>Attractiveness</v>
      </c>
    </row>
    <row r="15" spans="1:11">
      <c r="A15" s="2">
        <v>13</v>
      </c>
      <c r="B15" s="1" t="str">
        <f>_xlfn.CONCAT(Results!F15,"/",Results!G15)</f>
        <v>complicated/easy</v>
      </c>
      <c r="C15" s="1">
        <f>COUNTIF(DT!M4:M1004,"-3")</f>
        <v>3</v>
      </c>
      <c r="D15" s="1">
        <f>COUNTIF(DT!M4:M1004,"-2")</f>
        <v>9</v>
      </c>
      <c r="E15" s="1">
        <f>COUNTIF(DT!M4:M1004,"-1")</f>
        <v>15</v>
      </c>
      <c r="F15" s="1">
        <f>COUNTIF(DT!M4:M1004,"0")</f>
        <v>22</v>
      </c>
      <c r="G15" s="1">
        <f>COUNTIF(DT!M4:M1004,"1")</f>
        <v>51</v>
      </c>
      <c r="H15" s="1">
        <f>COUNTIF(DT!M4:M1004,"2")</f>
        <v>85</v>
      </c>
      <c r="I15" s="1">
        <f>COUNTIF(DT!M4:M1004,"3")</f>
        <v>70</v>
      </c>
      <c r="J15" s="28" t="str">
        <f>Results!H15</f>
        <v>Perspicuity</v>
      </c>
    </row>
    <row r="16" spans="1:11">
      <c r="A16" s="2">
        <v>14</v>
      </c>
      <c r="B16" s="1" t="str">
        <f>_xlfn.CONCAT(Results!F16,"/",Results!G16)</f>
        <v>unlikable/pleasing</v>
      </c>
      <c r="C16" s="1">
        <f>COUNTIF(DT!N4:N1004,"-3")</f>
        <v>6</v>
      </c>
      <c r="D16" s="1">
        <f>COUNTIF(DT!N4:N1004,"-2")</f>
        <v>11</v>
      </c>
      <c r="E16" s="1">
        <f>COUNTIF(DT!N4:N1004,"-1")</f>
        <v>10</v>
      </c>
      <c r="F16" s="1">
        <f>COUNTIF(DT!N4:N1004,"0")</f>
        <v>18</v>
      </c>
      <c r="G16" s="1">
        <f>COUNTIF(DT!N4:N1004,"1")</f>
        <v>66</v>
      </c>
      <c r="H16" s="1">
        <f>COUNTIF(DT!N4:N1004,"2")</f>
        <v>84</v>
      </c>
      <c r="I16" s="1">
        <f>COUNTIF(DT!N4:N1004,"3")</f>
        <v>60</v>
      </c>
      <c r="J16" s="28" t="str">
        <f>Results!H16</f>
        <v>Attractiveness</v>
      </c>
    </row>
    <row r="17" spans="1:10">
      <c r="A17" s="2">
        <v>15</v>
      </c>
      <c r="B17" s="1" t="str">
        <f>_xlfn.CONCAT(Results!F17,"/",Results!G17)</f>
        <v>usual/leading edge</v>
      </c>
      <c r="C17" s="1">
        <f>COUNTIF(DT!O4:O1004,"-3")</f>
        <v>6</v>
      </c>
      <c r="D17" s="1">
        <f>COUNTIF(DT!O4:O1004,"-2")</f>
        <v>17</v>
      </c>
      <c r="E17" s="1">
        <f>COUNTIF(DT!O4:O1004,"-1")</f>
        <v>21</v>
      </c>
      <c r="F17" s="1">
        <f>COUNTIF(DT!O4:O1004,"0")</f>
        <v>47</v>
      </c>
      <c r="G17" s="1">
        <f>COUNTIF(DT!O4:O1004,"1")</f>
        <v>68</v>
      </c>
      <c r="H17" s="1">
        <f>COUNTIF(DT!O4:O1004,"2")</f>
        <v>72</v>
      </c>
      <c r="I17" s="1">
        <f>COUNTIF(DT!O4:O1004,"3")</f>
        <v>24</v>
      </c>
      <c r="J17" s="28" t="str">
        <f>Results!H17</f>
        <v>Novelty</v>
      </c>
    </row>
    <row r="18" spans="1:10">
      <c r="A18" s="2">
        <v>16</v>
      </c>
      <c r="B18" s="1" t="str">
        <f>_xlfn.CONCAT(Results!F18,"/",Results!G18)</f>
        <v>unpleasant/pleasant</v>
      </c>
      <c r="C18" s="1">
        <f>COUNTIF(DT!P4:P1004,"-3")</f>
        <v>4</v>
      </c>
      <c r="D18" s="1">
        <f>COUNTIF(DT!P4:P1004,"-2")</f>
        <v>10</v>
      </c>
      <c r="E18" s="1">
        <f>COUNTIF(DT!P4:P1004,"-1")</f>
        <v>10</v>
      </c>
      <c r="F18" s="1">
        <f>COUNTIF(DT!P4:P1004,"0")</f>
        <v>22</v>
      </c>
      <c r="G18" s="1">
        <f>COUNTIF(DT!P4:P1004,"1")</f>
        <v>62</v>
      </c>
      <c r="H18" s="1">
        <f>COUNTIF(DT!P4:P1004,"2")</f>
        <v>84</v>
      </c>
      <c r="I18" s="1">
        <f>COUNTIF(DT!P4:P1004,"3")</f>
        <v>63</v>
      </c>
      <c r="J18" s="28" t="str">
        <f>Results!H18</f>
        <v>Attractiveness</v>
      </c>
    </row>
    <row r="19" spans="1:10">
      <c r="A19" s="2">
        <v>17</v>
      </c>
      <c r="B19" s="1" t="str">
        <f>_xlfn.CONCAT(Results!G19,"/",Results!F19)</f>
        <v>not secure/secure</v>
      </c>
      <c r="C19" s="1">
        <f>COUNTIF(DT!Q4:Q1004,"-3")</f>
        <v>3</v>
      </c>
      <c r="D19" s="1">
        <f>COUNTIF(DT!Q4:Q1004,"-2")</f>
        <v>13</v>
      </c>
      <c r="E19" s="1">
        <f>COUNTIF(DT!Q4:Q1004,"-1")</f>
        <v>13</v>
      </c>
      <c r="F19" s="1">
        <f>COUNTIF(DT!Q4:Q1004,"0")</f>
        <v>19</v>
      </c>
      <c r="G19" s="1">
        <f>COUNTIF(DT!Q4:Q1004,"1")</f>
        <v>40</v>
      </c>
      <c r="H19" s="1">
        <f>COUNTIF(DT!Q4:Q1004,"2")</f>
        <v>95</v>
      </c>
      <c r="I19" s="1">
        <f>COUNTIF(DT!Q4:Q1004,"3")</f>
        <v>72</v>
      </c>
      <c r="J19" s="28" t="str">
        <f>Results!H19</f>
        <v>Dependability</v>
      </c>
    </row>
    <row r="20" spans="1:10">
      <c r="A20" s="2">
        <v>18</v>
      </c>
      <c r="B20" s="1" t="str">
        <f>_xlfn.CONCAT(Results!G20,"/",Results!F20)</f>
        <v>demotivating/motivating</v>
      </c>
      <c r="C20" s="1">
        <f>COUNTIF(DT!R4:R1004,"-3")</f>
        <v>4</v>
      </c>
      <c r="D20" s="1">
        <f>COUNTIF(DT!R4:R1004,"-2")</f>
        <v>8</v>
      </c>
      <c r="E20" s="1">
        <f>COUNTIF(DT!R4:R1004,"-1")</f>
        <v>15</v>
      </c>
      <c r="F20" s="1">
        <f>COUNTIF(DT!R4:R1004,"0")</f>
        <v>82</v>
      </c>
      <c r="G20" s="1">
        <f>COUNTIF(DT!R4:R1004,"1")</f>
        <v>66</v>
      </c>
      <c r="H20" s="1">
        <f>COUNTIF(DT!R4:R1004,"2")</f>
        <v>52</v>
      </c>
      <c r="I20" s="1">
        <f>COUNTIF(DT!R4:R1004,"3")</f>
        <v>28</v>
      </c>
      <c r="J20" s="29" t="str">
        <f>Results!H20</f>
        <v>Stimulation</v>
      </c>
    </row>
    <row r="21" spans="1:10">
      <c r="A21" s="2">
        <v>19</v>
      </c>
      <c r="B21" s="1" t="str">
        <f>_xlfn.CONCAT(Results!G21,"/",Results!F21)</f>
        <v>does not meet expectations/meets expectations</v>
      </c>
      <c r="C21" s="1">
        <f>COUNTIF(DT!S4:S1004,"-3")</f>
        <v>3</v>
      </c>
      <c r="D21" s="1">
        <f>COUNTIF(DT!S4:S1004,"-2")</f>
        <v>10</v>
      </c>
      <c r="E21" s="1">
        <f>COUNTIF(DT!S4:S1004,"-1")</f>
        <v>9</v>
      </c>
      <c r="F21" s="1">
        <f>COUNTIF(DT!S4:S1004,"0")</f>
        <v>16</v>
      </c>
      <c r="G21" s="1">
        <f>COUNTIF(DT!S4:S1004,"1")</f>
        <v>30</v>
      </c>
      <c r="H21" s="1">
        <f>COUNTIF(DT!S4:S1004,"2")</f>
        <v>107</v>
      </c>
      <c r="I21" s="1">
        <f>COUNTIF(DT!S4:S1004,"3")</f>
        <v>80</v>
      </c>
      <c r="J21" s="28" t="str">
        <f>Results!H21</f>
        <v>Dependability</v>
      </c>
    </row>
    <row r="22" spans="1:10">
      <c r="A22" s="2">
        <v>20</v>
      </c>
      <c r="B22" s="1" t="str">
        <f>_xlfn.CONCAT(Results!F22,"/",Results!G22)</f>
        <v>inefficient/efficient</v>
      </c>
      <c r="C22" s="1">
        <f>COUNTIF(DT!T4:T1004,"-3")</f>
        <v>3</v>
      </c>
      <c r="D22" s="1">
        <f>COUNTIF(DT!T4:T1004,"-2")</f>
        <v>8</v>
      </c>
      <c r="E22" s="1">
        <f>COUNTIF(DT!T4:T1004,"-1")</f>
        <v>9</v>
      </c>
      <c r="F22" s="1">
        <f>COUNTIF(DT!T4:T1004,"0")</f>
        <v>14</v>
      </c>
      <c r="G22" s="1">
        <f>COUNTIF(DT!T4:T1004,"1")</f>
        <v>46</v>
      </c>
      <c r="H22" s="1">
        <f>COUNTIF(DT!T4:T1004,"2")</f>
        <v>93</v>
      </c>
      <c r="I22" s="1">
        <f>COUNTIF(DT!T4:T1004,"3")</f>
        <v>82</v>
      </c>
      <c r="J22" s="28" t="str">
        <f>Results!H22</f>
        <v>Efficiency</v>
      </c>
    </row>
    <row r="23" spans="1:10">
      <c r="A23" s="6">
        <v>21</v>
      </c>
      <c r="B23" s="1" t="str">
        <f>_xlfn.CONCAT(Results!G23,"/",Results!F23)</f>
        <v>confusing/clear</v>
      </c>
      <c r="C23" s="1">
        <f>COUNTIF(DT!U4:U1004,"-3")</f>
        <v>4</v>
      </c>
      <c r="D23" s="1">
        <f>COUNTIF(DT!U4:U1004,"-2")</f>
        <v>8</v>
      </c>
      <c r="E23" s="1">
        <f>COUNTIF(DT!U4:U1004,"-1")</f>
        <v>12</v>
      </c>
      <c r="F23" s="1">
        <f>COUNTIF(DT!U4:U1004,"0")</f>
        <v>15</v>
      </c>
      <c r="G23" s="1">
        <f>COUNTIF(DT!U4:U1004,"1")</f>
        <v>46</v>
      </c>
      <c r="H23" s="1">
        <f>COUNTIF(DT!U4:U1004,"2")</f>
        <v>90</v>
      </c>
      <c r="I23" s="1">
        <f>COUNTIF(DT!U4:U1004,"3")</f>
        <v>80</v>
      </c>
      <c r="J23" s="28" t="str">
        <f>Results!H23</f>
        <v>Perspicuity</v>
      </c>
    </row>
    <row r="24" spans="1:10">
      <c r="A24" s="6">
        <v>22</v>
      </c>
      <c r="B24" s="1" t="str">
        <f>_xlfn.CONCAT(Results!F24,"/",Results!G24)</f>
        <v>impractical/practical</v>
      </c>
      <c r="C24" s="1">
        <f>COUNTIF(DT!V4:V1004,"-3")</f>
        <v>0</v>
      </c>
      <c r="D24" s="1">
        <f>COUNTIF(DT!V4:V1004,"-2")</f>
        <v>6</v>
      </c>
      <c r="E24" s="1">
        <f>COUNTIF(DT!V4:V1004,"-1")</f>
        <v>4</v>
      </c>
      <c r="F24" s="1">
        <f>COUNTIF(DT!V4:V1004,"0")</f>
        <v>17</v>
      </c>
      <c r="G24" s="1">
        <f>COUNTIF(DT!V4:V1004,"1")</f>
        <v>32</v>
      </c>
      <c r="H24" s="1">
        <f>COUNTIF(DT!V4:V1004,"2")</f>
        <v>112</v>
      </c>
      <c r="I24" s="1">
        <f>COUNTIF(DT!V4:V1004,"3")</f>
        <v>84</v>
      </c>
      <c r="J24" s="28" t="str">
        <f>Results!H24</f>
        <v>Efficiency</v>
      </c>
    </row>
    <row r="25" spans="1:10">
      <c r="A25" s="6">
        <v>23</v>
      </c>
      <c r="B25" s="1" t="str">
        <f>_xlfn.CONCAT(Results!G25,"/",Results!F25)</f>
        <v>cluttered/organized</v>
      </c>
      <c r="C25" s="1">
        <f>COUNTIF(DT!W4:W1004,"-3")</f>
        <v>4</v>
      </c>
      <c r="D25" s="1">
        <f>COUNTIF(DT!W4:W1004,"-2")</f>
        <v>14</v>
      </c>
      <c r="E25" s="1">
        <f>COUNTIF(DT!W4:W1004,"-1")</f>
        <v>25</v>
      </c>
      <c r="F25" s="1">
        <f>COUNTIF(DT!W4:W1004,"0")</f>
        <v>24</v>
      </c>
      <c r="G25" s="1">
        <f>COUNTIF(DT!W4:W1004,"1")</f>
        <v>46</v>
      </c>
      <c r="H25" s="1">
        <f>COUNTIF(DT!W4:W1004,"2")</f>
        <v>69</v>
      </c>
      <c r="I25" s="1">
        <f>COUNTIF(DT!W4:W1004,"3")</f>
        <v>73</v>
      </c>
      <c r="J25" s="28" t="str">
        <f>Results!H25</f>
        <v>Efficiency</v>
      </c>
    </row>
    <row r="26" spans="1:10">
      <c r="A26" s="6">
        <v>24</v>
      </c>
      <c r="B26" s="1" t="str">
        <f>_xlfn.CONCAT(Results!G26,"/",Results!F26)</f>
        <v>unattractive/attractive</v>
      </c>
      <c r="C26" s="1">
        <f>COUNTIF(DT!X4:X1004,"-3")</f>
        <v>1</v>
      </c>
      <c r="D26" s="1">
        <f>COUNTIF(DT!X4:X1004,"-2")</f>
        <v>8</v>
      </c>
      <c r="E26" s="1">
        <f>COUNTIF(DT!X4:X1004,"-1")</f>
        <v>19</v>
      </c>
      <c r="F26" s="1">
        <f>COUNTIF(DT!X4:X1004,"0")</f>
        <v>44</v>
      </c>
      <c r="G26" s="1">
        <f>COUNTIF(DT!X4:X1004,"1")</f>
        <v>69</v>
      </c>
      <c r="H26" s="1">
        <f>COUNTIF(DT!X4:X1004,"2")</f>
        <v>66</v>
      </c>
      <c r="I26" s="1">
        <f>COUNTIF(DT!X4:X1004,"3")</f>
        <v>48</v>
      </c>
      <c r="J26" s="28" t="str">
        <f>Results!H26</f>
        <v>Attractiveness</v>
      </c>
    </row>
    <row r="27" spans="1:10">
      <c r="A27" s="6">
        <v>25</v>
      </c>
      <c r="B27" s="1" t="str">
        <f>_xlfn.CONCAT(Results!G27,"/",Results!F27)</f>
        <v>unfriendly/friendly</v>
      </c>
      <c r="C27" s="1">
        <f>COUNTIF(DT!Y4:Y1004,"-3")</f>
        <v>2</v>
      </c>
      <c r="D27" s="1">
        <f>COUNTIF(DT!Y4:Y1004,"-2")</f>
        <v>7</v>
      </c>
      <c r="E27" s="1">
        <f>COUNTIF(DT!Y4:Y1004,"-1")</f>
        <v>8</v>
      </c>
      <c r="F27" s="1">
        <f>COUNTIF(DT!Y4:Y1004,"0")</f>
        <v>41</v>
      </c>
      <c r="G27" s="1">
        <f>COUNTIF(DT!Y4:Y1004,"1")</f>
        <v>57</v>
      </c>
      <c r="H27" s="1">
        <f>COUNTIF(DT!Y4:Y1004,"2")</f>
        <v>74</v>
      </c>
      <c r="I27" s="1">
        <f>COUNTIF(DT!Y4:Y1004,"3")</f>
        <v>66</v>
      </c>
      <c r="J27" s="28" t="str">
        <f>Results!H27</f>
        <v>Attractiveness</v>
      </c>
    </row>
    <row r="28" spans="1:10">
      <c r="A28" s="6">
        <v>26</v>
      </c>
      <c r="B28" s="1" t="str">
        <f>_xlfn.CONCAT(Results!F28,"/",Results!G28)</f>
        <v>conservative/innovative</v>
      </c>
      <c r="C28" s="1">
        <f>COUNTIF(DT!Z4:Z1004,"-3")</f>
        <v>11</v>
      </c>
      <c r="D28" s="1">
        <f>COUNTIF(DT!Z4:Z1004,"-2")</f>
        <v>10</v>
      </c>
      <c r="E28" s="1">
        <f>COUNTIF(DT!Z4:Z1004,"-1")</f>
        <v>23</v>
      </c>
      <c r="F28" s="1">
        <f>COUNTIF(DT!Z4:Z1004,"0")</f>
        <v>69</v>
      </c>
      <c r="G28" s="1">
        <f>COUNTIF(DT!Z4:Z1004,"1")</f>
        <v>52</v>
      </c>
      <c r="H28" s="1">
        <f>COUNTIF(DT!Z4:Z1004,"2")</f>
        <v>70</v>
      </c>
      <c r="I28" s="1">
        <f>COUNTIF(DT!Z4:Z1004,"3")</f>
        <v>20</v>
      </c>
      <c r="J28" s="28" t="str">
        <f>Results!H28</f>
        <v>Novelty</v>
      </c>
    </row>
  </sheetData>
  <mergeCells count="1">
    <mergeCell ref="A1:K1"/>
  </mergeCells>
  <pageMargins left="0.7" right="0.7" top="0.75" bottom="0.75" header="0.3" footer="0.3"/>
  <pageSetup orientation="portrait" r:id="rId1"/>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
  <sheetViews>
    <sheetView topLeftCell="A3" workbookViewId="0">
      <selection activeCell="D24" sqref="D24"/>
    </sheetView>
  </sheetViews>
  <sheetFormatPr defaultColWidth="9.109375" defaultRowHeight="14.4"/>
  <cols>
    <col min="1" max="1" width="8.88671875" customWidth="1"/>
    <col min="2" max="2" width="11" customWidth="1"/>
    <col min="3" max="3" width="5.109375" customWidth="1"/>
    <col min="4" max="4" width="9.109375" customWidth="1"/>
    <col min="5" max="5" width="10.88671875" customWidth="1"/>
    <col min="6" max="6" width="4.88671875" customWidth="1"/>
    <col min="7" max="7" width="9.109375" customWidth="1"/>
    <col min="8" max="8" width="11.109375" customWidth="1"/>
    <col min="9" max="9" width="4.88671875" customWidth="1"/>
    <col min="10" max="10" width="8.5546875" customWidth="1"/>
    <col min="11" max="11" width="10.6640625" customWidth="1"/>
    <col min="12" max="12" width="5.5546875" customWidth="1"/>
    <col min="13" max="13" width="9" customWidth="1"/>
    <col min="14" max="14" width="10.6640625" customWidth="1"/>
    <col min="15" max="15" width="5.109375" customWidth="1"/>
    <col min="16" max="16" width="9.6640625" customWidth="1"/>
    <col min="17" max="17" width="10.6640625" customWidth="1"/>
  </cols>
  <sheetData>
    <row r="1" spans="1:18" ht="55.2" customHeight="1">
      <c r="A1" s="164" t="s">
        <v>1256</v>
      </c>
      <c r="B1" s="189"/>
      <c r="C1" s="189"/>
      <c r="D1" s="189"/>
      <c r="E1" s="189"/>
      <c r="F1" s="189"/>
      <c r="G1" s="189"/>
      <c r="H1" s="189"/>
      <c r="I1" s="189"/>
      <c r="J1" s="189"/>
      <c r="K1" s="189"/>
      <c r="L1" s="189"/>
      <c r="M1" s="189"/>
      <c r="N1" s="189"/>
      <c r="O1" s="189"/>
      <c r="P1" s="189"/>
      <c r="Q1" s="189"/>
      <c r="R1" s="189"/>
    </row>
    <row r="2" spans="1:18" s="45" customFormat="1" ht="18.600000000000001" customHeight="1">
      <c r="A2" s="54"/>
      <c r="B2" s="55"/>
      <c r="C2" s="55"/>
      <c r="D2" s="55"/>
      <c r="E2" s="55"/>
      <c r="F2" s="55"/>
      <c r="G2" s="55"/>
      <c r="H2" s="55"/>
      <c r="I2" s="55"/>
      <c r="J2" s="55"/>
      <c r="K2" s="55"/>
      <c r="L2" s="55"/>
      <c r="M2" s="55"/>
      <c r="N2" s="55"/>
      <c r="O2" s="55"/>
      <c r="P2" s="55"/>
      <c r="Q2" s="55"/>
      <c r="R2" s="55"/>
    </row>
    <row r="3" spans="1:18" s="45" customFormat="1" ht="172.95" customHeight="1">
      <c r="A3" s="190" t="s">
        <v>1441</v>
      </c>
      <c r="B3" s="183"/>
      <c r="C3" s="183"/>
      <c r="D3" s="183"/>
      <c r="E3" s="183"/>
      <c r="F3" s="183"/>
      <c r="G3" s="183"/>
      <c r="H3" s="183"/>
      <c r="I3" s="183"/>
      <c r="J3" s="183"/>
      <c r="K3" s="183"/>
      <c r="L3" s="183"/>
      <c r="M3" s="183"/>
      <c r="N3" s="183"/>
      <c r="O3" s="183"/>
      <c r="P3" s="183"/>
      <c r="Q3" s="183"/>
      <c r="R3" s="55"/>
    </row>
    <row r="5" spans="1:18">
      <c r="A5" s="168" t="str">
        <f>VLOOKUP(Read_First!B5,Items!A1:BI50,54,FALSE)</f>
        <v>Attractiveness</v>
      </c>
      <c r="B5" s="168"/>
      <c r="D5" s="172" t="str">
        <f>VLOOKUP(Read_First!B5,Items!A1:BI50,55,FALSE)</f>
        <v>Perspicuity</v>
      </c>
      <c r="E5" s="172"/>
      <c r="G5" s="172" t="str">
        <f>VLOOKUP(Read_First!B5,Items!A1:BI50,56,FALSE)</f>
        <v>Efficiency</v>
      </c>
      <c r="H5" s="172"/>
      <c r="J5" s="172" t="str">
        <f>VLOOKUP(Read_First!B5,Items!A1:BI50,57,FALSE)</f>
        <v>Dependability</v>
      </c>
      <c r="K5" s="172"/>
      <c r="M5" s="172" t="str">
        <f>VLOOKUP(Read_First!B5,Items!A1:BI50,58,FALSE)</f>
        <v>Stimulation</v>
      </c>
      <c r="N5" s="172"/>
      <c r="P5" s="172" t="str">
        <f>VLOOKUP(Read_First!B5,Items!A1:BI50,59,FALSE)</f>
        <v>Novelty</v>
      </c>
      <c r="Q5" s="172"/>
    </row>
    <row r="6" spans="1:18">
      <c r="A6" s="120" t="s">
        <v>0</v>
      </c>
      <c r="B6" s="121" t="s">
        <v>115</v>
      </c>
      <c r="D6" s="120" t="s">
        <v>0</v>
      </c>
      <c r="E6" s="122" t="s">
        <v>115</v>
      </c>
      <c r="G6" s="116" t="s">
        <v>0</v>
      </c>
      <c r="H6" s="122" t="s">
        <v>115</v>
      </c>
      <c r="J6" s="118" t="s">
        <v>0</v>
      </c>
      <c r="K6" s="122" t="s">
        <v>115</v>
      </c>
      <c r="M6" s="120" t="s">
        <v>0</v>
      </c>
      <c r="N6" s="122" t="s">
        <v>115</v>
      </c>
      <c r="P6" s="120" t="s">
        <v>0</v>
      </c>
      <c r="Q6" s="122" t="s">
        <v>115</v>
      </c>
    </row>
    <row r="7" spans="1:18">
      <c r="A7" s="93" t="s">
        <v>36</v>
      </c>
      <c r="B7" s="94">
        <f>CORREL(DT!A4:A1004,DT!L4:L1004)</f>
        <v>0.54553429807414744</v>
      </c>
      <c r="D7" s="93" t="s">
        <v>5</v>
      </c>
      <c r="E7" s="94">
        <f>CORREL(DT!B4:B1004,DT!D4:D1004)</f>
        <v>0.49187406530506983</v>
      </c>
      <c r="G7" s="93" t="s">
        <v>11</v>
      </c>
      <c r="H7" s="94">
        <f>CORREL(DT!I4:I1004,DT!T4:T1004)</f>
        <v>0.51013070817072637</v>
      </c>
      <c r="J7" s="93" t="s">
        <v>17</v>
      </c>
      <c r="K7" s="94">
        <f>CORREL(DT!H4:H1004,DT!K4:K1004)</f>
        <v>3.2398039346758382E-2</v>
      </c>
      <c r="M7" s="93" t="s">
        <v>24</v>
      </c>
      <c r="N7" s="94">
        <f>CORREL(DT!E4:E1004,DT!F4:F1004)</f>
        <v>0.34835540090405731</v>
      </c>
      <c r="P7" s="93" t="s">
        <v>34</v>
      </c>
      <c r="Q7" s="94">
        <f>CORREL(DT!C4:C1004,DT!J4:J1004)</f>
        <v>0.48151550042730135</v>
      </c>
    </row>
    <row r="8" spans="1:18">
      <c r="A8" s="39" t="s">
        <v>37</v>
      </c>
      <c r="B8" s="40">
        <f>CORREL(DT!A4:A1004,DT!N4:N1004)</f>
        <v>0.59200729866483848</v>
      </c>
      <c r="D8" s="39" t="s">
        <v>6</v>
      </c>
      <c r="E8" s="40">
        <f>CORREL(DT!B4:B1004,DT!M4:M1004)</f>
        <v>0.57021183754590643</v>
      </c>
      <c r="G8" s="39" t="s">
        <v>12</v>
      </c>
      <c r="H8" s="40">
        <f>CORREL(DT!I4:I1004,DT!V4:V1004)</f>
        <v>0.41438426502527903</v>
      </c>
      <c r="J8" s="39" t="s">
        <v>18</v>
      </c>
      <c r="K8" s="40">
        <f>CORREL(DT!H4:H1004,DT!Q4:Q1004)</f>
        <v>3.1881840571837065E-2</v>
      </c>
      <c r="M8" s="39" t="s">
        <v>25</v>
      </c>
      <c r="N8" s="40">
        <f>CORREL(DT!E4:E1004,DT!G4:G1004)</f>
        <v>0.42849803005734138</v>
      </c>
      <c r="P8" s="39" t="s">
        <v>33</v>
      </c>
      <c r="Q8" s="40">
        <f>CORREL(DT!C4:C1004,DT!O4:O1004)</f>
        <v>0.3274669460238458</v>
      </c>
    </row>
    <row r="9" spans="1:18">
      <c r="A9" s="39" t="s">
        <v>38</v>
      </c>
      <c r="B9" s="40">
        <f>CORREL(DT!A4:A1004,DT!P4:P1004)</f>
        <v>0.58594295094489124</v>
      </c>
      <c r="D9" s="39" t="s">
        <v>7</v>
      </c>
      <c r="E9" s="40">
        <f>CORREL(DT!B4:B1004,DT!U4:U1004)</f>
        <v>0.48897071964810163</v>
      </c>
      <c r="G9" s="39" t="s">
        <v>13</v>
      </c>
      <c r="H9" s="40">
        <f>CORREL(DT!I4:I1004,DT!W4:W1004)</f>
        <v>0.30422898922374886</v>
      </c>
      <c r="J9" s="39" t="s">
        <v>19</v>
      </c>
      <c r="K9" s="40">
        <f>CORREL(DT!H4:H1004,DT!S4:S1004)</f>
        <v>8.3848044721718303E-3</v>
      </c>
      <c r="M9" s="39" t="s">
        <v>26</v>
      </c>
      <c r="N9" s="40">
        <f>CORREL(DT!E4:E1004,DT!R4:R1004)</f>
        <v>0.39058706315873387</v>
      </c>
      <c r="P9" s="39" t="s">
        <v>32</v>
      </c>
      <c r="Q9" s="40">
        <f>CORREL(DT!C4:C1004,DT!Z4:Z1004)</f>
        <v>0.16005070170427743</v>
      </c>
    </row>
    <row r="10" spans="1:18">
      <c r="A10" s="39" t="s">
        <v>39</v>
      </c>
      <c r="B10" s="40">
        <f>CORREL(DT!A4:A1004,DT!X4:X1004)</f>
        <v>0.50930841027699847</v>
      </c>
      <c r="D10" s="39" t="s">
        <v>8</v>
      </c>
      <c r="E10" s="40">
        <f>CORREL(DT!D4:D1004,DT!M4:M1004)</f>
        <v>0.45892684585147037</v>
      </c>
      <c r="G10" s="39" t="s">
        <v>14</v>
      </c>
      <c r="H10" s="40">
        <f>CORREL(DT!T4:T1004,DT!V4:V1004)</f>
        <v>0.63798563712370771</v>
      </c>
      <c r="J10" s="39" t="s">
        <v>20</v>
      </c>
      <c r="K10" s="40">
        <f>CORREL(DT!K4:K1004,DT!Q4:Q1004)</f>
        <v>0.34263842563816888</v>
      </c>
      <c r="M10" s="39" t="s">
        <v>27</v>
      </c>
      <c r="N10" s="40">
        <f>CORREL(DT!F4:F1004,DT!G4:G1004)</f>
        <v>0.7955739116990167</v>
      </c>
      <c r="P10" s="39" t="s">
        <v>31</v>
      </c>
      <c r="Q10" s="40">
        <f>CORREL(DT!J4:J1004,DT!O4:O1004)</f>
        <v>0.43754956505414305</v>
      </c>
    </row>
    <row r="11" spans="1:18">
      <c r="A11" s="39" t="s">
        <v>40</v>
      </c>
      <c r="B11" s="40">
        <f>CORREL(DT!A4:A1004,DT!Y4:Y1004)</f>
        <v>0.52789129732708251</v>
      </c>
      <c r="D11" s="39" t="s">
        <v>9</v>
      </c>
      <c r="E11" s="40">
        <f>CORREL(DT!D4:D1004,DT!U4:U1004)</f>
        <v>0.50918923908106006</v>
      </c>
      <c r="G11" s="39" t="s">
        <v>15</v>
      </c>
      <c r="H11" s="40">
        <f>CORREL(DT!T4:T1004,DT!W4:W1004)</f>
        <v>0.55033906984669012</v>
      </c>
      <c r="J11" s="39" t="s">
        <v>21</v>
      </c>
      <c r="K11" s="40">
        <f>CORREL(DT!K4:K1004,DT!S4:S1004)</f>
        <v>0.43891925553999683</v>
      </c>
      <c r="M11" s="39" t="s">
        <v>28</v>
      </c>
      <c r="N11" s="40">
        <f>CORREL(DT!F4:F1004,DT!R4:R1004)</f>
        <v>0.47817202237458573</v>
      </c>
      <c r="P11" s="39" t="s">
        <v>30</v>
      </c>
      <c r="Q11" s="40">
        <f>CORREL(DT!J4:J1004,DT!Z4:Z1004)</f>
        <v>0.38722593757122814</v>
      </c>
    </row>
    <row r="12" spans="1:18">
      <c r="A12" s="39" t="s">
        <v>41</v>
      </c>
      <c r="B12" s="40">
        <f>CORREL(DT!L4:L1004,DT!N4:N1004)</f>
        <v>0.71675867019955664</v>
      </c>
      <c r="D12" s="39" t="s">
        <v>10</v>
      </c>
      <c r="E12" s="40">
        <f>CORREL(DT!M4:M1004,DT!U4:U1004)</f>
        <v>0.50235751486378588</v>
      </c>
      <c r="G12" s="39" t="s">
        <v>16</v>
      </c>
      <c r="H12" s="40">
        <f>CORREL(DT!V4:V1004,DT!W4:W1004)</f>
        <v>0.44256026169853829</v>
      </c>
      <c r="J12" s="39" t="s">
        <v>22</v>
      </c>
      <c r="K12" s="40">
        <f>CORREL(DT!Q4:Q1004,DT!S4:S1004)</f>
        <v>0.6073032927792289</v>
      </c>
      <c r="M12" s="39" t="s">
        <v>23</v>
      </c>
      <c r="N12" s="40">
        <f>CORREL(DT!G4:G1004,DT!R4:R1004)</f>
        <v>0.449199323272922</v>
      </c>
      <c r="P12" s="39" t="s">
        <v>29</v>
      </c>
      <c r="Q12" s="40">
        <f>CORREL(DT!O4:O1004,DT!Z4:Z1004)</f>
        <v>0.42707631906422683</v>
      </c>
    </row>
    <row r="13" spans="1:18">
      <c r="A13" s="39" t="s">
        <v>42</v>
      </c>
      <c r="B13" s="40">
        <f>CORREL(DT!L4:L1004,DT!P4:P1004)</f>
        <v>0.66455173956363922</v>
      </c>
      <c r="D13" s="41" t="s">
        <v>826</v>
      </c>
      <c r="E13" s="40">
        <f>AVERAGE(E7:E12)</f>
        <v>0.50358837038256576</v>
      </c>
      <c r="G13" s="41" t="s">
        <v>826</v>
      </c>
      <c r="H13" s="40">
        <f>AVERAGE(H7:H12)</f>
        <v>0.47660482184811498</v>
      </c>
      <c r="J13" s="41" t="s">
        <v>826</v>
      </c>
      <c r="K13" s="40">
        <f>AVERAGE(K7:K12)</f>
        <v>0.24358760972469362</v>
      </c>
      <c r="M13" s="41" t="s">
        <v>826</v>
      </c>
      <c r="N13" s="40">
        <f>AVERAGE(N7:N12)</f>
        <v>0.48173095857777609</v>
      </c>
      <c r="P13" s="41" t="s">
        <v>826</v>
      </c>
      <c r="Q13" s="40">
        <f>AVERAGE(Q7:Q12)</f>
        <v>0.37014749497417049</v>
      </c>
    </row>
    <row r="14" spans="1:18">
      <c r="A14" s="39" t="s">
        <v>43</v>
      </c>
      <c r="B14" s="40">
        <f>CORREL(DT!L4:L1004,DT!X4:X1004)</f>
        <v>0.59174595373405425</v>
      </c>
      <c r="C14" s="8"/>
      <c r="D14" s="56" t="s">
        <v>4</v>
      </c>
      <c r="E14" s="57">
        <f>(4*E13)/(1+(3*E13))</f>
        <v>0.80228671036833099</v>
      </c>
      <c r="F14" s="59"/>
      <c r="G14" s="56" t="s">
        <v>4</v>
      </c>
      <c r="H14" s="57">
        <f>(4*H13)/(1+(3*H13))</f>
        <v>0.78459459124397379</v>
      </c>
      <c r="I14" s="59"/>
      <c r="J14" s="56" t="s">
        <v>4</v>
      </c>
      <c r="K14" s="57">
        <f>(4*K13)/(1+(3*K13))</f>
        <v>0.5629601135839819</v>
      </c>
      <c r="L14" s="59"/>
      <c r="M14" s="56" t="s">
        <v>4</v>
      </c>
      <c r="N14" s="57">
        <f>(4*N13)/(1+(3*N13))</f>
        <v>0.7880457420902669</v>
      </c>
      <c r="O14" s="58"/>
      <c r="P14" s="56" t="s">
        <v>4</v>
      </c>
      <c r="Q14" s="57">
        <f>(4*Q13)/(1+(3*Q13))</f>
        <v>0.7015542903795573</v>
      </c>
    </row>
    <row r="15" spans="1:18">
      <c r="A15" s="39" t="s">
        <v>44</v>
      </c>
      <c r="B15" s="40">
        <f>CORREL(DT!L4:L1004,DT!Y4:Y1004)</f>
        <v>0.66627498954739117</v>
      </c>
      <c r="D15" s="184" t="s">
        <v>1440</v>
      </c>
      <c r="E15" s="145">
        <f>1-EXP(LN(1-E14)+1.96*SQRT(8/(3*(Results!E3-2))))</f>
        <v>0.7582166362697319</v>
      </c>
      <c r="F15" s="45"/>
      <c r="G15" s="184" t="s">
        <v>1440</v>
      </c>
      <c r="H15" s="145">
        <f>1-EXP(LN(1-H14)+1.96*SQRT(8/(3*(Results!E3-2))))</f>
        <v>0.73658096331434908</v>
      </c>
      <c r="I15" s="45"/>
      <c r="J15" s="184" t="s">
        <v>1440</v>
      </c>
      <c r="K15" s="145">
        <f>1-EXP(LN(1-K14)+1.96*SQRT(8/(3*(Results!E3-2))))</f>
        <v>0.46554440513930195</v>
      </c>
      <c r="L15" s="45"/>
      <c r="M15" s="184" t="s">
        <v>1440</v>
      </c>
      <c r="N15" s="145">
        <f>1-EXP(LN(1-N14)+1.96*SQRT(8/(3*(Results!E3-2))))</f>
        <v>0.74080137187622075</v>
      </c>
      <c r="O15" s="45"/>
      <c r="P15" s="184" t="s">
        <v>1440</v>
      </c>
      <c r="Q15" s="145">
        <f>1-EXP(LN(1-Q14)+1.96*SQRT(8/(3*(Results!E3-2))))</f>
        <v>0.6350310710153737</v>
      </c>
    </row>
    <row r="16" spans="1:18">
      <c r="A16" s="39" t="s">
        <v>45</v>
      </c>
      <c r="B16" s="40">
        <f>CORREL(DT!N4:N1004,DT!P4:P1004)</f>
        <v>0.79315899547145807</v>
      </c>
      <c r="D16" s="185"/>
      <c r="E16" s="145">
        <f>1-EXP(LN(1-E14)-1.96*SQRT(8/(3*(Results!E3-2))))</f>
        <v>0.83832409189002188</v>
      </c>
      <c r="G16" s="185"/>
      <c r="H16" s="145">
        <f>1-EXP(LN(1-H14)-1.96*SQRT(8/(3*(Results!E3-2))))</f>
        <v>0.82385673144526306</v>
      </c>
      <c r="J16" s="185"/>
      <c r="K16" s="145">
        <f>1-EXP(LN(1-K14)-1.96*SQRT(8/(3*(Results!E3-2))))</f>
        <v>0.64261977205363574</v>
      </c>
      <c r="M16" s="185"/>
      <c r="N16" s="145">
        <f>1-EXP(LN(1-N14)-1.96*SQRT(8/(3*(Results!E3-2))))</f>
        <v>0.82667883788099339</v>
      </c>
      <c r="P16" s="185"/>
      <c r="Q16" s="145">
        <f>1-EXP(LN(1-Q14)-1.96*SQRT(8/(3*(Results!E3-2))))</f>
        <v>0.75595226191268039</v>
      </c>
    </row>
    <row r="17" spans="1:18">
      <c r="A17" s="39" t="s">
        <v>46</v>
      </c>
      <c r="B17" s="40">
        <f>CORREL(DT!N4:N1004,DT!X4:X1004)</f>
        <v>0.58553080955955805</v>
      </c>
    </row>
    <row r="18" spans="1:18">
      <c r="A18" s="39" t="s">
        <v>47</v>
      </c>
      <c r="B18" s="40">
        <f>CORREL(DT!N4:N1004,DT!Y4:Y1004)</f>
        <v>0.64859277295949203</v>
      </c>
    </row>
    <row r="19" spans="1:18">
      <c r="A19" s="39" t="s">
        <v>48</v>
      </c>
      <c r="B19" s="40">
        <f>CORREL(DT!P4:P1004,DT!X4:X1004)</f>
        <v>0.47059307782071569</v>
      </c>
    </row>
    <row r="20" spans="1:18">
      <c r="A20" s="39" t="s">
        <v>116</v>
      </c>
      <c r="B20" s="40">
        <f>CORREL(DT!P4:P1004,DT!Y4:Y1004)</f>
        <v>0.59140138830484601</v>
      </c>
    </row>
    <row r="21" spans="1:18">
      <c r="A21" s="39" t="s">
        <v>35</v>
      </c>
      <c r="B21" s="40">
        <f>CORREL(DT!X4:X1004,DT!Y4:Y1004)</f>
        <v>0.71947636898953926</v>
      </c>
    </row>
    <row r="22" spans="1:18">
      <c r="A22" s="41" t="s">
        <v>826</v>
      </c>
      <c r="B22" s="40">
        <f>AVERAGE(B7:B21)</f>
        <v>0.61391793476254719</v>
      </c>
    </row>
    <row r="23" spans="1:18">
      <c r="A23" s="56" t="s">
        <v>4</v>
      </c>
      <c r="B23" s="57">
        <f>(6*B22)/(1+(5*B22))</f>
        <v>0.90512997717636268</v>
      </c>
    </row>
    <row r="24" spans="1:18">
      <c r="A24" s="184" t="s">
        <v>1440</v>
      </c>
      <c r="B24" s="145">
        <f>1-EXP(LN(1-B23)+1.96*SQRT(12/(5*(Results!E3-2))))</f>
        <v>0.88517539417454105</v>
      </c>
    </row>
    <row r="25" spans="1:18" s="141" customFormat="1">
      <c r="A25" s="185"/>
      <c r="B25" s="145">
        <f>1-EXP(LN(1-B23)-1.96*SQRT(12/(5*(Results!E3-2))))</f>
        <v>0.92161678966058413</v>
      </c>
    </row>
    <row r="26" spans="1:18">
      <c r="A26" s="45"/>
      <c r="B26" s="45"/>
    </row>
    <row r="27" spans="1:18" ht="66.599999999999994" customHeight="1">
      <c r="A27" s="186" t="s">
        <v>1257</v>
      </c>
      <c r="B27" s="187"/>
      <c r="C27" s="187"/>
      <c r="D27" s="187"/>
      <c r="E27" s="187"/>
      <c r="F27" s="187"/>
      <c r="G27" s="187"/>
      <c r="H27" s="187"/>
      <c r="I27" s="187"/>
      <c r="J27" s="187"/>
      <c r="K27" s="187"/>
      <c r="L27" s="187"/>
      <c r="M27" s="187"/>
      <c r="N27" s="187"/>
      <c r="O27" s="187"/>
      <c r="P27" s="187"/>
      <c r="Q27" s="187"/>
      <c r="R27" s="187"/>
    </row>
    <row r="29" spans="1:18">
      <c r="A29" s="188" t="str">
        <f>VLOOKUP(Read_First!B5,Items!A1:BI50,54,FALSE)</f>
        <v>Attractiveness</v>
      </c>
      <c r="B29" s="188"/>
      <c r="C29" s="45"/>
      <c r="D29" s="188" t="str">
        <f>VLOOKUP(Read_First!B5,Items!A1:BI50,55,FALSE)</f>
        <v>Perspicuity</v>
      </c>
      <c r="E29" s="188"/>
      <c r="F29" s="45"/>
      <c r="G29" s="188" t="str">
        <f>VLOOKUP(Read_First!B5,Items!A1:BI50,56,FALSE)</f>
        <v>Efficiency</v>
      </c>
      <c r="H29" s="188"/>
      <c r="I29" s="45"/>
      <c r="J29" s="188" t="str">
        <f>VLOOKUP(Read_First!B5,Items!A1:BI50,57,FALSE)</f>
        <v>Dependability</v>
      </c>
      <c r="K29" s="188"/>
      <c r="L29" s="45"/>
      <c r="M29" s="188" t="str">
        <f>VLOOKUP(Read_First!B5,Items!A1:BI5,58,FALSE)</f>
        <v>Stimulation</v>
      </c>
      <c r="N29" s="188"/>
      <c r="O29" s="45"/>
      <c r="P29" s="188" t="str">
        <f>VLOOKUP(Read_First!B5,Items!A1:BI55,59,FALSE)</f>
        <v>Novelty</v>
      </c>
      <c r="Q29" s="188"/>
    </row>
    <row r="30" spans="1:18">
      <c r="A30" s="52" t="s">
        <v>1255</v>
      </c>
      <c r="B30" s="52">
        <f>1-((Results!C3+Results!C14+Results!C16+Results!C18+Results!C26+Results!C27)/(36*(Results!M3)))</f>
        <v>0.75450951841523595</v>
      </c>
      <c r="C30" s="45"/>
      <c r="D30" s="52" t="s">
        <v>1255</v>
      </c>
      <c r="E30" s="52">
        <f>1-((Results!C4+Results!C6+Results!C15+Results!C23)/(16*(Results!M4)))</f>
        <v>0.5988032340996311</v>
      </c>
      <c r="F30" s="45"/>
      <c r="G30" s="52" t="s">
        <v>1255</v>
      </c>
      <c r="H30" s="52">
        <f>1-((Results!C11+Results!C22+Results!C24+Results!C25)/(16*(Results!M5)))</f>
        <v>0.58000692495214934</v>
      </c>
      <c r="I30" s="45"/>
      <c r="J30" s="52" t="s">
        <v>1255</v>
      </c>
      <c r="K30" s="52">
        <f>1-((Results!C10+Results!C13+Results!C19+Results!C21)/(16*(Results!M6)))</f>
        <v>0.42608945852817548</v>
      </c>
      <c r="L30" s="45"/>
      <c r="M30" s="52" t="s">
        <v>1255</v>
      </c>
      <c r="N30" s="52">
        <f>1-((Results!C7+Results!C8+Results!C9+Results!C20)/(16*(Results!M7)))</f>
        <v>0.58780361119253688</v>
      </c>
      <c r="O30" s="45"/>
      <c r="P30" s="52" t="s">
        <v>1255</v>
      </c>
      <c r="Q30" s="52">
        <f>1-((Results!C5+Results!C12+Results!C17+Results!C28)/(16*(Results!M8)))</f>
        <v>0.52572096713022543</v>
      </c>
    </row>
    <row r="32" spans="1:18">
      <c r="A32" s="96" t="s">
        <v>0</v>
      </c>
      <c r="B32" s="69" t="s">
        <v>1252</v>
      </c>
      <c r="D32" s="96" t="s">
        <v>0</v>
      </c>
      <c r="E32" s="69" t="s">
        <v>1252</v>
      </c>
      <c r="G32" s="96" t="s">
        <v>0</v>
      </c>
      <c r="H32" s="69" t="s">
        <v>1252</v>
      </c>
      <c r="J32" s="96" t="s">
        <v>0</v>
      </c>
      <c r="K32" s="69" t="s">
        <v>1252</v>
      </c>
      <c r="M32" s="96" t="s">
        <v>0</v>
      </c>
      <c r="N32" s="69" t="s">
        <v>1252</v>
      </c>
      <c r="P32" s="92" t="s">
        <v>0</v>
      </c>
      <c r="Q32" s="95" t="s">
        <v>1252</v>
      </c>
    </row>
    <row r="33" spans="1:17">
      <c r="A33" s="39" t="s">
        <v>36</v>
      </c>
      <c r="B33" s="40">
        <f>COVAR(DT!A4:A1004,DT!L4:L1004)^2</f>
        <v>1.1445133352283263</v>
      </c>
      <c r="D33" s="39" t="s">
        <v>5</v>
      </c>
      <c r="E33" s="40">
        <f>_xlfn.COVARIANCE.S(DT!B4:B1004,DT!D4:D1004)^2</f>
        <v>1.105825802201396</v>
      </c>
      <c r="G33" s="39" t="s">
        <v>11</v>
      </c>
      <c r="H33" s="40">
        <f>COVAR(DT!I4:I1004,DT!T4:T1004)^2</f>
        <v>0.83110456585103587</v>
      </c>
      <c r="J33" s="39" t="s">
        <v>17</v>
      </c>
      <c r="K33" s="40">
        <f>COVAR(DT!H4:H1004,DT!K4:K1004)^2</f>
        <v>3.3525034954615478E-3</v>
      </c>
      <c r="M33" s="39" t="s">
        <v>24</v>
      </c>
      <c r="N33" s="40">
        <f>COVAR(DT!E4:E1004,DT!F4:F1004)^2</f>
        <v>0.43660542378563522</v>
      </c>
      <c r="P33" s="39" t="s">
        <v>34</v>
      </c>
      <c r="Q33" s="40">
        <f>COVAR(DT!C4:C1004,DT!J4:J1004)^2</f>
        <v>1.1848083960254856</v>
      </c>
    </row>
    <row r="34" spans="1:17">
      <c r="A34" s="39" t="s">
        <v>37</v>
      </c>
      <c r="B34" s="40">
        <f>COVAR(DT!A4:A1004,DT!N4:N1004)^2</f>
        <v>1.3619545071314243</v>
      </c>
      <c r="D34" s="39" t="s">
        <v>6</v>
      </c>
      <c r="E34" s="40">
        <f>_xlfn.COVARIANCE.S(DT!B4:B1004,DT!M4:M1004)^2</f>
        <v>1.1152625214208505</v>
      </c>
      <c r="G34" s="39" t="s">
        <v>12</v>
      </c>
      <c r="H34" s="40">
        <f>COVAR(DT!I4:I1004,DT!V4:V1004)^2</f>
        <v>0.38277127907951286</v>
      </c>
      <c r="J34" s="39" t="s">
        <v>18</v>
      </c>
      <c r="K34" s="40">
        <f>COVAR(DT!H4:H1004,DT!Q4:Q1004)^2</f>
        <v>3.8563097238352522E-3</v>
      </c>
      <c r="M34" s="39" t="s">
        <v>25</v>
      </c>
      <c r="N34" s="40">
        <f>COVAR(DT!E4:E1004,DT!G4:G1004)^2</f>
        <v>0.74509884120220438</v>
      </c>
      <c r="P34" s="39" t="s">
        <v>33</v>
      </c>
      <c r="Q34" s="40">
        <f>COVAR(DT!C4:C1004,DT!O4:O1004)^2</f>
        <v>0.52453012668803234</v>
      </c>
    </row>
    <row r="35" spans="1:17">
      <c r="A35" s="39" t="s">
        <v>38</v>
      </c>
      <c r="B35" s="40">
        <f>COVAR(DT!A4:A1004,DT!P4:P1004)^2</f>
        <v>1.2416865104821004</v>
      </c>
      <c r="D35" s="39" t="s">
        <v>7</v>
      </c>
      <c r="E35" s="40">
        <f>_xlfn.COVARIANCE.S(DT!B4:B1004,DT!U4:U1004)^2</f>
        <v>0.80185015449615626</v>
      </c>
      <c r="G35" s="39" t="s">
        <v>13</v>
      </c>
      <c r="H35" s="40">
        <f>COVAR(DT!I4:I1004,DT!W4:W1004)^2</f>
        <v>0.42477718548199833</v>
      </c>
      <c r="J35" s="39" t="s">
        <v>19</v>
      </c>
      <c r="K35" s="40">
        <f>COVAR(DT!H4:H1004,DT!S4:S1004)^2</f>
        <v>2.3461617770115055E-4</v>
      </c>
      <c r="M35" s="39" t="s">
        <v>26</v>
      </c>
      <c r="N35" s="40">
        <f>COVAR(DT!E4:E1004,DT!R4:R1004)^2</f>
        <v>0.56641104239179185</v>
      </c>
      <c r="P35" s="39" t="s">
        <v>32</v>
      </c>
      <c r="Q35" s="40">
        <f>COVAR(DT!C4:C1004,DT!Z4:Z1004)^2</f>
        <v>0.12810950060463822</v>
      </c>
    </row>
    <row r="36" spans="1:17">
      <c r="A36" s="39" t="s">
        <v>39</v>
      </c>
      <c r="B36" s="40">
        <f>COVAR(DT!A4:A1004,DT!X4:X1004)^2</f>
        <v>0.8654650288143686</v>
      </c>
      <c r="D36" s="39" t="s">
        <v>8</v>
      </c>
      <c r="E36" s="40">
        <f>_xlfn.COVARIANCE.S(DT!D4:D1004,DT!M4:M1004)^2</f>
        <v>1.111938828498958</v>
      </c>
      <c r="G36" s="39" t="s">
        <v>14</v>
      </c>
      <c r="H36" s="40">
        <f>COVAR(DT!T4:T1004,DT!V4:V1004)^2</f>
        <v>0.88833342725515474</v>
      </c>
      <c r="J36" s="39" t="s">
        <v>20</v>
      </c>
      <c r="K36" s="40">
        <f>COVAR(DT!K4:K1004,DT!Q4:Q1004)^2</f>
        <v>0.44127186169339322</v>
      </c>
      <c r="M36" s="39" t="s">
        <v>27</v>
      </c>
      <c r="N36" s="40">
        <f>COVAR(DT!F4:F1004,DT!G4:G1004)^2</f>
        <v>1.9455584189738051</v>
      </c>
      <c r="P36" s="39" t="s">
        <v>31</v>
      </c>
      <c r="Q36" s="40">
        <f>COVAR(DT!J4:J1004,DT!O4:O1004)^2</f>
        <v>0.89827542826887075</v>
      </c>
    </row>
    <row r="37" spans="1:17">
      <c r="A37" s="39" t="s">
        <v>40</v>
      </c>
      <c r="B37" s="40">
        <f>COVAR(DT!A4:A1004,DT!Y4:Y1004)^2</f>
        <v>0.9177949391304131</v>
      </c>
      <c r="D37" s="39" t="s">
        <v>9</v>
      </c>
      <c r="E37" s="40">
        <f>_xlfn.COVARIANCE.S(DT!D4:D1004,DT!U4:U1004)^2</f>
        <v>1.3383671334124652</v>
      </c>
      <c r="G37" s="39" t="s">
        <v>15</v>
      </c>
      <c r="H37" s="40">
        <f>COVAR(DT!T4:T1004,DT!W4:W1004)^2</f>
        <v>1.3609496395450753</v>
      </c>
      <c r="J37" s="39" t="s">
        <v>21</v>
      </c>
      <c r="K37" s="40">
        <f>COVAR(DT!K4:K1004,DT!S4:S1004)^2</f>
        <v>0.6369279552817414</v>
      </c>
      <c r="M37" s="39" t="s">
        <v>28</v>
      </c>
      <c r="N37" s="40">
        <f>COVAR(DT!F4:F1004,DT!R4:R1004)^2</f>
        <v>0.6430301063338707</v>
      </c>
      <c r="P37" s="39" t="s">
        <v>30</v>
      </c>
      <c r="Q37" s="40">
        <f>COVAR(DT!J4:J1004,DT!Z4:Z1004)^2</f>
        <v>0.71930745614210134</v>
      </c>
    </row>
    <row r="38" spans="1:17">
      <c r="A38" s="39" t="s">
        <v>41</v>
      </c>
      <c r="B38" s="40">
        <f>COVAR(DT!L4:L1004,DT!N4:N1004)^2</f>
        <v>2.1996504996673343</v>
      </c>
      <c r="D38" s="39" t="s">
        <v>10</v>
      </c>
      <c r="E38" s="40">
        <f>_xlfn.COVARIANCE.S(DT!M4:M1004,DT!U4:U1004)^2</f>
        <v>0.97761625827749754</v>
      </c>
      <c r="G38" s="39" t="s">
        <v>16</v>
      </c>
      <c r="H38" s="40">
        <f>COVAR(DT!V4:V1004,DT!W4:W1004)^2</f>
        <v>0.61427988223853203</v>
      </c>
      <c r="J38" s="39" t="s">
        <v>22</v>
      </c>
      <c r="K38" s="40">
        <f>COVAR(DT!Q4:Q1004,DT!S4:S1004)^2</f>
        <v>1.4483905028690189</v>
      </c>
      <c r="M38" s="39" t="s">
        <v>23</v>
      </c>
      <c r="N38" s="40">
        <f>COVAR(DT!G4:G1004,DT!R4:R1004)^2</f>
        <v>0.64004921278761651</v>
      </c>
      <c r="P38" s="39" t="s">
        <v>29</v>
      </c>
      <c r="Q38" s="40">
        <f>COVAR(DT!O4:O1004,DT!Z4:Z1004)^2</f>
        <v>0.83753812038991871</v>
      </c>
    </row>
    <row r="39" spans="1:17">
      <c r="A39" s="39" t="s">
        <v>42</v>
      </c>
      <c r="B39" s="40">
        <f>COVAR(DT!L4:L1004,DT!P4:P1004)^2</f>
        <v>1.7597792231154743</v>
      </c>
      <c r="D39" s="39" t="s">
        <v>1253</v>
      </c>
      <c r="E39" s="53">
        <f>SUM(E33:E38)</f>
        <v>6.4508606983073227</v>
      </c>
      <c r="G39" s="39" t="s">
        <v>1253</v>
      </c>
      <c r="H39" s="53">
        <f>SUM(H33:H38)</f>
        <v>4.502215979451309</v>
      </c>
      <c r="J39" s="39" t="s">
        <v>1253</v>
      </c>
      <c r="K39" s="53">
        <f>SUM(K33:K38)</f>
        <v>2.5340337492411518</v>
      </c>
      <c r="M39" s="39" t="s">
        <v>1253</v>
      </c>
      <c r="N39" s="53">
        <f>SUM(N33:N38)</f>
        <v>4.9767530454749238</v>
      </c>
      <c r="P39" s="39" t="s">
        <v>1253</v>
      </c>
      <c r="Q39" s="53">
        <f>SUM(Q33:Q38)</f>
        <v>4.2925690281190469</v>
      </c>
    </row>
    <row r="40" spans="1:17">
      <c r="A40" s="39" t="s">
        <v>43</v>
      </c>
      <c r="B40" s="40">
        <f>COVAR(DT!L4:L1004,DT!X4:X1004)^2</f>
        <v>1.2872346290967576</v>
      </c>
      <c r="D40" s="41" t="s">
        <v>1254</v>
      </c>
      <c r="E40" s="51">
        <f>E30+SQRT((4/3)*2*E39)/(16*(Results!M4))</f>
        <v>0.79898787825546524</v>
      </c>
      <c r="G40" s="41" t="s">
        <v>1254</v>
      </c>
      <c r="H40" s="51">
        <f>H30+SQRT((4/3)*2*H39)/(16*(Results!M5))</f>
        <v>0.77723193417662984</v>
      </c>
      <c r="J40" s="41" t="s">
        <v>1254</v>
      </c>
      <c r="K40" s="51">
        <f>K30+SQRT((4/3)*2*K39)/(16*(Results!M6))</f>
        <v>0.62302115236222311</v>
      </c>
      <c r="M40" s="41" t="s">
        <v>1254</v>
      </c>
      <c r="N40" s="51">
        <f>N30+SQRT((4/3)*2*N39)/(16*(Results!M7))</f>
        <v>0.79004492473420651</v>
      </c>
      <c r="P40" s="41" t="s">
        <v>1254</v>
      </c>
      <c r="Q40" s="51">
        <f>Q30+SQRT((4/3)*2*Q39)/(16*(Results!M8))</f>
        <v>0.70718425182418321</v>
      </c>
    </row>
    <row r="41" spans="1:17">
      <c r="A41" s="39" t="s">
        <v>44</v>
      </c>
      <c r="B41" s="40">
        <f>COVAR(DT!L4:L1004,DT!Y4:Y1004)^2</f>
        <v>1.6108791800864497</v>
      </c>
    </row>
    <row r="42" spans="1:17">
      <c r="A42" s="39" t="s">
        <v>45</v>
      </c>
      <c r="B42" s="40">
        <f>COVAR(DT!N4:N1004,DT!P4:P1004)^2</f>
        <v>2.5331029340295972</v>
      </c>
    </row>
    <row r="43" spans="1:17">
      <c r="A43" s="39" t="s">
        <v>46</v>
      </c>
      <c r="B43" s="40">
        <f>COVAR(DT!N4:N1004,DT!X4:X1004)^2</f>
        <v>1.2735569391655905</v>
      </c>
    </row>
    <row r="44" spans="1:17">
      <c r="A44" s="39" t="s">
        <v>47</v>
      </c>
      <c r="B44" s="40">
        <f>COVAR(DT!N4:N1004,DT!Y4:Y1004)^2</f>
        <v>1.5425238895341022</v>
      </c>
    </row>
    <row r="45" spans="1:17">
      <c r="A45" s="39" t="s">
        <v>48</v>
      </c>
      <c r="B45" s="40">
        <f>COVAR(DT!P4:P1004,DT!X4:X1004)^2</f>
        <v>0.76560145154593373</v>
      </c>
    </row>
    <row r="46" spans="1:17">
      <c r="A46" s="39" t="s">
        <v>116</v>
      </c>
      <c r="B46" s="40">
        <f>COVAR(DT!P4:P1004,DT!Y4:Y1004)^2</f>
        <v>1.1935625504696736</v>
      </c>
    </row>
    <row r="47" spans="1:17">
      <c r="A47" s="39" t="s">
        <v>35</v>
      </c>
      <c r="B47" s="40">
        <f>COVAR(DT!X4:X1004,DT!Y4:Y1004)^2</f>
        <v>1.62967163281623</v>
      </c>
    </row>
    <row r="48" spans="1:17">
      <c r="A48" s="39" t="s">
        <v>1253</v>
      </c>
      <c r="B48" s="53">
        <f>SUM(B33:B47)</f>
        <v>21.326977250313774</v>
      </c>
    </row>
    <row r="49" spans="1:2">
      <c r="A49" s="41" t="s">
        <v>1254</v>
      </c>
      <c r="B49" s="51">
        <f>B30+SQRT((6/5)*2*B48)/(36*(Results!M3))</f>
        <v>0.90675006725963758</v>
      </c>
    </row>
  </sheetData>
  <mergeCells count="21">
    <mergeCell ref="P5:Q5"/>
    <mergeCell ref="A1:R1"/>
    <mergeCell ref="A5:B5"/>
    <mergeCell ref="D5:E5"/>
    <mergeCell ref="G5:H5"/>
    <mergeCell ref="J5:K5"/>
    <mergeCell ref="M5:N5"/>
    <mergeCell ref="A3:Q3"/>
    <mergeCell ref="A27:R27"/>
    <mergeCell ref="A29:B29"/>
    <mergeCell ref="D29:E29"/>
    <mergeCell ref="G29:H29"/>
    <mergeCell ref="J29:K29"/>
    <mergeCell ref="M29:N29"/>
    <mergeCell ref="P29:Q29"/>
    <mergeCell ref="P15:P16"/>
    <mergeCell ref="A24:A25"/>
    <mergeCell ref="D15:D16"/>
    <mergeCell ref="G15:G16"/>
    <mergeCell ref="J15:J16"/>
    <mergeCell ref="M15:M16"/>
  </mergeCells>
  <pageMargins left="0.7" right="0.7" top="0.75" bottom="0.75" header="0.3" footer="0.3"/>
  <pageSetup paperSize="9" orientation="portrait" r:id="rId1"/>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topLeftCell="A10" workbookViewId="0">
      <selection activeCell="H2" sqref="H2"/>
    </sheetView>
  </sheetViews>
  <sheetFormatPr defaultColWidth="9.109375" defaultRowHeight="14.4"/>
  <cols>
    <col min="1" max="2" width="18.109375" customWidth="1"/>
    <col min="3" max="3" width="26.88671875" customWidth="1"/>
    <col min="4" max="4" width="41.33203125" customWidth="1"/>
    <col min="5" max="5" width="20.109375" customWidth="1"/>
    <col min="6" max="6" width="10.6640625" customWidth="1"/>
    <col min="7" max="8" width="15.6640625" customWidth="1"/>
  </cols>
  <sheetData>
    <row r="1" spans="1:8" ht="141.44999999999999" customHeight="1">
      <c r="A1" s="190" t="s">
        <v>2126</v>
      </c>
      <c r="B1" s="191"/>
      <c r="C1" s="191"/>
      <c r="D1" s="191"/>
      <c r="E1" s="191"/>
      <c r="F1" s="191"/>
      <c r="G1" s="191"/>
      <c r="H1" s="191"/>
    </row>
    <row r="2" spans="1:8">
      <c r="A2" s="123" t="s">
        <v>110</v>
      </c>
      <c r="B2" s="124" t="s">
        <v>106</v>
      </c>
      <c r="C2" s="124" t="s">
        <v>120</v>
      </c>
      <c r="D2" s="124" t="s">
        <v>121</v>
      </c>
    </row>
    <row r="3" spans="1:8">
      <c r="A3" s="17" t="str">
        <f>VLOOKUP(Read_First!B5,Items!A1:BI50,54,FALSE)</f>
        <v>Attractiveness</v>
      </c>
      <c r="B3" s="62">
        <f>Results!L3</f>
        <v>1.4732026143790853</v>
      </c>
      <c r="C3" s="16" t="str">
        <f>IF(B3&gt;E37,"Excellent",IF(B3&gt;D37,"Good",IF(B3&gt;C37,"Above average",IF(B3&gt;B37,"Below average","Bad"))))</f>
        <v>Above average</v>
      </c>
      <c r="D3" s="15" t="str">
        <f t="shared" ref="D3:D8" si="0">IF(B3&gt;E37,"In the range of the 10% best results",IF(B3&gt;D37,"10% of results better, 75% of results worse",IF(B3&gt;C37,"25% of results better, 50% of results worse",IF(B3&gt;B37,"50% of results better, 25% of results worse","In the range of the 25% worst results"))))</f>
        <v>25% of results better, 50% of results worse</v>
      </c>
    </row>
    <row r="4" spans="1:8">
      <c r="A4" s="17" t="str">
        <f>VLOOKUP(Read_First!B5,Items!A1:BI50,55,FALSE)</f>
        <v>Perspicuity</v>
      </c>
      <c r="B4" s="62">
        <f>Results!L4</f>
        <v>1.642156862745098</v>
      </c>
      <c r="C4" s="16" t="str">
        <f>IF(B4&gt;E38,"Excellent",IF(B4&gt;D38,"Good",IF(B4&gt;C38,"Above Average",IF(B4&gt;B38,"Below Average","Bad"))))</f>
        <v>Above Average</v>
      </c>
      <c r="D4" s="15" t="str">
        <f t="shared" si="0"/>
        <v>25% of results better, 50% of results worse</v>
      </c>
    </row>
    <row r="5" spans="1:8">
      <c r="A5" s="17" t="str">
        <f>VLOOKUP(Read_First!B5,Items!A1:BI50,56,FALSE)</f>
        <v>Efficiency</v>
      </c>
      <c r="B5" s="62">
        <f>Results!L5</f>
        <v>1.6068627450980393</v>
      </c>
      <c r="C5" s="16" t="str">
        <f>IF(B5&gt;E39,"Excellent",IF(B5&gt;D39,"Good",IF(B5&gt;C39,"Above Average",IF(B5&gt;B39,"Below Average","Bad"))))</f>
        <v>Good</v>
      </c>
      <c r="D5" s="15" t="str">
        <f t="shared" si="0"/>
        <v>10% of results better, 75% of results worse</v>
      </c>
    </row>
    <row r="6" spans="1:8">
      <c r="A6" s="18" t="str">
        <f>VLOOKUP(Read_First!B5,Items!A1:BI50,57,FALSE)</f>
        <v>Dependability</v>
      </c>
      <c r="B6" s="62">
        <f>Results!L6</f>
        <v>1.2431372549019608</v>
      </c>
      <c r="C6" s="16" t="str">
        <f>IF(B6&gt;E40,"Excellent",IF(B6&gt;D40,"Good",IF(B6&gt;C40,"Above Average",IF(B6&gt;B40,"Below Average","Bad"))))</f>
        <v>Above Average</v>
      </c>
      <c r="D6" s="15" t="str">
        <f t="shared" si="0"/>
        <v>25% of results better, 50% of results worse</v>
      </c>
    </row>
    <row r="7" spans="1:8">
      <c r="A7" s="18" t="str">
        <f>VLOOKUP(Read_First!B5,Items!A1:BI50,58,FALSE)</f>
        <v>Stimulation</v>
      </c>
      <c r="B7" s="62">
        <f>Results!L7</f>
        <v>1.1352941176470588</v>
      </c>
      <c r="C7" s="16" t="str">
        <f>IF(B7&gt;E41,"Excellent",IF(B7&gt;D41,"Good",IF(B7&gt;C41,"Above Average",IF(B7&gt;B41,"Below Average","Bad"))))</f>
        <v>Above Average</v>
      </c>
      <c r="D7" s="15" t="str">
        <f t="shared" si="0"/>
        <v>25% of results better, 50% of results worse</v>
      </c>
    </row>
    <row r="8" spans="1:8">
      <c r="A8" s="17" t="str">
        <f>VLOOKUP(Read_First!B5,Items!A1:BI50,59,FALSE)</f>
        <v>Novelty</v>
      </c>
      <c r="B8" s="62">
        <f>Results!L8</f>
        <v>0.77352941176470591</v>
      </c>
      <c r="C8" s="16" t="str">
        <f>IF(B8&gt;E42,"Excellent",IF(B8&gt;D42,"Good",IF(B8&gt;C42,"Above Average",IF(B8&gt;B42,"Below Average","Bad"))))</f>
        <v>Above Average</v>
      </c>
      <c r="D8" s="15" t="str">
        <f t="shared" si="0"/>
        <v>25% of results better, 50% of results worse</v>
      </c>
    </row>
    <row r="26" spans="1:8">
      <c r="A26" s="192" t="s">
        <v>822</v>
      </c>
      <c r="B26" s="192"/>
      <c r="C26" s="192"/>
      <c r="D26" s="192"/>
      <c r="E26" s="192"/>
      <c r="F26" s="192"/>
      <c r="G26" s="192"/>
      <c r="H26" s="192"/>
    </row>
    <row r="27" spans="1:8" s="21" customFormat="1">
      <c r="A27" s="19" t="s">
        <v>110</v>
      </c>
      <c r="B27" s="19" t="s">
        <v>126</v>
      </c>
      <c r="C27" s="20" t="s">
        <v>125</v>
      </c>
      <c r="D27" s="20" t="s">
        <v>124</v>
      </c>
      <c r="E27" s="20" t="s">
        <v>123</v>
      </c>
      <c r="F27" s="20" t="s">
        <v>122</v>
      </c>
      <c r="G27" s="20" t="s">
        <v>119</v>
      </c>
      <c r="H27" s="20" t="s">
        <v>106</v>
      </c>
    </row>
    <row r="28" spans="1:8">
      <c r="A28" s="17" t="str">
        <f>VLOOKUP(Read_First!B5,Items!A1:BI50,54,FALSE)</f>
        <v>Attractiveness</v>
      </c>
      <c r="B28" s="35">
        <v>-1</v>
      </c>
      <c r="C28" s="36">
        <f>B37</f>
        <v>0.69</v>
      </c>
      <c r="D28" s="36">
        <f>C37-B37</f>
        <v>0.49</v>
      </c>
      <c r="E28" s="36">
        <f>D37-C37</f>
        <v>0.40000000000000013</v>
      </c>
      <c r="F28" s="36">
        <f>E37-D37</f>
        <v>0.26</v>
      </c>
      <c r="G28" s="36">
        <f>2.5-E37</f>
        <v>0.65999999999999992</v>
      </c>
      <c r="H28" s="63">
        <f>Results!L3</f>
        <v>1.4732026143790853</v>
      </c>
    </row>
    <row r="29" spans="1:8">
      <c r="A29" s="17" t="str">
        <f>VLOOKUP(Read_First!B5,Items!A1:BI50,55,FALSE)</f>
        <v>Perspicuity</v>
      </c>
      <c r="B29" s="35">
        <v>-1</v>
      </c>
      <c r="C29" s="150">
        <f t="shared" ref="C29:C33" si="1">B38</f>
        <v>0.72</v>
      </c>
      <c r="D29" s="150">
        <f t="shared" ref="D29:D33" si="2">C38-B38</f>
        <v>0.48</v>
      </c>
      <c r="E29" s="150">
        <f t="shared" ref="E29:E33" si="3">D38-C38</f>
        <v>0.53</v>
      </c>
      <c r="F29" s="150">
        <f t="shared" ref="F29:F33" si="4">E38-D38</f>
        <v>0.27</v>
      </c>
      <c r="G29" s="150">
        <f t="shared" ref="G29:G33" si="5">2.5-E38</f>
        <v>0.5</v>
      </c>
      <c r="H29" s="63">
        <f>Results!L4</f>
        <v>1.642156862745098</v>
      </c>
    </row>
    <row r="30" spans="1:8">
      <c r="A30" s="17" t="str">
        <f>VLOOKUP(Read_First!B5,Items!A1:BI50,56,FALSE)</f>
        <v>Efficiency</v>
      </c>
      <c r="B30" s="35">
        <v>-1</v>
      </c>
      <c r="C30" s="150">
        <f t="shared" si="1"/>
        <v>0.6</v>
      </c>
      <c r="D30" s="150">
        <f t="shared" si="2"/>
        <v>0.45000000000000007</v>
      </c>
      <c r="E30" s="150">
        <f t="shared" si="3"/>
        <v>0.44999999999999996</v>
      </c>
      <c r="F30" s="150">
        <f t="shared" si="4"/>
        <v>0.37999999999999989</v>
      </c>
      <c r="G30" s="150">
        <f t="shared" si="5"/>
        <v>0.62000000000000011</v>
      </c>
      <c r="H30" s="63">
        <f>Results!L5</f>
        <v>1.6068627450980393</v>
      </c>
    </row>
    <row r="31" spans="1:8">
      <c r="A31" s="18" t="str">
        <f>VLOOKUP(Read_First!B5,Items!A1:BI50,57,FALSE)</f>
        <v>Dependability</v>
      </c>
      <c r="B31" s="35">
        <v>-1</v>
      </c>
      <c r="C31" s="150">
        <f t="shared" si="1"/>
        <v>0.78</v>
      </c>
      <c r="D31" s="150">
        <f t="shared" si="2"/>
        <v>0.35999999999999988</v>
      </c>
      <c r="E31" s="150">
        <f t="shared" si="3"/>
        <v>0.34000000000000008</v>
      </c>
      <c r="F31" s="150">
        <f t="shared" si="4"/>
        <v>0.21999999999999997</v>
      </c>
      <c r="G31" s="150">
        <f t="shared" si="5"/>
        <v>0.8</v>
      </c>
      <c r="H31" s="63">
        <f>Results!L6</f>
        <v>1.2431372549019608</v>
      </c>
    </row>
    <row r="32" spans="1:8">
      <c r="A32" s="18" t="str">
        <f>VLOOKUP(Read_First!B5,Items!A1:BI50,58,FALSE)</f>
        <v>Stimulation</v>
      </c>
      <c r="B32" s="35">
        <v>-1</v>
      </c>
      <c r="C32" s="150">
        <f t="shared" si="1"/>
        <v>0.5</v>
      </c>
      <c r="D32" s="150">
        <f t="shared" si="2"/>
        <v>0.5</v>
      </c>
      <c r="E32" s="150">
        <f t="shared" si="3"/>
        <v>0.35000000000000009</v>
      </c>
      <c r="F32" s="150">
        <f t="shared" si="4"/>
        <v>0.34999999999999987</v>
      </c>
      <c r="G32" s="150">
        <f t="shared" si="5"/>
        <v>0.8</v>
      </c>
      <c r="H32" s="63">
        <f>Results!L7</f>
        <v>1.1352941176470588</v>
      </c>
    </row>
    <row r="33" spans="1:8">
      <c r="A33" s="17" t="str">
        <f>VLOOKUP(Read_First!B5,Items!A1:BI50,59,FALSE)</f>
        <v>Novelty</v>
      </c>
      <c r="B33" s="35">
        <v>-1</v>
      </c>
      <c r="C33" s="150">
        <f t="shared" si="1"/>
        <v>0.16</v>
      </c>
      <c r="D33" s="150">
        <f t="shared" si="2"/>
        <v>0.53999999999999992</v>
      </c>
      <c r="E33" s="150">
        <f t="shared" si="3"/>
        <v>0.42000000000000015</v>
      </c>
      <c r="F33" s="150">
        <f t="shared" si="4"/>
        <v>0.48</v>
      </c>
      <c r="G33" s="150">
        <f t="shared" si="5"/>
        <v>0.89999999999999991</v>
      </c>
      <c r="H33" s="63">
        <f>Results!L8</f>
        <v>0.77352941176470591</v>
      </c>
    </row>
    <row r="35" spans="1:8">
      <c r="A35" s="192" t="s">
        <v>2065</v>
      </c>
      <c r="B35" s="192"/>
      <c r="C35" s="192"/>
      <c r="D35" s="192"/>
      <c r="E35" s="192"/>
    </row>
    <row r="36" spans="1:8">
      <c r="A36" s="151" t="s">
        <v>110</v>
      </c>
      <c r="B36" s="152">
        <v>0.25</v>
      </c>
      <c r="C36" s="152">
        <v>0.5</v>
      </c>
      <c r="D36" s="152">
        <v>0.75</v>
      </c>
      <c r="E36" s="152">
        <v>0.9</v>
      </c>
    </row>
    <row r="37" spans="1:8">
      <c r="A37" s="151" t="str">
        <f>VLOOKUP(Read_First!B5,Items!A1:BI50,54,FALSE)</f>
        <v>Attractiveness</v>
      </c>
      <c r="B37">
        <v>0.69</v>
      </c>
      <c r="C37">
        <v>1.18</v>
      </c>
      <c r="D37">
        <v>1.58</v>
      </c>
      <c r="E37">
        <v>1.84</v>
      </c>
    </row>
    <row r="38" spans="1:8">
      <c r="A38" s="151" t="str">
        <f>VLOOKUP(Read_First!B5,Items!A1:BI50,55,FALSE)</f>
        <v>Perspicuity</v>
      </c>
      <c r="B38">
        <v>0.72</v>
      </c>
      <c r="C38">
        <v>1.2</v>
      </c>
      <c r="D38">
        <v>1.73</v>
      </c>
      <c r="E38">
        <v>2</v>
      </c>
    </row>
    <row r="39" spans="1:8">
      <c r="A39" s="151" t="str">
        <f>VLOOKUP(Read_First!B5,Items!A1:BI50,56,FALSE)</f>
        <v>Efficiency</v>
      </c>
      <c r="B39">
        <v>0.6</v>
      </c>
      <c r="C39">
        <v>1.05</v>
      </c>
      <c r="D39">
        <v>1.5</v>
      </c>
      <c r="E39">
        <v>1.88</v>
      </c>
    </row>
    <row r="40" spans="1:8">
      <c r="A40" s="151" t="str">
        <f>VLOOKUP(Read_First!B5,Items!A1:BI50,57,FALSE)</f>
        <v>Dependability</v>
      </c>
      <c r="B40">
        <v>0.78</v>
      </c>
      <c r="C40">
        <v>1.1399999999999999</v>
      </c>
      <c r="D40">
        <v>1.48</v>
      </c>
      <c r="E40">
        <v>1.7</v>
      </c>
    </row>
    <row r="41" spans="1:8">
      <c r="A41" s="151" t="str">
        <f>VLOOKUP(Read_First!B5,Items!A1:BI50,58,FALSE)</f>
        <v>Stimulation</v>
      </c>
      <c r="B41">
        <v>0.5</v>
      </c>
      <c r="C41">
        <v>1</v>
      </c>
      <c r="D41">
        <v>1.35</v>
      </c>
      <c r="E41">
        <v>1.7</v>
      </c>
    </row>
    <row r="42" spans="1:8">
      <c r="A42" s="151" t="str">
        <f>VLOOKUP(Read_First!B5,Items!A1:BI50,59,FALSE)</f>
        <v>Novelty</v>
      </c>
      <c r="B42">
        <v>0.16</v>
      </c>
      <c r="C42">
        <v>0.7</v>
      </c>
      <c r="D42">
        <v>1.1200000000000001</v>
      </c>
      <c r="E42">
        <v>1.6</v>
      </c>
    </row>
  </sheetData>
  <mergeCells count="3">
    <mergeCell ref="A1:H1"/>
    <mergeCell ref="A26:H26"/>
    <mergeCell ref="A35:E35"/>
  </mergeCells>
  <pageMargins left="0.7" right="0.7" top="0.75" bottom="0.75" header="0.3" footer="0.3"/>
  <pageSetup paperSize="9" orientation="portrait" r:id="rId1"/>
  <customProperties>
    <customPr name="EpmWorksheetKeyString_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topLeftCell="K1" workbookViewId="0">
      <selection sqref="A1:AF1"/>
    </sheetView>
  </sheetViews>
  <sheetFormatPr defaultColWidth="9.109375" defaultRowHeight="14.4"/>
  <cols>
    <col min="1" max="26" width="3.6640625" style="1" customWidth="1"/>
    <col min="29" max="35" width="13.77734375" style="1" customWidth="1"/>
    <col min="37" max="37" width="18.21875" style="156" customWidth="1"/>
  </cols>
  <sheetData>
    <row r="1" spans="1:37" ht="170.55" customHeight="1">
      <c r="A1" s="193" t="s">
        <v>2129</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37"/>
      <c r="AH1" s="38"/>
      <c r="AI1" s="1" t="s">
        <v>825</v>
      </c>
    </row>
    <row r="2" spans="1:37">
      <c r="A2" s="172" t="s">
        <v>0</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C2" s="168" t="s">
        <v>823</v>
      </c>
      <c r="AD2" s="168"/>
      <c r="AE2" s="168"/>
      <c r="AF2" s="168"/>
      <c r="AG2" s="168"/>
      <c r="AH2" s="168"/>
      <c r="AI2" s="168"/>
      <c r="AK2" s="155" t="s">
        <v>2127</v>
      </c>
    </row>
    <row r="3" spans="1:37">
      <c r="A3" s="106">
        <v>1</v>
      </c>
      <c r="B3" s="106">
        <v>2</v>
      </c>
      <c r="C3" s="106">
        <v>3</v>
      </c>
      <c r="D3" s="107">
        <v>4</v>
      </c>
      <c r="E3" s="108">
        <v>5</v>
      </c>
      <c r="F3" s="106">
        <v>6</v>
      </c>
      <c r="G3" s="107">
        <v>7</v>
      </c>
      <c r="H3" s="108">
        <v>8</v>
      </c>
      <c r="I3" s="106">
        <v>9</v>
      </c>
      <c r="J3" s="106">
        <v>10</v>
      </c>
      <c r="K3" s="106">
        <v>11</v>
      </c>
      <c r="L3" s="106">
        <v>12</v>
      </c>
      <c r="M3" s="107">
        <v>13</v>
      </c>
      <c r="N3" s="108">
        <v>14</v>
      </c>
      <c r="O3" s="107">
        <v>15</v>
      </c>
      <c r="P3" s="108">
        <v>16</v>
      </c>
      <c r="Q3" s="106">
        <v>17</v>
      </c>
      <c r="R3" s="106">
        <v>18</v>
      </c>
      <c r="S3" s="106">
        <v>19</v>
      </c>
      <c r="T3" s="106">
        <v>20</v>
      </c>
      <c r="U3" s="106">
        <v>21</v>
      </c>
      <c r="V3" s="106">
        <v>22</v>
      </c>
      <c r="W3" s="106">
        <v>23</v>
      </c>
      <c r="X3" s="107">
        <v>24</v>
      </c>
      <c r="Y3" s="108">
        <v>25</v>
      </c>
      <c r="Z3" s="109">
        <v>26</v>
      </c>
      <c r="AA3" s="66"/>
      <c r="AC3" s="111" t="str">
        <f>VLOOKUP(Read_First!B5,Items!A1:BI50,54,FALSE)</f>
        <v>Attractiveness</v>
      </c>
      <c r="AD3" s="112" t="str">
        <f>VLOOKUP(Read_First!B5,Items!A1:BI50,55,FALSE)</f>
        <v>Perspicuity</v>
      </c>
      <c r="AE3" s="112" t="str">
        <f>VLOOKUP(Read_First!B5,Items!A1:BI50,56,FALSE)</f>
        <v>Efficiency</v>
      </c>
      <c r="AF3" s="113" t="str">
        <f>VLOOKUP(Read_First!B5,Items!A1:BI50,57,FALSE)</f>
        <v>Dependability</v>
      </c>
      <c r="AG3" s="113" t="str">
        <f>VLOOKUP(Read_First!B5,Items!A1:BI50,58,FALSE)</f>
        <v>Stimulation</v>
      </c>
      <c r="AH3" s="113" t="str">
        <f>VLOOKUP(Read_First!B5,Items!A1:BI50,59,FALSE)</f>
        <v>Novelty</v>
      </c>
      <c r="AI3" s="125" t="s">
        <v>824</v>
      </c>
      <c r="AK3" s="155" t="s">
        <v>2128</v>
      </c>
    </row>
    <row r="4" spans="1:37">
      <c r="A4" s="67">
        <f>IF(Data!A4&gt;0,Data!A4-4,"")</f>
        <v>2</v>
      </c>
      <c r="B4" s="67">
        <f>IF(Data!B4&gt;0,Data!B4-4,"")</f>
        <v>3</v>
      </c>
      <c r="C4" s="67">
        <f>IF(Data!C4&gt;0,4-Data!C4,"")</f>
        <v>2</v>
      </c>
      <c r="D4" s="67">
        <f>IF(Data!D4&gt;0,4-Data!D4,"")</f>
        <v>3</v>
      </c>
      <c r="E4" s="67">
        <f>IF(Data!E4&gt;0,4-Data!E4,"")</f>
        <v>2</v>
      </c>
      <c r="F4" s="67">
        <f>IF(Data!F4&gt;0,Data!F4-4,"")</f>
        <v>2</v>
      </c>
      <c r="G4" s="67">
        <f>IF(Data!G4&gt;0,Data!G4-4,"")</f>
        <v>2</v>
      </c>
      <c r="H4" s="67">
        <f>IF(Data!H4&gt;0,Data!H4-4,"")</f>
        <v>2</v>
      </c>
      <c r="I4" s="67">
        <f>IF(Data!I4&gt;0,4-Data!I4,"")</f>
        <v>2</v>
      </c>
      <c r="J4" s="67">
        <f>IF(Data!J4&gt;0,4-Data!J4,"")</f>
        <v>1</v>
      </c>
      <c r="K4" s="67">
        <f>IF(Data!K4&gt;0,Data!K4-4,"")</f>
        <v>2</v>
      </c>
      <c r="L4" s="67">
        <f>IF(Data!L4&gt;0,4-Data!L4,"")</f>
        <v>2</v>
      </c>
      <c r="M4" s="67">
        <f>IF(Data!M4&gt;0,Data!M4-4,"")</f>
        <v>1</v>
      </c>
      <c r="N4" s="67">
        <f>IF(Data!N4&gt;0,Data!N4-4,"")</f>
        <v>2</v>
      </c>
      <c r="O4" s="67">
        <f>IF(Data!O4&gt;0,Data!O4-4,"")</f>
        <v>1</v>
      </c>
      <c r="P4" s="67">
        <f>IF(Data!P4&gt;0,Data!P4-4,"")</f>
        <v>1</v>
      </c>
      <c r="Q4" s="67">
        <f>IF(Data!Q4&gt;0,4-Data!Q4,"")</f>
        <v>2</v>
      </c>
      <c r="R4" s="1">
        <f>IF(Data!R4&gt;0,4-Data!R4,"")</f>
        <v>2</v>
      </c>
      <c r="S4" s="67">
        <f>IF(Data!S4&gt;0,4-Data!S4,"")</f>
        <v>2</v>
      </c>
      <c r="T4" s="67">
        <f>IF(Data!T4&gt;0,Data!T4-4,"")</f>
        <v>2</v>
      </c>
      <c r="U4" s="67">
        <f>IF(Data!U4&gt;0,4-Data!U4,"")</f>
        <v>2</v>
      </c>
      <c r="V4" s="67">
        <f>IF(Data!V4&gt;0,Data!V4-4,"")</f>
        <v>2</v>
      </c>
      <c r="W4" s="67">
        <f>IF(Data!W4&gt;0,4-Data!W4,"")</f>
        <v>2</v>
      </c>
      <c r="X4" s="67">
        <f>IF(Data!X4&gt;0,4-Data!X4,"")</f>
        <v>2</v>
      </c>
      <c r="Y4" s="67">
        <f>IF(Data!Y4&gt;0,4-Data!Y4,"")</f>
        <v>2</v>
      </c>
      <c r="Z4" s="67">
        <f>IF(Data!Z4&gt;0,Data!Z4-4,"")</f>
        <v>2</v>
      </c>
      <c r="AC4" s="72" t="str">
        <f>IF((MAX(A4,L4,N4,P4,X4,Y4)-MIN(A4,L4,N4,P4,X4,Y4))&gt;3,1,"")</f>
        <v/>
      </c>
      <c r="AD4" s="72" t="str">
        <f t="shared" ref="AD4" si="0">IF((MAX(B4,D4,M4,U4)-MIN(B4,D4,M4,U4))&gt;3,1,"")</f>
        <v/>
      </c>
      <c r="AE4" s="72" t="str">
        <f t="shared" ref="AE4" si="1">IF((MAX(I4,T4,V4,W4)-MIN(I4,T4,V4,W4))&gt;3,1,"")</f>
        <v/>
      </c>
      <c r="AF4" s="72" t="str">
        <f t="shared" ref="AF4" si="2">IF((MAX(H4,K4,Q4,S4)-MIN(H4,K4,Q4,S4))&gt;3,1,"")</f>
        <v/>
      </c>
      <c r="AG4" s="72" t="str">
        <f>IF((MAX(E4,F4,G4,R4)-MIN(E4,F4,G4,R4))&gt;3,1,"")</f>
        <v/>
      </c>
      <c r="AH4" s="72" t="str">
        <f t="shared" ref="AH4" si="3">IF((MAX(C4,J4,O4,Z4)-MIN(C4,J4,O4,Z4))&gt;3,1,"")</f>
        <v/>
      </c>
      <c r="AI4" s="70">
        <f>IF(COUNT(A4:Z4)&gt;0,IF(COUNT(AC4,AD4,AE4,AF4,AG4,AH4)&gt;0,SUM(AC4,AD4,AE4,AF4,AG4,AH4),0),"")</f>
        <v>0</v>
      </c>
      <c r="AK4" s="2">
        <f>IF(MAX(COUNTIF(Data!A4:Z4,1),COUNTIF(Data!A4:Z4,2),COUNTIF(Data!A4:Z4,3),COUNTIF(Data!A4:Z4,4),COUNTIF(Data!A4:Z4,5),COUNTIF(Data!A4:Z4,6),COUNTIF(Data!A4:Z4,7))&gt;0,MAX(COUNTIF(Data!A4:Z4,1),COUNTIF(Data!A4:Z4,2),COUNTIF(Data!A4:Z4,3),COUNTIF(Data!A4:Z4,4),COUNTIF(Data!A4:Z4,5),COUNTIF(Data!A4:Z4,6),COUNTIF(Data!A4:Z4,7)),"")</f>
        <v>11</v>
      </c>
    </row>
    <row r="5" spans="1:37">
      <c r="A5" s="1">
        <f>IF(Data!A5&gt;0,Data!A5-4,"")</f>
        <v>3</v>
      </c>
      <c r="B5" s="1">
        <f>IF(Data!B5&gt;0,Data!B5-4,"")</f>
        <v>3</v>
      </c>
      <c r="C5" s="1">
        <f>IF(Data!C5&gt;0,4-Data!C5,"")</f>
        <v>3</v>
      </c>
      <c r="D5" s="1">
        <f>IF(Data!D5&gt;0,4-Data!D5,"")</f>
        <v>3</v>
      </c>
      <c r="E5" s="1">
        <f>IF(Data!E5&gt;0,4-Data!E5,"")</f>
        <v>3</v>
      </c>
      <c r="F5" s="1">
        <f>IF(Data!F5&gt;0,Data!F5-4,"")</f>
        <v>3</v>
      </c>
      <c r="G5" s="1">
        <f>IF(Data!G5&gt;0,Data!G5-4,"")</f>
        <v>3</v>
      </c>
      <c r="H5" s="1">
        <f>IF(Data!H5&gt;0,Data!H5-4,"")</f>
        <v>3</v>
      </c>
      <c r="I5" s="1">
        <f>IF(Data!I5&gt;0,4-Data!I5,"")</f>
        <v>3</v>
      </c>
      <c r="J5" s="1">
        <f>IF(Data!J5&gt;0,4-Data!J5,"")</f>
        <v>3</v>
      </c>
      <c r="K5" s="1">
        <f>IF(Data!K5&gt;0,Data!K5-4,"")</f>
        <v>3</v>
      </c>
      <c r="L5" s="1">
        <f>IF(Data!L5&gt;0,4-Data!L5,"")</f>
        <v>3</v>
      </c>
      <c r="M5" s="1">
        <f>IF(Data!M5&gt;0,Data!M5-4,"")</f>
        <v>3</v>
      </c>
      <c r="N5" s="1">
        <f>IF(Data!N5&gt;0,Data!N5-4,"")</f>
        <v>3</v>
      </c>
      <c r="O5" s="1">
        <f>IF(Data!O5&gt;0,Data!O5-4,"")</f>
        <v>-3</v>
      </c>
      <c r="P5" s="1">
        <f>IF(Data!P5&gt;0,Data!P5-4,"")</f>
        <v>3</v>
      </c>
      <c r="Q5" s="1">
        <f>IF(Data!Q5&gt;0,4-Data!Q5,"")</f>
        <v>3</v>
      </c>
      <c r="R5" s="1">
        <f>IF(Data!R5&gt;0,4-Data!R5,"")</f>
        <v>3</v>
      </c>
      <c r="S5" s="1">
        <f>IF(Data!S5&gt;0,4-Data!S5,"")</f>
        <v>3</v>
      </c>
      <c r="T5" s="1">
        <f>IF(Data!T5&gt;0,Data!T5-4,"")</f>
        <v>3</v>
      </c>
      <c r="U5" s="1">
        <f>IF(Data!U5&gt;0,4-Data!U5,"")</f>
        <v>3</v>
      </c>
      <c r="V5" s="1">
        <f>IF(Data!V5&gt;0,Data!V5-4,"")</f>
        <v>3</v>
      </c>
      <c r="W5" s="1">
        <f>IF(Data!W5&gt;0,4-Data!W5,"")</f>
        <v>3</v>
      </c>
      <c r="X5" s="1">
        <f>IF(Data!X5&gt;0,4-Data!X5,"")</f>
        <v>3</v>
      </c>
      <c r="Y5" s="1">
        <f>IF(Data!Y5&gt;0,4-Data!Y5,"")</f>
        <v>3</v>
      </c>
      <c r="Z5" s="1">
        <f>IF(Data!Z5&gt;0,Data!Z5-4,"")</f>
        <v>-3</v>
      </c>
      <c r="AC5" s="4" t="str">
        <f t="shared" ref="AC5:AC13" si="4">IF((MAX(A5,L5,N5,P5,X5,Y5)-MIN(A5,L5,N5,P5,X5,Y5))&gt;3,1,"")</f>
        <v/>
      </c>
      <c r="AD5" s="4" t="str">
        <f t="shared" ref="AD5:AD13" si="5">IF((MAX(B5,D5,M5,U5)-MIN(B5,D5,M5,U5))&gt;3,1,"")</f>
        <v/>
      </c>
      <c r="AE5" s="4" t="str">
        <f t="shared" ref="AE5:AE13" si="6">IF((MAX(I5,T5,V5,W5)-MIN(I5,T5,V5,W5))&gt;3,1,"")</f>
        <v/>
      </c>
      <c r="AF5" s="4" t="str">
        <f t="shared" ref="AF5:AF13" si="7">IF((MAX(H5,K5,Q5,S5)-MIN(H5,K5,Q5,S5))&gt;3,1,"")</f>
        <v/>
      </c>
      <c r="AG5" s="4" t="str">
        <f t="shared" ref="AG5:AG68" si="8">IF((MAX(E5,F5,G5,R5)-MIN(E5,F5,G5,R5))&gt;3,1,"")</f>
        <v/>
      </c>
      <c r="AH5" s="4">
        <f t="shared" ref="AH5:AH13" si="9">IF((MAX(C5,J5,O5,Z5)-MIN(C5,J5,O5,Z5))&gt;3,1,"")</f>
        <v>1</v>
      </c>
      <c r="AI5" s="2">
        <f t="shared" ref="AI5:AI68" si="10">IF(COUNT(A5:Z5)&gt;0,IF(COUNT(AC5,AD5,AE5,AF5,AG5,AH5)&gt;0,SUM(AC5,AD5,AE5,AF5,AG5,AH5),0),"")</f>
        <v>1</v>
      </c>
      <c r="AK5" s="2">
        <f>IF(MAX(COUNTIF(Data!A5:Z5,1),COUNTIF(Data!A5:Z5,2),COUNTIF(Data!A5:Z5,3),COUNTIF(Data!A5:Z5,4),COUNTIF(Data!A5:Z5,5),COUNTIF(Data!A5:Z5,6),COUNTIF(Data!A5:Z5,7))&gt;0,MAX(COUNTIF(Data!A5:Z5,1),COUNTIF(Data!A5:Z5,2),COUNTIF(Data!A5:Z5,3),COUNTIF(Data!A5:Z5,4),COUNTIF(Data!A5:Z5,5),COUNTIF(Data!A5:Z5,6),COUNTIF(Data!A5:Z5,7)),"")</f>
        <v>15</v>
      </c>
    </row>
    <row r="6" spans="1:37">
      <c r="A6" s="1">
        <f>IF(Data!A6&gt;0,Data!A6-4,"")</f>
        <v>3</v>
      </c>
      <c r="B6" s="1">
        <f>IF(Data!B6&gt;0,Data!B6-4,"")</f>
        <v>3</v>
      </c>
      <c r="C6" s="1">
        <f>IF(Data!C6&gt;0,4-Data!C6,"")</f>
        <v>2</v>
      </c>
      <c r="D6" s="1">
        <f>IF(Data!D6&gt;0,4-Data!D6,"")</f>
        <v>3</v>
      </c>
      <c r="E6" s="1">
        <f>IF(Data!E6&gt;0,4-Data!E6,"")</f>
        <v>3</v>
      </c>
      <c r="F6" s="1">
        <f>IF(Data!F6&gt;0,Data!F6-4,"")</f>
        <v>1</v>
      </c>
      <c r="G6" s="1">
        <f>IF(Data!G6&gt;0,Data!G6-4,"")</f>
        <v>2</v>
      </c>
      <c r="H6" s="1">
        <f>IF(Data!H6&gt;0,Data!H6-4,"")</f>
        <v>-2</v>
      </c>
      <c r="I6" s="1">
        <f>IF(Data!I6&gt;0,4-Data!I6,"")</f>
        <v>2</v>
      </c>
      <c r="J6" s="1">
        <f>IF(Data!J6&gt;0,4-Data!J6,"")</f>
        <v>2</v>
      </c>
      <c r="K6" s="1">
        <f>IF(Data!K6&gt;0,Data!K6-4,"")</f>
        <v>1</v>
      </c>
      <c r="L6" s="1">
        <f>IF(Data!L6&gt;0,4-Data!L6,"")</f>
        <v>3</v>
      </c>
      <c r="M6" s="1">
        <f>IF(Data!M6&gt;0,Data!M6-4,"")</f>
        <v>1</v>
      </c>
      <c r="N6" s="1">
        <f>IF(Data!N6&gt;0,Data!N6-4,"")</f>
        <v>2</v>
      </c>
      <c r="O6" s="1">
        <f>IF(Data!O6&gt;0,Data!O6-4,"")</f>
        <v>2</v>
      </c>
      <c r="P6" s="1">
        <f>IF(Data!P6&gt;0,Data!P6-4,"")</f>
        <v>2</v>
      </c>
      <c r="Q6" s="1">
        <f>IF(Data!Q6&gt;0,4-Data!Q6,"")</f>
        <v>2</v>
      </c>
      <c r="R6" s="1">
        <f>IF(Data!R6&gt;0,4-Data!R6,"")</f>
        <v>1</v>
      </c>
      <c r="S6" s="1">
        <f>IF(Data!S6&gt;0,4-Data!S6,"")</f>
        <v>2</v>
      </c>
      <c r="T6" s="1">
        <f>IF(Data!T6&gt;0,Data!T6-4,"")</f>
        <v>2</v>
      </c>
      <c r="U6" s="1">
        <f>IF(Data!U6&gt;0,4-Data!U6,"")</f>
        <v>1</v>
      </c>
      <c r="V6" s="1">
        <f>IF(Data!V6&gt;0,Data!V6-4,"")</f>
        <v>2</v>
      </c>
      <c r="W6" s="1">
        <f>IF(Data!W6&gt;0,4-Data!W6,"")</f>
        <v>2</v>
      </c>
      <c r="X6" s="1">
        <f>IF(Data!X6&gt;0,4-Data!X6,"")</f>
        <v>1</v>
      </c>
      <c r="Y6" s="1">
        <f>IF(Data!Y6&gt;0,4-Data!Y6,"")</f>
        <v>1</v>
      </c>
      <c r="Z6" s="1">
        <f>IF(Data!Z6&gt;0,Data!Z6-4,"")</f>
        <v>2</v>
      </c>
      <c r="AC6" s="4" t="str">
        <f t="shared" si="4"/>
        <v/>
      </c>
      <c r="AD6" s="4" t="str">
        <f t="shared" si="5"/>
        <v/>
      </c>
      <c r="AE6" s="4" t="str">
        <f t="shared" si="6"/>
        <v/>
      </c>
      <c r="AF6" s="4">
        <f t="shared" si="7"/>
        <v>1</v>
      </c>
      <c r="AG6" s="4" t="str">
        <f t="shared" si="8"/>
        <v/>
      </c>
      <c r="AH6" s="4" t="str">
        <f t="shared" si="9"/>
        <v/>
      </c>
      <c r="AI6" s="2">
        <f t="shared" si="10"/>
        <v>1</v>
      </c>
      <c r="AK6" s="2">
        <f>IF(MAX(COUNTIF(Data!A6:Z6,1),COUNTIF(Data!A6:Z6,2),COUNTIF(Data!A6:Z6,3),COUNTIF(Data!A6:Z6,4),COUNTIF(Data!A6:Z6,5),COUNTIF(Data!A6:Z6,6),COUNTIF(Data!A6:Z6,7))&gt;0,MAX(COUNTIF(Data!A6:Z6,1),COUNTIF(Data!A6:Z6,2),COUNTIF(Data!A6:Z6,3),COUNTIF(Data!A6:Z6,4),COUNTIF(Data!A6:Z6,5),COUNTIF(Data!A6:Z6,6),COUNTIF(Data!A6:Z6,7)),"")</f>
        <v>7</v>
      </c>
    </row>
    <row r="7" spans="1:37">
      <c r="A7" s="1">
        <f>IF(Data!A7&gt;0,Data!A7-4,"")</f>
        <v>2</v>
      </c>
      <c r="B7" s="1">
        <f>IF(Data!B7&gt;0,Data!B7-4,"")</f>
        <v>2</v>
      </c>
      <c r="C7" s="1">
        <f>IF(Data!C7&gt;0,4-Data!C7,"")</f>
        <v>0</v>
      </c>
      <c r="D7" s="1">
        <f>IF(Data!D7&gt;0,4-Data!D7,"")</f>
        <v>2</v>
      </c>
      <c r="E7" s="1">
        <f>IF(Data!E7&gt;0,4-Data!E7,"")</f>
        <v>1</v>
      </c>
      <c r="F7" s="1">
        <f>IF(Data!F7&gt;0,Data!F7-4,"")</f>
        <v>0</v>
      </c>
      <c r="G7" s="1">
        <f>IF(Data!G7&gt;0,Data!G7-4,"")</f>
        <v>0</v>
      </c>
      <c r="H7" s="1">
        <f>IF(Data!H7&gt;0,Data!H7-4,"")</f>
        <v>2</v>
      </c>
      <c r="I7" s="1">
        <f>IF(Data!I7&gt;0,4-Data!I7,"")</f>
        <v>2</v>
      </c>
      <c r="J7" s="1">
        <f>IF(Data!J7&gt;0,4-Data!J7,"")</f>
        <v>1</v>
      </c>
      <c r="K7" s="1">
        <f>IF(Data!K7&gt;0,Data!K7-4,"")</f>
        <v>1</v>
      </c>
      <c r="L7" s="1">
        <f>IF(Data!L7&gt;0,4-Data!L7,"")</f>
        <v>3</v>
      </c>
      <c r="M7" s="1">
        <f>IF(Data!M7&gt;0,Data!M7-4,"")</f>
        <v>3</v>
      </c>
      <c r="N7" s="1">
        <f>IF(Data!N7&gt;0,Data!N7-4,"")</f>
        <v>1</v>
      </c>
      <c r="O7" s="1">
        <f>IF(Data!O7&gt;0,Data!O7-4,"")</f>
        <v>2</v>
      </c>
      <c r="P7" s="1">
        <f>IF(Data!P7&gt;0,Data!P7-4,"")</f>
        <v>2</v>
      </c>
      <c r="Q7" s="1">
        <f>IF(Data!Q7&gt;0,4-Data!Q7,"")</f>
        <v>3</v>
      </c>
      <c r="R7" s="1">
        <f>IF(Data!R7&gt;0,4-Data!R7,"")</f>
        <v>0</v>
      </c>
      <c r="S7" s="1">
        <f>IF(Data!S7&gt;0,4-Data!S7,"")</f>
        <v>3</v>
      </c>
      <c r="T7" s="1">
        <f>IF(Data!T7&gt;0,Data!T7-4,"")</f>
        <v>3</v>
      </c>
      <c r="U7" s="1">
        <f>IF(Data!U7&gt;0,4-Data!U7,"")</f>
        <v>3</v>
      </c>
      <c r="V7" s="1">
        <f>IF(Data!V7&gt;0,Data!V7-4,"")</f>
        <v>2</v>
      </c>
      <c r="W7" s="1">
        <f>IF(Data!W7&gt;0,4-Data!W7,"")</f>
        <v>2</v>
      </c>
      <c r="X7" s="1">
        <f>IF(Data!X7&gt;0,4-Data!X7,"")</f>
        <v>0</v>
      </c>
      <c r="Y7" s="1">
        <f>IF(Data!Y7&gt;0,4-Data!Y7,"")</f>
        <v>1</v>
      </c>
      <c r="Z7" s="1">
        <f>IF(Data!Z7&gt;0,Data!Z7-4,"")</f>
        <v>0</v>
      </c>
      <c r="AC7" s="4" t="str">
        <f t="shared" si="4"/>
        <v/>
      </c>
      <c r="AD7" s="4" t="str">
        <f t="shared" si="5"/>
        <v/>
      </c>
      <c r="AE7" s="4" t="str">
        <f t="shared" si="6"/>
        <v/>
      </c>
      <c r="AF7" s="4" t="str">
        <f t="shared" si="7"/>
        <v/>
      </c>
      <c r="AG7" s="4" t="str">
        <f t="shared" si="8"/>
        <v/>
      </c>
      <c r="AH7" s="4" t="str">
        <f t="shared" si="9"/>
        <v/>
      </c>
      <c r="AI7" s="2">
        <f t="shared" si="10"/>
        <v>0</v>
      </c>
      <c r="AK7" s="2">
        <f>IF(MAX(COUNTIF(Data!A7:Z7,1),COUNTIF(Data!A7:Z7,2),COUNTIF(Data!A7:Z7,3),COUNTIF(Data!A7:Z7,4),COUNTIF(Data!A7:Z7,5),COUNTIF(Data!A7:Z7,6),COUNTIF(Data!A7:Z7,7))&gt;0,MAX(COUNTIF(Data!A7:Z7,1),COUNTIF(Data!A7:Z7,2),COUNTIF(Data!A7:Z7,3),COUNTIF(Data!A7:Z7,4),COUNTIF(Data!A7:Z7,5),COUNTIF(Data!A7:Z7,6),COUNTIF(Data!A7:Z7,7)),"")</f>
        <v>6</v>
      </c>
    </row>
    <row r="8" spans="1:37">
      <c r="A8" s="1">
        <f>IF(Data!A8&gt;0,Data!A8-4,"")</f>
        <v>2</v>
      </c>
      <c r="B8" s="1">
        <f>IF(Data!B8&gt;0,Data!B8-4,"")</f>
        <v>-1</v>
      </c>
      <c r="C8" s="1">
        <f>IF(Data!C8&gt;0,4-Data!C8,"")</f>
        <v>0</v>
      </c>
      <c r="D8" s="1">
        <f>IF(Data!D8&gt;0,4-Data!D8,"")</f>
        <v>-1</v>
      </c>
      <c r="E8" s="1">
        <f>IF(Data!E8&gt;0,4-Data!E8,"")</f>
        <v>2</v>
      </c>
      <c r="F8" s="1">
        <f>IF(Data!F8&gt;0,Data!F8-4,"")</f>
        <v>0</v>
      </c>
      <c r="G8" s="1">
        <f>IF(Data!G8&gt;0,Data!G8-4,"")</f>
        <v>1</v>
      </c>
      <c r="H8" s="1">
        <f>IF(Data!H8&gt;0,Data!H8-4,"")</f>
        <v>1</v>
      </c>
      <c r="I8" s="1">
        <f>IF(Data!I8&gt;0,4-Data!I8,"")</f>
        <v>2</v>
      </c>
      <c r="J8" s="1">
        <f>IF(Data!J8&gt;0,4-Data!J8,"")</f>
        <v>0</v>
      </c>
      <c r="K8" s="1">
        <f>IF(Data!K8&gt;0,Data!K8-4,"")</f>
        <v>1</v>
      </c>
      <c r="L8" s="1">
        <f>IF(Data!L8&gt;0,4-Data!L8,"")</f>
        <v>2</v>
      </c>
      <c r="M8" s="1">
        <f>IF(Data!M8&gt;0,Data!M8-4,"")</f>
        <v>1</v>
      </c>
      <c r="N8" s="1">
        <f>IF(Data!N8&gt;0,Data!N8-4,"")</f>
        <v>1</v>
      </c>
      <c r="O8" s="1">
        <f>IF(Data!O8&gt;0,Data!O8-4,"")</f>
        <v>0</v>
      </c>
      <c r="P8" s="1">
        <f>IF(Data!P8&gt;0,Data!P8-4,"")</f>
        <v>1</v>
      </c>
      <c r="Q8" s="1">
        <f>IF(Data!Q8&gt;0,4-Data!Q8,"")</f>
        <v>2</v>
      </c>
      <c r="R8" s="1">
        <f>IF(Data!R8&gt;0,4-Data!R8,"")</f>
        <v>1</v>
      </c>
      <c r="S8" s="1">
        <f>IF(Data!S8&gt;0,4-Data!S8,"")</f>
        <v>2</v>
      </c>
      <c r="T8" s="1">
        <f>IF(Data!T8&gt;0,Data!T8-4,"")</f>
        <v>2</v>
      </c>
      <c r="U8" s="1">
        <f>IF(Data!U8&gt;0,4-Data!U8,"")</f>
        <v>1</v>
      </c>
      <c r="V8" s="1">
        <f>IF(Data!V8&gt;0,Data!V8-4,"")</f>
        <v>2</v>
      </c>
      <c r="W8" s="1">
        <f>IF(Data!W8&gt;0,4-Data!W8,"")</f>
        <v>2</v>
      </c>
      <c r="X8" s="1">
        <f>IF(Data!X8&gt;0,4-Data!X8,"")</f>
        <v>1</v>
      </c>
      <c r="Y8" s="1">
        <f>IF(Data!Y8&gt;0,4-Data!Y8,"")</f>
        <v>1</v>
      </c>
      <c r="Z8" s="1">
        <f>IF(Data!Z8&gt;0,Data!Z8-4,"")</f>
        <v>0</v>
      </c>
      <c r="AC8" s="4" t="str">
        <f t="shared" si="4"/>
        <v/>
      </c>
      <c r="AD8" s="4" t="str">
        <f t="shared" si="5"/>
        <v/>
      </c>
      <c r="AE8" s="4" t="str">
        <f t="shared" si="6"/>
        <v/>
      </c>
      <c r="AF8" s="4" t="str">
        <f t="shared" si="7"/>
        <v/>
      </c>
      <c r="AG8" s="4" t="str">
        <f t="shared" si="8"/>
        <v/>
      </c>
      <c r="AH8" s="4" t="str">
        <f t="shared" si="9"/>
        <v/>
      </c>
      <c r="AI8" s="2">
        <f t="shared" si="10"/>
        <v>0</v>
      </c>
      <c r="AK8" s="2">
        <f>IF(MAX(COUNTIF(Data!A8:Z8,1),COUNTIF(Data!A8:Z8,2),COUNTIF(Data!A8:Z8,3),COUNTIF(Data!A8:Z8,4),COUNTIF(Data!A8:Z8,5),COUNTIF(Data!A8:Z8,6),COUNTIF(Data!A8:Z8,7))&gt;0,MAX(COUNTIF(Data!A8:Z8,1),COUNTIF(Data!A8:Z8,2),COUNTIF(Data!A8:Z8,3),COUNTIF(Data!A8:Z8,4),COUNTIF(Data!A8:Z8,5),COUNTIF(Data!A8:Z8,6),COUNTIF(Data!A8:Z8,7)),"")</f>
        <v>7</v>
      </c>
    </row>
    <row r="9" spans="1:37">
      <c r="A9" s="1">
        <f>IF(Data!A9&gt;0,Data!A9-4,"")</f>
        <v>-1</v>
      </c>
      <c r="B9" s="1">
        <f>IF(Data!B9&gt;0,Data!B9-4,"")</f>
        <v>2</v>
      </c>
      <c r="C9" s="1">
        <f>IF(Data!C9&gt;0,4-Data!C9,"")</f>
        <v>2</v>
      </c>
      <c r="D9" s="1">
        <f>IF(Data!D9&gt;0,4-Data!D9,"")</f>
        <v>-3</v>
      </c>
      <c r="E9" s="1">
        <f>IF(Data!E9&gt;0,4-Data!E9,"")</f>
        <v>0</v>
      </c>
      <c r="F9" s="1">
        <f>IF(Data!F9&gt;0,Data!F9-4,"")</f>
        <v>0</v>
      </c>
      <c r="G9" s="1">
        <f>IF(Data!G9&gt;0,Data!G9-4,"")</f>
        <v>0</v>
      </c>
      <c r="H9" s="1">
        <f>IF(Data!H9&gt;0,Data!H9-4,"")</f>
        <v>2</v>
      </c>
      <c r="I9" s="1">
        <f>IF(Data!I9&gt;0,4-Data!I9,"")</f>
        <v>2</v>
      </c>
      <c r="J9" s="1">
        <f>IF(Data!J9&gt;0,4-Data!J9,"")</f>
        <v>0</v>
      </c>
      <c r="K9" s="1">
        <f>IF(Data!K9&gt;0,Data!K9-4,"")</f>
        <v>0</v>
      </c>
      <c r="L9" s="1">
        <f>IF(Data!L9&gt;0,4-Data!L9,"")</f>
        <v>0</v>
      </c>
      <c r="M9" s="1">
        <f>IF(Data!M9&gt;0,Data!M9-4,"")</f>
        <v>0</v>
      </c>
      <c r="N9" s="1">
        <f>IF(Data!N9&gt;0,Data!N9-4,"")</f>
        <v>-1</v>
      </c>
      <c r="O9" s="1">
        <f>IF(Data!O9&gt;0,Data!O9-4,"")</f>
        <v>0</v>
      </c>
      <c r="P9" s="1">
        <f>IF(Data!P9&gt;0,Data!P9-4,"")</f>
        <v>-1</v>
      </c>
      <c r="Q9" s="1">
        <f>IF(Data!Q9&gt;0,4-Data!Q9,"")</f>
        <v>-1</v>
      </c>
      <c r="R9" s="1">
        <f>IF(Data!R9&gt;0,4-Data!R9,"")</f>
        <v>-1</v>
      </c>
      <c r="S9" s="1">
        <f>IF(Data!S9&gt;0,4-Data!S9,"")</f>
        <v>0</v>
      </c>
      <c r="T9" s="1">
        <f>IF(Data!T9&gt;0,Data!T9-4,"")</f>
        <v>0</v>
      </c>
      <c r="U9" s="1">
        <f>IF(Data!U9&gt;0,4-Data!U9,"")</f>
        <v>2</v>
      </c>
      <c r="V9" s="1">
        <f>IF(Data!V9&gt;0,Data!V9-4,"")</f>
        <v>2</v>
      </c>
      <c r="W9" s="1">
        <f>IF(Data!W9&gt;0,4-Data!W9,"")</f>
        <v>2</v>
      </c>
      <c r="X9" s="1">
        <f>IF(Data!X9&gt;0,4-Data!X9,"")</f>
        <v>0</v>
      </c>
      <c r="Y9" s="1">
        <f>IF(Data!Y9&gt;0,4-Data!Y9,"")</f>
        <v>1</v>
      </c>
      <c r="Z9" s="1">
        <f>IF(Data!Z9&gt;0,Data!Z9-4,"")</f>
        <v>2</v>
      </c>
      <c r="AC9" s="4" t="str">
        <f t="shared" si="4"/>
        <v/>
      </c>
      <c r="AD9" s="4">
        <f t="shared" si="5"/>
        <v>1</v>
      </c>
      <c r="AE9" s="4" t="str">
        <f t="shared" si="6"/>
        <v/>
      </c>
      <c r="AF9" s="4" t="str">
        <f t="shared" si="7"/>
        <v/>
      </c>
      <c r="AG9" s="4" t="str">
        <f t="shared" si="8"/>
        <v/>
      </c>
      <c r="AH9" s="4" t="str">
        <f t="shared" si="9"/>
        <v/>
      </c>
      <c r="AI9" s="2">
        <f t="shared" si="10"/>
        <v>1</v>
      </c>
      <c r="AK9" s="2">
        <f>IF(MAX(COUNTIF(Data!A9:Z9,1),COUNTIF(Data!A9:Z9,2),COUNTIF(Data!A9:Z9,3),COUNTIF(Data!A9:Z9,4),COUNTIF(Data!A9:Z9,5),COUNTIF(Data!A9:Z9,6),COUNTIF(Data!A9:Z9,7))&gt;0,MAX(COUNTIF(Data!A9:Z9,1),COUNTIF(Data!A9:Z9,2),COUNTIF(Data!A9:Z9,3),COUNTIF(Data!A9:Z9,4),COUNTIF(Data!A9:Z9,5),COUNTIF(Data!A9:Z9,6),COUNTIF(Data!A9:Z9,7)),"")</f>
        <v>11</v>
      </c>
    </row>
    <row r="10" spans="1:37">
      <c r="A10" s="1">
        <f>IF(Data!A10&gt;0,Data!A10-4,"")</f>
        <v>3</v>
      </c>
      <c r="B10" s="1">
        <f>IF(Data!B10&gt;0,Data!B10-4,"")</f>
        <v>1</v>
      </c>
      <c r="C10" s="1">
        <f>IF(Data!C10&gt;0,4-Data!C10,"")</f>
        <v>0</v>
      </c>
      <c r="D10" s="1">
        <f>IF(Data!D10&gt;0,4-Data!D10,"")</f>
        <v>-1</v>
      </c>
      <c r="E10" s="1">
        <f>IF(Data!E10&gt;0,4-Data!E10,"")</f>
        <v>3</v>
      </c>
      <c r="F10" s="1">
        <f>IF(Data!F10&gt;0,Data!F10-4,"")</f>
        <v>0</v>
      </c>
      <c r="G10" s="1">
        <f>IF(Data!G10&gt;0,Data!G10-4,"")</f>
        <v>1</v>
      </c>
      <c r="H10" s="1">
        <f>IF(Data!H10&gt;0,Data!H10-4,"")</f>
        <v>0</v>
      </c>
      <c r="I10" s="1">
        <f>IF(Data!I10&gt;0,4-Data!I10,"")</f>
        <v>1</v>
      </c>
      <c r="J10" s="1">
        <f>IF(Data!J10&gt;0,4-Data!J10,"")</f>
        <v>1</v>
      </c>
      <c r="K10" s="1">
        <f>IF(Data!K10&gt;0,Data!K10-4,"")</f>
        <v>2</v>
      </c>
      <c r="L10" s="1">
        <f>IF(Data!L10&gt;0,4-Data!L10,"")</f>
        <v>3</v>
      </c>
      <c r="M10" s="1">
        <f>IF(Data!M10&gt;0,Data!M10-4,"")</f>
        <v>2</v>
      </c>
      <c r="N10" s="1">
        <f>IF(Data!N10&gt;0,Data!N10-4,"")</f>
        <v>3</v>
      </c>
      <c r="O10" s="1">
        <f>IF(Data!O10&gt;0,Data!O10-4,"")</f>
        <v>0</v>
      </c>
      <c r="P10" s="1">
        <f>IF(Data!P10&gt;0,Data!P10-4,"")</f>
        <v>3</v>
      </c>
      <c r="Q10" s="1">
        <f>IF(Data!Q10&gt;0,4-Data!Q10,"")</f>
        <v>3</v>
      </c>
      <c r="R10" s="1">
        <f>IF(Data!R10&gt;0,4-Data!R10,"")</f>
        <v>1</v>
      </c>
      <c r="S10" s="1">
        <f>IF(Data!S10&gt;0,4-Data!S10,"")</f>
        <v>3</v>
      </c>
      <c r="T10" s="1">
        <f>IF(Data!T10&gt;0,Data!T10-4,"")</f>
        <v>3</v>
      </c>
      <c r="U10" s="1">
        <f>IF(Data!U10&gt;0,4-Data!U10,"")</f>
        <v>2</v>
      </c>
      <c r="V10" s="1">
        <f>IF(Data!V10&gt;0,Data!V10-4,"")</f>
        <v>2</v>
      </c>
      <c r="W10" s="1">
        <f>IF(Data!W10&gt;0,4-Data!W10,"")</f>
        <v>2</v>
      </c>
      <c r="X10" s="1">
        <f>IF(Data!X10&gt;0,4-Data!X10,"")</f>
        <v>0</v>
      </c>
      <c r="Y10" s="1">
        <f>IF(Data!Y10&gt;0,4-Data!Y10,"")</f>
        <v>3</v>
      </c>
      <c r="Z10" s="1">
        <f>IF(Data!Z10&gt;0,Data!Z10-4,"")</f>
        <v>2</v>
      </c>
      <c r="AC10" s="4" t="str">
        <f t="shared" si="4"/>
        <v/>
      </c>
      <c r="AD10" s="4" t="str">
        <f t="shared" si="5"/>
        <v/>
      </c>
      <c r="AE10" s="4" t="str">
        <f t="shared" si="6"/>
        <v/>
      </c>
      <c r="AF10" s="4" t="str">
        <f t="shared" si="7"/>
        <v/>
      </c>
      <c r="AG10" s="4" t="str">
        <f t="shared" si="8"/>
        <v/>
      </c>
      <c r="AH10" s="4" t="str">
        <f t="shared" si="9"/>
        <v/>
      </c>
      <c r="AI10" s="2">
        <f t="shared" si="10"/>
        <v>0</v>
      </c>
      <c r="AK10" s="2">
        <f>IF(MAX(COUNTIF(Data!A10:Z10,1),COUNTIF(Data!A10:Z10,2),COUNTIF(Data!A10:Z10,3),COUNTIF(Data!A10:Z10,4),COUNTIF(Data!A10:Z10,5),COUNTIF(Data!A10:Z10,6),COUNTIF(Data!A10:Z10,7))&gt;0,MAX(COUNTIF(Data!A10:Z10,1),COUNTIF(Data!A10:Z10,2),COUNTIF(Data!A10:Z10,3),COUNTIF(Data!A10:Z10,4),COUNTIF(Data!A10:Z10,5),COUNTIF(Data!A10:Z10,6),COUNTIF(Data!A10:Z10,7)),"")</f>
        <v>5</v>
      </c>
    </row>
    <row r="11" spans="1:37">
      <c r="A11" s="1">
        <f>IF(Data!A11&gt;0,Data!A11-4,"")</f>
        <v>1</v>
      </c>
      <c r="B11" s="1">
        <f>IF(Data!B11&gt;0,Data!B11-4,"")</f>
        <v>2</v>
      </c>
      <c r="C11" s="1">
        <f>IF(Data!C11&gt;0,4-Data!C11,"")</f>
        <v>0</v>
      </c>
      <c r="D11" s="1">
        <f>IF(Data!D11&gt;0,4-Data!D11,"")</f>
        <v>1</v>
      </c>
      <c r="E11" s="1">
        <f>IF(Data!E11&gt;0,4-Data!E11,"")</f>
        <v>3</v>
      </c>
      <c r="F11" s="1">
        <f>IF(Data!F11&gt;0,Data!F11-4,"")</f>
        <v>0</v>
      </c>
      <c r="G11" s="1">
        <f>IF(Data!G11&gt;0,Data!G11-4,"")</f>
        <v>0</v>
      </c>
      <c r="H11" s="1">
        <f>IF(Data!H11&gt;0,Data!H11-4,"")</f>
        <v>2</v>
      </c>
      <c r="I11" s="1">
        <f>IF(Data!I11&gt;0,4-Data!I11,"")</f>
        <v>1</v>
      </c>
      <c r="J11" s="1">
        <f>IF(Data!J11&gt;0,4-Data!J11,"")</f>
        <v>2</v>
      </c>
      <c r="K11" s="1">
        <f>IF(Data!K11&gt;0,Data!K11-4,"")</f>
        <v>0</v>
      </c>
      <c r="L11" s="1">
        <f>IF(Data!L11&gt;0,4-Data!L11,"")</f>
        <v>1</v>
      </c>
      <c r="M11" s="1">
        <f>IF(Data!M11&gt;0,Data!M11-4,"")</f>
        <v>2</v>
      </c>
      <c r="N11" s="1">
        <f>IF(Data!N11&gt;0,Data!N11-4,"")</f>
        <v>0</v>
      </c>
      <c r="O11" s="1">
        <f>IF(Data!O11&gt;0,Data!O11-4,"")</f>
        <v>2</v>
      </c>
      <c r="P11" s="1">
        <f>IF(Data!P11&gt;0,Data!P11-4,"")</f>
        <v>1</v>
      </c>
      <c r="Q11" s="1">
        <f>IF(Data!Q11&gt;0,4-Data!Q11,"")</f>
        <v>3</v>
      </c>
      <c r="R11" s="1">
        <f>IF(Data!R11&gt;0,4-Data!R11,"")</f>
        <v>0</v>
      </c>
      <c r="S11" s="1">
        <f>IF(Data!S11&gt;0,4-Data!S11,"")</f>
        <v>2</v>
      </c>
      <c r="T11" s="1">
        <f>IF(Data!T11&gt;0,Data!T11-4,"")</f>
        <v>1</v>
      </c>
      <c r="U11" s="1">
        <f>IF(Data!U11&gt;0,4-Data!U11,"")</f>
        <v>3</v>
      </c>
      <c r="V11" s="1">
        <f>IF(Data!V11&gt;0,Data!V11-4,"")</f>
        <v>3</v>
      </c>
      <c r="W11" s="1">
        <f>IF(Data!W11&gt;0,4-Data!W11,"")</f>
        <v>1</v>
      </c>
      <c r="X11" s="1">
        <f>IF(Data!X11&gt;0,4-Data!X11,"")</f>
        <v>0</v>
      </c>
      <c r="Y11" s="1">
        <f>IF(Data!Y11&gt;0,4-Data!Y11,"")</f>
        <v>0</v>
      </c>
      <c r="Z11" s="1">
        <f>IF(Data!Z11&gt;0,Data!Z11-4,"")</f>
        <v>1</v>
      </c>
      <c r="AC11" s="4" t="str">
        <f t="shared" si="4"/>
        <v/>
      </c>
      <c r="AD11" s="4" t="str">
        <f t="shared" si="5"/>
        <v/>
      </c>
      <c r="AE11" s="4" t="str">
        <f t="shared" si="6"/>
        <v/>
      </c>
      <c r="AF11" s="4" t="str">
        <f t="shared" si="7"/>
        <v/>
      </c>
      <c r="AG11" s="4" t="str">
        <f t="shared" si="8"/>
        <v/>
      </c>
      <c r="AH11" s="4" t="str">
        <f t="shared" si="9"/>
        <v/>
      </c>
      <c r="AI11" s="2">
        <f t="shared" si="10"/>
        <v>0</v>
      </c>
      <c r="AK11" s="2">
        <f>IF(MAX(COUNTIF(Data!A11:Z11,1),COUNTIF(Data!A11:Z11,2),COUNTIF(Data!A11:Z11,3),COUNTIF(Data!A11:Z11,4),COUNTIF(Data!A11:Z11,5),COUNTIF(Data!A11:Z11,6),COUNTIF(Data!A11:Z11,7))&gt;0,MAX(COUNTIF(Data!A11:Z11,1),COUNTIF(Data!A11:Z11,2),COUNTIF(Data!A11:Z11,3),COUNTIF(Data!A11:Z11,4),COUNTIF(Data!A11:Z11,5),COUNTIF(Data!A11:Z11,6),COUNTIF(Data!A11:Z11,7)),"")</f>
        <v>8</v>
      </c>
    </row>
    <row r="12" spans="1:37">
      <c r="A12" s="1">
        <f>IF(Data!A12&gt;0,Data!A12-4,"")</f>
        <v>3</v>
      </c>
      <c r="B12" s="1">
        <f>IF(Data!B12&gt;0,Data!B12-4,"")</f>
        <v>3</v>
      </c>
      <c r="C12" s="1">
        <f>IF(Data!C12&gt;0,4-Data!C12,"")</f>
        <v>3</v>
      </c>
      <c r="D12" s="1">
        <f>IF(Data!D12&gt;0,4-Data!D12,"")</f>
        <v>3</v>
      </c>
      <c r="E12" s="1">
        <f>IF(Data!E12&gt;0,4-Data!E12,"")</f>
        <v>3</v>
      </c>
      <c r="F12" s="1">
        <f>IF(Data!F12&gt;0,Data!F12-4,"")</f>
        <v>1</v>
      </c>
      <c r="G12" s="1">
        <f>IF(Data!G12&gt;0,Data!G12-4,"")</f>
        <v>2</v>
      </c>
      <c r="H12" s="1">
        <f>IF(Data!H12&gt;0,Data!H12-4,"")</f>
        <v>0</v>
      </c>
      <c r="I12" s="1">
        <f>IF(Data!I12&gt;0,4-Data!I12,"")</f>
        <v>3</v>
      </c>
      <c r="J12" s="1">
        <f>IF(Data!J12&gt;0,4-Data!J12,"")</f>
        <v>0</v>
      </c>
      <c r="K12" s="1">
        <f>IF(Data!K12&gt;0,Data!K12-4,"")</f>
        <v>0</v>
      </c>
      <c r="L12" s="1">
        <f>IF(Data!L12&gt;0,4-Data!L12,"")</f>
        <v>3</v>
      </c>
      <c r="M12" s="1">
        <f>IF(Data!M12&gt;0,Data!M12-4,"")</f>
        <v>3</v>
      </c>
      <c r="N12" s="1">
        <f>IF(Data!N12&gt;0,Data!N12-4,"")</f>
        <v>3</v>
      </c>
      <c r="O12" s="1">
        <f>IF(Data!O12&gt;0,Data!O12-4,"")</f>
        <v>3</v>
      </c>
      <c r="P12" s="1">
        <f>IF(Data!P12&gt;0,Data!P12-4,"")</f>
        <v>3</v>
      </c>
      <c r="Q12" s="1">
        <f>IF(Data!Q12&gt;0,4-Data!Q12,"")</f>
        <v>2</v>
      </c>
      <c r="R12" s="1">
        <f>IF(Data!R12&gt;0,4-Data!R12,"")</f>
        <v>0</v>
      </c>
      <c r="S12" s="1">
        <f>IF(Data!S12&gt;0,4-Data!S12,"")</f>
        <v>3</v>
      </c>
      <c r="T12" s="1">
        <f>IF(Data!T12&gt;0,Data!T12-4,"")</f>
        <v>3</v>
      </c>
      <c r="U12" s="1">
        <f>IF(Data!U12&gt;0,4-Data!U12,"")</f>
        <v>2</v>
      </c>
      <c r="V12" s="1">
        <f>IF(Data!V12&gt;0,Data!V12-4,"")</f>
        <v>3</v>
      </c>
      <c r="W12" s="1">
        <f>IF(Data!W12&gt;0,4-Data!W12,"")</f>
        <v>1</v>
      </c>
      <c r="X12" s="1">
        <f>IF(Data!X12&gt;0,4-Data!X12,"")</f>
        <v>3</v>
      </c>
      <c r="Y12" s="1">
        <f>IF(Data!Y12&gt;0,4-Data!Y12,"")</f>
        <v>3</v>
      </c>
      <c r="Z12" s="1">
        <f>IF(Data!Z12&gt;0,Data!Z12-4,"")</f>
        <v>0</v>
      </c>
      <c r="AC12" s="4" t="str">
        <f t="shared" si="4"/>
        <v/>
      </c>
      <c r="AD12" s="4" t="str">
        <f t="shared" si="5"/>
        <v/>
      </c>
      <c r="AE12" s="4" t="str">
        <f t="shared" si="6"/>
        <v/>
      </c>
      <c r="AF12" s="4" t="str">
        <f t="shared" si="7"/>
        <v/>
      </c>
      <c r="AG12" s="4" t="str">
        <f t="shared" si="8"/>
        <v/>
      </c>
      <c r="AH12" s="4" t="str">
        <f t="shared" si="9"/>
        <v/>
      </c>
      <c r="AI12" s="2">
        <f t="shared" si="10"/>
        <v>0</v>
      </c>
      <c r="AK12" s="2">
        <f>IF(MAX(COUNTIF(Data!A12:Z12,1),COUNTIF(Data!A12:Z12,2),COUNTIF(Data!A12:Z12,3),COUNTIF(Data!A12:Z12,4),COUNTIF(Data!A12:Z12,5),COUNTIF(Data!A12:Z12,6),COUNTIF(Data!A12:Z12,7))&gt;0,MAX(COUNTIF(Data!A12:Z12,1),COUNTIF(Data!A12:Z12,2),COUNTIF(Data!A12:Z12,3),COUNTIF(Data!A12:Z12,4),COUNTIF(Data!A12:Z12,5),COUNTIF(Data!A12:Z12,6),COUNTIF(Data!A12:Z12,7)),"")</f>
        <v>8</v>
      </c>
    </row>
    <row r="13" spans="1:37">
      <c r="A13" s="1">
        <f>IF(Data!A13&gt;0,Data!A13-4,"")</f>
        <v>2</v>
      </c>
      <c r="B13" s="1">
        <f>IF(Data!B13&gt;0,Data!B13-4,"")</f>
        <v>3</v>
      </c>
      <c r="C13" s="1">
        <f>IF(Data!C13&gt;0,4-Data!C13,"")</f>
        <v>-2</v>
      </c>
      <c r="D13" s="1">
        <f>IF(Data!D13&gt;0,4-Data!D13,"")</f>
        <v>-2</v>
      </c>
      <c r="E13" s="1">
        <f>IF(Data!E13&gt;0,4-Data!E13,"")</f>
        <v>-1</v>
      </c>
      <c r="F13" s="1">
        <f>IF(Data!F13&gt;0,Data!F13-4,"")</f>
        <v>1</v>
      </c>
      <c r="G13" s="1">
        <f>IF(Data!G13&gt;0,Data!G13-4,"")</f>
        <v>1</v>
      </c>
      <c r="H13" s="1">
        <f>IF(Data!H13&gt;0,Data!H13-4,"")</f>
        <v>-1</v>
      </c>
      <c r="I13" s="1">
        <f>IF(Data!I13&gt;0,4-Data!I13,"")</f>
        <v>-1</v>
      </c>
      <c r="J13" s="1">
        <f>IF(Data!J13&gt;0,4-Data!J13,"")</f>
        <v>-2</v>
      </c>
      <c r="K13" s="1">
        <f>IF(Data!K13&gt;0,Data!K13-4,"")</f>
        <v>2</v>
      </c>
      <c r="L13" s="1">
        <f>IF(Data!L13&gt;0,4-Data!L13,"")</f>
        <v>3</v>
      </c>
      <c r="M13" s="1">
        <f>IF(Data!M13&gt;0,Data!M13-4,"")</f>
        <v>3</v>
      </c>
      <c r="N13" s="1">
        <f>IF(Data!N13&gt;0,Data!N13-4,"")</f>
        <v>2</v>
      </c>
      <c r="O13" s="1">
        <f>IF(Data!O13&gt;0,Data!O13-4,"")</f>
        <v>1</v>
      </c>
      <c r="P13" s="1">
        <f>IF(Data!P13&gt;0,Data!P13-4,"")</f>
        <v>2</v>
      </c>
      <c r="Q13" s="1">
        <f>IF(Data!Q13&gt;0,4-Data!Q13,"")</f>
        <v>2</v>
      </c>
      <c r="R13" s="1">
        <f>IF(Data!R13&gt;0,4-Data!R13,"")</f>
        <v>2</v>
      </c>
      <c r="S13" s="1">
        <f>IF(Data!S13&gt;0,4-Data!S13,"")</f>
        <v>2</v>
      </c>
      <c r="T13" s="1">
        <f>IF(Data!T13&gt;0,Data!T13-4,"")</f>
        <v>2</v>
      </c>
      <c r="U13" s="1">
        <f>IF(Data!U13&gt;0,4-Data!U13,"")</f>
        <v>3</v>
      </c>
      <c r="V13" s="1">
        <f>IF(Data!V13&gt;0,Data!V13-4,"")</f>
        <v>3</v>
      </c>
      <c r="W13" s="1">
        <f>IF(Data!W13&gt;0,4-Data!W13,"")</f>
        <v>3</v>
      </c>
      <c r="X13" s="1">
        <f>IF(Data!X13&gt;0,4-Data!X13,"")</f>
        <v>2</v>
      </c>
      <c r="Y13" s="1">
        <f>IF(Data!Y13&gt;0,4-Data!Y13,"")</f>
        <v>3</v>
      </c>
      <c r="Z13" s="1">
        <f>IF(Data!Z13&gt;0,Data!Z13-4,"")</f>
        <v>-3</v>
      </c>
      <c r="AC13" s="4" t="str">
        <f t="shared" si="4"/>
        <v/>
      </c>
      <c r="AD13" s="4">
        <f t="shared" si="5"/>
        <v>1</v>
      </c>
      <c r="AE13" s="4">
        <f t="shared" si="6"/>
        <v>1</v>
      </c>
      <c r="AF13" s="4" t="str">
        <f t="shared" si="7"/>
        <v/>
      </c>
      <c r="AG13" s="4" t="str">
        <f t="shared" si="8"/>
        <v/>
      </c>
      <c r="AH13" s="4">
        <f t="shared" si="9"/>
        <v>1</v>
      </c>
      <c r="AI13" s="2">
        <f t="shared" si="10"/>
        <v>3</v>
      </c>
      <c r="AK13" s="2">
        <f>IF(MAX(COUNTIF(Data!A13:Z13,1),COUNTIF(Data!A13:Z13,2),COUNTIF(Data!A13:Z13,3),COUNTIF(Data!A13:Z13,4),COUNTIF(Data!A13:Z13,5),COUNTIF(Data!A13:Z13,6),COUNTIF(Data!A13:Z13,7))&gt;0,MAX(COUNTIF(Data!A13:Z13,1),COUNTIF(Data!A13:Z13,2),COUNTIF(Data!A13:Z13,3),COUNTIF(Data!A13:Z13,4),COUNTIF(Data!A13:Z13,5),COUNTIF(Data!A13:Z13,6),COUNTIF(Data!A13:Z13,7)),"")</f>
        <v>8</v>
      </c>
    </row>
    <row r="14" spans="1:37">
      <c r="A14" s="1">
        <f>IF(Data!A14&gt;0,Data!A14-4,"")</f>
        <v>1</v>
      </c>
      <c r="B14" s="1">
        <f>IF(Data!B14&gt;0,Data!B14-4,"")</f>
        <v>1</v>
      </c>
      <c r="C14" s="1">
        <f>IF(Data!C14&gt;0,4-Data!C14,"")</f>
        <v>-2</v>
      </c>
      <c r="D14" s="1">
        <f>IF(Data!D14&gt;0,4-Data!D14,"")</f>
        <v>-2</v>
      </c>
      <c r="E14" s="1">
        <f>IF(Data!E14&gt;0,4-Data!E14,"")</f>
        <v>2</v>
      </c>
      <c r="F14" s="1">
        <f>IF(Data!F14&gt;0,Data!F14-4,"")</f>
        <v>0</v>
      </c>
      <c r="G14" s="1">
        <f>IF(Data!G14&gt;0,Data!G14-4,"")</f>
        <v>1</v>
      </c>
      <c r="H14" s="1">
        <f>IF(Data!H14&gt;0,Data!H14-4,"")</f>
        <v>-1</v>
      </c>
      <c r="I14" s="1">
        <f>IF(Data!I14&gt;0,4-Data!I14,"")</f>
        <v>0</v>
      </c>
      <c r="J14" s="1">
        <f>IF(Data!J14&gt;0,4-Data!J14,"")</f>
        <v>2</v>
      </c>
      <c r="K14" s="1">
        <f>IF(Data!K14&gt;0,Data!K14-4,"")</f>
        <v>1</v>
      </c>
      <c r="L14" s="1">
        <f>IF(Data!L14&gt;0,4-Data!L14,"")</f>
        <v>1</v>
      </c>
      <c r="M14" s="1">
        <f>IF(Data!M14&gt;0,Data!M14-4,"")</f>
        <v>1</v>
      </c>
      <c r="N14" s="1">
        <f>IF(Data!N14&gt;0,Data!N14-4,"")</f>
        <v>1</v>
      </c>
      <c r="O14" s="1">
        <f>IF(Data!O14&gt;0,Data!O14-4,"")</f>
        <v>1</v>
      </c>
      <c r="P14" s="1">
        <f>IF(Data!P14&gt;0,Data!P14-4,"")</f>
        <v>1</v>
      </c>
      <c r="Q14" s="1">
        <f>IF(Data!Q14&gt;0,4-Data!Q14,"")</f>
        <v>3</v>
      </c>
      <c r="R14" s="1">
        <f>IF(Data!R14&gt;0,4-Data!R14,"")</f>
        <v>0</v>
      </c>
      <c r="S14" s="1">
        <f>IF(Data!S14&gt;0,4-Data!S14,"")</f>
        <v>2</v>
      </c>
      <c r="T14" s="1">
        <f>IF(Data!T14&gt;0,Data!T14-4,"")</f>
        <v>1</v>
      </c>
      <c r="U14" s="1">
        <f>IF(Data!U14&gt;0,4-Data!U14,"")</f>
        <v>1</v>
      </c>
      <c r="V14" s="1">
        <f>IF(Data!V14&gt;0,Data!V14-4,"")</f>
        <v>1</v>
      </c>
      <c r="W14" s="1">
        <f>IF(Data!W14&gt;0,4-Data!W14,"")</f>
        <v>-2</v>
      </c>
      <c r="X14" s="1">
        <f>IF(Data!X14&gt;0,4-Data!X14,"")</f>
        <v>2</v>
      </c>
      <c r="Y14" s="1">
        <f>IF(Data!Y14&gt;0,4-Data!Y14,"")</f>
        <v>2</v>
      </c>
      <c r="Z14" s="1">
        <f>IF(Data!Z14&gt;0,Data!Z14-4,"")</f>
        <v>2</v>
      </c>
      <c r="AC14" s="4" t="str">
        <f t="shared" ref="AC14:AC68" si="11">IF((MAX(A14,L14,N14,P14,X14,Y14)-MIN(A14,L14,N14,P14,X14,Y14))&gt;3,1,"")</f>
        <v/>
      </c>
      <c r="AD14" s="4" t="str">
        <f t="shared" ref="AD14:AD68" si="12">IF((MAX(B14,D14,M14,U14)-MIN(B14,D14,M14,U14))&gt;3,1,"")</f>
        <v/>
      </c>
      <c r="AE14" s="4" t="str">
        <f t="shared" ref="AE14:AE68" si="13">IF((MAX(I14,T14,V14,W14)-MIN(I14,T14,V14,W14))&gt;3,1,"")</f>
        <v/>
      </c>
      <c r="AF14" s="4">
        <f t="shared" ref="AF14:AF68" si="14">IF((MAX(H14,K14,Q14,S14)-MIN(H14,K14,Q14,S14))&gt;3,1,"")</f>
        <v>1</v>
      </c>
      <c r="AG14" s="4" t="str">
        <f t="shared" si="8"/>
        <v/>
      </c>
      <c r="AH14" s="4">
        <f t="shared" ref="AH14:AH68" si="15">IF((MAX(C14,J14,O14,Z14)-MIN(C14,J14,O14,Z14))&gt;3,1,"")</f>
        <v>1</v>
      </c>
      <c r="AI14" s="2">
        <f t="shared" si="10"/>
        <v>2</v>
      </c>
      <c r="AK14" s="2">
        <f>IF(MAX(COUNTIF(Data!A14:Z14,1),COUNTIF(Data!A14:Z14,2),COUNTIF(Data!A14:Z14,3),COUNTIF(Data!A14:Z14,4),COUNTIF(Data!A14:Z14,5),COUNTIF(Data!A14:Z14,6),COUNTIF(Data!A14:Z14,7))&gt;0,MAX(COUNTIF(Data!A14:Z14,1),COUNTIF(Data!A14:Z14,2),COUNTIF(Data!A14:Z14,3),COUNTIF(Data!A14:Z14,4),COUNTIF(Data!A14:Z14,5),COUNTIF(Data!A14:Z14,6),COUNTIF(Data!A14:Z14,7)),"")</f>
        <v>10</v>
      </c>
    </row>
    <row r="15" spans="1:37">
      <c r="A15" s="1">
        <f>IF(Data!A15&gt;0,Data!A15-4,"")</f>
        <v>2</v>
      </c>
      <c r="B15" s="1">
        <f>IF(Data!B15&gt;0,Data!B15-4,"")</f>
        <v>2</v>
      </c>
      <c r="C15" s="1">
        <f>IF(Data!C15&gt;0,4-Data!C15,"")</f>
        <v>0</v>
      </c>
      <c r="D15" s="1">
        <f>IF(Data!D15&gt;0,4-Data!D15,"")</f>
        <v>2</v>
      </c>
      <c r="E15" s="1">
        <f>IF(Data!E15&gt;0,4-Data!E15,"")</f>
        <v>2</v>
      </c>
      <c r="F15" s="1">
        <f>IF(Data!F15&gt;0,Data!F15-4,"")</f>
        <v>1</v>
      </c>
      <c r="G15" s="1">
        <f>IF(Data!G15&gt;0,Data!G15-4,"")</f>
        <v>1</v>
      </c>
      <c r="H15" s="1">
        <f>IF(Data!H15&gt;0,Data!H15-4,"")</f>
        <v>1</v>
      </c>
      <c r="I15" s="1">
        <f>IF(Data!I15&gt;0,4-Data!I15,"")</f>
        <v>0</v>
      </c>
      <c r="J15" s="1">
        <f>IF(Data!J15&gt;0,4-Data!J15,"")</f>
        <v>1</v>
      </c>
      <c r="K15" s="1">
        <f>IF(Data!K15&gt;0,Data!K15-4,"")</f>
        <v>0</v>
      </c>
      <c r="L15" s="1">
        <f>IF(Data!L15&gt;0,4-Data!L15,"")</f>
        <v>2</v>
      </c>
      <c r="M15" s="1">
        <f>IF(Data!M15&gt;0,Data!M15-4,"")</f>
        <v>1</v>
      </c>
      <c r="N15" s="1">
        <f>IF(Data!N15&gt;0,Data!N15-4,"")</f>
        <v>0</v>
      </c>
      <c r="O15" s="1">
        <f>IF(Data!O15&gt;0,Data!O15-4,"")</f>
        <v>0</v>
      </c>
      <c r="P15" s="1">
        <f>IF(Data!P15&gt;0,Data!P15-4,"")</f>
        <v>1</v>
      </c>
      <c r="Q15" s="1">
        <f>IF(Data!Q15&gt;0,4-Data!Q15,"")</f>
        <v>1</v>
      </c>
      <c r="R15" s="1">
        <f>IF(Data!R15&gt;0,4-Data!R15,"")</f>
        <v>0</v>
      </c>
      <c r="S15" s="1">
        <f>IF(Data!S15&gt;0,4-Data!S15,"")</f>
        <v>2</v>
      </c>
      <c r="T15" s="1">
        <f>IF(Data!T15&gt;0,Data!T15-4,"")</f>
        <v>1</v>
      </c>
      <c r="U15" s="1">
        <f>IF(Data!U15&gt;0,4-Data!U15,"")</f>
        <v>2</v>
      </c>
      <c r="V15" s="1">
        <f>IF(Data!V15&gt;0,Data!V15-4,"")</f>
        <v>0</v>
      </c>
      <c r="W15" s="1">
        <f>IF(Data!W15&gt;0,4-Data!W15,"")</f>
        <v>1</v>
      </c>
      <c r="X15" s="1">
        <f>IF(Data!X15&gt;0,4-Data!X15,"")</f>
        <v>1</v>
      </c>
      <c r="Y15" s="1">
        <f>IF(Data!Y15&gt;0,4-Data!Y15,"")</f>
        <v>1</v>
      </c>
      <c r="Z15" s="1">
        <f>IF(Data!Z15&gt;0,Data!Z15-4,"")</f>
        <v>0</v>
      </c>
      <c r="AC15" s="4" t="str">
        <f t="shared" si="11"/>
        <v/>
      </c>
      <c r="AD15" s="4" t="str">
        <f t="shared" si="12"/>
        <v/>
      </c>
      <c r="AE15" s="4" t="str">
        <f t="shared" si="13"/>
        <v/>
      </c>
      <c r="AF15" s="4" t="str">
        <f t="shared" si="14"/>
        <v/>
      </c>
      <c r="AG15" s="4" t="str">
        <f t="shared" si="8"/>
        <v/>
      </c>
      <c r="AH15" s="4" t="str">
        <f t="shared" si="15"/>
        <v/>
      </c>
      <c r="AI15" s="2">
        <f t="shared" si="10"/>
        <v>0</v>
      </c>
      <c r="AK15" s="2">
        <f>IF(MAX(COUNTIF(Data!A15:Z15,1),COUNTIF(Data!A15:Z15,2),COUNTIF(Data!A15:Z15,3),COUNTIF(Data!A15:Z15,4),COUNTIF(Data!A15:Z15,5),COUNTIF(Data!A15:Z15,6),COUNTIF(Data!A15:Z15,7))&gt;0,MAX(COUNTIF(Data!A15:Z15,1),COUNTIF(Data!A15:Z15,2),COUNTIF(Data!A15:Z15,3),COUNTIF(Data!A15:Z15,4),COUNTIF(Data!A15:Z15,5),COUNTIF(Data!A15:Z15,6),COUNTIF(Data!A15:Z15,7)),"")</f>
        <v>8</v>
      </c>
    </row>
    <row r="16" spans="1:37">
      <c r="A16" s="1">
        <f>IF(Data!A16&gt;0,Data!A16-4,"")</f>
        <v>1</v>
      </c>
      <c r="B16" s="1">
        <f>IF(Data!B16&gt;0,Data!B16-4,"")</f>
        <v>0</v>
      </c>
      <c r="C16" s="1">
        <f>IF(Data!C16&gt;0,4-Data!C16,"")</f>
        <v>1</v>
      </c>
      <c r="D16" s="1">
        <f>IF(Data!D16&gt;0,4-Data!D16,"")</f>
        <v>2</v>
      </c>
      <c r="E16" s="1">
        <f>IF(Data!E16&gt;0,4-Data!E16,"")</f>
        <v>1</v>
      </c>
      <c r="F16" s="1">
        <f>IF(Data!F16&gt;0,Data!F16-4,"")</f>
        <v>2</v>
      </c>
      <c r="G16" s="1">
        <f>IF(Data!G16&gt;0,Data!G16-4,"")</f>
        <v>2</v>
      </c>
      <c r="H16" s="1">
        <f>IF(Data!H16&gt;0,Data!H16-4,"")</f>
        <v>1</v>
      </c>
      <c r="I16" s="1">
        <f>IF(Data!I16&gt;0,4-Data!I16,"")</f>
        <v>2</v>
      </c>
      <c r="J16" s="1">
        <f>IF(Data!J16&gt;0,4-Data!J16,"")</f>
        <v>1</v>
      </c>
      <c r="K16" s="1">
        <f>IF(Data!K16&gt;0,Data!K16-4,"")</f>
        <v>1</v>
      </c>
      <c r="L16" s="1">
        <f>IF(Data!L16&gt;0,4-Data!L16,"")</f>
        <v>2</v>
      </c>
      <c r="M16" s="1">
        <f>IF(Data!M16&gt;0,Data!M16-4,"")</f>
        <v>1</v>
      </c>
      <c r="N16" s="1">
        <f>IF(Data!N16&gt;0,Data!N16-4,"")</f>
        <v>1</v>
      </c>
      <c r="O16" s="1">
        <f>IF(Data!O16&gt;0,Data!O16-4,"")</f>
        <v>0</v>
      </c>
      <c r="P16" s="1">
        <f>IF(Data!P16&gt;0,Data!P16-4,"")</f>
        <v>2</v>
      </c>
      <c r="Q16" s="1">
        <f>IF(Data!Q16&gt;0,4-Data!Q16,"")</f>
        <v>2</v>
      </c>
      <c r="R16" s="1">
        <f>IF(Data!R16&gt;0,4-Data!R16,"")</f>
        <v>1</v>
      </c>
      <c r="S16" s="1">
        <f>IF(Data!S16&gt;0,4-Data!S16,"")</f>
        <v>1</v>
      </c>
      <c r="T16" s="1">
        <f>IF(Data!T16&gt;0,Data!T16-4,"")</f>
        <v>2</v>
      </c>
      <c r="U16" s="1">
        <f>IF(Data!U16&gt;0,4-Data!U16,"")</f>
        <v>2</v>
      </c>
      <c r="V16" s="1">
        <f>IF(Data!V16&gt;0,Data!V16-4,"")</f>
        <v>2</v>
      </c>
      <c r="W16" s="1">
        <f>IF(Data!W16&gt;0,4-Data!W16,"")</f>
        <v>0</v>
      </c>
      <c r="X16" s="1">
        <f>IF(Data!X16&gt;0,4-Data!X16,"")</f>
        <v>-2</v>
      </c>
      <c r="Y16" s="1">
        <f>IF(Data!Y16&gt;0,4-Data!Y16,"")</f>
        <v>1</v>
      </c>
      <c r="Z16" s="1">
        <f>IF(Data!Z16&gt;0,Data!Z16-4,"")</f>
        <v>0</v>
      </c>
      <c r="AC16" s="4">
        <f t="shared" si="11"/>
        <v>1</v>
      </c>
      <c r="AD16" s="4" t="str">
        <f t="shared" si="12"/>
        <v/>
      </c>
      <c r="AE16" s="4" t="str">
        <f t="shared" si="13"/>
        <v/>
      </c>
      <c r="AF16" s="4" t="str">
        <f t="shared" si="14"/>
        <v/>
      </c>
      <c r="AG16" s="4" t="str">
        <f t="shared" si="8"/>
        <v/>
      </c>
      <c r="AH16" s="4" t="str">
        <f t="shared" si="15"/>
        <v/>
      </c>
      <c r="AI16" s="2">
        <f t="shared" si="10"/>
        <v>1</v>
      </c>
      <c r="AK16" s="2">
        <f>IF(MAX(COUNTIF(Data!A16:Z16,1),COUNTIF(Data!A16:Z16,2),COUNTIF(Data!A16:Z16,3),COUNTIF(Data!A16:Z16,4),COUNTIF(Data!A16:Z16,5),COUNTIF(Data!A16:Z16,6),COUNTIF(Data!A16:Z16,7))&gt;0,MAX(COUNTIF(Data!A16:Z16,1),COUNTIF(Data!A16:Z16,2),COUNTIF(Data!A16:Z16,3),COUNTIF(Data!A16:Z16,4),COUNTIF(Data!A16:Z16,5),COUNTIF(Data!A16:Z16,6),COUNTIF(Data!A16:Z16,7)),"")</f>
        <v>6</v>
      </c>
    </row>
    <row r="17" spans="1:37">
      <c r="A17" s="1">
        <f>IF(Data!A17&gt;0,Data!A17-4,"")</f>
        <v>2</v>
      </c>
      <c r="B17" s="1">
        <f>IF(Data!B17&gt;0,Data!B17-4,"")</f>
        <v>2</v>
      </c>
      <c r="C17" s="1">
        <f>IF(Data!C17&gt;0,4-Data!C17,"")</f>
        <v>2</v>
      </c>
      <c r="D17" s="1">
        <f>IF(Data!D17&gt;0,4-Data!D17,"")</f>
        <v>2</v>
      </c>
      <c r="E17" s="1">
        <f>IF(Data!E17&gt;0,4-Data!E17,"")</f>
        <v>1</v>
      </c>
      <c r="F17" s="1">
        <f>IF(Data!F17&gt;0,Data!F17-4,"")</f>
        <v>2</v>
      </c>
      <c r="G17" s="1">
        <f>IF(Data!G17&gt;0,Data!G17-4,"")</f>
        <v>2</v>
      </c>
      <c r="H17" s="1">
        <f>IF(Data!H17&gt;0,Data!H17-4,"")</f>
        <v>2</v>
      </c>
      <c r="I17" s="1">
        <f>IF(Data!I17&gt;0,4-Data!I17,"")</f>
        <v>2</v>
      </c>
      <c r="J17" s="1">
        <f>IF(Data!J17&gt;0,4-Data!J17,"")</f>
        <v>2</v>
      </c>
      <c r="K17" s="1">
        <f>IF(Data!K17&gt;0,Data!K17-4,"")</f>
        <v>2</v>
      </c>
      <c r="L17" s="1">
        <f>IF(Data!L17&gt;0,4-Data!L17,"")</f>
        <v>2</v>
      </c>
      <c r="M17" s="1">
        <f>IF(Data!M17&gt;0,Data!M17-4,"")</f>
        <v>2</v>
      </c>
      <c r="N17" s="1">
        <f>IF(Data!N17&gt;0,Data!N17-4,"")</f>
        <v>2</v>
      </c>
      <c r="O17" s="1">
        <f>IF(Data!O17&gt;0,Data!O17-4,"")</f>
        <v>-1</v>
      </c>
      <c r="P17" s="1">
        <f>IF(Data!P17&gt;0,Data!P17-4,"")</f>
        <v>2</v>
      </c>
      <c r="Q17" s="1">
        <f>IF(Data!Q17&gt;0,4-Data!Q17,"")</f>
        <v>2</v>
      </c>
      <c r="R17" s="1">
        <f>IF(Data!R17&gt;0,4-Data!R17,"")</f>
        <v>1</v>
      </c>
      <c r="S17" s="1">
        <f>IF(Data!S17&gt;0,4-Data!S17,"")</f>
        <v>2</v>
      </c>
      <c r="T17" s="1">
        <f>IF(Data!T17&gt;0,Data!T17-4,"")</f>
        <v>2</v>
      </c>
      <c r="U17" s="1">
        <f>IF(Data!U17&gt;0,4-Data!U17,"")</f>
        <v>2</v>
      </c>
      <c r="V17" s="1">
        <f>IF(Data!V17&gt;0,Data!V17-4,"")</f>
        <v>2</v>
      </c>
      <c r="W17" s="1">
        <f>IF(Data!W17&gt;0,4-Data!W17,"")</f>
        <v>2</v>
      </c>
      <c r="X17" s="1">
        <f>IF(Data!X17&gt;0,4-Data!X17,"")</f>
        <v>2</v>
      </c>
      <c r="Y17" s="1">
        <f>IF(Data!Y17&gt;0,4-Data!Y17,"")</f>
        <v>2</v>
      </c>
      <c r="Z17" s="1">
        <f>IF(Data!Z17&gt;0,Data!Z17-4,"")</f>
        <v>-1</v>
      </c>
      <c r="AC17" s="4" t="str">
        <f t="shared" si="11"/>
        <v/>
      </c>
      <c r="AD17" s="4" t="str">
        <f t="shared" si="12"/>
        <v/>
      </c>
      <c r="AE17" s="4" t="str">
        <f t="shared" si="13"/>
        <v/>
      </c>
      <c r="AF17" s="4" t="str">
        <f t="shared" si="14"/>
        <v/>
      </c>
      <c r="AG17" s="4" t="str">
        <f t="shared" si="8"/>
        <v/>
      </c>
      <c r="AH17" s="4" t="str">
        <f t="shared" si="15"/>
        <v/>
      </c>
      <c r="AI17" s="2">
        <f t="shared" si="10"/>
        <v>0</v>
      </c>
      <c r="AK17" s="2">
        <f>IF(MAX(COUNTIF(Data!A17:Z17,1),COUNTIF(Data!A17:Z17,2),COUNTIF(Data!A17:Z17,3),COUNTIF(Data!A17:Z17,4),COUNTIF(Data!A17:Z17,5),COUNTIF(Data!A17:Z17,6),COUNTIF(Data!A17:Z17,7))&gt;0,MAX(COUNTIF(Data!A17:Z17,1),COUNTIF(Data!A17:Z17,2),COUNTIF(Data!A17:Z17,3),COUNTIF(Data!A17:Z17,4),COUNTIF(Data!A17:Z17,5),COUNTIF(Data!A17:Z17,6),COUNTIF(Data!A17:Z17,7)),"")</f>
        <v>11</v>
      </c>
    </row>
    <row r="18" spans="1:37">
      <c r="A18" s="1">
        <f>IF(Data!A18&gt;0,Data!A18-4,"")</f>
        <v>3</v>
      </c>
      <c r="B18" s="1">
        <f>IF(Data!B18&gt;0,Data!B18-4,"")</f>
        <v>3</v>
      </c>
      <c r="C18" s="1">
        <f>IF(Data!C18&gt;0,4-Data!C18,"")</f>
        <v>0</v>
      </c>
      <c r="D18" s="1">
        <f>IF(Data!D18&gt;0,4-Data!D18,"")</f>
        <v>3</v>
      </c>
      <c r="E18" s="1">
        <f>IF(Data!E18&gt;0,4-Data!E18,"")</f>
        <v>1</v>
      </c>
      <c r="F18" s="1">
        <f>IF(Data!F18&gt;0,Data!F18-4,"")</f>
        <v>1</v>
      </c>
      <c r="G18" s="1">
        <f>IF(Data!G18&gt;0,Data!G18-4,"")</f>
        <v>3</v>
      </c>
      <c r="H18" s="1">
        <f>IF(Data!H18&gt;0,Data!H18-4,"")</f>
        <v>1</v>
      </c>
      <c r="I18" s="1">
        <f>IF(Data!I18&gt;0,4-Data!I18,"")</f>
        <v>3</v>
      </c>
      <c r="J18" s="1">
        <f>IF(Data!J18&gt;0,4-Data!J18,"")</f>
        <v>0</v>
      </c>
      <c r="K18" s="1">
        <f>IF(Data!K18&gt;0,Data!K18-4,"")</f>
        <v>3</v>
      </c>
      <c r="L18" s="1">
        <f>IF(Data!L18&gt;0,4-Data!L18,"")</f>
        <v>3</v>
      </c>
      <c r="M18" s="1">
        <f>IF(Data!M18&gt;0,Data!M18-4,"")</f>
        <v>3</v>
      </c>
      <c r="N18" s="1">
        <f>IF(Data!N18&gt;0,Data!N18-4,"")</f>
        <v>3</v>
      </c>
      <c r="O18" s="1">
        <f>IF(Data!O18&gt;0,Data!O18-4,"")</f>
        <v>3</v>
      </c>
      <c r="P18" s="1">
        <f>IF(Data!P18&gt;0,Data!P18-4,"")</f>
        <v>3</v>
      </c>
      <c r="Q18" s="1">
        <f>IF(Data!Q18&gt;0,4-Data!Q18,"")</f>
        <v>3</v>
      </c>
      <c r="R18" s="1">
        <f>IF(Data!R18&gt;0,4-Data!R18,"")</f>
        <v>1</v>
      </c>
      <c r="S18" s="1">
        <f>IF(Data!S18&gt;0,4-Data!S18,"")</f>
        <v>3</v>
      </c>
      <c r="T18" s="1">
        <f>IF(Data!T18&gt;0,Data!T18-4,"")</f>
        <v>3</v>
      </c>
      <c r="U18" s="1">
        <f>IF(Data!U18&gt;0,4-Data!U18,"")</f>
        <v>3</v>
      </c>
      <c r="V18" s="1">
        <f>IF(Data!V18&gt;0,Data!V18-4,"")</f>
        <v>3</v>
      </c>
      <c r="W18" s="1">
        <f>IF(Data!W18&gt;0,4-Data!W18,"")</f>
        <v>3</v>
      </c>
      <c r="X18" s="1">
        <f>IF(Data!X18&gt;0,4-Data!X18,"")</f>
        <v>3</v>
      </c>
      <c r="Y18" s="1">
        <f>IF(Data!Y18&gt;0,4-Data!Y18,"")</f>
        <v>3</v>
      </c>
      <c r="Z18" s="1">
        <f>IF(Data!Z18&gt;0,Data!Z18-4,"")</f>
        <v>-3</v>
      </c>
      <c r="AC18" s="4" t="str">
        <f t="shared" si="11"/>
        <v/>
      </c>
      <c r="AD18" s="4" t="str">
        <f t="shared" si="12"/>
        <v/>
      </c>
      <c r="AE18" s="4" t="str">
        <f t="shared" si="13"/>
        <v/>
      </c>
      <c r="AF18" s="4" t="str">
        <f t="shared" si="14"/>
        <v/>
      </c>
      <c r="AG18" s="4" t="str">
        <f t="shared" si="8"/>
        <v/>
      </c>
      <c r="AH18" s="4">
        <f t="shared" si="15"/>
        <v>1</v>
      </c>
      <c r="AI18" s="2">
        <f t="shared" si="10"/>
        <v>1</v>
      </c>
      <c r="AK18" s="2">
        <f>IF(MAX(COUNTIF(Data!A18:Z18,1),COUNTIF(Data!A18:Z18,2),COUNTIF(Data!A18:Z18,3),COUNTIF(Data!A18:Z18,4),COUNTIF(Data!A18:Z18,5),COUNTIF(Data!A18:Z18,6),COUNTIF(Data!A18:Z18,7))&gt;0,MAX(COUNTIF(Data!A18:Z18,1),COUNTIF(Data!A18:Z18,2),COUNTIF(Data!A18:Z18,3),COUNTIF(Data!A18:Z18,4),COUNTIF(Data!A18:Z18,5),COUNTIF(Data!A18:Z18,6),COUNTIF(Data!A18:Z18,7)),"")</f>
        <v>10</v>
      </c>
    </row>
    <row r="19" spans="1:37">
      <c r="A19" s="1">
        <f>IF(Data!A19&gt;0,Data!A19-4,"")</f>
        <v>3</v>
      </c>
      <c r="B19" s="1">
        <f>IF(Data!B19&gt;0,Data!B19-4,"")</f>
        <v>3</v>
      </c>
      <c r="C19" s="1">
        <f>IF(Data!C19&gt;0,4-Data!C19,"")</f>
        <v>3</v>
      </c>
      <c r="D19" s="1">
        <f>IF(Data!D19&gt;0,4-Data!D19,"")</f>
        <v>3</v>
      </c>
      <c r="E19" s="1">
        <f>IF(Data!E19&gt;0,4-Data!E19,"")</f>
        <v>3</v>
      </c>
      <c r="F19" s="1">
        <f>IF(Data!F19&gt;0,Data!F19-4,"")</f>
        <v>2</v>
      </c>
      <c r="G19" s="1">
        <f>IF(Data!G19&gt;0,Data!G19-4,"")</f>
        <v>2</v>
      </c>
      <c r="H19" s="1">
        <f>IF(Data!H19&gt;0,Data!H19-4,"")</f>
        <v>0</v>
      </c>
      <c r="I19" s="1">
        <f>IF(Data!I19&gt;0,4-Data!I19,"")</f>
        <v>1</v>
      </c>
      <c r="J19" s="1">
        <f>IF(Data!J19&gt;0,4-Data!J19,"")</f>
        <v>1</v>
      </c>
      <c r="K19" s="1">
        <f>IF(Data!K19&gt;0,Data!K19-4,"")</f>
        <v>2</v>
      </c>
      <c r="L19" s="1">
        <f>IF(Data!L19&gt;0,4-Data!L19,"")</f>
        <v>2</v>
      </c>
      <c r="M19" s="1">
        <f>IF(Data!M19&gt;0,Data!M19-4,"")</f>
        <v>3</v>
      </c>
      <c r="N19" s="1">
        <f>IF(Data!N19&gt;0,Data!N19-4,"")</f>
        <v>3</v>
      </c>
      <c r="O19" s="1">
        <f>IF(Data!O19&gt;0,Data!O19-4,"")</f>
        <v>3</v>
      </c>
      <c r="P19" s="1">
        <f>IF(Data!P19&gt;0,Data!P19-4,"")</f>
        <v>3</v>
      </c>
      <c r="Q19" s="1">
        <f>IF(Data!Q19&gt;0,4-Data!Q19,"")</f>
        <v>3</v>
      </c>
      <c r="R19" s="1">
        <f>IF(Data!R19&gt;0,4-Data!R19,"")</f>
        <v>3</v>
      </c>
      <c r="S19" s="1">
        <f>IF(Data!S19&gt;0,4-Data!S19,"")</f>
        <v>3</v>
      </c>
      <c r="T19" s="1">
        <f>IF(Data!T19&gt;0,Data!T19-4,"")</f>
        <v>1</v>
      </c>
      <c r="U19" s="1">
        <f>IF(Data!U19&gt;0,4-Data!U19,"")</f>
        <v>2</v>
      </c>
      <c r="V19" s="1">
        <f>IF(Data!V19&gt;0,Data!V19-4,"")</f>
        <v>3</v>
      </c>
      <c r="W19" s="1">
        <f>IF(Data!W19&gt;0,4-Data!W19,"")</f>
        <v>3</v>
      </c>
      <c r="X19" s="1">
        <f>IF(Data!X19&gt;0,4-Data!X19,"")</f>
        <v>3</v>
      </c>
      <c r="Y19" s="1">
        <f>IF(Data!Y19&gt;0,4-Data!Y19,"")</f>
        <v>3</v>
      </c>
      <c r="Z19" s="1">
        <f>IF(Data!Z19&gt;0,Data!Z19-4,"")</f>
        <v>3</v>
      </c>
      <c r="AC19" s="4" t="str">
        <f t="shared" si="11"/>
        <v/>
      </c>
      <c r="AD19" s="4" t="str">
        <f t="shared" si="12"/>
        <v/>
      </c>
      <c r="AE19" s="4" t="str">
        <f t="shared" si="13"/>
        <v/>
      </c>
      <c r="AF19" s="4" t="str">
        <f t="shared" si="14"/>
        <v/>
      </c>
      <c r="AG19" s="4" t="str">
        <f t="shared" si="8"/>
        <v/>
      </c>
      <c r="AH19" s="4" t="str">
        <f t="shared" si="15"/>
        <v/>
      </c>
      <c r="AI19" s="2">
        <f t="shared" si="10"/>
        <v>0</v>
      </c>
      <c r="AK19" s="2">
        <f>IF(MAX(COUNTIF(Data!A19:Z19,1),COUNTIF(Data!A19:Z19,2),COUNTIF(Data!A19:Z19,3),COUNTIF(Data!A19:Z19,4),COUNTIF(Data!A19:Z19,5),COUNTIF(Data!A19:Z19,6),COUNTIF(Data!A19:Z19,7))&gt;0,MAX(COUNTIF(Data!A19:Z19,1),COUNTIF(Data!A19:Z19,2),COUNTIF(Data!A19:Z19,3),COUNTIF(Data!A19:Z19,4),COUNTIF(Data!A19:Z19,5),COUNTIF(Data!A19:Z19,6),COUNTIF(Data!A19:Z19,7)),"")</f>
        <v>9</v>
      </c>
    </row>
    <row r="20" spans="1:37">
      <c r="A20" s="1">
        <f>IF(Data!A20&gt;0,Data!A20-4,"")</f>
        <v>-2</v>
      </c>
      <c r="B20" s="1">
        <f>IF(Data!B20&gt;0,Data!B20-4,"")</f>
        <v>2</v>
      </c>
      <c r="C20" s="1">
        <f>IF(Data!C20&gt;0,4-Data!C20,"")</f>
        <v>1</v>
      </c>
      <c r="D20" s="1">
        <f>IF(Data!D20&gt;0,4-Data!D20,"")</f>
        <v>1</v>
      </c>
      <c r="E20" s="1">
        <f>IF(Data!E20&gt;0,4-Data!E20,"")</f>
        <v>0</v>
      </c>
      <c r="F20" s="1">
        <f>IF(Data!F20&gt;0,Data!F20-4,"")</f>
        <v>-1</v>
      </c>
      <c r="G20" s="1">
        <f>IF(Data!G20&gt;0,Data!G20-4,"")</f>
        <v>-2</v>
      </c>
      <c r="H20" s="1">
        <f>IF(Data!H20&gt;0,Data!H20-4,"")</f>
        <v>2</v>
      </c>
      <c r="I20" s="1">
        <f>IF(Data!I20&gt;0,4-Data!I20,"")</f>
        <v>-2</v>
      </c>
      <c r="J20" s="1">
        <f>IF(Data!J20&gt;0,4-Data!J20,"")</f>
        <v>-1</v>
      </c>
      <c r="K20" s="1">
        <f>IF(Data!K20&gt;0,Data!K20-4,"")</f>
        <v>-2</v>
      </c>
      <c r="L20" s="1">
        <f>IF(Data!L20&gt;0,4-Data!L20,"")</f>
        <v>-3</v>
      </c>
      <c r="M20" s="1">
        <f>IF(Data!M20&gt;0,Data!M20-4,"")</f>
        <v>0</v>
      </c>
      <c r="N20" s="1">
        <f>IF(Data!N20&gt;0,Data!N20-4,"")</f>
        <v>-3</v>
      </c>
      <c r="O20" s="1">
        <f>IF(Data!O20&gt;0,Data!O20-4,"")</f>
        <v>1</v>
      </c>
      <c r="P20" s="1">
        <f>IF(Data!P20&gt;0,Data!P20-4,"")</f>
        <v>-3</v>
      </c>
      <c r="Q20" s="1">
        <f>IF(Data!Q20&gt;0,4-Data!Q20,"")</f>
        <v>2</v>
      </c>
      <c r="R20" s="1">
        <f>IF(Data!R20&gt;0,4-Data!R20,"")</f>
        <v>-2</v>
      </c>
      <c r="S20" s="1">
        <f>IF(Data!S20&gt;0,4-Data!S20,"")</f>
        <v>2</v>
      </c>
      <c r="T20" s="1">
        <f>IF(Data!T20&gt;0,Data!T20-4,"")</f>
        <v>3</v>
      </c>
      <c r="U20" s="1">
        <f>IF(Data!U20&gt;0,4-Data!U20,"")</f>
        <v>1</v>
      </c>
      <c r="V20" s="1">
        <f>IF(Data!V20&gt;0,Data!V20-4,"")</f>
        <v>2</v>
      </c>
      <c r="W20" s="1">
        <f>IF(Data!W20&gt;0,4-Data!W20,"")</f>
        <v>3</v>
      </c>
      <c r="X20" s="1">
        <f>IF(Data!X20&gt;0,4-Data!X20,"")</f>
        <v>0</v>
      </c>
      <c r="Y20" s="1">
        <f>IF(Data!Y20&gt;0,4-Data!Y20,"")</f>
        <v>0</v>
      </c>
      <c r="Z20" s="1">
        <f>IF(Data!Z20&gt;0,Data!Z20-4,"")</f>
        <v>1</v>
      </c>
      <c r="AC20" s="4" t="str">
        <f t="shared" si="11"/>
        <v/>
      </c>
      <c r="AD20" s="4" t="str">
        <f t="shared" si="12"/>
        <v/>
      </c>
      <c r="AE20" s="4">
        <f t="shared" si="13"/>
        <v>1</v>
      </c>
      <c r="AF20" s="4">
        <f t="shared" si="14"/>
        <v>1</v>
      </c>
      <c r="AG20" s="4" t="str">
        <f t="shared" si="8"/>
        <v/>
      </c>
      <c r="AH20" s="4" t="str">
        <f t="shared" si="15"/>
        <v/>
      </c>
      <c r="AI20" s="2">
        <f t="shared" si="10"/>
        <v>2</v>
      </c>
      <c r="AK20" s="2">
        <f>IF(MAX(COUNTIF(Data!A20:Z20,1),COUNTIF(Data!A20:Z20,2),COUNTIF(Data!A20:Z20,3),COUNTIF(Data!A20:Z20,4),COUNTIF(Data!A20:Z20,5),COUNTIF(Data!A20:Z20,6),COUNTIF(Data!A20:Z20,7))&gt;0,MAX(COUNTIF(Data!A20:Z20,1),COUNTIF(Data!A20:Z20,2),COUNTIF(Data!A20:Z20,3),COUNTIF(Data!A20:Z20,4),COUNTIF(Data!A20:Z20,5),COUNTIF(Data!A20:Z20,6),COUNTIF(Data!A20:Z20,7)),"")</f>
        <v>5</v>
      </c>
    </row>
    <row r="21" spans="1:37">
      <c r="A21" s="1">
        <f>IF(Data!A21&gt;0,Data!A21-4,"")</f>
        <v>1</v>
      </c>
      <c r="B21" s="1">
        <f>IF(Data!B21&gt;0,Data!B21-4,"")</f>
        <v>3</v>
      </c>
      <c r="C21" s="1">
        <f>IF(Data!C21&gt;0,4-Data!C21,"")</f>
        <v>0</v>
      </c>
      <c r="D21" s="1">
        <f>IF(Data!D21&gt;0,4-Data!D21,"")</f>
        <v>2</v>
      </c>
      <c r="E21" s="1">
        <f>IF(Data!E21&gt;0,4-Data!E21,"")</f>
        <v>0</v>
      </c>
      <c r="F21" s="1">
        <f>IF(Data!F21&gt;0,Data!F21-4,"")</f>
        <v>2</v>
      </c>
      <c r="G21" s="1">
        <f>IF(Data!G21&gt;0,Data!G21-4,"")</f>
        <v>2</v>
      </c>
      <c r="H21" s="1">
        <f>IF(Data!H21&gt;0,Data!H21-4,"")</f>
        <v>-1</v>
      </c>
      <c r="I21" s="1">
        <f>IF(Data!I21&gt;0,4-Data!I21,"")</f>
        <v>0</v>
      </c>
      <c r="J21" s="1">
        <f>IF(Data!J21&gt;0,4-Data!J21,"")</f>
        <v>1</v>
      </c>
      <c r="K21" s="1">
        <f>IF(Data!K21&gt;0,Data!K21-4,"")</f>
        <v>1</v>
      </c>
      <c r="L21" s="1">
        <f>IF(Data!L21&gt;0,4-Data!L21,"")</f>
        <v>2</v>
      </c>
      <c r="M21" s="1">
        <f>IF(Data!M21&gt;0,Data!M21-4,"")</f>
        <v>1</v>
      </c>
      <c r="N21" s="1">
        <f>IF(Data!N21&gt;0,Data!N21-4,"")</f>
        <v>2</v>
      </c>
      <c r="O21" s="1">
        <f>IF(Data!O21&gt;0,Data!O21-4,"")</f>
        <v>1</v>
      </c>
      <c r="P21" s="1">
        <f>IF(Data!P21&gt;0,Data!P21-4,"")</f>
        <v>3</v>
      </c>
      <c r="Q21" s="1">
        <f>IF(Data!Q21&gt;0,4-Data!Q21,"")</f>
        <v>1</v>
      </c>
      <c r="R21" s="1">
        <f>IF(Data!R21&gt;0,4-Data!R21,"")</f>
        <v>-1</v>
      </c>
      <c r="S21" s="1">
        <f>IF(Data!S21&gt;0,4-Data!S21,"")</f>
        <v>1</v>
      </c>
      <c r="T21" s="1">
        <f>IF(Data!T21&gt;0,Data!T21-4,"")</f>
        <v>3</v>
      </c>
      <c r="U21" s="1">
        <f>IF(Data!U21&gt;0,4-Data!U21,"")</f>
        <v>1</v>
      </c>
      <c r="V21" s="1">
        <f>IF(Data!V21&gt;0,Data!V21-4,"")</f>
        <v>2</v>
      </c>
      <c r="W21" s="1">
        <f>IF(Data!W21&gt;0,4-Data!W21,"")</f>
        <v>3</v>
      </c>
      <c r="X21" s="1">
        <f>IF(Data!X21&gt;0,4-Data!X21,"")</f>
        <v>3</v>
      </c>
      <c r="Y21" s="1">
        <f>IF(Data!Y21&gt;0,4-Data!Y21,"")</f>
        <v>3</v>
      </c>
      <c r="Z21" s="1">
        <f>IF(Data!Z21&gt;0,Data!Z21-4,"")</f>
        <v>0</v>
      </c>
      <c r="AC21" s="4" t="str">
        <f t="shared" si="11"/>
        <v/>
      </c>
      <c r="AD21" s="4" t="str">
        <f t="shared" si="12"/>
        <v/>
      </c>
      <c r="AE21" s="4" t="str">
        <f t="shared" si="13"/>
        <v/>
      </c>
      <c r="AF21" s="4" t="str">
        <f t="shared" si="14"/>
        <v/>
      </c>
      <c r="AG21" s="4" t="str">
        <f t="shared" si="8"/>
        <v/>
      </c>
      <c r="AH21" s="4" t="str">
        <f t="shared" si="15"/>
        <v/>
      </c>
      <c r="AI21" s="2">
        <f t="shared" si="10"/>
        <v>0</v>
      </c>
      <c r="AK21" s="2">
        <f>IF(MAX(COUNTIF(Data!A21:Z21,1),COUNTIF(Data!A21:Z21,2),COUNTIF(Data!A21:Z21,3),COUNTIF(Data!A21:Z21,4),COUNTIF(Data!A21:Z21,5),COUNTIF(Data!A21:Z21,6),COUNTIF(Data!A21:Z21,7))&gt;0,MAX(COUNTIF(Data!A21:Z21,1),COUNTIF(Data!A21:Z21,2),COUNTIF(Data!A21:Z21,3),COUNTIF(Data!A21:Z21,4),COUNTIF(Data!A21:Z21,5),COUNTIF(Data!A21:Z21,6),COUNTIF(Data!A21:Z21,7)),"")</f>
        <v>5</v>
      </c>
    </row>
    <row r="22" spans="1:37">
      <c r="A22" s="1">
        <f>IF(Data!A22&gt;0,Data!A22-4,"")</f>
        <v>2</v>
      </c>
      <c r="B22" s="1">
        <f>IF(Data!B22&gt;0,Data!B22-4,"")</f>
        <v>3</v>
      </c>
      <c r="C22" s="1">
        <f>IF(Data!C22&gt;0,4-Data!C22,"")</f>
        <v>2</v>
      </c>
      <c r="D22" s="1">
        <f>IF(Data!D22&gt;0,4-Data!D22,"")</f>
        <v>2</v>
      </c>
      <c r="E22" s="1">
        <f>IF(Data!E22&gt;0,4-Data!E22,"")</f>
        <v>2</v>
      </c>
      <c r="F22" s="1">
        <f>IF(Data!F22&gt;0,Data!F22-4,"")</f>
        <v>0</v>
      </c>
      <c r="G22" s="1">
        <f>IF(Data!G22&gt;0,Data!G22-4,"")</f>
        <v>1</v>
      </c>
      <c r="H22" s="1">
        <f>IF(Data!H22&gt;0,Data!H22-4,"")</f>
        <v>2</v>
      </c>
      <c r="I22" s="1">
        <f>IF(Data!I22&gt;0,4-Data!I22,"")</f>
        <v>2</v>
      </c>
      <c r="J22" s="1">
        <f>IF(Data!J22&gt;0,4-Data!J22,"")</f>
        <v>1</v>
      </c>
      <c r="K22" s="1">
        <f>IF(Data!K22&gt;0,Data!K22-4,"")</f>
        <v>1</v>
      </c>
      <c r="L22" s="1">
        <f>IF(Data!L22&gt;0,4-Data!L22,"")</f>
        <v>3</v>
      </c>
      <c r="M22" s="1">
        <f>IF(Data!M22&gt;0,Data!M22-4,"")</f>
        <v>3</v>
      </c>
      <c r="N22" s="1">
        <f>IF(Data!N22&gt;0,Data!N22-4,"")</f>
        <v>2</v>
      </c>
      <c r="O22" s="1">
        <f>IF(Data!O22&gt;0,Data!O22-4,"")</f>
        <v>1</v>
      </c>
      <c r="P22" s="1">
        <f>IF(Data!P22&gt;0,Data!P22-4,"")</f>
        <v>2</v>
      </c>
      <c r="Q22" s="1">
        <f>IF(Data!Q22&gt;0,4-Data!Q22,"")</f>
        <v>2</v>
      </c>
      <c r="R22" s="1">
        <f>IF(Data!R22&gt;0,4-Data!R22,"")</f>
        <v>2</v>
      </c>
      <c r="S22" s="1">
        <f>IF(Data!S22&gt;0,4-Data!S22,"")</f>
        <v>2</v>
      </c>
      <c r="T22" s="1">
        <f>IF(Data!T22&gt;0,Data!T22-4,"")</f>
        <v>2</v>
      </c>
      <c r="U22" s="1">
        <f>IF(Data!U22&gt;0,4-Data!U22,"")</f>
        <v>2</v>
      </c>
      <c r="V22" s="1">
        <f>IF(Data!V22&gt;0,Data!V22-4,"")</f>
        <v>3</v>
      </c>
      <c r="W22" s="1">
        <f>IF(Data!W22&gt;0,4-Data!W22,"")</f>
        <v>3</v>
      </c>
      <c r="X22" s="1">
        <f>IF(Data!X22&gt;0,4-Data!X22,"")</f>
        <v>2</v>
      </c>
      <c r="Y22" s="1">
        <f>IF(Data!Y22&gt;0,4-Data!Y22,"")</f>
        <v>3</v>
      </c>
      <c r="Z22" s="1">
        <f>IF(Data!Z22&gt;0,Data!Z22-4,"")</f>
        <v>2</v>
      </c>
      <c r="AC22" s="4" t="str">
        <f t="shared" si="11"/>
        <v/>
      </c>
      <c r="AD22" s="4" t="str">
        <f t="shared" si="12"/>
        <v/>
      </c>
      <c r="AE22" s="4" t="str">
        <f t="shared" si="13"/>
        <v/>
      </c>
      <c r="AF22" s="4" t="str">
        <f t="shared" si="14"/>
        <v/>
      </c>
      <c r="AG22" s="4" t="str">
        <f t="shared" si="8"/>
        <v/>
      </c>
      <c r="AH22" s="4" t="str">
        <f t="shared" si="15"/>
        <v/>
      </c>
      <c r="AI22" s="2">
        <f t="shared" si="10"/>
        <v>0</v>
      </c>
      <c r="AK22" s="2">
        <f>IF(MAX(COUNTIF(Data!A22:Z22,1),COUNTIF(Data!A22:Z22,2),COUNTIF(Data!A22:Z22,3),COUNTIF(Data!A22:Z22,4),COUNTIF(Data!A22:Z22,5),COUNTIF(Data!A22:Z22,6),COUNTIF(Data!A22:Z22,7))&gt;0,MAX(COUNTIF(Data!A22:Z22,1),COUNTIF(Data!A22:Z22,2),COUNTIF(Data!A22:Z22,3),COUNTIF(Data!A22:Z22,4),COUNTIF(Data!A22:Z22,5),COUNTIF(Data!A22:Z22,6),COUNTIF(Data!A22:Z22,7)),"")</f>
        <v>9</v>
      </c>
    </row>
    <row r="23" spans="1:37">
      <c r="A23" s="1">
        <f>IF(Data!A23&gt;0,Data!A23-4,"")</f>
        <v>2</v>
      </c>
      <c r="B23" s="1">
        <f>IF(Data!B23&gt;0,Data!B23-4,"")</f>
        <v>2</v>
      </c>
      <c r="C23" s="1">
        <f>IF(Data!C23&gt;0,4-Data!C23,"")</f>
        <v>2</v>
      </c>
      <c r="D23" s="1">
        <f>IF(Data!D23&gt;0,4-Data!D23,"")</f>
        <v>2</v>
      </c>
      <c r="E23" s="1">
        <f>IF(Data!E23&gt;0,4-Data!E23,"")</f>
        <v>2</v>
      </c>
      <c r="F23" s="1">
        <f>IF(Data!F23&gt;0,Data!F23-4,"")</f>
        <v>2</v>
      </c>
      <c r="G23" s="1">
        <f>IF(Data!G23&gt;0,Data!G23-4,"")</f>
        <v>2</v>
      </c>
      <c r="H23" s="1">
        <f>IF(Data!H23&gt;0,Data!H23-4,"")</f>
        <v>1</v>
      </c>
      <c r="I23" s="1">
        <f>IF(Data!I23&gt;0,4-Data!I23,"")</f>
        <v>2</v>
      </c>
      <c r="J23" s="1">
        <f>IF(Data!J23&gt;0,4-Data!J23,"")</f>
        <v>3</v>
      </c>
      <c r="K23" s="1">
        <f>IF(Data!K23&gt;0,Data!K23-4,"")</f>
        <v>2</v>
      </c>
      <c r="L23" s="1">
        <f>IF(Data!L23&gt;0,4-Data!L23,"")</f>
        <v>2</v>
      </c>
      <c r="M23" s="1">
        <f>IF(Data!M23&gt;0,Data!M23-4,"")</f>
        <v>1</v>
      </c>
      <c r="N23" s="1">
        <f>IF(Data!N23&gt;0,Data!N23-4,"")</f>
        <v>2</v>
      </c>
      <c r="O23" s="1">
        <f>IF(Data!O23&gt;0,Data!O23-4,"")</f>
        <v>3</v>
      </c>
      <c r="P23" s="1">
        <f>IF(Data!P23&gt;0,Data!P23-4,"")</f>
        <v>2</v>
      </c>
      <c r="Q23" s="1">
        <f>IF(Data!Q23&gt;0,4-Data!Q23,"")</f>
        <v>2</v>
      </c>
      <c r="R23" s="1">
        <f>IF(Data!R23&gt;0,4-Data!R23,"")</f>
        <v>1</v>
      </c>
      <c r="S23" s="1">
        <f>IF(Data!S23&gt;0,4-Data!S23,"")</f>
        <v>3</v>
      </c>
      <c r="T23" s="1">
        <f>IF(Data!T23&gt;0,Data!T23-4,"")</f>
        <v>3</v>
      </c>
      <c r="U23" s="1">
        <f>IF(Data!U23&gt;0,4-Data!U23,"")</f>
        <v>2</v>
      </c>
      <c r="V23" s="1">
        <f>IF(Data!V23&gt;0,Data!V23-4,"")</f>
        <v>2</v>
      </c>
      <c r="W23" s="1">
        <f>IF(Data!W23&gt;0,4-Data!W23,"")</f>
        <v>2</v>
      </c>
      <c r="X23" s="1">
        <f>IF(Data!X23&gt;0,4-Data!X23,"")</f>
        <v>2</v>
      </c>
      <c r="Y23" s="1">
        <f>IF(Data!Y23&gt;0,4-Data!Y23,"")</f>
        <v>2</v>
      </c>
      <c r="Z23" s="1">
        <f>IF(Data!Z23&gt;0,Data!Z23-4,"")</f>
        <v>3</v>
      </c>
      <c r="AC23" s="4" t="str">
        <f t="shared" si="11"/>
        <v/>
      </c>
      <c r="AD23" s="4" t="str">
        <f t="shared" si="12"/>
        <v/>
      </c>
      <c r="AE23" s="4" t="str">
        <f t="shared" si="13"/>
        <v/>
      </c>
      <c r="AF23" s="4" t="str">
        <f t="shared" si="14"/>
        <v/>
      </c>
      <c r="AG23" s="4" t="str">
        <f t="shared" si="8"/>
        <v/>
      </c>
      <c r="AH23" s="4" t="str">
        <f t="shared" si="15"/>
        <v/>
      </c>
      <c r="AI23" s="2">
        <f t="shared" si="10"/>
        <v>0</v>
      </c>
      <c r="AK23" s="2">
        <f>IF(MAX(COUNTIF(Data!A23:Z23,1),COUNTIF(Data!A23:Z23,2),COUNTIF(Data!A23:Z23,3),COUNTIF(Data!A23:Z23,4),COUNTIF(Data!A23:Z23,5),COUNTIF(Data!A23:Z23,6),COUNTIF(Data!A23:Z23,7))&gt;0,MAX(COUNTIF(Data!A23:Z23,1),COUNTIF(Data!A23:Z23,2),COUNTIF(Data!A23:Z23,3),COUNTIF(Data!A23:Z23,4),COUNTIF(Data!A23:Z23,5),COUNTIF(Data!A23:Z23,6),COUNTIF(Data!A23:Z23,7)),"")</f>
        <v>10</v>
      </c>
    </row>
    <row r="24" spans="1:37">
      <c r="A24" s="1">
        <f>IF(Data!A24&gt;0,Data!A24-4,"")</f>
        <v>2</v>
      </c>
      <c r="B24" s="1">
        <f>IF(Data!B24&gt;0,Data!B24-4,"")</f>
        <v>1</v>
      </c>
      <c r="C24" s="1">
        <f>IF(Data!C24&gt;0,4-Data!C24,"")</f>
        <v>2</v>
      </c>
      <c r="D24" s="1">
        <f>IF(Data!D24&gt;0,4-Data!D24,"")</f>
        <v>2</v>
      </c>
      <c r="E24" s="1">
        <f>IF(Data!E24&gt;0,4-Data!E24,"")</f>
        <v>2</v>
      </c>
      <c r="F24" s="1">
        <f>IF(Data!F24&gt;0,Data!F24-4,"")</f>
        <v>2</v>
      </c>
      <c r="G24" s="1">
        <f>IF(Data!G24&gt;0,Data!G24-4,"")</f>
        <v>2</v>
      </c>
      <c r="H24" s="1">
        <f>IF(Data!H24&gt;0,Data!H24-4,"")</f>
        <v>-1</v>
      </c>
      <c r="I24" s="1">
        <f>IF(Data!I24&gt;0,4-Data!I24,"")</f>
        <v>2</v>
      </c>
      <c r="J24" s="1">
        <f>IF(Data!J24&gt;0,4-Data!J24,"")</f>
        <v>3</v>
      </c>
      <c r="K24" s="1">
        <f>IF(Data!K24&gt;0,Data!K24-4,"")</f>
        <v>2</v>
      </c>
      <c r="L24" s="1">
        <f>IF(Data!L24&gt;0,4-Data!L24,"")</f>
        <v>3</v>
      </c>
      <c r="M24" s="1">
        <f>IF(Data!M24&gt;0,Data!M24-4,"")</f>
        <v>1</v>
      </c>
      <c r="N24" s="1">
        <f>IF(Data!N24&gt;0,Data!N24-4,"")</f>
        <v>3</v>
      </c>
      <c r="O24" s="1">
        <f>IF(Data!O24&gt;0,Data!O24-4,"")</f>
        <v>1</v>
      </c>
      <c r="P24" s="1">
        <f>IF(Data!P24&gt;0,Data!P24-4,"")</f>
        <v>2</v>
      </c>
      <c r="Q24" s="1">
        <f>IF(Data!Q24&gt;0,4-Data!Q24,"")</f>
        <v>2</v>
      </c>
      <c r="R24" s="1">
        <f>IF(Data!R24&gt;0,4-Data!R24,"")</f>
        <v>1</v>
      </c>
      <c r="S24" s="1">
        <f>IF(Data!S24&gt;0,4-Data!S24,"")</f>
        <v>3</v>
      </c>
      <c r="T24" s="1">
        <f>IF(Data!T24&gt;0,Data!T24-4,"")</f>
        <v>3</v>
      </c>
      <c r="U24" s="1">
        <f>IF(Data!U24&gt;0,4-Data!U24,"")</f>
        <v>2</v>
      </c>
      <c r="V24" s="1">
        <f>IF(Data!V24&gt;0,Data!V24-4,"")</f>
        <v>2</v>
      </c>
      <c r="W24" s="1">
        <f>IF(Data!W24&gt;0,4-Data!W24,"")</f>
        <v>1</v>
      </c>
      <c r="X24" s="1">
        <f>IF(Data!X24&gt;0,4-Data!X24,"")</f>
        <v>0</v>
      </c>
      <c r="Y24" s="1">
        <f>IF(Data!Y24&gt;0,4-Data!Y24,"")</f>
        <v>2</v>
      </c>
      <c r="Z24" s="1">
        <f>IF(Data!Z24&gt;0,Data!Z24-4,"")</f>
        <v>2</v>
      </c>
      <c r="AC24" s="4" t="str">
        <f t="shared" si="11"/>
        <v/>
      </c>
      <c r="AD24" s="4" t="str">
        <f t="shared" si="12"/>
        <v/>
      </c>
      <c r="AE24" s="4" t="str">
        <f t="shared" si="13"/>
        <v/>
      </c>
      <c r="AF24" s="4">
        <f t="shared" si="14"/>
        <v>1</v>
      </c>
      <c r="AG24" s="4" t="str">
        <f t="shared" si="8"/>
        <v/>
      </c>
      <c r="AH24" s="4" t="str">
        <f t="shared" si="15"/>
        <v/>
      </c>
      <c r="AI24" s="2">
        <f t="shared" si="10"/>
        <v>1</v>
      </c>
      <c r="AK24" s="2">
        <f>IF(MAX(COUNTIF(Data!A24:Z24,1),COUNTIF(Data!A24:Z24,2),COUNTIF(Data!A24:Z24,3),COUNTIF(Data!A24:Z24,4),COUNTIF(Data!A24:Z24,5),COUNTIF(Data!A24:Z24,6),COUNTIF(Data!A24:Z24,7))&gt;0,MAX(COUNTIF(Data!A24:Z24,1),COUNTIF(Data!A24:Z24,2),COUNTIF(Data!A24:Z24,3),COUNTIF(Data!A24:Z24,4),COUNTIF(Data!A24:Z24,5),COUNTIF(Data!A24:Z24,6),COUNTIF(Data!A24:Z24,7)),"")</f>
        <v>7</v>
      </c>
    </row>
    <row r="25" spans="1:37">
      <c r="A25" s="1">
        <f>IF(Data!A25&gt;0,Data!A25-4,"")</f>
        <v>3</v>
      </c>
      <c r="B25" s="1">
        <f>IF(Data!B25&gt;0,Data!B25-4,"")</f>
        <v>3</v>
      </c>
      <c r="C25" s="1">
        <f>IF(Data!C25&gt;0,4-Data!C25,"")</f>
        <v>3</v>
      </c>
      <c r="D25" s="1">
        <f>IF(Data!D25&gt;0,4-Data!D25,"")</f>
        <v>3</v>
      </c>
      <c r="E25" s="1">
        <f>IF(Data!E25&gt;0,4-Data!E25,"")</f>
        <v>3</v>
      </c>
      <c r="F25" s="1">
        <f>IF(Data!F25&gt;0,Data!F25-4,"")</f>
        <v>3</v>
      </c>
      <c r="G25" s="1">
        <f>IF(Data!G25&gt;0,Data!G25-4,"")</f>
        <v>3</v>
      </c>
      <c r="H25" s="1">
        <f>IF(Data!H25&gt;0,Data!H25-4,"")</f>
        <v>2</v>
      </c>
      <c r="I25" s="1">
        <f>IF(Data!I25&gt;0,4-Data!I25,"")</f>
        <v>2</v>
      </c>
      <c r="J25" s="1">
        <f>IF(Data!J25&gt;0,4-Data!J25,"")</f>
        <v>2</v>
      </c>
      <c r="K25" s="1">
        <f>IF(Data!K25&gt;0,Data!K25-4,"")</f>
        <v>0</v>
      </c>
      <c r="L25" s="1">
        <f>IF(Data!L25&gt;0,4-Data!L25,"")</f>
        <v>1</v>
      </c>
      <c r="M25" s="1">
        <f>IF(Data!M25&gt;0,Data!M25-4,"")</f>
        <v>1</v>
      </c>
      <c r="N25" s="1">
        <f>IF(Data!N25&gt;0,Data!N25-4,"")</f>
        <v>1</v>
      </c>
      <c r="O25" s="1">
        <f>IF(Data!O25&gt;0,Data!O25-4,"")</f>
        <v>2</v>
      </c>
      <c r="P25" s="1">
        <f>IF(Data!P25&gt;0,Data!P25-4,"")</f>
        <v>2</v>
      </c>
      <c r="Q25" s="1">
        <f>IF(Data!Q25&gt;0,4-Data!Q25,"")</f>
        <v>2</v>
      </c>
      <c r="R25" s="1">
        <f>IF(Data!R25&gt;0,4-Data!R25,"")</f>
        <v>2</v>
      </c>
      <c r="S25" s="1">
        <f>IF(Data!S25&gt;0,4-Data!S25,"")</f>
        <v>2</v>
      </c>
      <c r="T25" s="1">
        <f>IF(Data!T25&gt;0,Data!T25-4,"")</f>
        <v>3</v>
      </c>
      <c r="U25" s="1">
        <f>IF(Data!U25&gt;0,4-Data!U25,"")</f>
        <v>2</v>
      </c>
      <c r="V25" s="1">
        <f>IF(Data!V25&gt;0,Data!V25-4,"")</f>
        <v>2</v>
      </c>
      <c r="W25" s="1">
        <f>IF(Data!W25&gt;0,4-Data!W25,"")</f>
        <v>2</v>
      </c>
      <c r="X25" s="1">
        <f>IF(Data!X25&gt;0,4-Data!X25,"")</f>
        <v>2</v>
      </c>
      <c r="Y25" s="1">
        <f>IF(Data!Y25&gt;0,4-Data!Y25,"")</f>
        <v>2</v>
      </c>
      <c r="Z25" s="1">
        <f>IF(Data!Z25&gt;0,Data!Z25-4,"")</f>
        <v>2</v>
      </c>
      <c r="AC25" s="4" t="str">
        <f t="shared" si="11"/>
        <v/>
      </c>
      <c r="AD25" s="4" t="str">
        <f t="shared" si="12"/>
        <v/>
      </c>
      <c r="AE25" s="4" t="str">
        <f t="shared" si="13"/>
        <v/>
      </c>
      <c r="AF25" s="4" t="str">
        <f t="shared" si="14"/>
        <v/>
      </c>
      <c r="AG25" s="4" t="str">
        <f t="shared" si="8"/>
        <v/>
      </c>
      <c r="AH25" s="4" t="str">
        <f t="shared" si="15"/>
        <v/>
      </c>
      <c r="AI25" s="2">
        <f t="shared" si="10"/>
        <v>0</v>
      </c>
      <c r="AK25" s="2">
        <f>IF(MAX(COUNTIF(Data!A25:Z25,1),COUNTIF(Data!A25:Z25,2),COUNTIF(Data!A25:Z25,3),COUNTIF(Data!A25:Z25,4),COUNTIF(Data!A25:Z25,5),COUNTIF(Data!A25:Z25,6),COUNTIF(Data!A25:Z25,7))&gt;0,MAX(COUNTIF(Data!A25:Z25,1),COUNTIF(Data!A25:Z25,2),COUNTIF(Data!A25:Z25,3),COUNTIF(Data!A25:Z25,4),COUNTIF(Data!A25:Z25,5),COUNTIF(Data!A25:Z25,6),COUNTIF(Data!A25:Z25,7)),"")</f>
        <v>9</v>
      </c>
    </row>
    <row r="26" spans="1:37">
      <c r="A26" s="1">
        <f>IF(Data!A26&gt;0,Data!A26-4,"")</f>
        <v>3</v>
      </c>
      <c r="B26" s="1">
        <f>IF(Data!B26&gt;0,Data!B26-4,"")</f>
        <v>2</v>
      </c>
      <c r="C26" s="1">
        <f>IF(Data!C26&gt;0,4-Data!C26,"")</f>
        <v>3</v>
      </c>
      <c r="D26" s="1">
        <f>IF(Data!D26&gt;0,4-Data!D26,"")</f>
        <v>3</v>
      </c>
      <c r="E26" s="1">
        <f>IF(Data!E26&gt;0,4-Data!E26,"")</f>
        <v>3</v>
      </c>
      <c r="F26" s="1">
        <f>IF(Data!F26&gt;0,Data!F26-4,"")</f>
        <v>2</v>
      </c>
      <c r="G26" s="1">
        <f>IF(Data!G26&gt;0,Data!G26-4,"")</f>
        <v>2</v>
      </c>
      <c r="H26" s="1">
        <f>IF(Data!H26&gt;0,Data!H26-4,"")</f>
        <v>0</v>
      </c>
      <c r="I26" s="1">
        <f>IF(Data!I26&gt;0,4-Data!I26,"")</f>
        <v>3</v>
      </c>
      <c r="J26" s="1">
        <f>IF(Data!J26&gt;0,4-Data!J26,"")</f>
        <v>-2</v>
      </c>
      <c r="K26" s="1">
        <f>IF(Data!K26&gt;0,Data!K26-4,"")</f>
        <v>2</v>
      </c>
      <c r="L26" s="1">
        <f>IF(Data!L26&gt;0,4-Data!L26,"")</f>
        <v>3</v>
      </c>
      <c r="M26" s="1">
        <f>IF(Data!M26&gt;0,Data!M26-4,"")</f>
        <v>3</v>
      </c>
      <c r="N26" s="1">
        <f>IF(Data!N26&gt;0,Data!N26-4,"")</f>
        <v>2</v>
      </c>
      <c r="O26" s="1">
        <f>IF(Data!O26&gt;0,Data!O26-4,"")</f>
        <v>3</v>
      </c>
      <c r="P26" s="1">
        <f>IF(Data!P26&gt;0,Data!P26-4,"")</f>
        <v>2</v>
      </c>
      <c r="Q26" s="1">
        <f>IF(Data!Q26&gt;0,4-Data!Q26,"")</f>
        <v>3</v>
      </c>
      <c r="R26" s="1">
        <f>IF(Data!R26&gt;0,4-Data!R26,"")</f>
        <v>3</v>
      </c>
      <c r="S26" s="1">
        <f>IF(Data!S26&gt;0,4-Data!S26,"")</f>
        <v>2</v>
      </c>
      <c r="T26" s="1">
        <f>IF(Data!T26&gt;0,Data!T26-4,"")</f>
        <v>3</v>
      </c>
      <c r="U26" s="1">
        <f>IF(Data!U26&gt;0,4-Data!U26,"")</f>
        <v>3</v>
      </c>
      <c r="V26" s="1">
        <f>IF(Data!V26&gt;0,Data!V26-4,"")</f>
        <v>2</v>
      </c>
      <c r="W26" s="1">
        <f>IF(Data!W26&gt;0,4-Data!W26,"")</f>
        <v>2</v>
      </c>
      <c r="X26" s="1">
        <f>IF(Data!X26&gt;0,4-Data!X26,"")</f>
        <v>2</v>
      </c>
      <c r="Y26" s="1">
        <f>IF(Data!Y26&gt;0,4-Data!Y26,"")</f>
        <v>2</v>
      </c>
      <c r="Z26" s="1">
        <f>IF(Data!Z26&gt;0,Data!Z26-4,"")</f>
        <v>-2</v>
      </c>
      <c r="AC26" s="4" t="str">
        <f t="shared" si="11"/>
        <v/>
      </c>
      <c r="AD26" s="4" t="str">
        <f t="shared" si="12"/>
        <v/>
      </c>
      <c r="AE26" s="4" t="str">
        <f t="shared" si="13"/>
        <v/>
      </c>
      <c r="AF26" s="4" t="str">
        <f t="shared" si="14"/>
        <v/>
      </c>
      <c r="AG26" s="4" t="str">
        <f t="shared" si="8"/>
        <v/>
      </c>
      <c r="AH26" s="4">
        <f t="shared" si="15"/>
        <v>1</v>
      </c>
      <c r="AI26" s="2">
        <f t="shared" si="10"/>
        <v>1</v>
      </c>
      <c r="AK26" s="2">
        <f>IF(MAX(COUNTIF(Data!A26:Z26,1),COUNTIF(Data!A26:Z26,2),COUNTIF(Data!A26:Z26,3),COUNTIF(Data!A26:Z26,4),COUNTIF(Data!A26:Z26,5),COUNTIF(Data!A26:Z26,6),COUNTIF(Data!A26:Z26,7))&gt;0,MAX(COUNTIF(Data!A26:Z26,1),COUNTIF(Data!A26:Z26,2),COUNTIF(Data!A26:Z26,3),COUNTIF(Data!A26:Z26,4),COUNTIF(Data!A26:Z26,5),COUNTIF(Data!A26:Z26,6),COUNTIF(Data!A26:Z26,7)),"")</f>
        <v>8</v>
      </c>
    </row>
    <row r="27" spans="1:37">
      <c r="A27" s="1">
        <f>IF(Data!A27&gt;0,Data!A27-4,"")</f>
        <v>1</v>
      </c>
      <c r="B27" s="1">
        <f>IF(Data!B27&gt;0,Data!B27-4,"")</f>
        <v>3</v>
      </c>
      <c r="C27" s="1">
        <f>IF(Data!C27&gt;0,4-Data!C27,"")</f>
        <v>0</v>
      </c>
      <c r="D27" s="1">
        <f>IF(Data!D27&gt;0,4-Data!D27,"")</f>
        <v>3</v>
      </c>
      <c r="E27" s="1">
        <f>IF(Data!E27&gt;0,4-Data!E27,"")</f>
        <v>3</v>
      </c>
      <c r="F27" s="1">
        <f>IF(Data!F27&gt;0,Data!F27-4,"")</f>
        <v>0</v>
      </c>
      <c r="G27" s="1">
        <f>IF(Data!G27&gt;0,Data!G27-4,"")</f>
        <v>1</v>
      </c>
      <c r="H27" s="1">
        <f>IF(Data!H27&gt;0,Data!H27-4,"")</f>
        <v>2</v>
      </c>
      <c r="I27" s="1">
        <f>IF(Data!I27&gt;0,4-Data!I27,"")</f>
        <v>2</v>
      </c>
      <c r="J27" s="1">
        <f>IF(Data!J27&gt;0,4-Data!J27,"")</f>
        <v>-2</v>
      </c>
      <c r="K27" s="1">
        <f>IF(Data!K27&gt;0,Data!K27-4,"")</f>
        <v>2</v>
      </c>
      <c r="L27" s="1">
        <f>IF(Data!L27&gt;0,4-Data!L27,"")</f>
        <v>3</v>
      </c>
      <c r="M27" s="1">
        <f>IF(Data!M27&gt;0,Data!M27-4,"")</f>
        <v>3</v>
      </c>
      <c r="N27" s="1">
        <f>IF(Data!N27&gt;0,Data!N27-4,"")</f>
        <v>2</v>
      </c>
      <c r="O27" s="1">
        <f>IF(Data!O27&gt;0,Data!O27-4,"")</f>
        <v>-2</v>
      </c>
      <c r="P27" s="1">
        <f>IF(Data!P27&gt;0,Data!P27-4,"")</f>
        <v>2</v>
      </c>
      <c r="Q27" s="1">
        <f>IF(Data!Q27&gt;0,4-Data!Q27,"")</f>
        <v>2</v>
      </c>
      <c r="R27" s="1">
        <f>IF(Data!R27&gt;0,4-Data!R27,"")</f>
        <v>0</v>
      </c>
      <c r="S27" s="1">
        <f>IF(Data!S27&gt;0,4-Data!S27,"")</f>
        <v>2</v>
      </c>
      <c r="T27" s="1">
        <f>IF(Data!T27&gt;0,Data!T27-4,"")</f>
        <v>3</v>
      </c>
      <c r="U27" s="1">
        <f>IF(Data!U27&gt;0,4-Data!U27,"")</f>
        <v>3</v>
      </c>
      <c r="V27" s="1">
        <f>IF(Data!V27&gt;0,Data!V27-4,"")</f>
        <v>3</v>
      </c>
      <c r="W27" s="1">
        <f>IF(Data!W27&gt;0,4-Data!W27,"")</f>
        <v>3</v>
      </c>
      <c r="X27" s="1">
        <f>IF(Data!X27&gt;0,4-Data!X27,"")</f>
        <v>1</v>
      </c>
      <c r="Y27" s="1">
        <f>IF(Data!Y27&gt;0,4-Data!Y27,"")</f>
        <v>3</v>
      </c>
      <c r="Z27" s="1">
        <f>IF(Data!Z27&gt;0,Data!Z27-4,"")</f>
        <v>0</v>
      </c>
      <c r="AC27" s="4" t="str">
        <f t="shared" si="11"/>
        <v/>
      </c>
      <c r="AD27" s="4" t="str">
        <f t="shared" si="12"/>
        <v/>
      </c>
      <c r="AE27" s="4" t="str">
        <f t="shared" si="13"/>
        <v/>
      </c>
      <c r="AF27" s="4" t="str">
        <f t="shared" si="14"/>
        <v/>
      </c>
      <c r="AG27" s="4" t="str">
        <f t="shared" si="8"/>
        <v/>
      </c>
      <c r="AH27" s="4" t="str">
        <f t="shared" si="15"/>
        <v/>
      </c>
      <c r="AI27" s="2">
        <f t="shared" si="10"/>
        <v>0</v>
      </c>
      <c r="AK27" s="2">
        <f>IF(MAX(COUNTIF(Data!A27:Z27,1),COUNTIF(Data!A27:Z27,2),COUNTIF(Data!A27:Z27,3),COUNTIF(Data!A27:Z27,4),COUNTIF(Data!A27:Z27,5),COUNTIF(Data!A27:Z27,6),COUNTIF(Data!A27:Z27,7))&gt;0,MAX(COUNTIF(Data!A27:Z27,1),COUNTIF(Data!A27:Z27,2),COUNTIF(Data!A27:Z27,3),COUNTIF(Data!A27:Z27,4),COUNTIF(Data!A27:Z27,5),COUNTIF(Data!A27:Z27,6),COUNTIF(Data!A27:Z27,7)),"")</f>
        <v>6</v>
      </c>
    </row>
    <row r="28" spans="1:37">
      <c r="A28" s="1">
        <f>IF(Data!A28&gt;0,Data!A28-4,"")</f>
        <v>1</v>
      </c>
      <c r="B28" s="1">
        <f>IF(Data!B28&gt;0,Data!B28-4,"")</f>
        <v>3</v>
      </c>
      <c r="C28" s="1">
        <f>IF(Data!C28&gt;0,4-Data!C28,"")</f>
        <v>0</v>
      </c>
      <c r="D28" s="1">
        <f>IF(Data!D28&gt;0,4-Data!D28,"")</f>
        <v>2</v>
      </c>
      <c r="E28" s="1">
        <f>IF(Data!E28&gt;0,4-Data!E28,"")</f>
        <v>0</v>
      </c>
      <c r="F28" s="1">
        <f>IF(Data!F28&gt;0,Data!F28-4,"")</f>
        <v>0</v>
      </c>
      <c r="G28" s="1">
        <f>IF(Data!G28&gt;0,Data!G28-4,"")</f>
        <v>0</v>
      </c>
      <c r="H28" s="1">
        <f>IF(Data!H28&gt;0,Data!H28-4,"")</f>
        <v>2</v>
      </c>
      <c r="I28" s="1">
        <f>IF(Data!I28&gt;0,4-Data!I28,"")</f>
        <v>1</v>
      </c>
      <c r="J28" s="1">
        <f>IF(Data!J28&gt;0,4-Data!J28,"")</f>
        <v>0</v>
      </c>
      <c r="K28" s="1">
        <f>IF(Data!K28&gt;0,Data!K28-4,"")</f>
        <v>0</v>
      </c>
      <c r="L28" s="1">
        <f>IF(Data!L28&gt;0,4-Data!L28,"")</f>
        <v>1</v>
      </c>
      <c r="M28" s="1">
        <f>IF(Data!M28&gt;0,Data!M28-4,"")</f>
        <v>2</v>
      </c>
      <c r="N28" s="1">
        <f>IF(Data!N28&gt;0,Data!N28-4,"")</f>
        <v>-1</v>
      </c>
      <c r="O28" s="1">
        <f>IF(Data!O28&gt;0,Data!O28-4,"")</f>
        <v>0</v>
      </c>
      <c r="P28" s="1">
        <f>IF(Data!P28&gt;0,Data!P28-4,"")</f>
        <v>1</v>
      </c>
      <c r="Q28" s="1">
        <f>IF(Data!Q28&gt;0,4-Data!Q28,"")</f>
        <v>2</v>
      </c>
      <c r="R28" s="1">
        <f>IF(Data!R28&gt;0,4-Data!R28,"")</f>
        <v>1</v>
      </c>
      <c r="S28" s="1">
        <f>IF(Data!S28&gt;0,4-Data!S28,"")</f>
        <v>2</v>
      </c>
      <c r="T28" s="1">
        <f>IF(Data!T28&gt;0,Data!T28-4,"")</f>
        <v>2</v>
      </c>
      <c r="U28" s="1">
        <f>IF(Data!U28&gt;0,4-Data!U28,"")</f>
        <v>2</v>
      </c>
      <c r="V28" s="1">
        <f>IF(Data!V28&gt;0,Data!V28-4,"")</f>
        <v>2</v>
      </c>
      <c r="W28" s="1">
        <f>IF(Data!W28&gt;0,4-Data!W28,"")</f>
        <v>2</v>
      </c>
      <c r="X28" s="1">
        <f>IF(Data!X28&gt;0,4-Data!X28,"")</f>
        <v>1</v>
      </c>
      <c r="Y28" s="1">
        <f>IF(Data!Y28&gt;0,4-Data!Y28,"")</f>
        <v>1</v>
      </c>
      <c r="Z28" s="1">
        <f>IF(Data!Z28&gt;0,Data!Z28-4,"")</f>
        <v>0</v>
      </c>
      <c r="AC28" s="4" t="str">
        <f t="shared" si="11"/>
        <v/>
      </c>
      <c r="AD28" s="4" t="str">
        <f t="shared" si="12"/>
        <v/>
      </c>
      <c r="AE28" s="4" t="str">
        <f t="shared" si="13"/>
        <v/>
      </c>
      <c r="AF28" s="4" t="str">
        <f t="shared" si="14"/>
        <v/>
      </c>
      <c r="AG28" s="4" t="str">
        <f t="shared" si="8"/>
        <v/>
      </c>
      <c r="AH28" s="4" t="str">
        <f t="shared" si="15"/>
        <v/>
      </c>
      <c r="AI28" s="2">
        <f t="shared" si="10"/>
        <v>0</v>
      </c>
      <c r="AK28" s="2">
        <f>IF(MAX(COUNTIF(Data!A28:Z28,1),COUNTIF(Data!A28:Z28,2),COUNTIF(Data!A28:Z28,3),COUNTIF(Data!A28:Z28,4),COUNTIF(Data!A28:Z28,5),COUNTIF(Data!A28:Z28,6),COUNTIF(Data!A28:Z28,7))&gt;0,MAX(COUNTIF(Data!A28:Z28,1),COUNTIF(Data!A28:Z28,2),COUNTIF(Data!A28:Z28,3),COUNTIF(Data!A28:Z28,4),COUNTIF(Data!A28:Z28,5),COUNTIF(Data!A28:Z28,6),COUNTIF(Data!A28:Z28,7)),"")</f>
        <v>8</v>
      </c>
    </row>
    <row r="29" spans="1:37">
      <c r="A29" s="1">
        <f>IF(Data!A29&gt;0,Data!A29-4,"")</f>
        <v>2</v>
      </c>
      <c r="B29" s="1">
        <f>IF(Data!B29&gt;0,Data!B29-4,"")</f>
        <v>3</v>
      </c>
      <c r="C29" s="1">
        <f>IF(Data!C29&gt;0,4-Data!C29,"")</f>
        <v>2</v>
      </c>
      <c r="D29" s="1">
        <f>IF(Data!D29&gt;0,4-Data!D29,"")</f>
        <v>2</v>
      </c>
      <c r="E29" s="1">
        <f>IF(Data!E29&gt;0,4-Data!E29,"")</f>
        <v>1</v>
      </c>
      <c r="F29" s="1">
        <f>IF(Data!F29&gt;0,Data!F29-4,"")</f>
        <v>1</v>
      </c>
      <c r="G29" s="1">
        <f>IF(Data!G29&gt;0,Data!G29-4,"")</f>
        <v>0</v>
      </c>
      <c r="H29" s="1">
        <f>IF(Data!H29&gt;0,Data!H29-4,"")</f>
        <v>2</v>
      </c>
      <c r="I29" s="1">
        <f>IF(Data!I29&gt;0,4-Data!I29,"")</f>
        <v>3</v>
      </c>
      <c r="J29" s="1">
        <f>IF(Data!J29&gt;0,4-Data!J29,"")</f>
        <v>2</v>
      </c>
      <c r="K29" s="1">
        <f>IF(Data!K29&gt;0,Data!K29-4,"")</f>
        <v>1</v>
      </c>
      <c r="L29" s="1">
        <f>IF(Data!L29&gt;0,4-Data!L29,"")</f>
        <v>2</v>
      </c>
      <c r="M29" s="1">
        <f>IF(Data!M29&gt;0,Data!M29-4,"")</f>
        <v>2</v>
      </c>
      <c r="N29" s="1">
        <f>IF(Data!N29&gt;0,Data!N29-4,"")</f>
        <v>2</v>
      </c>
      <c r="O29" s="1">
        <f>IF(Data!O29&gt;0,Data!O29-4,"")</f>
        <v>2</v>
      </c>
      <c r="P29" s="1">
        <f>IF(Data!P29&gt;0,Data!P29-4,"")</f>
        <v>2</v>
      </c>
      <c r="Q29" s="1">
        <f>IF(Data!Q29&gt;0,4-Data!Q29,"")</f>
        <v>2</v>
      </c>
      <c r="R29" s="1">
        <f>IF(Data!R29&gt;0,4-Data!R29,"")</f>
        <v>2</v>
      </c>
      <c r="S29" s="1">
        <f>IF(Data!S29&gt;0,4-Data!S29,"")</f>
        <v>3</v>
      </c>
      <c r="T29" s="1">
        <f>IF(Data!T29&gt;0,Data!T29-4,"")</f>
        <v>3</v>
      </c>
      <c r="U29" s="1">
        <f>IF(Data!U29&gt;0,4-Data!U29,"")</f>
        <v>3</v>
      </c>
      <c r="V29" s="1">
        <f>IF(Data!V29&gt;0,Data!V29-4,"")</f>
        <v>2</v>
      </c>
      <c r="W29" s="1">
        <f>IF(Data!W29&gt;0,4-Data!W29,"")</f>
        <v>3</v>
      </c>
      <c r="X29" s="1">
        <f>IF(Data!X29&gt;0,4-Data!X29,"")</f>
        <v>2</v>
      </c>
      <c r="Y29" s="1">
        <f>IF(Data!Y29&gt;0,4-Data!Y29,"")</f>
        <v>3</v>
      </c>
      <c r="Z29" s="1">
        <f>IF(Data!Z29&gt;0,Data!Z29-4,"")</f>
        <v>2</v>
      </c>
      <c r="AC29" s="4" t="str">
        <f t="shared" si="11"/>
        <v/>
      </c>
      <c r="AD29" s="4" t="str">
        <f t="shared" si="12"/>
        <v/>
      </c>
      <c r="AE29" s="4" t="str">
        <f t="shared" si="13"/>
        <v/>
      </c>
      <c r="AF29" s="4" t="str">
        <f t="shared" si="14"/>
        <v/>
      </c>
      <c r="AG29" s="4" t="str">
        <f t="shared" si="8"/>
        <v/>
      </c>
      <c r="AH29" s="4" t="str">
        <f t="shared" si="15"/>
        <v/>
      </c>
      <c r="AI29" s="2">
        <f t="shared" si="10"/>
        <v>0</v>
      </c>
      <c r="AK29" s="2">
        <f>IF(MAX(COUNTIF(Data!A29:Z29,1),COUNTIF(Data!A29:Z29,2),COUNTIF(Data!A29:Z29,3),COUNTIF(Data!A29:Z29,4),COUNTIF(Data!A29:Z29,5),COUNTIF(Data!A29:Z29,6),COUNTIF(Data!A29:Z29,7))&gt;0,MAX(COUNTIF(Data!A29:Z29,1),COUNTIF(Data!A29:Z29,2),COUNTIF(Data!A29:Z29,3),COUNTIF(Data!A29:Z29,4),COUNTIF(Data!A29:Z29,5),COUNTIF(Data!A29:Z29,6),COUNTIF(Data!A29:Z29,7)),"")</f>
        <v>8</v>
      </c>
    </row>
    <row r="30" spans="1:37">
      <c r="A30" s="1">
        <f>IF(Data!A30&gt;0,Data!A30-4,"")</f>
        <v>2</v>
      </c>
      <c r="B30" s="1">
        <f>IF(Data!B30&gt;0,Data!B30-4,"")</f>
        <v>1</v>
      </c>
      <c r="C30" s="1">
        <f>IF(Data!C30&gt;0,4-Data!C30,"")</f>
        <v>3</v>
      </c>
      <c r="D30" s="1">
        <f>IF(Data!D30&gt;0,4-Data!D30,"")</f>
        <v>1</v>
      </c>
      <c r="E30" s="1">
        <f>IF(Data!E30&gt;0,4-Data!E30,"")</f>
        <v>2</v>
      </c>
      <c r="F30" s="1">
        <f>IF(Data!F30&gt;0,Data!F30-4,"")</f>
        <v>1</v>
      </c>
      <c r="G30" s="1">
        <f>IF(Data!G30&gt;0,Data!G30-4,"")</f>
        <v>2</v>
      </c>
      <c r="H30" s="1">
        <f>IF(Data!H30&gt;0,Data!H30-4,"")</f>
        <v>1</v>
      </c>
      <c r="I30" s="1">
        <f>IF(Data!I30&gt;0,4-Data!I30,"")</f>
        <v>3</v>
      </c>
      <c r="J30" s="1">
        <f>IF(Data!J30&gt;0,4-Data!J30,"")</f>
        <v>2</v>
      </c>
      <c r="K30" s="1">
        <f>IF(Data!K30&gt;0,Data!K30-4,"")</f>
        <v>2</v>
      </c>
      <c r="L30" s="1">
        <f>IF(Data!L30&gt;0,4-Data!L30,"")</f>
        <v>2</v>
      </c>
      <c r="M30" s="1">
        <f>IF(Data!M30&gt;0,Data!M30-4,"")</f>
        <v>0</v>
      </c>
      <c r="N30" s="1">
        <f>IF(Data!N30&gt;0,Data!N30-4,"")</f>
        <v>2</v>
      </c>
      <c r="O30" s="1">
        <f>IF(Data!O30&gt;0,Data!O30-4,"")</f>
        <v>-1</v>
      </c>
      <c r="P30" s="1">
        <f>IF(Data!P30&gt;0,Data!P30-4,"")</f>
        <v>2</v>
      </c>
      <c r="Q30" s="1">
        <f>IF(Data!Q30&gt;0,4-Data!Q30,"")</f>
        <v>2</v>
      </c>
      <c r="R30" s="1">
        <f>IF(Data!R30&gt;0,4-Data!R30,"")</f>
        <v>2</v>
      </c>
      <c r="S30" s="1">
        <f>IF(Data!S30&gt;0,4-Data!S30,"")</f>
        <v>2</v>
      </c>
      <c r="T30" s="1">
        <f>IF(Data!T30&gt;0,Data!T30-4,"")</f>
        <v>2</v>
      </c>
      <c r="U30" s="1">
        <f>IF(Data!U30&gt;0,4-Data!U30,"")</f>
        <v>2</v>
      </c>
      <c r="V30" s="1">
        <f>IF(Data!V30&gt;0,Data!V30-4,"")</f>
        <v>2</v>
      </c>
      <c r="W30" s="1">
        <f>IF(Data!W30&gt;0,4-Data!W30,"")</f>
        <v>2</v>
      </c>
      <c r="X30" s="1">
        <f>IF(Data!X30&gt;0,4-Data!X30,"")</f>
        <v>3</v>
      </c>
      <c r="Y30" s="1">
        <f>IF(Data!Y30&gt;0,4-Data!Y30,"")</f>
        <v>3</v>
      </c>
      <c r="Z30" s="1">
        <f>IF(Data!Z30&gt;0,Data!Z30-4,"")</f>
        <v>0</v>
      </c>
      <c r="AC30" s="4" t="str">
        <f t="shared" si="11"/>
        <v/>
      </c>
      <c r="AD30" s="4" t="str">
        <f t="shared" si="12"/>
        <v/>
      </c>
      <c r="AE30" s="4" t="str">
        <f t="shared" si="13"/>
        <v/>
      </c>
      <c r="AF30" s="4" t="str">
        <f t="shared" si="14"/>
        <v/>
      </c>
      <c r="AG30" s="4" t="str">
        <f t="shared" si="8"/>
        <v/>
      </c>
      <c r="AH30" s="4">
        <f t="shared" si="15"/>
        <v>1</v>
      </c>
      <c r="AI30" s="2">
        <f t="shared" si="10"/>
        <v>1</v>
      </c>
      <c r="AK30" s="2">
        <f>IF(MAX(COUNTIF(Data!A30:Z30,1),COUNTIF(Data!A30:Z30,2),COUNTIF(Data!A30:Z30,3),COUNTIF(Data!A30:Z30,4),COUNTIF(Data!A30:Z30,5),COUNTIF(Data!A30:Z30,6),COUNTIF(Data!A30:Z30,7))&gt;0,MAX(COUNTIF(Data!A30:Z30,1),COUNTIF(Data!A30:Z30,2),COUNTIF(Data!A30:Z30,3),COUNTIF(Data!A30:Z30,4),COUNTIF(Data!A30:Z30,5),COUNTIF(Data!A30:Z30,6),COUNTIF(Data!A30:Z30,7)),"")</f>
        <v>8</v>
      </c>
    </row>
    <row r="31" spans="1:37">
      <c r="A31" s="1">
        <f>IF(Data!A31&gt;0,Data!A31-4,"")</f>
        <v>-1</v>
      </c>
      <c r="B31" s="1">
        <f>IF(Data!B31&gt;0,Data!B31-4,"")</f>
        <v>-1</v>
      </c>
      <c r="C31" s="1">
        <f>IF(Data!C31&gt;0,4-Data!C31,"")</f>
        <v>-3</v>
      </c>
      <c r="D31" s="1">
        <f>IF(Data!D31&gt;0,4-Data!D31,"")</f>
        <v>-3</v>
      </c>
      <c r="E31" s="1">
        <f>IF(Data!E31&gt;0,4-Data!E31,"")</f>
        <v>0</v>
      </c>
      <c r="F31" s="1">
        <f>IF(Data!F31&gt;0,Data!F31-4,"")</f>
        <v>-3</v>
      </c>
      <c r="G31" s="1">
        <f>IF(Data!G31&gt;0,Data!G31-4,"")</f>
        <v>-3</v>
      </c>
      <c r="H31" s="1">
        <f>IF(Data!H31&gt;0,Data!H31-4,"")</f>
        <v>3</v>
      </c>
      <c r="I31" s="1">
        <f>IF(Data!I31&gt;0,4-Data!I31,"")</f>
        <v>0</v>
      </c>
      <c r="J31" s="1">
        <f>IF(Data!J31&gt;0,4-Data!J31,"")</f>
        <v>0</v>
      </c>
      <c r="K31" s="1">
        <f>IF(Data!K31&gt;0,Data!K31-4,"")</f>
        <v>0</v>
      </c>
      <c r="L31" s="1">
        <f>IF(Data!L31&gt;0,4-Data!L31,"")</f>
        <v>-3</v>
      </c>
      <c r="M31" s="1">
        <f>IF(Data!M31&gt;0,Data!M31-4,"")</f>
        <v>-3</v>
      </c>
      <c r="N31" s="1">
        <f>IF(Data!N31&gt;0,Data!N31-4,"")</f>
        <v>-3</v>
      </c>
      <c r="O31" s="1">
        <f>IF(Data!O31&gt;0,Data!O31-4,"")</f>
        <v>0</v>
      </c>
      <c r="P31" s="1">
        <f>IF(Data!P31&gt;0,Data!P31-4,"")</f>
        <v>0</v>
      </c>
      <c r="Q31" s="1">
        <f>IF(Data!Q31&gt;0,4-Data!Q31,"")</f>
        <v>0</v>
      </c>
      <c r="R31" s="1">
        <f>IF(Data!R31&gt;0,4-Data!R31,"")</f>
        <v>-3</v>
      </c>
      <c r="S31" s="1">
        <f>IF(Data!S31&gt;0,4-Data!S31,"")</f>
        <v>-3</v>
      </c>
      <c r="T31" s="1">
        <f>IF(Data!T31&gt;0,Data!T31-4,"")</f>
        <v>-3</v>
      </c>
      <c r="U31" s="1">
        <f>IF(Data!U31&gt;0,4-Data!U31,"")</f>
        <v>-3</v>
      </c>
      <c r="V31" s="1">
        <f>IF(Data!V31&gt;0,Data!V31-4,"")</f>
        <v>0</v>
      </c>
      <c r="W31" s="1">
        <f>IF(Data!W31&gt;0,4-Data!W31,"")</f>
        <v>-3</v>
      </c>
      <c r="X31" s="1">
        <f>IF(Data!X31&gt;0,4-Data!X31,"")</f>
        <v>-3</v>
      </c>
      <c r="Y31" s="1">
        <f>IF(Data!Y31&gt;0,4-Data!Y31,"")</f>
        <v>0</v>
      </c>
      <c r="Z31" s="1">
        <f>IF(Data!Z31&gt;0,Data!Z31-4,"")</f>
        <v>0</v>
      </c>
      <c r="AC31" s="4" t="str">
        <f t="shared" si="11"/>
        <v/>
      </c>
      <c r="AD31" s="4" t="str">
        <f t="shared" si="12"/>
        <v/>
      </c>
      <c r="AE31" s="4" t="str">
        <f t="shared" si="13"/>
        <v/>
      </c>
      <c r="AF31" s="4">
        <f t="shared" si="14"/>
        <v>1</v>
      </c>
      <c r="AG31" s="4" t="str">
        <f t="shared" si="8"/>
        <v/>
      </c>
      <c r="AH31" s="4" t="str">
        <f t="shared" si="15"/>
        <v/>
      </c>
      <c r="AI31" s="2">
        <f t="shared" si="10"/>
        <v>1</v>
      </c>
      <c r="AK31" s="2">
        <f>IF(MAX(COUNTIF(Data!A31:Z31,1),COUNTIF(Data!A31:Z31,2),COUNTIF(Data!A31:Z31,3),COUNTIF(Data!A31:Z31,4),COUNTIF(Data!A31:Z31,5),COUNTIF(Data!A31:Z31,6),COUNTIF(Data!A31:Z31,7))&gt;0,MAX(COUNTIF(Data!A31:Z31,1),COUNTIF(Data!A31:Z31,2),COUNTIF(Data!A31:Z31,3),COUNTIF(Data!A31:Z31,4),COUNTIF(Data!A31:Z31,5),COUNTIF(Data!A31:Z31,6),COUNTIF(Data!A31:Z31,7)),"")</f>
        <v>10</v>
      </c>
    </row>
    <row r="32" spans="1:37">
      <c r="A32" s="1">
        <f>IF(Data!A32&gt;0,Data!A32-4,"")</f>
        <v>3</v>
      </c>
      <c r="B32" s="1">
        <f>IF(Data!B32&gt;0,Data!B32-4,"")</f>
        <v>2</v>
      </c>
      <c r="C32" s="1">
        <f>IF(Data!C32&gt;0,4-Data!C32,"")</f>
        <v>3</v>
      </c>
      <c r="D32" s="1">
        <f>IF(Data!D32&gt;0,4-Data!D32,"")</f>
        <v>3</v>
      </c>
      <c r="E32" s="1">
        <f>IF(Data!E32&gt;0,4-Data!E32,"")</f>
        <v>2</v>
      </c>
      <c r="F32" s="1">
        <f>IF(Data!F32&gt;0,Data!F32-4,"")</f>
        <v>3</v>
      </c>
      <c r="G32" s="1">
        <f>IF(Data!G32&gt;0,Data!G32-4,"")</f>
        <v>2</v>
      </c>
      <c r="H32" s="1">
        <f>IF(Data!H32&gt;0,Data!H32-4,"")</f>
        <v>1</v>
      </c>
      <c r="I32" s="1">
        <f>IF(Data!I32&gt;0,4-Data!I32,"")</f>
        <v>2</v>
      </c>
      <c r="J32" s="1">
        <f>IF(Data!J32&gt;0,4-Data!J32,"")</f>
        <v>2</v>
      </c>
      <c r="K32" s="1">
        <f>IF(Data!K32&gt;0,Data!K32-4,"")</f>
        <v>2</v>
      </c>
      <c r="L32" s="1">
        <f>IF(Data!L32&gt;0,4-Data!L32,"")</f>
        <v>3</v>
      </c>
      <c r="M32" s="1">
        <f>IF(Data!M32&gt;0,Data!M32-4,"")</f>
        <v>3</v>
      </c>
      <c r="N32" s="1">
        <f>IF(Data!N32&gt;0,Data!N32-4,"")</f>
        <v>3</v>
      </c>
      <c r="O32" s="1">
        <f>IF(Data!O32&gt;0,Data!O32-4,"")</f>
        <v>2</v>
      </c>
      <c r="P32" s="1">
        <f>IF(Data!P32&gt;0,Data!P32-4,"")</f>
        <v>3</v>
      </c>
      <c r="Q32" s="1">
        <f>IF(Data!Q32&gt;0,4-Data!Q32,"")</f>
        <v>3</v>
      </c>
      <c r="R32" s="1">
        <f>IF(Data!R32&gt;0,4-Data!R32,"")</f>
        <v>2</v>
      </c>
      <c r="S32" s="1">
        <f>IF(Data!S32&gt;0,4-Data!S32,"")</f>
        <v>3</v>
      </c>
      <c r="T32" s="1">
        <f>IF(Data!T32&gt;0,Data!T32-4,"")</f>
        <v>3</v>
      </c>
      <c r="U32" s="1">
        <f>IF(Data!U32&gt;0,4-Data!U32,"")</f>
        <v>3</v>
      </c>
      <c r="V32" s="1">
        <f>IF(Data!V32&gt;0,Data!V32-4,"")</f>
        <v>3</v>
      </c>
      <c r="W32" s="1">
        <f>IF(Data!W32&gt;0,4-Data!W32,"")</f>
        <v>3</v>
      </c>
      <c r="X32" s="1">
        <f>IF(Data!X32&gt;0,4-Data!X32,"")</f>
        <v>3</v>
      </c>
      <c r="Y32" s="1">
        <f>IF(Data!Y32&gt;0,4-Data!Y32,"")</f>
        <v>3</v>
      </c>
      <c r="Z32" s="1">
        <f>IF(Data!Z32&gt;0,Data!Z32-4,"")</f>
        <v>2</v>
      </c>
      <c r="AC32" s="4" t="str">
        <f t="shared" si="11"/>
        <v/>
      </c>
      <c r="AD32" s="4" t="str">
        <f t="shared" si="12"/>
        <v/>
      </c>
      <c r="AE32" s="4" t="str">
        <f t="shared" si="13"/>
        <v/>
      </c>
      <c r="AF32" s="4" t="str">
        <f t="shared" si="14"/>
        <v/>
      </c>
      <c r="AG32" s="4" t="str">
        <f t="shared" si="8"/>
        <v/>
      </c>
      <c r="AH32" s="4" t="str">
        <f t="shared" si="15"/>
        <v/>
      </c>
      <c r="AI32" s="2">
        <f t="shared" si="10"/>
        <v>0</v>
      </c>
      <c r="AK32" s="2">
        <f>IF(MAX(COUNTIF(Data!A32:Z32,1),COUNTIF(Data!A32:Z32,2),COUNTIF(Data!A32:Z32,3),COUNTIF(Data!A32:Z32,4),COUNTIF(Data!A32:Z32,5),COUNTIF(Data!A32:Z32,6),COUNTIF(Data!A32:Z32,7))&gt;0,MAX(COUNTIF(Data!A32:Z32,1),COUNTIF(Data!A32:Z32,2),COUNTIF(Data!A32:Z32,3),COUNTIF(Data!A32:Z32,4),COUNTIF(Data!A32:Z32,5),COUNTIF(Data!A32:Z32,6),COUNTIF(Data!A32:Z32,7)),"")</f>
        <v>9</v>
      </c>
    </row>
    <row r="33" spans="1:37">
      <c r="A33" s="1">
        <f>IF(Data!A33&gt;0,Data!A33-4,"")</f>
        <v>-1</v>
      </c>
      <c r="B33" s="1">
        <f>IF(Data!B33&gt;0,Data!B33-4,"")</f>
        <v>1</v>
      </c>
      <c r="C33" s="1">
        <f>IF(Data!C33&gt;0,4-Data!C33,"")</f>
        <v>0</v>
      </c>
      <c r="D33" s="1">
        <f>IF(Data!D33&gt;0,4-Data!D33,"")</f>
        <v>-1</v>
      </c>
      <c r="E33" s="1">
        <f>IF(Data!E33&gt;0,4-Data!E33,"")</f>
        <v>0</v>
      </c>
      <c r="F33" s="1">
        <f>IF(Data!F33&gt;0,Data!F33-4,"")</f>
        <v>0</v>
      </c>
      <c r="G33" s="1">
        <f>IF(Data!G33&gt;0,Data!G33-4,"")</f>
        <v>-1</v>
      </c>
      <c r="H33" s="1">
        <f>IF(Data!H33&gt;0,Data!H33-4,"")</f>
        <v>0</v>
      </c>
      <c r="I33" s="1">
        <f>IF(Data!I33&gt;0,4-Data!I33,"")</f>
        <v>1</v>
      </c>
      <c r="J33" s="1">
        <f>IF(Data!J33&gt;0,4-Data!J33,"")</f>
        <v>1</v>
      </c>
      <c r="K33" s="1">
        <f>IF(Data!K33&gt;0,Data!K33-4,"")</f>
        <v>-1</v>
      </c>
      <c r="L33" s="1">
        <f>IF(Data!L33&gt;0,4-Data!L33,"")</f>
        <v>1</v>
      </c>
      <c r="M33" s="1">
        <f>IF(Data!M33&gt;0,Data!M33-4,"")</f>
        <v>0</v>
      </c>
      <c r="N33" s="1">
        <f>IF(Data!N33&gt;0,Data!N33-4,"")</f>
        <v>1</v>
      </c>
      <c r="O33" s="1">
        <f>IF(Data!O33&gt;0,Data!O33-4,"")</f>
        <v>1</v>
      </c>
      <c r="P33" s="1">
        <f>IF(Data!P33&gt;0,Data!P33-4,"")</f>
        <v>1</v>
      </c>
      <c r="Q33" s="1">
        <f>IF(Data!Q33&gt;0,4-Data!Q33,"")</f>
        <v>-1</v>
      </c>
      <c r="R33" s="1">
        <f>IF(Data!R33&gt;0,4-Data!R33,"")</f>
        <v>0</v>
      </c>
      <c r="S33" s="1">
        <f>IF(Data!S33&gt;0,4-Data!S33,"")</f>
        <v>-1</v>
      </c>
      <c r="T33" s="1">
        <f>IF(Data!T33&gt;0,Data!T33-4,"")</f>
        <v>0</v>
      </c>
      <c r="U33" s="1">
        <f>IF(Data!U33&gt;0,4-Data!U33,"")</f>
        <v>-1</v>
      </c>
      <c r="V33" s="1">
        <f>IF(Data!V33&gt;0,Data!V33-4,"")</f>
        <v>0</v>
      </c>
      <c r="W33" s="1">
        <f>IF(Data!W33&gt;0,4-Data!W33,"")</f>
        <v>1</v>
      </c>
      <c r="X33" s="1">
        <f>IF(Data!X33&gt;0,4-Data!X33,"")</f>
        <v>0</v>
      </c>
      <c r="Y33" s="1">
        <f>IF(Data!Y33&gt;0,4-Data!Y33,"")</f>
        <v>0</v>
      </c>
      <c r="Z33" s="1">
        <f>IF(Data!Z33&gt;0,Data!Z33-4,"")</f>
        <v>0</v>
      </c>
      <c r="AC33" s="4" t="str">
        <f t="shared" si="11"/>
        <v/>
      </c>
      <c r="AD33" s="4" t="str">
        <f t="shared" si="12"/>
        <v/>
      </c>
      <c r="AE33" s="4" t="str">
        <f t="shared" si="13"/>
        <v/>
      </c>
      <c r="AF33" s="4" t="str">
        <f t="shared" si="14"/>
        <v/>
      </c>
      <c r="AG33" s="4" t="str">
        <f t="shared" si="8"/>
        <v/>
      </c>
      <c r="AH33" s="4" t="str">
        <f t="shared" si="15"/>
        <v/>
      </c>
      <c r="AI33" s="2">
        <f t="shared" si="10"/>
        <v>0</v>
      </c>
      <c r="AK33" s="2">
        <f>IF(MAX(COUNTIF(Data!A33:Z33,1),COUNTIF(Data!A33:Z33,2),COUNTIF(Data!A33:Z33,3),COUNTIF(Data!A33:Z33,4),COUNTIF(Data!A33:Z33,5),COUNTIF(Data!A33:Z33,6),COUNTIF(Data!A33:Z33,7))&gt;0,MAX(COUNTIF(Data!A33:Z33,1),COUNTIF(Data!A33:Z33,2),COUNTIF(Data!A33:Z33,3),COUNTIF(Data!A33:Z33,4),COUNTIF(Data!A33:Z33,5),COUNTIF(Data!A33:Z33,6),COUNTIF(Data!A33:Z33,7)),"")</f>
        <v>11</v>
      </c>
    </row>
    <row r="34" spans="1:37">
      <c r="A34" s="1">
        <f>IF(Data!A34&gt;0,Data!A34-4,"")</f>
        <v>2</v>
      </c>
      <c r="B34" s="1">
        <f>IF(Data!B34&gt;0,Data!B34-4,"")</f>
        <v>3</v>
      </c>
      <c r="C34" s="1">
        <f>IF(Data!C34&gt;0,4-Data!C34,"")</f>
        <v>1</v>
      </c>
      <c r="D34" s="1">
        <f>IF(Data!D34&gt;0,4-Data!D34,"")</f>
        <v>2</v>
      </c>
      <c r="E34" s="1">
        <f>IF(Data!E34&gt;0,4-Data!E34,"")</f>
        <v>2</v>
      </c>
      <c r="F34" s="1">
        <f>IF(Data!F34&gt;0,Data!F34-4,"")</f>
        <v>2</v>
      </c>
      <c r="G34" s="1">
        <f>IF(Data!G34&gt;0,Data!G34-4,"")</f>
        <v>2</v>
      </c>
      <c r="H34" s="1">
        <f>IF(Data!H34&gt;0,Data!H34-4,"")</f>
        <v>2</v>
      </c>
      <c r="I34" s="1">
        <f>IF(Data!I34&gt;0,4-Data!I34,"")</f>
        <v>2</v>
      </c>
      <c r="J34" s="1">
        <f>IF(Data!J34&gt;0,4-Data!J34,"")</f>
        <v>2</v>
      </c>
      <c r="K34" s="1">
        <f>IF(Data!K34&gt;0,Data!K34-4,"")</f>
        <v>2</v>
      </c>
      <c r="L34" s="1">
        <f>IF(Data!L34&gt;0,4-Data!L34,"")</f>
        <v>2</v>
      </c>
      <c r="M34" s="1">
        <f>IF(Data!M34&gt;0,Data!M34-4,"")</f>
        <v>2</v>
      </c>
      <c r="N34" s="1">
        <f>IF(Data!N34&gt;0,Data!N34-4,"")</f>
        <v>2</v>
      </c>
      <c r="O34" s="1">
        <f>IF(Data!O34&gt;0,Data!O34-4,"")</f>
        <v>2</v>
      </c>
      <c r="P34" s="1">
        <f>IF(Data!P34&gt;0,Data!P34-4,"")</f>
        <v>2</v>
      </c>
      <c r="Q34" s="1">
        <f>IF(Data!Q34&gt;0,4-Data!Q34,"")</f>
        <v>2</v>
      </c>
      <c r="R34" s="1">
        <f>IF(Data!R34&gt;0,4-Data!R34,"")</f>
        <v>2</v>
      </c>
      <c r="S34" s="1">
        <f>IF(Data!S34&gt;0,4-Data!S34,"")</f>
        <v>2</v>
      </c>
      <c r="T34" s="1">
        <f>IF(Data!T34&gt;0,Data!T34-4,"")</f>
        <v>2</v>
      </c>
      <c r="U34" s="1">
        <f>IF(Data!U34&gt;0,4-Data!U34,"")</f>
        <v>2</v>
      </c>
      <c r="V34" s="1">
        <f>IF(Data!V34&gt;0,Data!V34-4,"")</f>
        <v>2</v>
      </c>
      <c r="W34" s="1">
        <f>IF(Data!W34&gt;0,4-Data!W34,"")</f>
        <v>2</v>
      </c>
      <c r="X34" s="1">
        <f>IF(Data!X34&gt;0,4-Data!X34,"")</f>
        <v>2</v>
      </c>
      <c r="Y34" s="1">
        <f>IF(Data!Y34&gt;0,4-Data!Y34,"")</f>
        <v>2</v>
      </c>
      <c r="Z34" s="1">
        <f>IF(Data!Z34&gt;0,Data!Z34-4,"")</f>
        <v>2</v>
      </c>
      <c r="AC34" s="4" t="str">
        <f t="shared" si="11"/>
        <v/>
      </c>
      <c r="AD34" s="4" t="str">
        <f t="shared" si="12"/>
        <v/>
      </c>
      <c r="AE34" s="4" t="str">
        <f t="shared" si="13"/>
        <v/>
      </c>
      <c r="AF34" s="4" t="str">
        <f t="shared" si="14"/>
        <v/>
      </c>
      <c r="AG34" s="4" t="str">
        <f t="shared" si="8"/>
        <v/>
      </c>
      <c r="AH34" s="4" t="str">
        <f t="shared" si="15"/>
        <v/>
      </c>
      <c r="AI34" s="2">
        <f t="shared" si="10"/>
        <v>0</v>
      </c>
      <c r="AK34" s="2">
        <f>IF(MAX(COUNTIF(Data!A34:Z34,1),COUNTIF(Data!A34:Z34,2),COUNTIF(Data!A34:Z34,3),COUNTIF(Data!A34:Z34,4),COUNTIF(Data!A34:Z34,5),COUNTIF(Data!A34:Z34,6),COUNTIF(Data!A34:Z34,7))&gt;0,MAX(COUNTIF(Data!A34:Z34,1),COUNTIF(Data!A34:Z34,2),COUNTIF(Data!A34:Z34,3),COUNTIF(Data!A34:Z34,4),COUNTIF(Data!A34:Z34,5),COUNTIF(Data!A34:Z34,6),COUNTIF(Data!A34:Z34,7)),"")</f>
        <v>12</v>
      </c>
    </row>
    <row r="35" spans="1:37">
      <c r="A35" s="1">
        <f>IF(Data!A35&gt;0,Data!A35-4,"")</f>
        <v>1</v>
      </c>
      <c r="B35" s="1">
        <f>IF(Data!B35&gt;0,Data!B35-4,"")</f>
        <v>1</v>
      </c>
      <c r="C35" s="1">
        <f>IF(Data!C35&gt;0,4-Data!C35,"")</f>
        <v>0</v>
      </c>
      <c r="D35" s="1">
        <f>IF(Data!D35&gt;0,4-Data!D35,"")</f>
        <v>1</v>
      </c>
      <c r="E35" s="1">
        <f>IF(Data!E35&gt;0,4-Data!E35,"")</f>
        <v>1</v>
      </c>
      <c r="F35" s="1">
        <f>IF(Data!F35&gt;0,Data!F35-4,"")</f>
        <v>1</v>
      </c>
      <c r="G35" s="1">
        <f>IF(Data!G35&gt;0,Data!G35-4,"")</f>
        <v>-2</v>
      </c>
      <c r="H35" s="1">
        <f>IF(Data!H35&gt;0,Data!H35-4,"")</f>
        <v>1</v>
      </c>
      <c r="I35" s="1">
        <f>IF(Data!I35&gt;0,4-Data!I35,"")</f>
        <v>1</v>
      </c>
      <c r="J35" s="1">
        <f>IF(Data!J35&gt;0,4-Data!J35,"")</f>
        <v>-1</v>
      </c>
      <c r="K35" s="1">
        <f>IF(Data!K35&gt;0,Data!K35-4,"")</f>
        <v>-2</v>
      </c>
      <c r="L35" s="1">
        <f>IF(Data!L35&gt;0,4-Data!L35,"")</f>
        <v>2</v>
      </c>
      <c r="M35" s="1">
        <f>IF(Data!M35&gt;0,Data!M35-4,"")</f>
        <v>1</v>
      </c>
      <c r="N35" s="1">
        <f>IF(Data!N35&gt;0,Data!N35-4,"")</f>
        <v>-1</v>
      </c>
      <c r="O35" s="1">
        <f>IF(Data!O35&gt;0,Data!O35-4,"")</f>
        <v>1</v>
      </c>
      <c r="P35" s="1">
        <f>IF(Data!P35&gt;0,Data!P35-4,"")</f>
        <v>-1</v>
      </c>
      <c r="Q35" s="1">
        <f>IF(Data!Q35&gt;0,4-Data!Q35,"")</f>
        <v>2</v>
      </c>
      <c r="R35" s="1">
        <f>IF(Data!R35&gt;0,4-Data!R35,"")</f>
        <v>2</v>
      </c>
      <c r="S35" s="1">
        <f>IF(Data!S35&gt;0,4-Data!S35,"")</f>
        <v>1</v>
      </c>
      <c r="T35" s="1">
        <f>IF(Data!T35&gt;0,Data!T35-4,"")</f>
        <v>1</v>
      </c>
      <c r="U35" s="1">
        <f>IF(Data!U35&gt;0,4-Data!U35,"")</f>
        <v>2</v>
      </c>
      <c r="V35" s="1">
        <f>IF(Data!V35&gt;0,Data!V35-4,"")</f>
        <v>0</v>
      </c>
      <c r="W35" s="1">
        <f>IF(Data!W35&gt;0,4-Data!W35,"")</f>
        <v>0</v>
      </c>
      <c r="X35" s="1">
        <f>IF(Data!X35&gt;0,4-Data!X35,"")</f>
        <v>1</v>
      </c>
      <c r="Y35" s="1">
        <f>IF(Data!Y35&gt;0,4-Data!Y35,"")</f>
        <v>2</v>
      </c>
      <c r="Z35" s="1">
        <f>IF(Data!Z35&gt;0,Data!Z35-4,"")</f>
        <v>-1</v>
      </c>
      <c r="AC35" s="4" t="str">
        <f t="shared" si="11"/>
        <v/>
      </c>
      <c r="AD35" s="4" t="str">
        <f t="shared" si="12"/>
        <v/>
      </c>
      <c r="AE35" s="4" t="str">
        <f t="shared" si="13"/>
        <v/>
      </c>
      <c r="AF35" s="4">
        <f t="shared" si="14"/>
        <v>1</v>
      </c>
      <c r="AG35" s="4">
        <f t="shared" si="8"/>
        <v>1</v>
      </c>
      <c r="AH35" s="4" t="str">
        <f t="shared" si="15"/>
        <v/>
      </c>
      <c r="AI35" s="2">
        <f t="shared" si="10"/>
        <v>2</v>
      </c>
      <c r="AK35" s="2">
        <f>IF(MAX(COUNTIF(Data!A35:Z35,1),COUNTIF(Data!A35:Z35,2),COUNTIF(Data!A35:Z35,3),COUNTIF(Data!A35:Z35,4),COUNTIF(Data!A35:Z35,5),COUNTIF(Data!A35:Z35,6),COUNTIF(Data!A35:Z35,7))&gt;0,MAX(COUNTIF(Data!A35:Z35,1),COUNTIF(Data!A35:Z35,2),COUNTIF(Data!A35:Z35,3),COUNTIF(Data!A35:Z35,4),COUNTIF(Data!A35:Z35,5),COUNTIF(Data!A35:Z35,6),COUNTIF(Data!A35:Z35,7)),"")</f>
        <v>8</v>
      </c>
    </row>
    <row r="36" spans="1:37">
      <c r="A36" s="1">
        <f>IF(Data!A36&gt;0,Data!A36-4,"")</f>
        <v>3</v>
      </c>
      <c r="B36" s="1">
        <f>IF(Data!B36&gt;0,Data!B36-4,"")</f>
        <v>3</v>
      </c>
      <c r="C36" s="1">
        <f>IF(Data!C36&gt;0,4-Data!C36,"")</f>
        <v>3</v>
      </c>
      <c r="D36" s="1">
        <f>IF(Data!D36&gt;0,4-Data!D36,"")</f>
        <v>3</v>
      </c>
      <c r="E36" s="1">
        <f>IF(Data!E36&gt;0,4-Data!E36,"")</f>
        <v>3</v>
      </c>
      <c r="F36" s="1">
        <f>IF(Data!F36&gt;0,Data!F36-4,"")</f>
        <v>0</v>
      </c>
      <c r="G36" s="1">
        <f>IF(Data!G36&gt;0,Data!G36-4,"")</f>
        <v>2</v>
      </c>
      <c r="H36" s="1">
        <f>IF(Data!H36&gt;0,Data!H36-4,"")</f>
        <v>0</v>
      </c>
      <c r="I36" s="1">
        <f>IF(Data!I36&gt;0,4-Data!I36,"")</f>
        <v>3</v>
      </c>
      <c r="J36" s="1">
        <f>IF(Data!J36&gt;0,4-Data!J36,"")</f>
        <v>3</v>
      </c>
      <c r="K36" s="1">
        <f>IF(Data!K36&gt;0,Data!K36-4,"")</f>
        <v>3</v>
      </c>
      <c r="L36" s="1">
        <f>IF(Data!L36&gt;0,4-Data!L36,"")</f>
        <v>3</v>
      </c>
      <c r="M36" s="1">
        <f>IF(Data!M36&gt;0,Data!M36-4,"")</f>
        <v>3</v>
      </c>
      <c r="N36" s="1">
        <f>IF(Data!N36&gt;0,Data!N36-4,"")</f>
        <v>3</v>
      </c>
      <c r="O36" s="1">
        <f>IF(Data!O36&gt;0,Data!O36-4,"")</f>
        <v>3</v>
      </c>
      <c r="P36" s="1">
        <f>IF(Data!P36&gt;0,Data!P36-4,"")</f>
        <v>3</v>
      </c>
      <c r="Q36" s="1">
        <f>IF(Data!Q36&gt;0,4-Data!Q36,"")</f>
        <v>3</v>
      </c>
      <c r="R36" s="1">
        <f>IF(Data!R36&gt;0,4-Data!R36,"")</f>
        <v>3</v>
      </c>
      <c r="S36" s="1">
        <f>IF(Data!S36&gt;0,4-Data!S36,"")</f>
        <v>3</v>
      </c>
      <c r="T36" s="1">
        <f>IF(Data!T36&gt;0,Data!T36-4,"")</f>
        <v>3</v>
      </c>
      <c r="U36" s="1">
        <f>IF(Data!U36&gt;0,4-Data!U36,"")</f>
        <v>3</v>
      </c>
      <c r="V36" s="1">
        <f>IF(Data!V36&gt;0,Data!V36-4,"")</f>
        <v>3</v>
      </c>
      <c r="W36" s="1">
        <f>IF(Data!W36&gt;0,4-Data!W36,"")</f>
        <v>3</v>
      </c>
      <c r="X36" s="1">
        <f>IF(Data!X36&gt;0,4-Data!X36,"")</f>
        <v>3</v>
      </c>
      <c r="Y36" s="1">
        <f>IF(Data!Y36&gt;0,4-Data!Y36,"")</f>
        <v>3</v>
      </c>
      <c r="Z36" s="1">
        <f>IF(Data!Z36&gt;0,Data!Z36-4,"")</f>
        <v>3</v>
      </c>
      <c r="AC36" s="4" t="str">
        <f t="shared" si="11"/>
        <v/>
      </c>
      <c r="AD36" s="4" t="str">
        <f t="shared" si="12"/>
        <v/>
      </c>
      <c r="AE36" s="4" t="str">
        <f t="shared" si="13"/>
        <v/>
      </c>
      <c r="AF36" s="4" t="str">
        <f t="shared" si="14"/>
        <v/>
      </c>
      <c r="AG36" s="4" t="str">
        <f t="shared" si="8"/>
        <v/>
      </c>
      <c r="AH36" s="4" t="str">
        <f t="shared" si="15"/>
        <v/>
      </c>
      <c r="AI36" s="2">
        <f t="shared" si="10"/>
        <v>0</v>
      </c>
      <c r="AK36" s="2">
        <f>IF(MAX(COUNTIF(Data!A36:Z36,1),COUNTIF(Data!A36:Z36,2),COUNTIF(Data!A36:Z36,3),COUNTIF(Data!A36:Z36,4),COUNTIF(Data!A36:Z36,5),COUNTIF(Data!A36:Z36,6),COUNTIF(Data!A36:Z36,7))&gt;0,MAX(COUNTIF(Data!A36:Z36,1),COUNTIF(Data!A36:Z36,2),COUNTIF(Data!A36:Z36,3),COUNTIF(Data!A36:Z36,4),COUNTIF(Data!A36:Z36,5),COUNTIF(Data!A36:Z36,6),COUNTIF(Data!A36:Z36,7)),"")</f>
        <v>13</v>
      </c>
    </row>
    <row r="37" spans="1:37">
      <c r="A37" s="1">
        <f>IF(Data!A37&gt;0,Data!A37-4,"")</f>
        <v>1</v>
      </c>
      <c r="B37" s="1">
        <f>IF(Data!B37&gt;0,Data!B37-4,"")</f>
        <v>3</v>
      </c>
      <c r="C37" s="1">
        <f>IF(Data!C37&gt;0,4-Data!C37,"")</f>
        <v>3</v>
      </c>
      <c r="D37" s="1">
        <f>IF(Data!D37&gt;0,4-Data!D37,"")</f>
        <v>2</v>
      </c>
      <c r="E37" s="1">
        <f>IF(Data!E37&gt;0,4-Data!E37,"")</f>
        <v>2</v>
      </c>
      <c r="F37" s="1">
        <f>IF(Data!F37&gt;0,Data!F37-4,"")</f>
        <v>1</v>
      </c>
      <c r="G37" s="1">
        <f>IF(Data!G37&gt;0,Data!G37-4,"")</f>
        <v>2</v>
      </c>
      <c r="H37" s="1">
        <f>IF(Data!H37&gt;0,Data!H37-4,"")</f>
        <v>1</v>
      </c>
      <c r="I37" s="1">
        <f>IF(Data!I37&gt;0,4-Data!I37,"")</f>
        <v>2</v>
      </c>
      <c r="J37" s="1">
        <f>IF(Data!J37&gt;0,4-Data!J37,"")</f>
        <v>3</v>
      </c>
      <c r="K37" s="1">
        <f>IF(Data!K37&gt;0,Data!K37-4,"")</f>
        <v>2</v>
      </c>
      <c r="L37" s="1">
        <f>IF(Data!L37&gt;0,4-Data!L37,"")</f>
        <v>3</v>
      </c>
      <c r="M37" s="1">
        <f>IF(Data!M37&gt;0,Data!M37-4,"")</f>
        <v>2</v>
      </c>
      <c r="N37" s="1">
        <f>IF(Data!N37&gt;0,Data!N37-4,"")</f>
        <v>2</v>
      </c>
      <c r="O37" s="1">
        <f>IF(Data!O37&gt;0,Data!O37-4,"")</f>
        <v>2</v>
      </c>
      <c r="P37" s="1">
        <f>IF(Data!P37&gt;0,Data!P37-4,"")</f>
        <v>2</v>
      </c>
      <c r="Q37" s="1">
        <f>IF(Data!Q37&gt;0,4-Data!Q37,"")</f>
        <v>3</v>
      </c>
      <c r="R37" s="1">
        <f>IF(Data!R37&gt;0,4-Data!R37,"")</f>
        <v>0</v>
      </c>
      <c r="S37" s="1">
        <f>IF(Data!S37&gt;0,4-Data!S37,"")</f>
        <v>2</v>
      </c>
      <c r="T37" s="1">
        <f>IF(Data!T37&gt;0,Data!T37-4,"")</f>
        <v>2</v>
      </c>
      <c r="U37" s="1">
        <f>IF(Data!U37&gt;0,4-Data!U37,"")</f>
        <v>1</v>
      </c>
      <c r="V37" s="1">
        <f>IF(Data!V37&gt;0,Data!V37-4,"")</f>
        <v>3</v>
      </c>
      <c r="W37" s="1">
        <f>IF(Data!W37&gt;0,4-Data!W37,"")</f>
        <v>3</v>
      </c>
      <c r="X37" s="1">
        <f>IF(Data!X37&gt;0,4-Data!X37,"")</f>
        <v>2</v>
      </c>
      <c r="Y37" s="1">
        <f>IF(Data!Y37&gt;0,4-Data!Y37,"")</f>
        <v>2</v>
      </c>
      <c r="Z37" s="1">
        <f>IF(Data!Z37&gt;0,Data!Z37-4,"")</f>
        <v>2</v>
      </c>
      <c r="AC37" s="4" t="str">
        <f t="shared" si="11"/>
        <v/>
      </c>
      <c r="AD37" s="4" t="str">
        <f t="shared" si="12"/>
        <v/>
      </c>
      <c r="AE37" s="4" t="str">
        <f t="shared" si="13"/>
        <v/>
      </c>
      <c r="AF37" s="4" t="str">
        <f t="shared" si="14"/>
        <v/>
      </c>
      <c r="AG37" s="4" t="str">
        <f t="shared" si="8"/>
        <v/>
      </c>
      <c r="AH37" s="4" t="str">
        <f t="shared" si="15"/>
        <v/>
      </c>
      <c r="AI37" s="2">
        <f t="shared" si="10"/>
        <v>0</v>
      </c>
      <c r="AK37" s="2">
        <f>IF(MAX(COUNTIF(Data!A37:Z37,1),COUNTIF(Data!A37:Z37,2),COUNTIF(Data!A37:Z37,3),COUNTIF(Data!A37:Z37,4),COUNTIF(Data!A37:Z37,5),COUNTIF(Data!A37:Z37,6),COUNTIF(Data!A37:Z37,7))&gt;0,MAX(COUNTIF(Data!A37:Z37,1),COUNTIF(Data!A37:Z37,2),COUNTIF(Data!A37:Z37,3),COUNTIF(Data!A37:Z37,4),COUNTIF(Data!A37:Z37,5),COUNTIF(Data!A37:Z37,6),COUNTIF(Data!A37:Z37,7)),"")</f>
        <v>8</v>
      </c>
    </row>
    <row r="38" spans="1:37">
      <c r="A38" s="1">
        <f>IF(Data!A38&gt;0,Data!A38-4,"")</f>
        <v>1</v>
      </c>
      <c r="B38" s="1">
        <f>IF(Data!B38&gt;0,Data!B38-4,"")</f>
        <v>1</v>
      </c>
      <c r="C38" s="1">
        <f>IF(Data!C38&gt;0,4-Data!C38,"")</f>
        <v>0</v>
      </c>
      <c r="D38" s="1">
        <f>IF(Data!D38&gt;0,4-Data!D38,"")</f>
        <v>2</v>
      </c>
      <c r="E38" s="1">
        <f>IF(Data!E38&gt;0,4-Data!E38,"")</f>
        <v>2</v>
      </c>
      <c r="F38" s="1">
        <f>IF(Data!F38&gt;0,Data!F38-4,"")</f>
        <v>1</v>
      </c>
      <c r="G38" s="1">
        <f>IF(Data!G38&gt;0,Data!G38-4,"")</f>
        <v>1</v>
      </c>
      <c r="H38" s="1">
        <f>IF(Data!H38&gt;0,Data!H38-4,"")</f>
        <v>-1</v>
      </c>
      <c r="I38" s="1">
        <f>IF(Data!I38&gt;0,4-Data!I38,"")</f>
        <v>2</v>
      </c>
      <c r="J38" s="1">
        <f>IF(Data!J38&gt;0,4-Data!J38,"")</f>
        <v>1</v>
      </c>
      <c r="K38" s="1">
        <f>IF(Data!K38&gt;0,Data!K38-4,"")</f>
        <v>1</v>
      </c>
      <c r="L38" s="1">
        <f>IF(Data!L38&gt;0,4-Data!L38,"")</f>
        <v>2</v>
      </c>
      <c r="M38" s="1">
        <f>IF(Data!M38&gt;0,Data!M38-4,"")</f>
        <v>2</v>
      </c>
      <c r="N38" s="1">
        <f>IF(Data!N38&gt;0,Data!N38-4,"")</f>
        <v>2</v>
      </c>
      <c r="O38" s="1">
        <f>IF(Data!O38&gt;0,Data!O38-4,"")</f>
        <v>0</v>
      </c>
      <c r="P38" s="1">
        <f>IF(Data!P38&gt;0,Data!P38-4,"")</f>
        <v>1</v>
      </c>
      <c r="Q38" s="1">
        <f>IF(Data!Q38&gt;0,4-Data!Q38,"")</f>
        <v>2</v>
      </c>
      <c r="R38" s="1">
        <f>IF(Data!R38&gt;0,4-Data!R38,"")</f>
        <v>1</v>
      </c>
      <c r="S38" s="1">
        <f>IF(Data!S38&gt;0,4-Data!S38,"")</f>
        <v>2</v>
      </c>
      <c r="T38" s="1">
        <f>IF(Data!T38&gt;0,Data!T38-4,"")</f>
        <v>2</v>
      </c>
      <c r="U38" s="1">
        <f>IF(Data!U38&gt;0,4-Data!U38,"")</f>
        <v>-2</v>
      </c>
      <c r="V38" s="1">
        <f>IF(Data!V38&gt;0,Data!V38-4,"")</f>
        <v>2</v>
      </c>
      <c r="W38" s="1">
        <f>IF(Data!W38&gt;0,4-Data!W38,"")</f>
        <v>-1</v>
      </c>
      <c r="X38" s="1">
        <f>IF(Data!X38&gt;0,4-Data!X38,"")</f>
        <v>1</v>
      </c>
      <c r="Y38" s="1">
        <f>IF(Data!Y38&gt;0,4-Data!Y38,"")</f>
        <v>1</v>
      </c>
      <c r="Z38" s="1">
        <f>IF(Data!Z38&gt;0,Data!Z38-4,"")</f>
        <v>1</v>
      </c>
      <c r="AC38" s="4" t="str">
        <f t="shared" si="11"/>
        <v/>
      </c>
      <c r="AD38" s="4">
        <f t="shared" si="12"/>
        <v>1</v>
      </c>
      <c r="AE38" s="4" t="str">
        <f t="shared" si="13"/>
        <v/>
      </c>
      <c r="AF38" s="4" t="str">
        <f t="shared" si="14"/>
        <v/>
      </c>
      <c r="AG38" s="4" t="str">
        <f t="shared" si="8"/>
        <v/>
      </c>
      <c r="AH38" s="4" t="str">
        <f t="shared" si="15"/>
        <v/>
      </c>
      <c r="AI38" s="2">
        <f t="shared" si="10"/>
        <v>1</v>
      </c>
      <c r="AK38" s="2">
        <f>IF(MAX(COUNTIF(Data!A38:Z38,1),COUNTIF(Data!A38:Z38,2),COUNTIF(Data!A38:Z38,3),COUNTIF(Data!A38:Z38,4),COUNTIF(Data!A38:Z38,5),COUNTIF(Data!A38:Z38,6),COUNTIF(Data!A38:Z38,7))&gt;0,MAX(COUNTIF(Data!A38:Z38,1),COUNTIF(Data!A38:Z38,2),COUNTIF(Data!A38:Z38,3),COUNTIF(Data!A38:Z38,4),COUNTIF(Data!A38:Z38,5),COUNTIF(Data!A38:Z38,6),COUNTIF(Data!A38:Z38,7)),"")</f>
        <v>8</v>
      </c>
    </row>
    <row r="39" spans="1:37">
      <c r="A39" s="1">
        <f>IF(Data!A39&gt;0,Data!A39-4,"")</f>
        <v>3</v>
      </c>
      <c r="B39" s="1">
        <f>IF(Data!B39&gt;0,Data!B39-4,"")</f>
        <v>3</v>
      </c>
      <c r="C39" s="1">
        <f>IF(Data!C39&gt;0,4-Data!C39,"")</f>
        <v>3</v>
      </c>
      <c r="D39" s="1">
        <f>IF(Data!D39&gt;0,4-Data!D39,"")</f>
        <v>3</v>
      </c>
      <c r="E39" s="1">
        <f>IF(Data!E39&gt;0,4-Data!E39,"")</f>
        <v>3</v>
      </c>
      <c r="F39" s="1">
        <f>IF(Data!F39&gt;0,Data!F39-4,"")</f>
        <v>3</v>
      </c>
      <c r="G39" s="1">
        <f>IF(Data!G39&gt;0,Data!G39-4,"")</f>
        <v>3</v>
      </c>
      <c r="H39" s="1">
        <f>IF(Data!H39&gt;0,Data!H39-4,"")</f>
        <v>-3</v>
      </c>
      <c r="I39" s="1">
        <f>IF(Data!I39&gt;0,4-Data!I39,"")</f>
        <v>3</v>
      </c>
      <c r="J39" s="1">
        <f>IF(Data!J39&gt;0,4-Data!J39,"")</f>
        <v>3</v>
      </c>
      <c r="K39" s="1">
        <f>IF(Data!K39&gt;0,Data!K39-4,"")</f>
        <v>3</v>
      </c>
      <c r="L39" s="1">
        <f>IF(Data!L39&gt;0,4-Data!L39,"")</f>
        <v>3</v>
      </c>
      <c r="M39" s="1">
        <f>IF(Data!M39&gt;0,Data!M39-4,"")</f>
        <v>3</v>
      </c>
      <c r="N39" s="1">
        <f>IF(Data!N39&gt;0,Data!N39-4,"")</f>
        <v>3</v>
      </c>
      <c r="O39" s="1">
        <f>IF(Data!O39&gt;0,Data!O39-4,"")</f>
        <v>3</v>
      </c>
      <c r="P39" s="1">
        <f>IF(Data!P39&gt;0,Data!P39-4,"")</f>
        <v>3</v>
      </c>
      <c r="Q39" s="1">
        <f>IF(Data!Q39&gt;0,4-Data!Q39,"")</f>
        <v>3</v>
      </c>
      <c r="R39" s="1">
        <f>IF(Data!R39&gt;0,4-Data!R39,"")</f>
        <v>3</v>
      </c>
      <c r="S39" s="1">
        <f>IF(Data!S39&gt;0,4-Data!S39,"")</f>
        <v>3</v>
      </c>
      <c r="T39" s="1">
        <f>IF(Data!T39&gt;0,Data!T39-4,"")</f>
        <v>3</v>
      </c>
      <c r="U39" s="1">
        <f>IF(Data!U39&gt;0,4-Data!U39,"")</f>
        <v>3</v>
      </c>
      <c r="V39" s="1">
        <f>IF(Data!V39&gt;0,Data!V39-4,"")</f>
        <v>3</v>
      </c>
      <c r="W39" s="1">
        <f>IF(Data!W39&gt;0,4-Data!W39,"")</f>
        <v>3</v>
      </c>
      <c r="X39" s="1">
        <f>IF(Data!X39&gt;0,4-Data!X39,"")</f>
        <v>3</v>
      </c>
      <c r="Y39" s="1">
        <f>IF(Data!Y39&gt;0,4-Data!Y39,"")</f>
        <v>3</v>
      </c>
      <c r="Z39" s="1">
        <f>IF(Data!Z39&gt;0,Data!Z39-4,"")</f>
        <v>3</v>
      </c>
      <c r="AC39" s="4" t="str">
        <f t="shared" si="11"/>
        <v/>
      </c>
      <c r="AD39" s="4" t="str">
        <f t="shared" si="12"/>
        <v/>
      </c>
      <c r="AE39" s="4" t="str">
        <f t="shared" si="13"/>
        <v/>
      </c>
      <c r="AF39" s="4">
        <f t="shared" si="14"/>
        <v>1</v>
      </c>
      <c r="AG39" s="4" t="str">
        <f t="shared" si="8"/>
        <v/>
      </c>
      <c r="AH39" s="4" t="str">
        <f t="shared" si="15"/>
        <v/>
      </c>
      <c r="AI39" s="2">
        <f t="shared" si="10"/>
        <v>1</v>
      </c>
      <c r="AK39" s="2">
        <f>IF(MAX(COUNTIF(Data!A39:Z39,1),COUNTIF(Data!A39:Z39,2),COUNTIF(Data!A39:Z39,3),COUNTIF(Data!A39:Z39,4),COUNTIF(Data!A39:Z39,5),COUNTIF(Data!A39:Z39,6),COUNTIF(Data!A39:Z39,7))&gt;0,MAX(COUNTIF(Data!A39:Z39,1),COUNTIF(Data!A39:Z39,2),COUNTIF(Data!A39:Z39,3),COUNTIF(Data!A39:Z39,4),COUNTIF(Data!A39:Z39,5),COUNTIF(Data!A39:Z39,6),COUNTIF(Data!A39:Z39,7)),"")</f>
        <v>14</v>
      </c>
    </row>
    <row r="40" spans="1:37">
      <c r="A40" s="1">
        <f>IF(Data!A40&gt;0,Data!A40-4,"")</f>
        <v>2</v>
      </c>
      <c r="B40" s="1">
        <f>IF(Data!B40&gt;0,Data!B40-4,"")</f>
        <v>3</v>
      </c>
      <c r="C40" s="1">
        <f>IF(Data!C40&gt;0,4-Data!C40,"")</f>
        <v>2</v>
      </c>
      <c r="D40" s="1">
        <f>IF(Data!D40&gt;0,4-Data!D40,"")</f>
        <v>3</v>
      </c>
      <c r="E40" s="1">
        <f>IF(Data!E40&gt;0,4-Data!E40,"")</f>
        <v>3</v>
      </c>
      <c r="F40" s="1">
        <f>IF(Data!F40&gt;0,Data!F40-4,"")</f>
        <v>2</v>
      </c>
      <c r="G40" s="1">
        <f>IF(Data!G40&gt;0,Data!G40-4,"")</f>
        <v>2</v>
      </c>
      <c r="H40" s="1">
        <f>IF(Data!H40&gt;0,Data!H40-4,"")</f>
        <v>-1</v>
      </c>
      <c r="I40" s="1">
        <f>IF(Data!I40&gt;0,4-Data!I40,"")</f>
        <v>3</v>
      </c>
      <c r="J40" s="1">
        <f>IF(Data!J40&gt;0,4-Data!J40,"")</f>
        <v>2</v>
      </c>
      <c r="K40" s="1">
        <f>IF(Data!K40&gt;0,Data!K40-4,"")</f>
        <v>3</v>
      </c>
      <c r="L40" s="1">
        <f>IF(Data!L40&gt;0,4-Data!L40,"")</f>
        <v>3</v>
      </c>
      <c r="M40" s="1">
        <f>IF(Data!M40&gt;0,Data!M40-4,"")</f>
        <v>2</v>
      </c>
      <c r="N40" s="1">
        <f>IF(Data!N40&gt;0,Data!N40-4,"")</f>
        <v>3</v>
      </c>
      <c r="O40" s="1">
        <f>IF(Data!O40&gt;0,Data!O40-4,"")</f>
        <v>1</v>
      </c>
      <c r="P40" s="1">
        <f>IF(Data!P40&gt;0,Data!P40-4,"")</f>
        <v>2</v>
      </c>
      <c r="Q40" s="1">
        <f>IF(Data!Q40&gt;0,4-Data!Q40,"")</f>
        <v>3</v>
      </c>
      <c r="R40" s="1">
        <f>IF(Data!R40&gt;0,4-Data!R40,"")</f>
        <v>1</v>
      </c>
      <c r="S40" s="1">
        <f>IF(Data!S40&gt;0,4-Data!S40,"")</f>
        <v>3</v>
      </c>
      <c r="T40" s="1">
        <f>IF(Data!T40&gt;0,Data!T40-4,"")</f>
        <v>2</v>
      </c>
      <c r="U40" s="1">
        <f>IF(Data!U40&gt;0,4-Data!U40,"")</f>
        <v>3</v>
      </c>
      <c r="V40" s="1">
        <f>IF(Data!V40&gt;0,Data!V40-4,"")</f>
        <v>3</v>
      </c>
      <c r="W40" s="1">
        <f>IF(Data!W40&gt;0,4-Data!W40,"")</f>
        <v>3</v>
      </c>
      <c r="X40" s="1">
        <f>IF(Data!X40&gt;0,4-Data!X40,"")</f>
        <v>2</v>
      </c>
      <c r="Y40" s="1">
        <f>IF(Data!Y40&gt;0,4-Data!Y40,"")</f>
        <v>3</v>
      </c>
      <c r="Z40" s="1">
        <f>IF(Data!Z40&gt;0,Data!Z40-4,"")</f>
        <v>2</v>
      </c>
      <c r="AC40" s="4" t="str">
        <f t="shared" si="11"/>
        <v/>
      </c>
      <c r="AD40" s="4" t="str">
        <f t="shared" si="12"/>
        <v/>
      </c>
      <c r="AE40" s="4" t="str">
        <f t="shared" si="13"/>
        <v/>
      </c>
      <c r="AF40" s="4">
        <f t="shared" si="14"/>
        <v>1</v>
      </c>
      <c r="AG40" s="4" t="str">
        <f t="shared" si="8"/>
        <v/>
      </c>
      <c r="AH40" s="4" t="str">
        <f t="shared" si="15"/>
        <v/>
      </c>
      <c r="AI40" s="2">
        <f t="shared" si="10"/>
        <v>1</v>
      </c>
      <c r="AK40" s="2">
        <f>IF(MAX(COUNTIF(Data!A40:Z40,1),COUNTIF(Data!A40:Z40,2),COUNTIF(Data!A40:Z40,3),COUNTIF(Data!A40:Z40,4),COUNTIF(Data!A40:Z40,5),COUNTIF(Data!A40:Z40,6),COUNTIF(Data!A40:Z40,7))&gt;0,MAX(COUNTIF(Data!A40:Z40,1),COUNTIF(Data!A40:Z40,2),COUNTIF(Data!A40:Z40,3),COUNTIF(Data!A40:Z40,4),COUNTIF(Data!A40:Z40,5),COUNTIF(Data!A40:Z40,6),COUNTIF(Data!A40:Z40,7)),"")</f>
        <v>9</v>
      </c>
    </row>
    <row r="41" spans="1:37">
      <c r="A41" s="1">
        <f>IF(Data!A41&gt;0,Data!A41-4,"")</f>
        <v>2</v>
      </c>
      <c r="B41" s="1">
        <f>IF(Data!B41&gt;0,Data!B41-4,"")</f>
        <v>3</v>
      </c>
      <c r="C41" s="1">
        <f>IF(Data!C41&gt;0,4-Data!C41,"")</f>
        <v>2</v>
      </c>
      <c r="D41" s="1">
        <f>IF(Data!D41&gt;0,4-Data!D41,"")</f>
        <v>3</v>
      </c>
      <c r="E41" s="1">
        <f>IF(Data!E41&gt;0,4-Data!E41,"")</f>
        <v>2</v>
      </c>
      <c r="F41" s="1">
        <f>IF(Data!F41&gt;0,Data!F41-4,"")</f>
        <v>2</v>
      </c>
      <c r="G41" s="1">
        <f>IF(Data!G41&gt;0,Data!G41-4,"")</f>
        <v>2</v>
      </c>
      <c r="H41" s="1">
        <f>IF(Data!H41&gt;0,Data!H41-4,"")</f>
        <v>0</v>
      </c>
      <c r="I41" s="1">
        <f>IF(Data!I41&gt;0,4-Data!I41,"")</f>
        <v>2</v>
      </c>
      <c r="J41" s="1">
        <f>IF(Data!J41&gt;0,4-Data!J41,"")</f>
        <v>3</v>
      </c>
      <c r="K41" s="1">
        <f>IF(Data!K41&gt;0,Data!K41-4,"")</f>
        <v>3</v>
      </c>
      <c r="L41" s="1">
        <f>IF(Data!L41&gt;0,4-Data!L41,"")</f>
        <v>3</v>
      </c>
      <c r="M41" s="1">
        <f>IF(Data!M41&gt;0,Data!M41-4,"")</f>
        <v>3</v>
      </c>
      <c r="N41" s="1">
        <f>IF(Data!N41&gt;0,Data!N41-4,"")</f>
        <v>2</v>
      </c>
      <c r="O41" s="1">
        <f>IF(Data!O41&gt;0,Data!O41-4,"")</f>
        <v>1</v>
      </c>
      <c r="P41" s="1">
        <f>IF(Data!P41&gt;0,Data!P41-4,"")</f>
        <v>3</v>
      </c>
      <c r="Q41" s="1">
        <f>IF(Data!Q41&gt;0,4-Data!Q41,"")</f>
        <v>3</v>
      </c>
      <c r="R41" s="1">
        <f>IF(Data!R41&gt;0,4-Data!R41,"")</f>
        <v>3</v>
      </c>
      <c r="S41" s="1">
        <f>IF(Data!S41&gt;0,4-Data!S41,"")</f>
        <v>3</v>
      </c>
      <c r="T41" s="1">
        <f>IF(Data!T41&gt;0,Data!T41-4,"")</f>
        <v>3</v>
      </c>
      <c r="U41" s="1">
        <f>IF(Data!U41&gt;0,4-Data!U41,"")</f>
        <v>3</v>
      </c>
      <c r="V41" s="1">
        <f>IF(Data!V41&gt;0,Data!V41-4,"")</f>
        <v>3</v>
      </c>
      <c r="W41" s="1">
        <f>IF(Data!W41&gt;0,4-Data!W41,"")</f>
        <v>3</v>
      </c>
      <c r="X41" s="1">
        <f>IF(Data!X41&gt;0,4-Data!X41,"")</f>
        <v>3</v>
      </c>
      <c r="Y41" s="1">
        <f>IF(Data!Y41&gt;0,4-Data!Y41,"")</f>
        <v>3</v>
      </c>
      <c r="Z41" s="1">
        <f>IF(Data!Z41&gt;0,Data!Z41-4,"")</f>
        <v>0</v>
      </c>
      <c r="AC41" s="4" t="str">
        <f t="shared" si="11"/>
        <v/>
      </c>
      <c r="AD41" s="4" t="str">
        <f t="shared" si="12"/>
        <v/>
      </c>
      <c r="AE41" s="4" t="str">
        <f t="shared" si="13"/>
        <v/>
      </c>
      <c r="AF41" s="4" t="str">
        <f t="shared" si="14"/>
        <v/>
      </c>
      <c r="AG41" s="4" t="str">
        <f t="shared" si="8"/>
        <v/>
      </c>
      <c r="AH41" s="4" t="str">
        <f t="shared" si="15"/>
        <v/>
      </c>
      <c r="AI41" s="2">
        <f t="shared" si="10"/>
        <v>0</v>
      </c>
      <c r="AK41" s="2">
        <f>IF(MAX(COUNTIF(Data!A41:Z41,1),COUNTIF(Data!A41:Z41,2),COUNTIF(Data!A41:Z41,3),COUNTIF(Data!A41:Z41,4),COUNTIF(Data!A41:Z41,5),COUNTIF(Data!A41:Z41,6),COUNTIF(Data!A41:Z41,7))&gt;0,MAX(COUNTIF(Data!A41:Z41,1),COUNTIF(Data!A41:Z41,2),COUNTIF(Data!A41:Z41,3),COUNTIF(Data!A41:Z41,4),COUNTIF(Data!A41:Z41,5),COUNTIF(Data!A41:Z41,6),COUNTIF(Data!A41:Z41,7)),"")</f>
        <v>10</v>
      </c>
    </row>
    <row r="42" spans="1:37">
      <c r="A42" s="1">
        <f>IF(Data!A42&gt;0,Data!A42-4,"")</f>
        <v>3</v>
      </c>
      <c r="B42" s="1">
        <f>IF(Data!B42&gt;0,Data!B42-4,"")</f>
        <v>3</v>
      </c>
      <c r="C42" s="1">
        <f>IF(Data!C42&gt;0,4-Data!C42,"")</f>
        <v>2</v>
      </c>
      <c r="D42" s="1">
        <f>IF(Data!D42&gt;0,4-Data!D42,"")</f>
        <v>3</v>
      </c>
      <c r="E42" s="1">
        <f>IF(Data!E42&gt;0,4-Data!E42,"")</f>
        <v>3</v>
      </c>
      <c r="F42" s="1">
        <f>IF(Data!F42&gt;0,Data!F42-4,"")</f>
        <v>2</v>
      </c>
      <c r="G42" s="1">
        <f>IF(Data!G42&gt;0,Data!G42-4,"")</f>
        <v>2</v>
      </c>
      <c r="H42" s="1">
        <f>IF(Data!H42&gt;0,Data!H42-4,"")</f>
        <v>0</v>
      </c>
      <c r="I42" s="1">
        <f>IF(Data!I42&gt;0,4-Data!I42,"")</f>
        <v>3</v>
      </c>
      <c r="J42" s="1">
        <f>IF(Data!J42&gt;0,4-Data!J42,"")</f>
        <v>0</v>
      </c>
      <c r="K42" s="1">
        <f>IF(Data!K42&gt;0,Data!K42-4,"")</f>
        <v>3</v>
      </c>
      <c r="L42" s="1">
        <f>IF(Data!L42&gt;0,4-Data!L42,"")</f>
        <v>3</v>
      </c>
      <c r="M42" s="1">
        <f>IF(Data!M42&gt;0,Data!M42-4,"")</f>
        <v>3</v>
      </c>
      <c r="N42" s="1">
        <f>IF(Data!N42&gt;0,Data!N42-4,"")</f>
        <v>3</v>
      </c>
      <c r="O42" s="1">
        <f>IF(Data!O42&gt;0,Data!O42-4,"")</f>
        <v>0</v>
      </c>
      <c r="P42" s="1">
        <f>IF(Data!P42&gt;0,Data!P42-4,"")</f>
        <v>3</v>
      </c>
      <c r="Q42" s="1">
        <f>IF(Data!Q42&gt;0,4-Data!Q42,"")</f>
        <v>2</v>
      </c>
      <c r="R42" s="1">
        <f>IF(Data!R42&gt;0,4-Data!R42,"")</f>
        <v>1</v>
      </c>
      <c r="S42" s="1">
        <f>IF(Data!S42&gt;0,4-Data!S42,"")</f>
        <v>3</v>
      </c>
      <c r="T42" s="1">
        <f>IF(Data!T42&gt;0,Data!T42-4,"")</f>
        <v>3</v>
      </c>
      <c r="U42" s="1">
        <f>IF(Data!U42&gt;0,4-Data!U42,"")</f>
        <v>3</v>
      </c>
      <c r="V42" s="1">
        <f>IF(Data!V42&gt;0,Data!V42-4,"")</f>
        <v>3</v>
      </c>
      <c r="W42" s="1">
        <f>IF(Data!W42&gt;0,4-Data!W42,"")</f>
        <v>3</v>
      </c>
      <c r="X42" s="1">
        <f>IF(Data!X42&gt;0,4-Data!X42,"")</f>
        <v>3</v>
      </c>
      <c r="Y42" s="1">
        <f>IF(Data!Y42&gt;0,4-Data!Y42,"")</f>
        <v>3</v>
      </c>
      <c r="Z42" s="1">
        <f>IF(Data!Z42&gt;0,Data!Z42-4,"")</f>
        <v>0</v>
      </c>
      <c r="AC42" s="4" t="str">
        <f t="shared" si="11"/>
        <v/>
      </c>
      <c r="AD42" s="4" t="str">
        <f t="shared" si="12"/>
        <v/>
      </c>
      <c r="AE42" s="4" t="str">
        <f t="shared" si="13"/>
        <v/>
      </c>
      <c r="AF42" s="4" t="str">
        <f t="shared" si="14"/>
        <v/>
      </c>
      <c r="AG42" s="4" t="str">
        <f t="shared" si="8"/>
        <v/>
      </c>
      <c r="AH42" s="4" t="str">
        <f t="shared" si="15"/>
        <v/>
      </c>
      <c r="AI42" s="2">
        <f t="shared" si="10"/>
        <v>0</v>
      </c>
      <c r="AK42" s="2">
        <f>IF(MAX(COUNTIF(Data!A42:Z42,1),COUNTIF(Data!A42:Z42,2),COUNTIF(Data!A42:Z42,3),COUNTIF(Data!A42:Z42,4),COUNTIF(Data!A42:Z42,5),COUNTIF(Data!A42:Z42,6),COUNTIF(Data!A42:Z42,7))&gt;0,MAX(COUNTIF(Data!A42:Z42,1),COUNTIF(Data!A42:Z42,2),COUNTIF(Data!A42:Z42,3),COUNTIF(Data!A42:Z42,4),COUNTIF(Data!A42:Z42,5),COUNTIF(Data!A42:Z42,6),COUNTIF(Data!A42:Z42,7)),"")</f>
        <v>9</v>
      </c>
    </row>
    <row r="43" spans="1:37">
      <c r="A43" s="1">
        <f>IF(Data!A43&gt;0,Data!A43-4,"")</f>
        <v>1</v>
      </c>
      <c r="B43" s="1">
        <f>IF(Data!B43&gt;0,Data!B43-4,"")</f>
        <v>2</v>
      </c>
      <c r="C43" s="1">
        <f>IF(Data!C43&gt;0,4-Data!C43,"")</f>
        <v>0</v>
      </c>
      <c r="D43" s="1">
        <f>IF(Data!D43&gt;0,4-Data!D43,"")</f>
        <v>1</v>
      </c>
      <c r="E43" s="1">
        <f>IF(Data!E43&gt;0,4-Data!E43,"")</f>
        <v>2</v>
      </c>
      <c r="F43" s="1">
        <f>IF(Data!F43&gt;0,Data!F43-4,"")</f>
        <v>2</v>
      </c>
      <c r="G43" s="1">
        <f>IF(Data!G43&gt;0,Data!G43-4,"")</f>
        <v>2</v>
      </c>
      <c r="H43" s="1">
        <f>IF(Data!H43&gt;0,Data!H43-4,"")</f>
        <v>0</v>
      </c>
      <c r="I43" s="1">
        <f>IF(Data!I43&gt;0,4-Data!I43,"")</f>
        <v>1</v>
      </c>
      <c r="J43" s="1">
        <f>IF(Data!J43&gt;0,4-Data!J43,"")</f>
        <v>0</v>
      </c>
      <c r="K43" s="1">
        <f>IF(Data!K43&gt;0,Data!K43-4,"")</f>
        <v>0</v>
      </c>
      <c r="L43" s="1">
        <f>IF(Data!L43&gt;0,4-Data!L43,"")</f>
        <v>2</v>
      </c>
      <c r="M43" s="1">
        <f>IF(Data!M43&gt;0,Data!M43-4,"")</f>
        <v>1</v>
      </c>
      <c r="N43" s="1">
        <f>IF(Data!N43&gt;0,Data!N43-4,"")</f>
        <v>2</v>
      </c>
      <c r="O43" s="1">
        <f>IF(Data!O43&gt;0,Data!O43-4,"")</f>
        <v>1</v>
      </c>
      <c r="P43" s="1">
        <f>IF(Data!P43&gt;0,Data!P43-4,"")</f>
        <v>1</v>
      </c>
      <c r="Q43" s="1">
        <f>IF(Data!Q43&gt;0,4-Data!Q43,"")</f>
        <v>-1</v>
      </c>
      <c r="R43" s="1">
        <f>IF(Data!R43&gt;0,4-Data!R43,"")</f>
        <v>1</v>
      </c>
      <c r="S43" s="1">
        <f>IF(Data!S43&gt;0,4-Data!S43,"")</f>
        <v>1</v>
      </c>
      <c r="T43" s="1">
        <f>IF(Data!T43&gt;0,Data!T43-4,"")</f>
        <v>2</v>
      </c>
      <c r="U43" s="1">
        <f>IF(Data!U43&gt;0,4-Data!U43,"")</f>
        <v>2</v>
      </c>
      <c r="V43" s="1">
        <f>IF(Data!V43&gt;0,Data!V43-4,"")</f>
        <v>2</v>
      </c>
      <c r="W43" s="1">
        <f>IF(Data!W43&gt;0,4-Data!W43,"")</f>
        <v>2</v>
      </c>
      <c r="X43" s="1">
        <f>IF(Data!X43&gt;0,4-Data!X43,"")</f>
        <v>1</v>
      </c>
      <c r="Y43" s="1">
        <f>IF(Data!Y43&gt;0,4-Data!Y43,"")</f>
        <v>0</v>
      </c>
      <c r="Z43" s="1">
        <f>IF(Data!Z43&gt;0,Data!Z43-4,"")</f>
        <v>1</v>
      </c>
      <c r="AC43" s="4" t="str">
        <f t="shared" si="11"/>
        <v/>
      </c>
      <c r="AD43" s="4" t="str">
        <f t="shared" si="12"/>
        <v/>
      </c>
      <c r="AE43" s="4" t="str">
        <f t="shared" si="13"/>
        <v/>
      </c>
      <c r="AF43" s="4" t="str">
        <f t="shared" si="14"/>
        <v/>
      </c>
      <c r="AG43" s="4" t="str">
        <f t="shared" si="8"/>
        <v/>
      </c>
      <c r="AH43" s="4" t="str">
        <f t="shared" si="15"/>
        <v/>
      </c>
      <c r="AI43" s="2">
        <f t="shared" si="10"/>
        <v>0</v>
      </c>
      <c r="AK43" s="2">
        <f>IF(MAX(COUNTIF(Data!A43:Z43,1),COUNTIF(Data!A43:Z43,2),COUNTIF(Data!A43:Z43,3),COUNTIF(Data!A43:Z43,4),COUNTIF(Data!A43:Z43,5),COUNTIF(Data!A43:Z43,6),COUNTIF(Data!A43:Z43,7))&gt;0,MAX(COUNTIF(Data!A43:Z43,1),COUNTIF(Data!A43:Z43,2),COUNTIF(Data!A43:Z43,3),COUNTIF(Data!A43:Z43,4),COUNTIF(Data!A43:Z43,5),COUNTIF(Data!A43:Z43,6),COUNTIF(Data!A43:Z43,7)),"")</f>
        <v>6</v>
      </c>
    </row>
    <row r="44" spans="1:37">
      <c r="A44" s="1">
        <f>IF(Data!A44&gt;0,Data!A44-4,"")</f>
        <v>0</v>
      </c>
      <c r="B44" s="1">
        <f>IF(Data!B44&gt;0,Data!B44-4,"")</f>
        <v>2</v>
      </c>
      <c r="C44" s="1">
        <f>IF(Data!C44&gt;0,4-Data!C44,"")</f>
        <v>0</v>
      </c>
      <c r="D44" s="1">
        <f>IF(Data!D44&gt;0,4-Data!D44,"")</f>
        <v>1</v>
      </c>
      <c r="E44" s="1">
        <f>IF(Data!E44&gt;0,4-Data!E44,"")</f>
        <v>0</v>
      </c>
      <c r="F44" s="1">
        <f>IF(Data!F44&gt;0,Data!F44-4,"")</f>
        <v>0</v>
      </c>
      <c r="G44" s="1">
        <f>IF(Data!G44&gt;0,Data!G44-4,"")</f>
        <v>0</v>
      </c>
      <c r="H44" s="1">
        <f>IF(Data!H44&gt;0,Data!H44-4,"")</f>
        <v>1</v>
      </c>
      <c r="I44" s="1">
        <f>IF(Data!I44&gt;0,4-Data!I44,"")</f>
        <v>1</v>
      </c>
      <c r="J44" s="1">
        <f>IF(Data!J44&gt;0,4-Data!J44,"")</f>
        <v>0</v>
      </c>
      <c r="K44" s="1">
        <f>IF(Data!K44&gt;0,Data!K44-4,"")</f>
        <v>1</v>
      </c>
      <c r="L44" s="1">
        <f>IF(Data!L44&gt;0,4-Data!L44,"")</f>
        <v>1</v>
      </c>
      <c r="M44" s="1">
        <f>IF(Data!M44&gt;0,Data!M44-4,"")</f>
        <v>1</v>
      </c>
      <c r="N44" s="1">
        <f>IF(Data!N44&gt;0,Data!N44-4,"")</f>
        <v>1</v>
      </c>
      <c r="O44" s="1">
        <f>IF(Data!O44&gt;0,Data!O44-4,"")</f>
        <v>-1</v>
      </c>
      <c r="P44" s="1">
        <f>IF(Data!P44&gt;0,Data!P44-4,"")</f>
        <v>0</v>
      </c>
      <c r="Q44" s="1">
        <f>IF(Data!Q44&gt;0,4-Data!Q44,"")</f>
        <v>2</v>
      </c>
      <c r="R44" s="1">
        <f>IF(Data!R44&gt;0,4-Data!R44,"")</f>
        <v>0</v>
      </c>
      <c r="S44" s="1">
        <f>IF(Data!S44&gt;0,4-Data!S44,"")</f>
        <v>1</v>
      </c>
      <c r="T44" s="1">
        <f>IF(Data!T44&gt;0,Data!T44-4,"")</f>
        <v>1</v>
      </c>
      <c r="U44" s="1">
        <f>IF(Data!U44&gt;0,4-Data!U44,"")</f>
        <v>2</v>
      </c>
      <c r="V44" s="1">
        <f>IF(Data!V44&gt;0,Data!V44-4,"")</f>
        <v>2</v>
      </c>
      <c r="W44" s="1">
        <f>IF(Data!W44&gt;0,4-Data!W44,"")</f>
        <v>1</v>
      </c>
      <c r="X44" s="1">
        <f>IF(Data!X44&gt;0,4-Data!X44,"")</f>
        <v>0</v>
      </c>
      <c r="Y44" s="1">
        <f>IF(Data!Y44&gt;0,4-Data!Y44,"")</f>
        <v>1</v>
      </c>
      <c r="Z44" s="1">
        <f>IF(Data!Z44&gt;0,Data!Z44-4,"")</f>
        <v>-1</v>
      </c>
      <c r="AC44" s="4" t="str">
        <f t="shared" si="11"/>
        <v/>
      </c>
      <c r="AD44" s="4" t="str">
        <f t="shared" si="12"/>
        <v/>
      </c>
      <c r="AE44" s="4" t="str">
        <f t="shared" si="13"/>
        <v/>
      </c>
      <c r="AF44" s="4" t="str">
        <f t="shared" si="14"/>
        <v/>
      </c>
      <c r="AG44" s="4" t="str">
        <f t="shared" si="8"/>
        <v/>
      </c>
      <c r="AH44" s="4" t="str">
        <f t="shared" si="15"/>
        <v/>
      </c>
      <c r="AI44" s="2">
        <f t="shared" si="10"/>
        <v>0</v>
      </c>
      <c r="AK44" s="2">
        <f>IF(MAX(COUNTIF(Data!A44:Z44,1),COUNTIF(Data!A44:Z44,2),COUNTIF(Data!A44:Z44,3),COUNTIF(Data!A44:Z44,4),COUNTIF(Data!A44:Z44,5),COUNTIF(Data!A44:Z44,6),COUNTIF(Data!A44:Z44,7))&gt;0,MAX(COUNTIF(Data!A44:Z44,1),COUNTIF(Data!A44:Z44,2),COUNTIF(Data!A44:Z44,3),COUNTIF(Data!A44:Z44,4),COUNTIF(Data!A44:Z44,5),COUNTIF(Data!A44:Z44,6),COUNTIF(Data!A44:Z44,7)),"")</f>
        <v>9</v>
      </c>
    </row>
    <row r="45" spans="1:37">
      <c r="A45" s="1">
        <f>IF(Data!A45&gt;0,Data!A45-4,"")</f>
        <v>3</v>
      </c>
      <c r="B45" s="1">
        <f>IF(Data!B45&gt;0,Data!B45-4,"")</f>
        <v>2</v>
      </c>
      <c r="C45" s="1">
        <f>IF(Data!C45&gt;0,4-Data!C45,"")</f>
        <v>2</v>
      </c>
      <c r="D45" s="1">
        <f>IF(Data!D45&gt;0,4-Data!D45,"")</f>
        <v>-2</v>
      </c>
      <c r="E45" s="1">
        <f>IF(Data!E45&gt;0,4-Data!E45,"")</f>
        <v>2</v>
      </c>
      <c r="F45" s="1">
        <f>IF(Data!F45&gt;0,Data!F45-4,"")</f>
        <v>2</v>
      </c>
      <c r="G45" s="1">
        <f>IF(Data!G45&gt;0,Data!G45-4,"")</f>
        <v>2</v>
      </c>
      <c r="H45" s="1">
        <f>IF(Data!H45&gt;0,Data!H45-4,"")</f>
        <v>2</v>
      </c>
      <c r="I45" s="1">
        <f>IF(Data!I45&gt;0,4-Data!I45,"")</f>
        <v>2</v>
      </c>
      <c r="J45" s="1">
        <f>IF(Data!J45&gt;0,4-Data!J45,"")</f>
        <v>-1</v>
      </c>
      <c r="K45" s="1">
        <f>IF(Data!K45&gt;0,Data!K45-4,"")</f>
        <v>2</v>
      </c>
      <c r="L45" s="1">
        <f>IF(Data!L45&gt;0,4-Data!L45,"")</f>
        <v>2</v>
      </c>
      <c r="M45" s="1">
        <f>IF(Data!M45&gt;0,Data!M45-4,"")</f>
        <v>2</v>
      </c>
      <c r="N45" s="1">
        <f>IF(Data!N45&gt;0,Data!N45-4,"")</f>
        <v>2</v>
      </c>
      <c r="O45" s="1">
        <f>IF(Data!O45&gt;0,Data!O45-4,"")</f>
        <v>2</v>
      </c>
      <c r="P45" s="1">
        <f>IF(Data!P45&gt;0,Data!P45-4,"")</f>
        <v>2</v>
      </c>
      <c r="Q45" s="1">
        <f>IF(Data!Q45&gt;0,4-Data!Q45,"")</f>
        <v>2</v>
      </c>
      <c r="R45" s="1">
        <f>IF(Data!R45&gt;0,4-Data!R45,"")</f>
        <v>2</v>
      </c>
      <c r="S45" s="1">
        <f>IF(Data!S45&gt;0,4-Data!S45,"")</f>
        <v>2</v>
      </c>
      <c r="T45" s="1">
        <f>IF(Data!T45&gt;0,Data!T45-4,"")</f>
        <v>2</v>
      </c>
      <c r="U45" s="1">
        <f>IF(Data!U45&gt;0,4-Data!U45,"")</f>
        <v>2</v>
      </c>
      <c r="V45" s="1">
        <f>IF(Data!V45&gt;0,Data!V45-4,"")</f>
        <v>2</v>
      </c>
      <c r="W45" s="1">
        <f>IF(Data!W45&gt;0,4-Data!W45,"")</f>
        <v>1</v>
      </c>
      <c r="X45" s="1">
        <f>IF(Data!X45&gt;0,4-Data!X45,"")</f>
        <v>2</v>
      </c>
      <c r="Y45" s="1">
        <f>IF(Data!Y45&gt;0,4-Data!Y45,"")</f>
        <v>3</v>
      </c>
      <c r="Z45" s="1">
        <f>IF(Data!Z45&gt;0,Data!Z45-4,"")</f>
        <v>2</v>
      </c>
      <c r="AC45" s="4" t="str">
        <f t="shared" si="11"/>
        <v/>
      </c>
      <c r="AD45" s="4">
        <f t="shared" si="12"/>
        <v>1</v>
      </c>
      <c r="AE45" s="4" t="str">
        <f t="shared" si="13"/>
        <v/>
      </c>
      <c r="AF45" s="4" t="str">
        <f t="shared" si="14"/>
        <v/>
      </c>
      <c r="AG45" s="4" t="str">
        <f t="shared" si="8"/>
        <v/>
      </c>
      <c r="AH45" s="4" t="str">
        <f t="shared" si="15"/>
        <v/>
      </c>
      <c r="AI45" s="2">
        <f t="shared" si="10"/>
        <v>1</v>
      </c>
      <c r="AK45" s="2">
        <f>IF(MAX(COUNTIF(Data!A45:Z45,1),COUNTIF(Data!A45:Z45,2),COUNTIF(Data!A45:Z45,3),COUNTIF(Data!A45:Z45,4),COUNTIF(Data!A45:Z45,5),COUNTIF(Data!A45:Z45,6),COUNTIF(Data!A45:Z45,7))&gt;0,MAX(COUNTIF(Data!A45:Z45,1),COUNTIF(Data!A45:Z45,2),COUNTIF(Data!A45:Z45,3),COUNTIF(Data!A45:Z45,4),COUNTIF(Data!A45:Z45,5),COUNTIF(Data!A45:Z45,6),COUNTIF(Data!A45:Z45,7)),"")</f>
        <v>13</v>
      </c>
    </row>
    <row r="46" spans="1:37">
      <c r="A46" s="1">
        <f>IF(Data!A46&gt;0,Data!A46-4,"")</f>
        <v>2</v>
      </c>
      <c r="B46" s="1">
        <f>IF(Data!B46&gt;0,Data!B46-4,"")</f>
        <v>2</v>
      </c>
      <c r="C46" s="1">
        <f>IF(Data!C46&gt;0,4-Data!C46,"")</f>
        <v>1</v>
      </c>
      <c r="D46" s="1">
        <f>IF(Data!D46&gt;0,4-Data!D46,"")</f>
        <v>1</v>
      </c>
      <c r="E46" s="1">
        <f>IF(Data!E46&gt;0,4-Data!E46,"")</f>
        <v>1</v>
      </c>
      <c r="F46" s="1">
        <f>IF(Data!F46&gt;0,Data!F46-4,"")</f>
        <v>1</v>
      </c>
      <c r="G46" s="1">
        <f>IF(Data!G46&gt;0,Data!G46-4,"")</f>
        <v>2</v>
      </c>
      <c r="H46" s="1">
        <f>IF(Data!H46&gt;0,Data!H46-4,"")</f>
        <v>1</v>
      </c>
      <c r="I46" s="1">
        <f>IF(Data!I46&gt;0,4-Data!I46,"")</f>
        <v>2</v>
      </c>
      <c r="J46" s="1">
        <f>IF(Data!J46&gt;0,4-Data!J46,"")</f>
        <v>0</v>
      </c>
      <c r="K46" s="1">
        <f>IF(Data!K46&gt;0,Data!K46-4,"")</f>
        <v>1</v>
      </c>
      <c r="L46" s="1">
        <f>IF(Data!L46&gt;0,4-Data!L46,"")</f>
        <v>2</v>
      </c>
      <c r="M46" s="1">
        <f>IF(Data!M46&gt;0,Data!M46-4,"")</f>
        <v>0</v>
      </c>
      <c r="N46" s="1">
        <f>IF(Data!N46&gt;0,Data!N46-4,"")</f>
        <v>1</v>
      </c>
      <c r="O46" s="1">
        <f>IF(Data!O46&gt;0,Data!O46-4,"")</f>
        <v>2</v>
      </c>
      <c r="P46" s="1">
        <f>IF(Data!P46&gt;0,Data!P46-4,"")</f>
        <v>1</v>
      </c>
      <c r="Q46" s="1">
        <f>IF(Data!Q46&gt;0,4-Data!Q46,"")</f>
        <v>2</v>
      </c>
      <c r="R46" s="1">
        <f>IF(Data!R46&gt;0,4-Data!R46,"")</f>
        <v>1</v>
      </c>
      <c r="S46" s="1">
        <f>IF(Data!S46&gt;0,4-Data!S46,"")</f>
        <v>2</v>
      </c>
      <c r="T46" s="1">
        <f>IF(Data!T46&gt;0,Data!T46-4,"")</f>
        <v>2</v>
      </c>
      <c r="U46" s="1">
        <f>IF(Data!U46&gt;0,4-Data!U46,"")</f>
        <v>2</v>
      </c>
      <c r="V46" s="1">
        <f>IF(Data!V46&gt;0,Data!V46-4,"")</f>
        <v>2</v>
      </c>
      <c r="W46" s="1">
        <f>IF(Data!W46&gt;0,4-Data!W46,"")</f>
        <v>1</v>
      </c>
      <c r="X46" s="1">
        <f>IF(Data!X46&gt;0,4-Data!X46,"")</f>
        <v>2</v>
      </c>
      <c r="Y46" s="1">
        <f>IF(Data!Y46&gt;0,4-Data!Y46,"")</f>
        <v>1</v>
      </c>
      <c r="Z46" s="1">
        <f>IF(Data!Z46&gt;0,Data!Z46-4,"")</f>
        <v>2</v>
      </c>
      <c r="AC46" s="4" t="str">
        <f t="shared" si="11"/>
        <v/>
      </c>
      <c r="AD46" s="4" t="str">
        <f t="shared" si="12"/>
        <v/>
      </c>
      <c r="AE46" s="4" t="str">
        <f t="shared" si="13"/>
        <v/>
      </c>
      <c r="AF46" s="4" t="str">
        <f t="shared" si="14"/>
        <v/>
      </c>
      <c r="AG46" s="4" t="str">
        <f t="shared" si="8"/>
        <v/>
      </c>
      <c r="AH46" s="4" t="str">
        <f t="shared" si="15"/>
        <v/>
      </c>
      <c r="AI46" s="2">
        <f t="shared" si="10"/>
        <v>0</v>
      </c>
      <c r="AK46" s="2">
        <f>IF(MAX(COUNTIF(Data!A46:Z46,1),COUNTIF(Data!A46:Z46,2),COUNTIF(Data!A46:Z46,3),COUNTIF(Data!A46:Z46,4),COUNTIF(Data!A46:Z46,5),COUNTIF(Data!A46:Z46,6),COUNTIF(Data!A46:Z46,7))&gt;0,MAX(COUNTIF(Data!A46:Z46,1),COUNTIF(Data!A46:Z46,2),COUNTIF(Data!A46:Z46,3),COUNTIF(Data!A46:Z46,4),COUNTIF(Data!A46:Z46,5),COUNTIF(Data!A46:Z46,6),COUNTIF(Data!A46:Z46,7)),"")</f>
        <v>7</v>
      </c>
    </row>
    <row r="47" spans="1:37">
      <c r="A47" s="1">
        <f>IF(Data!A47&gt;0,Data!A47-4,"")</f>
        <v>3</v>
      </c>
      <c r="B47" s="1">
        <f>IF(Data!B47&gt;0,Data!B47-4,"")</f>
        <v>2</v>
      </c>
      <c r="C47" s="1">
        <f>IF(Data!C47&gt;0,4-Data!C47,"")</f>
        <v>3</v>
      </c>
      <c r="D47" s="1">
        <f>IF(Data!D47&gt;0,4-Data!D47,"")</f>
        <v>3</v>
      </c>
      <c r="E47" s="1">
        <f>IF(Data!E47&gt;0,4-Data!E47,"")</f>
        <v>3</v>
      </c>
      <c r="F47" s="1">
        <f>IF(Data!F47&gt;0,Data!F47-4,"")</f>
        <v>3</v>
      </c>
      <c r="G47" s="1">
        <f>IF(Data!G47&gt;0,Data!G47-4,"")</f>
        <v>3</v>
      </c>
      <c r="H47" s="1">
        <f>IF(Data!H47&gt;0,Data!H47-4,"")</f>
        <v>1</v>
      </c>
      <c r="I47" s="1">
        <f>IF(Data!I47&gt;0,4-Data!I47,"")</f>
        <v>3</v>
      </c>
      <c r="J47" s="1">
        <f>IF(Data!J47&gt;0,4-Data!J47,"")</f>
        <v>3</v>
      </c>
      <c r="K47" s="1">
        <f>IF(Data!K47&gt;0,Data!K47-4,"")</f>
        <v>3</v>
      </c>
      <c r="L47" s="1">
        <f>IF(Data!L47&gt;0,4-Data!L47,"")</f>
        <v>3</v>
      </c>
      <c r="M47" s="1">
        <f>IF(Data!M47&gt;0,Data!M47-4,"")</f>
        <v>3</v>
      </c>
      <c r="N47" s="1">
        <f>IF(Data!N47&gt;0,Data!N47-4,"")</f>
        <v>3</v>
      </c>
      <c r="O47" s="1">
        <f>IF(Data!O47&gt;0,Data!O47-4,"")</f>
        <v>2</v>
      </c>
      <c r="P47" s="1">
        <f>IF(Data!P47&gt;0,Data!P47-4,"")</f>
        <v>3</v>
      </c>
      <c r="Q47" s="1">
        <f>IF(Data!Q47&gt;0,4-Data!Q47,"")</f>
        <v>3</v>
      </c>
      <c r="R47" s="1">
        <f>IF(Data!R47&gt;0,4-Data!R47,"")</f>
        <v>2</v>
      </c>
      <c r="S47" s="1">
        <f>IF(Data!S47&gt;0,4-Data!S47,"")</f>
        <v>3</v>
      </c>
      <c r="T47" s="1">
        <f>IF(Data!T47&gt;0,Data!T47-4,"")</f>
        <v>3</v>
      </c>
      <c r="U47" s="1">
        <f>IF(Data!U47&gt;0,4-Data!U47,"")</f>
        <v>3</v>
      </c>
      <c r="V47" s="1">
        <f>IF(Data!V47&gt;0,Data!V47-4,"")</f>
        <v>2</v>
      </c>
      <c r="W47" s="1">
        <f>IF(Data!W47&gt;0,4-Data!W47,"")</f>
        <v>-1</v>
      </c>
      <c r="X47" s="1">
        <f>IF(Data!X47&gt;0,4-Data!X47,"")</f>
        <v>2</v>
      </c>
      <c r="Y47" s="1">
        <f>IF(Data!Y47&gt;0,4-Data!Y47,"")</f>
        <v>3</v>
      </c>
      <c r="Z47" s="1">
        <f>IF(Data!Z47&gt;0,Data!Z47-4,"")</f>
        <v>1</v>
      </c>
      <c r="AC47" s="4" t="str">
        <f t="shared" si="11"/>
        <v/>
      </c>
      <c r="AD47" s="4" t="str">
        <f t="shared" si="12"/>
        <v/>
      </c>
      <c r="AE47" s="4">
        <f t="shared" si="13"/>
        <v>1</v>
      </c>
      <c r="AF47" s="4" t="str">
        <f t="shared" si="14"/>
        <v/>
      </c>
      <c r="AG47" s="4" t="str">
        <f t="shared" si="8"/>
        <v/>
      </c>
      <c r="AH47" s="4" t="str">
        <f t="shared" si="15"/>
        <v/>
      </c>
      <c r="AI47" s="2">
        <f t="shared" si="10"/>
        <v>1</v>
      </c>
      <c r="AK47" s="2">
        <f>IF(MAX(COUNTIF(Data!A47:Z47,1),COUNTIF(Data!A47:Z47,2),COUNTIF(Data!A47:Z47,3),COUNTIF(Data!A47:Z47,4),COUNTIF(Data!A47:Z47,5),COUNTIF(Data!A47:Z47,6),COUNTIF(Data!A47:Z47,7))&gt;0,MAX(COUNTIF(Data!A47:Z47,1),COUNTIF(Data!A47:Z47,2),COUNTIF(Data!A47:Z47,3),COUNTIF(Data!A47:Z47,4),COUNTIF(Data!A47:Z47,5),COUNTIF(Data!A47:Z47,6),COUNTIF(Data!A47:Z47,7)),"")</f>
        <v>10</v>
      </c>
    </row>
    <row r="48" spans="1:37">
      <c r="A48" s="1">
        <f>IF(Data!A48&gt;0,Data!A48-4,"")</f>
        <v>3</v>
      </c>
      <c r="B48" s="1">
        <f>IF(Data!B48&gt;0,Data!B48-4,"")</f>
        <v>3</v>
      </c>
      <c r="C48" s="1">
        <f>IF(Data!C48&gt;0,4-Data!C48,"")</f>
        <v>3</v>
      </c>
      <c r="D48" s="1">
        <f>IF(Data!D48&gt;0,4-Data!D48,"")</f>
        <v>3</v>
      </c>
      <c r="E48" s="1">
        <f>IF(Data!E48&gt;0,4-Data!E48,"")</f>
        <v>3</v>
      </c>
      <c r="F48" s="1">
        <f>IF(Data!F48&gt;0,Data!F48-4,"")</f>
        <v>3</v>
      </c>
      <c r="G48" s="1">
        <f>IF(Data!G48&gt;0,Data!G48-4,"")</f>
        <v>3</v>
      </c>
      <c r="H48" s="1">
        <f>IF(Data!H48&gt;0,Data!H48-4,"")</f>
        <v>-3</v>
      </c>
      <c r="I48" s="1">
        <f>IF(Data!I48&gt;0,4-Data!I48,"")</f>
        <v>3</v>
      </c>
      <c r="J48" s="1">
        <f>IF(Data!J48&gt;0,4-Data!J48,"")</f>
        <v>3</v>
      </c>
      <c r="K48" s="1">
        <f>IF(Data!K48&gt;0,Data!K48-4,"")</f>
        <v>3</v>
      </c>
      <c r="L48" s="1">
        <f>IF(Data!L48&gt;0,4-Data!L48,"")</f>
        <v>3</v>
      </c>
      <c r="M48" s="1">
        <f>IF(Data!M48&gt;0,Data!M48-4,"")</f>
        <v>3</v>
      </c>
      <c r="N48" s="1">
        <f>IF(Data!N48&gt;0,Data!N48-4,"")</f>
        <v>3</v>
      </c>
      <c r="O48" s="1">
        <f>IF(Data!O48&gt;0,Data!O48-4,"")</f>
        <v>3</v>
      </c>
      <c r="P48" s="1">
        <f>IF(Data!P48&gt;0,Data!P48-4,"")</f>
        <v>3</v>
      </c>
      <c r="Q48" s="1">
        <f>IF(Data!Q48&gt;0,4-Data!Q48,"")</f>
        <v>3</v>
      </c>
      <c r="R48" s="1">
        <f>IF(Data!R48&gt;0,4-Data!R48,"")</f>
        <v>3</v>
      </c>
      <c r="S48" s="1">
        <f>IF(Data!S48&gt;0,4-Data!S48,"")</f>
        <v>3</v>
      </c>
      <c r="T48" s="1">
        <f>IF(Data!T48&gt;0,Data!T48-4,"")</f>
        <v>3</v>
      </c>
      <c r="U48" s="1">
        <f>IF(Data!U48&gt;0,4-Data!U48,"")</f>
        <v>3</v>
      </c>
      <c r="V48" s="1">
        <f>IF(Data!V48&gt;0,Data!V48-4,"")</f>
        <v>3</v>
      </c>
      <c r="W48" s="1">
        <f>IF(Data!W48&gt;0,4-Data!W48,"")</f>
        <v>3</v>
      </c>
      <c r="X48" s="1">
        <f>IF(Data!X48&gt;0,4-Data!X48,"")</f>
        <v>3</v>
      </c>
      <c r="Y48" s="1">
        <f>IF(Data!Y48&gt;0,4-Data!Y48,"")</f>
        <v>3</v>
      </c>
      <c r="Z48" s="1">
        <f>IF(Data!Z48&gt;0,Data!Z48-4,"")</f>
        <v>-3</v>
      </c>
      <c r="AC48" s="4" t="str">
        <f t="shared" si="11"/>
        <v/>
      </c>
      <c r="AD48" s="4" t="str">
        <f t="shared" si="12"/>
        <v/>
      </c>
      <c r="AE48" s="4" t="str">
        <f t="shared" si="13"/>
        <v/>
      </c>
      <c r="AF48" s="4">
        <f t="shared" si="14"/>
        <v>1</v>
      </c>
      <c r="AG48" s="4" t="str">
        <f t="shared" si="8"/>
        <v/>
      </c>
      <c r="AH48" s="4">
        <f t="shared" si="15"/>
        <v>1</v>
      </c>
      <c r="AI48" s="2">
        <f t="shared" si="10"/>
        <v>2</v>
      </c>
      <c r="AK48" s="2">
        <f>IF(MAX(COUNTIF(Data!A48:Z48,1),COUNTIF(Data!A48:Z48,2),COUNTIF(Data!A48:Z48,3),COUNTIF(Data!A48:Z48,4),COUNTIF(Data!A48:Z48,5),COUNTIF(Data!A48:Z48,6),COUNTIF(Data!A48:Z48,7))&gt;0,MAX(COUNTIF(Data!A48:Z48,1),COUNTIF(Data!A48:Z48,2),COUNTIF(Data!A48:Z48,3),COUNTIF(Data!A48:Z48,4),COUNTIF(Data!A48:Z48,5),COUNTIF(Data!A48:Z48,6),COUNTIF(Data!A48:Z48,7)),"")</f>
        <v>15</v>
      </c>
    </row>
    <row r="49" spans="1:37">
      <c r="A49" s="1">
        <f>IF(Data!A49&gt;0,Data!A49-4,"")</f>
        <v>2</v>
      </c>
      <c r="B49" s="1">
        <f>IF(Data!B49&gt;0,Data!B49-4,"")</f>
        <v>2</v>
      </c>
      <c r="C49" s="1">
        <f>IF(Data!C49&gt;0,4-Data!C49,"")</f>
        <v>2</v>
      </c>
      <c r="D49" s="1">
        <f>IF(Data!D49&gt;0,4-Data!D49,"")</f>
        <v>2</v>
      </c>
      <c r="E49" s="1">
        <f>IF(Data!E49&gt;0,4-Data!E49,"")</f>
        <v>2</v>
      </c>
      <c r="F49" s="1">
        <f>IF(Data!F49&gt;0,Data!F49-4,"")</f>
        <v>0</v>
      </c>
      <c r="G49" s="1">
        <f>IF(Data!G49&gt;0,Data!G49-4,"")</f>
        <v>0</v>
      </c>
      <c r="H49" s="1">
        <f>IF(Data!H49&gt;0,Data!H49-4,"")</f>
        <v>0</v>
      </c>
      <c r="I49" s="1">
        <f>IF(Data!I49&gt;0,4-Data!I49,"")</f>
        <v>2</v>
      </c>
      <c r="J49" s="1">
        <f>IF(Data!J49&gt;0,4-Data!J49,"")</f>
        <v>1</v>
      </c>
      <c r="K49" s="1">
        <f>IF(Data!K49&gt;0,Data!K49-4,"")</f>
        <v>1</v>
      </c>
      <c r="L49" s="1">
        <f>IF(Data!L49&gt;0,4-Data!L49,"")</f>
        <v>1</v>
      </c>
      <c r="M49" s="1">
        <f>IF(Data!M49&gt;0,Data!M49-4,"")</f>
        <v>1</v>
      </c>
      <c r="N49" s="1">
        <f>IF(Data!N49&gt;0,Data!N49-4,"")</f>
        <v>2</v>
      </c>
      <c r="O49" s="1">
        <f>IF(Data!O49&gt;0,Data!O49-4,"")</f>
        <v>1</v>
      </c>
      <c r="P49" s="1">
        <f>IF(Data!P49&gt;0,Data!P49-4,"")</f>
        <v>1</v>
      </c>
      <c r="Q49" s="1">
        <f>IF(Data!Q49&gt;0,4-Data!Q49,"")</f>
        <v>2</v>
      </c>
      <c r="R49" s="1">
        <f>IF(Data!R49&gt;0,4-Data!R49,"")</f>
        <v>1</v>
      </c>
      <c r="S49" s="1">
        <f>IF(Data!S49&gt;0,4-Data!S49,"")</f>
        <v>2</v>
      </c>
      <c r="T49" s="1">
        <f>IF(Data!T49&gt;0,Data!T49-4,"")</f>
        <v>2</v>
      </c>
      <c r="U49" s="1">
        <f>IF(Data!U49&gt;0,4-Data!U49,"")</f>
        <v>2</v>
      </c>
      <c r="V49" s="1">
        <f>IF(Data!V49&gt;0,Data!V49-4,"")</f>
        <v>2</v>
      </c>
      <c r="W49" s="1">
        <f>IF(Data!W49&gt;0,4-Data!W49,"")</f>
        <v>2</v>
      </c>
      <c r="X49" s="1">
        <f>IF(Data!X49&gt;0,4-Data!X49,"")</f>
        <v>1</v>
      </c>
      <c r="Y49" s="1">
        <f>IF(Data!Y49&gt;0,4-Data!Y49,"")</f>
        <v>2</v>
      </c>
      <c r="Z49" s="1">
        <f>IF(Data!Z49&gt;0,Data!Z49-4,"")</f>
        <v>1</v>
      </c>
      <c r="AC49" s="4" t="str">
        <f t="shared" si="11"/>
        <v/>
      </c>
      <c r="AD49" s="4" t="str">
        <f t="shared" si="12"/>
        <v/>
      </c>
      <c r="AE49" s="4" t="str">
        <f t="shared" si="13"/>
        <v/>
      </c>
      <c r="AF49" s="4" t="str">
        <f t="shared" si="14"/>
        <v/>
      </c>
      <c r="AG49" s="4" t="str">
        <f t="shared" si="8"/>
        <v/>
      </c>
      <c r="AH49" s="4" t="str">
        <f t="shared" si="15"/>
        <v/>
      </c>
      <c r="AI49" s="2">
        <f t="shared" si="10"/>
        <v>0</v>
      </c>
      <c r="AK49" s="2">
        <f>IF(MAX(COUNTIF(Data!A49:Z49,1),COUNTIF(Data!A49:Z49,2),COUNTIF(Data!A49:Z49,3),COUNTIF(Data!A49:Z49,4),COUNTIF(Data!A49:Z49,5),COUNTIF(Data!A49:Z49,6),COUNTIF(Data!A49:Z49,7))&gt;0,MAX(COUNTIF(Data!A49:Z49,1),COUNTIF(Data!A49:Z49,2),COUNTIF(Data!A49:Z49,3),COUNTIF(Data!A49:Z49,4),COUNTIF(Data!A49:Z49,5),COUNTIF(Data!A49:Z49,6),COUNTIF(Data!A49:Z49,7)),"")</f>
        <v>9</v>
      </c>
    </row>
    <row r="50" spans="1:37">
      <c r="A50" s="1">
        <f>IF(Data!A50&gt;0,Data!A50-4,"")</f>
        <v>2</v>
      </c>
      <c r="B50" s="1">
        <f>IF(Data!B50&gt;0,Data!B50-4,"")</f>
        <v>2</v>
      </c>
      <c r="C50" s="1">
        <f>IF(Data!C50&gt;0,4-Data!C50,"")</f>
        <v>1</v>
      </c>
      <c r="D50" s="1">
        <f>IF(Data!D50&gt;0,4-Data!D50,"")</f>
        <v>2</v>
      </c>
      <c r="E50" s="1">
        <f>IF(Data!E50&gt;0,4-Data!E50,"")</f>
        <v>1</v>
      </c>
      <c r="F50" s="1">
        <f>IF(Data!F50&gt;0,Data!F50-4,"")</f>
        <v>0</v>
      </c>
      <c r="G50" s="1">
        <f>IF(Data!G50&gt;0,Data!G50-4,"")</f>
        <v>0</v>
      </c>
      <c r="H50" s="1">
        <f>IF(Data!H50&gt;0,Data!H50-4,"")</f>
        <v>-1</v>
      </c>
      <c r="I50" s="1">
        <f>IF(Data!I50&gt;0,4-Data!I50,"")</f>
        <v>2</v>
      </c>
      <c r="J50" s="1">
        <f>IF(Data!J50&gt;0,4-Data!J50,"")</f>
        <v>0</v>
      </c>
      <c r="K50" s="1">
        <f>IF(Data!K50&gt;0,Data!K50-4,"")</f>
        <v>1</v>
      </c>
      <c r="L50" s="1">
        <f>IF(Data!L50&gt;0,4-Data!L50,"")</f>
        <v>2</v>
      </c>
      <c r="M50" s="1">
        <f>IF(Data!M50&gt;0,Data!M50-4,"")</f>
        <v>2</v>
      </c>
      <c r="N50" s="1">
        <f>IF(Data!N50&gt;0,Data!N50-4,"")</f>
        <v>2</v>
      </c>
      <c r="O50" s="1">
        <f>IF(Data!O50&gt;0,Data!O50-4,"")</f>
        <v>1</v>
      </c>
      <c r="P50" s="1">
        <f>IF(Data!P50&gt;0,Data!P50-4,"")</f>
        <v>1</v>
      </c>
      <c r="Q50" s="1">
        <f>IF(Data!Q50&gt;0,4-Data!Q50,"")</f>
        <v>2</v>
      </c>
      <c r="R50" s="1">
        <f>IF(Data!R50&gt;0,4-Data!R50,"")</f>
        <v>2</v>
      </c>
      <c r="S50" s="1">
        <f>IF(Data!S50&gt;0,4-Data!S50,"")</f>
        <v>2</v>
      </c>
      <c r="T50" s="1">
        <f>IF(Data!T50&gt;0,Data!T50-4,"")</f>
        <v>2</v>
      </c>
      <c r="U50" s="1">
        <f>IF(Data!U50&gt;0,4-Data!U50,"")</f>
        <v>2</v>
      </c>
      <c r="V50" s="1">
        <f>IF(Data!V50&gt;0,Data!V50-4,"")</f>
        <v>2</v>
      </c>
      <c r="W50" s="1">
        <f>IF(Data!W50&gt;0,4-Data!W50,"")</f>
        <v>3</v>
      </c>
      <c r="X50" s="1">
        <f>IF(Data!X50&gt;0,4-Data!X50,"")</f>
        <v>2</v>
      </c>
      <c r="Y50" s="1">
        <f>IF(Data!Y50&gt;0,4-Data!Y50,"")</f>
        <v>3</v>
      </c>
      <c r="Z50" s="1">
        <f>IF(Data!Z50&gt;0,Data!Z50-4,"")</f>
        <v>1</v>
      </c>
      <c r="AC50" s="4" t="str">
        <f t="shared" si="11"/>
        <v/>
      </c>
      <c r="AD50" s="4" t="str">
        <f t="shared" si="12"/>
        <v/>
      </c>
      <c r="AE50" s="4" t="str">
        <f t="shared" si="13"/>
        <v/>
      </c>
      <c r="AF50" s="4" t="str">
        <f t="shared" si="14"/>
        <v/>
      </c>
      <c r="AG50" s="4" t="str">
        <f t="shared" si="8"/>
        <v/>
      </c>
      <c r="AH50" s="4" t="str">
        <f t="shared" si="15"/>
        <v/>
      </c>
      <c r="AI50" s="2">
        <f t="shared" si="10"/>
        <v>0</v>
      </c>
      <c r="AK50" s="2">
        <f>IF(MAX(COUNTIF(Data!A50:Z50,1),COUNTIF(Data!A50:Z50,2),COUNTIF(Data!A50:Z50,3),COUNTIF(Data!A50:Z50,4),COUNTIF(Data!A50:Z50,5),COUNTIF(Data!A50:Z50,6),COUNTIF(Data!A50:Z50,7))&gt;0,MAX(COUNTIF(Data!A50:Z50,1),COUNTIF(Data!A50:Z50,2),COUNTIF(Data!A50:Z50,3),COUNTIF(Data!A50:Z50,4),COUNTIF(Data!A50:Z50,5),COUNTIF(Data!A50:Z50,6),COUNTIF(Data!A50:Z50,7)),"")</f>
        <v>8</v>
      </c>
    </row>
    <row r="51" spans="1:37">
      <c r="A51" s="1">
        <f>IF(Data!A51&gt;0,Data!A51-4,"")</f>
        <v>1</v>
      </c>
      <c r="B51" s="1">
        <f>IF(Data!B51&gt;0,Data!B51-4,"")</f>
        <v>1</v>
      </c>
      <c r="C51" s="1">
        <f>IF(Data!C51&gt;0,4-Data!C51,"")</f>
        <v>0</v>
      </c>
      <c r="D51" s="1">
        <f>IF(Data!D51&gt;0,4-Data!D51,"")</f>
        <v>2</v>
      </c>
      <c r="E51" s="1">
        <f>IF(Data!E51&gt;0,4-Data!E51,"")</f>
        <v>2</v>
      </c>
      <c r="F51" s="1">
        <f>IF(Data!F51&gt;0,Data!F51-4,"")</f>
        <v>1</v>
      </c>
      <c r="G51" s="1">
        <f>IF(Data!G51&gt;0,Data!G51-4,"")</f>
        <v>1</v>
      </c>
      <c r="H51" s="1">
        <f>IF(Data!H51&gt;0,Data!H51-4,"")</f>
        <v>-1</v>
      </c>
      <c r="I51" s="1">
        <f>IF(Data!I51&gt;0,4-Data!I51,"")</f>
        <v>2</v>
      </c>
      <c r="J51" s="1">
        <f>IF(Data!J51&gt;0,4-Data!J51,"")</f>
        <v>2</v>
      </c>
      <c r="K51" s="1">
        <f>IF(Data!K51&gt;0,Data!K51-4,"")</f>
        <v>-1</v>
      </c>
      <c r="L51" s="1">
        <f>IF(Data!L51&gt;0,4-Data!L51,"")</f>
        <v>2</v>
      </c>
      <c r="M51" s="1">
        <f>IF(Data!M51&gt;0,Data!M51-4,"")</f>
        <v>1</v>
      </c>
      <c r="N51" s="1">
        <f>IF(Data!N51&gt;0,Data!N51-4,"")</f>
        <v>1</v>
      </c>
      <c r="O51" s="1">
        <f>IF(Data!O51&gt;0,Data!O51-4,"")</f>
        <v>1</v>
      </c>
      <c r="P51" s="1">
        <f>IF(Data!P51&gt;0,Data!P51-4,"")</f>
        <v>1</v>
      </c>
      <c r="Q51" s="1">
        <f>IF(Data!Q51&gt;0,4-Data!Q51,"")</f>
        <v>2</v>
      </c>
      <c r="R51" s="1">
        <f>IF(Data!R51&gt;0,4-Data!R51,"")</f>
        <v>0</v>
      </c>
      <c r="S51" s="1">
        <f>IF(Data!S51&gt;0,4-Data!S51,"")</f>
        <v>1</v>
      </c>
      <c r="T51" s="1">
        <f>IF(Data!T51&gt;0,Data!T51-4,"")</f>
        <v>0</v>
      </c>
      <c r="U51" s="1">
        <f>IF(Data!U51&gt;0,4-Data!U51,"")</f>
        <v>1</v>
      </c>
      <c r="V51" s="1">
        <f>IF(Data!V51&gt;0,Data!V51-4,"")</f>
        <v>1</v>
      </c>
      <c r="W51" s="1">
        <f>IF(Data!W51&gt;0,4-Data!W51,"")</f>
        <v>1</v>
      </c>
      <c r="X51" s="1">
        <f>IF(Data!X51&gt;0,4-Data!X51,"")</f>
        <v>0</v>
      </c>
      <c r="Y51" s="1">
        <f>IF(Data!Y51&gt;0,4-Data!Y51,"")</f>
        <v>0</v>
      </c>
      <c r="Z51" s="1">
        <f>IF(Data!Z51&gt;0,Data!Z51-4,"")</f>
        <v>2</v>
      </c>
      <c r="AC51" s="4" t="str">
        <f t="shared" si="11"/>
        <v/>
      </c>
      <c r="AD51" s="4" t="str">
        <f t="shared" si="12"/>
        <v/>
      </c>
      <c r="AE51" s="4" t="str">
        <f t="shared" si="13"/>
        <v/>
      </c>
      <c r="AF51" s="4" t="str">
        <f t="shared" si="14"/>
        <v/>
      </c>
      <c r="AG51" s="4" t="str">
        <f t="shared" si="8"/>
        <v/>
      </c>
      <c r="AH51" s="4" t="str">
        <f t="shared" si="15"/>
        <v/>
      </c>
      <c r="AI51" s="2">
        <f t="shared" si="10"/>
        <v>0</v>
      </c>
      <c r="AK51" s="2">
        <f>IF(MAX(COUNTIF(Data!A51:Z51,1),COUNTIF(Data!A51:Z51,2),COUNTIF(Data!A51:Z51,3),COUNTIF(Data!A51:Z51,4),COUNTIF(Data!A51:Z51,5),COUNTIF(Data!A51:Z51,6),COUNTIF(Data!A51:Z51,7))&gt;0,MAX(COUNTIF(Data!A51:Z51,1),COUNTIF(Data!A51:Z51,2),COUNTIF(Data!A51:Z51,3),COUNTIF(Data!A51:Z51,4),COUNTIF(Data!A51:Z51,5),COUNTIF(Data!A51:Z51,6),COUNTIF(Data!A51:Z51,7)),"")</f>
        <v>9</v>
      </c>
    </row>
    <row r="52" spans="1:37">
      <c r="A52" s="1">
        <f>IF(Data!A52&gt;0,Data!A52-4,"")</f>
        <v>2</v>
      </c>
      <c r="B52" s="1">
        <f>IF(Data!B52&gt;0,Data!B52-4,"")</f>
        <v>2</v>
      </c>
      <c r="C52" s="1">
        <f>IF(Data!C52&gt;0,4-Data!C52,"")</f>
        <v>0</v>
      </c>
      <c r="D52" s="1">
        <f>IF(Data!D52&gt;0,4-Data!D52,"")</f>
        <v>2</v>
      </c>
      <c r="E52" s="1">
        <f>IF(Data!E52&gt;0,4-Data!E52,"")</f>
        <v>2</v>
      </c>
      <c r="F52" s="1">
        <f>IF(Data!F52&gt;0,Data!F52-4,"")</f>
        <v>0</v>
      </c>
      <c r="G52" s="1">
        <f>IF(Data!G52&gt;0,Data!G52-4,"")</f>
        <v>2</v>
      </c>
      <c r="H52" s="1">
        <f>IF(Data!H52&gt;0,Data!H52-4,"")</f>
        <v>0</v>
      </c>
      <c r="I52" s="1">
        <f>IF(Data!I52&gt;0,4-Data!I52,"")</f>
        <v>2</v>
      </c>
      <c r="J52" s="1">
        <f>IF(Data!J52&gt;0,4-Data!J52,"")</f>
        <v>-1</v>
      </c>
      <c r="K52" s="1">
        <f>IF(Data!K52&gt;0,Data!K52-4,"")</f>
        <v>1</v>
      </c>
      <c r="L52" s="1">
        <f>IF(Data!L52&gt;0,4-Data!L52,"")</f>
        <v>2</v>
      </c>
      <c r="M52" s="1">
        <f>IF(Data!M52&gt;0,Data!M52-4,"")</f>
        <v>2</v>
      </c>
      <c r="N52" s="1">
        <f>IF(Data!N52&gt;0,Data!N52-4,"")</f>
        <v>2</v>
      </c>
      <c r="O52" s="1">
        <f>IF(Data!O52&gt;0,Data!O52-4,"")</f>
        <v>-1</v>
      </c>
      <c r="P52" s="1">
        <f>IF(Data!P52&gt;0,Data!P52-4,"")</f>
        <v>2</v>
      </c>
      <c r="Q52" s="1">
        <f>IF(Data!Q52&gt;0,4-Data!Q52,"")</f>
        <v>2</v>
      </c>
      <c r="R52" s="1">
        <f>IF(Data!R52&gt;0,4-Data!R52,"")</f>
        <v>2</v>
      </c>
      <c r="S52" s="1">
        <f>IF(Data!S52&gt;0,4-Data!S52,"")</f>
        <v>2</v>
      </c>
      <c r="T52" s="1">
        <f>IF(Data!T52&gt;0,Data!T52-4,"")</f>
        <v>3</v>
      </c>
      <c r="U52" s="1">
        <f>IF(Data!U52&gt;0,4-Data!U52,"")</f>
        <v>1</v>
      </c>
      <c r="V52" s="1">
        <f>IF(Data!V52&gt;0,Data!V52-4,"")</f>
        <v>2</v>
      </c>
      <c r="W52" s="1">
        <f>IF(Data!W52&gt;0,4-Data!W52,"")</f>
        <v>-1</v>
      </c>
      <c r="X52" s="1">
        <f>IF(Data!X52&gt;0,4-Data!X52,"")</f>
        <v>0</v>
      </c>
      <c r="Y52" s="1">
        <f>IF(Data!Y52&gt;0,4-Data!Y52,"")</f>
        <v>1</v>
      </c>
      <c r="Z52" s="1">
        <f>IF(Data!Z52&gt;0,Data!Z52-4,"")</f>
        <v>-1</v>
      </c>
      <c r="AC52" s="4" t="str">
        <f t="shared" si="11"/>
        <v/>
      </c>
      <c r="AD52" s="4" t="str">
        <f t="shared" si="12"/>
        <v/>
      </c>
      <c r="AE52" s="4">
        <f t="shared" si="13"/>
        <v>1</v>
      </c>
      <c r="AF52" s="4" t="str">
        <f t="shared" si="14"/>
        <v/>
      </c>
      <c r="AG52" s="4" t="str">
        <f t="shared" si="8"/>
        <v/>
      </c>
      <c r="AH52" s="4" t="str">
        <f t="shared" si="15"/>
        <v/>
      </c>
      <c r="AI52" s="2">
        <f t="shared" si="10"/>
        <v>1</v>
      </c>
      <c r="AK52" s="2">
        <f>IF(MAX(COUNTIF(Data!A52:Z52,1),COUNTIF(Data!A52:Z52,2),COUNTIF(Data!A52:Z52,3),COUNTIF(Data!A52:Z52,4),COUNTIF(Data!A52:Z52,5),COUNTIF(Data!A52:Z52,6),COUNTIF(Data!A52:Z52,7))&gt;0,MAX(COUNTIF(Data!A52:Z52,1),COUNTIF(Data!A52:Z52,2),COUNTIF(Data!A52:Z52,3),COUNTIF(Data!A52:Z52,4),COUNTIF(Data!A52:Z52,5),COUNTIF(Data!A52:Z52,6),COUNTIF(Data!A52:Z52,7)),"")</f>
        <v>7</v>
      </c>
    </row>
    <row r="53" spans="1:37">
      <c r="A53" s="1">
        <f>IF(Data!A53&gt;0,Data!A53-4,"")</f>
        <v>0</v>
      </c>
      <c r="B53" s="1">
        <f>IF(Data!B53&gt;0,Data!B53-4,"")</f>
        <v>0</v>
      </c>
      <c r="C53" s="1">
        <f>IF(Data!C53&gt;0,4-Data!C53,"")</f>
        <v>0</v>
      </c>
      <c r="D53" s="1">
        <f>IF(Data!D53&gt;0,4-Data!D53,"")</f>
        <v>0</v>
      </c>
      <c r="E53" s="1">
        <f>IF(Data!E53&gt;0,4-Data!E53,"")</f>
        <v>0</v>
      </c>
      <c r="F53" s="1">
        <f>IF(Data!F53&gt;0,Data!F53-4,"")</f>
        <v>-2</v>
      </c>
      <c r="G53" s="1">
        <f>IF(Data!G53&gt;0,Data!G53-4,"")</f>
        <v>-2</v>
      </c>
      <c r="H53" s="1">
        <f>IF(Data!H53&gt;0,Data!H53-4,"")</f>
        <v>-2</v>
      </c>
      <c r="I53" s="1">
        <f>IF(Data!I53&gt;0,4-Data!I53,"")</f>
        <v>0</v>
      </c>
      <c r="J53" s="1">
        <f>IF(Data!J53&gt;0,4-Data!J53,"")</f>
        <v>0</v>
      </c>
      <c r="K53" s="1">
        <f>IF(Data!K53&gt;0,Data!K53-4,"")</f>
        <v>-1</v>
      </c>
      <c r="L53" s="1">
        <f>IF(Data!L53&gt;0,4-Data!L53,"")</f>
        <v>0</v>
      </c>
      <c r="M53" s="1">
        <f>IF(Data!M53&gt;0,Data!M53-4,"")</f>
        <v>-2</v>
      </c>
      <c r="N53" s="1">
        <f>IF(Data!N53&gt;0,Data!N53-4,"")</f>
        <v>-2</v>
      </c>
      <c r="O53" s="1">
        <f>IF(Data!O53&gt;0,Data!O53-4,"")</f>
        <v>-2</v>
      </c>
      <c r="P53" s="1">
        <f>IF(Data!P53&gt;0,Data!P53-4,"")</f>
        <v>-2</v>
      </c>
      <c r="Q53" s="1">
        <f>IF(Data!Q53&gt;0,4-Data!Q53,"")</f>
        <v>0</v>
      </c>
      <c r="R53" s="1">
        <f>IF(Data!R53&gt;0,4-Data!R53,"")</f>
        <v>0</v>
      </c>
      <c r="S53" s="1">
        <f>IF(Data!S53&gt;0,4-Data!S53,"")</f>
        <v>0</v>
      </c>
      <c r="T53" s="1">
        <f>IF(Data!T53&gt;0,Data!T53-4,"")</f>
        <v>0</v>
      </c>
      <c r="U53" s="1">
        <f>IF(Data!U53&gt;0,4-Data!U53,"")</f>
        <v>0</v>
      </c>
      <c r="V53" s="1">
        <f>IF(Data!V53&gt;0,Data!V53-4,"")</f>
        <v>-2</v>
      </c>
      <c r="W53" s="1">
        <f>IF(Data!W53&gt;0,4-Data!W53,"")</f>
        <v>0</v>
      </c>
      <c r="X53" s="1">
        <f>IF(Data!X53&gt;0,4-Data!X53,"")</f>
        <v>2</v>
      </c>
      <c r="Y53" s="1">
        <f>IF(Data!Y53&gt;0,4-Data!Y53,"")</f>
        <v>0</v>
      </c>
      <c r="Z53" s="1">
        <f>IF(Data!Z53&gt;0,Data!Z53-4,"")</f>
        <v>-2</v>
      </c>
      <c r="AC53" s="4">
        <f t="shared" si="11"/>
        <v>1</v>
      </c>
      <c r="AD53" s="4" t="str">
        <f t="shared" si="12"/>
        <v/>
      </c>
      <c r="AE53" s="4" t="str">
        <f t="shared" si="13"/>
        <v/>
      </c>
      <c r="AF53" s="4" t="str">
        <f t="shared" si="14"/>
        <v/>
      </c>
      <c r="AG53" s="4" t="str">
        <f t="shared" si="8"/>
        <v/>
      </c>
      <c r="AH53" s="4" t="str">
        <f t="shared" si="15"/>
        <v/>
      </c>
      <c r="AI53" s="2">
        <f t="shared" si="10"/>
        <v>1</v>
      </c>
      <c r="AK53" s="2">
        <f>IF(MAX(COUNTIF(Data!A53:Z53,1),COUNTIF(Data!A53:Z53,2),COUNTIF(Data!A53:Z53,3),COUNTIF(Data!A53:Z53,4),COUNTIF(Data!A53:Z53,5),COUNTIF(Data!A53:Z53,6),COUNTIF(Data!A53:Z53,7))&gt;0,MAX(COUNTIF(Data!A53:Z53,1),COUNTIF(Data!A53:Z53,2),COUNTIF(Data!A53:Z53,3),COUNTIF(Data!A53:Z53,4),COUNTIF(Data!A53:Z53,5),COUNTIF(Data!A53:Z53,6),COUNTIF(Data!A53:Z53,7)),"")</f>
        <v>15</v>
      </c>
    </row>
    <row r="54" spans="1:37">
      <c r="A54" s="1">
        <f>IF(Data!A54&gt;0,Data!A54-4,"")</f>
        <v>1</v>
      </c>
      <c r="B54" s="1">
        <f>IF(Data!B54&gt;0,Data!B54-4,"")</f>
        <v>1</v>
      </c>
      <c r="C54" s="1">
        <f>IF(Data!C54&gt;0,4-Data!C54,"")</f>
        <v>-1</v>
      </c>
      <c r="D54" s="1">
        <f>IF(Data!D54&gt;0,4-Data!D54,"")</f>
        <v>-1</v>
      </c>
      <c r="E54" s="1">
        <f>IF(Data!E54&gt;0,4-Data!E54,"")</f>
        <v>-1</v>
      </c>
      <c r="F54" s="1">
        <f>IF(Data!F54&gt;0,Data!F54-4,"")</f>
        <v>1</v>
      </c>
      <c r="G54" s="1">
        <f>IF(Data!G54&gt;0,Data!G54-4,"")</f>
        <v>1</v>
      </c>
      <c r="H54" s="1">
        <f>IF(Data!H54&gt;0,Data!H54-4,"")</f>
        <v>0</v>
      </c>
      <c r="I54" s="1">
        <f>IF(Data!I54&gt;0,4-Data!I54,"")</f>
        <v>0</v>
      </c>
      <c r="J54" s="1">
        <f>IF(Data!J54&gt;0,4-Data!J54,"")</f>
        <v>0</v>
      </c>
      <c r="K54" s="1">
        <f>IF(Data!K54&gt;0,Data!K54-4,"")</f>
        <v>1</v>
      </c>
      <c r="L54" s="1">
        <f>IF(Data!L54&gt;0,4-Data!L54,"")</f>
        <v>-2</v>
      </c>
      <c r="M54" s="1">
        <f>IF(Data!M54&gt;0,Data!M54-4,"")</f>
        <v>2</v>
      </c>
      <c r="N54" s="1">
        <f>IF(Data!N54&gt;0,Data!N54-4,"")</f>
        <v>2</v>
      </c>
      <c r="O54" s="1">
        <f>IF(Data!O54&gt;0,Data!O54-4,"")</f>
        <v>2</v>
      </c>
      <c r="P54" s="1">
        <f>IF(Data!P54&gt;0,Data!P54-4,"")</f>
        <v>2</v>
      </c>
      <c r="Q54" s="1">
        <f>IF(Data!Q54&gt;0,4-Data!Q54,"")</f>
        <v>-2</v>
      </c>
      <c r="R54" s="1">
        <f>IF(Data!R54&gt;0,4-Data!R54,"")</f>
        <v>0</v>
      </c>
      <c r="S54" s="1">
        <f>IF(Data!S54&gt;0,4-Data!S54,"")</f>
        <v>0</v>
      </c>
      <c r="T54" s="1">
        <f>IF(Data!T54&gt;0,Data!T54-4,"")</f>
        <v>0</v>
      </c>
      <c r="U54" s="1">
        <f>IF(Data!U54&gt;0,4-Data!U54,"")</f>
        <v>0</v>
      </c>
      <c r="V54" s="1">
        <f>IF(Data!V54&gt;0,Data!V54-4,"")</f>
        <v>0</v>
      </c>
      <c r="W54" s="1">
        <f>IF(Data!W54&gt;0,4-Data!W54,"")</f>
        <v>0</v>
      </c>
      <c r="X54" s="1">
        <f>IF(Data!X54&gt;0,4-Data!X54,"")</f>
        <v>0</v>
      </c>
      <c r="Y54" s="1">
        <f>IF(Data!Y54&gt;0,4-Data!Y54,"")</f>
        <v>0</v>
      </c>
      <c r="Z54" s="1">
        <f>IF(Data!Z54&gt;0,Data!Z54-4,"")</f>
        <v>0</v>
      </c>
      <c r="AC54" s="4">
        <f t="shared" si="11"/>
        <v>1</v>
      </c>
      <c r="AD54" s="4" t="str">
        <f t="shared" si="12"/>
        <v/>
      </c>
      <c r="AE54" s="4" t="str">
        <f t="shared" si="13"/>
        <v/>
      </c>
      <c r="AF54" s="4" t="str">
        <f t="shared" si="14"/>
        <v/>
      </c>
      <c r="AG54" s="4" t="str">
        <f t="shared" si="8"/>
        <v/>
      </c>
      <c r="AH54" s="4" t="str">
        <f t="shared" si="15"/>
        <v/>
      </c>
      <c r="AI54" s="2">
        <f t="shared" si="10"/>
        <v>1</v>
      </c>
      <c r="AK54" s="2">
        <f>IF(MAX(COUNTIF(Data!A54:Z54,1),COUNTIF(Data!A54:Z54,2),COUNTIF(Data!A54:Z54,3),COUNTIF(Data!A54:Z54,4),COUNTIF(Data!A54:Z54,5),COUNTIF(Data!A54:Z54,6),COUNTIF(Data!A54:Z54,7))&gt;0,MAX(COUNTIF(Data!A54:Z54,1),COUNTIF(Data!A54:Z54,2),COUNTIF(Data!A54:Z54,3),COUNTIF(Data!A54:Z54,4),COUNTIF(Data!A54:Z54,5),COUNTIF(Data!A54:Z54,6),COUNTIF(Data!A54:Z54,7)),"")</f>
        <v>12</v>
      </c>
    </row>
    <row r="55" spans="1:37">
      <c r="A55" s="1">
        <f>IF(Data!A55&gt;0,Data!A55-4,"")</f>
        <v>3</v>
      </c>
      <c r="B55" s="1">
        <f>IF(Data!B55&gt;0,Data!B55-4,"")</f>
        <v>2</v>
      </c>
      <c r="C55" s="1">
        <f>IF(Data!C55&gt;0,4-Data!C55,"")</f>
        <v>2</v>
      </c>
      <c r="D55" s="1">
        <f>IF(Data!D55&gt;0,4-Data!D55,"")</f>
        <v>-2</v>
      </c>
      <c r="E55" s="1">
        <f>IF(Data!E55&gt;0,4-Data!E55,"")</f>
        <v>2</v>
      </c>
      <c r="F55" s="1">
        <f>IF(Data!F55&gt;0,Data!F55-4,"")</f>
        <v>3</v>
      </c>
      <c r="G55" s="1">
        <f>IF(Data!G55&gt;0,Data!G55-4,"")</f>
        <v>3</v>
      </c>
      <c r="H55" s="1">
        <f>IF(Data!H55&gt;0,Data!H55-4,"")</f>
        <v>-3</v>
      </c>
      <c r="I55" s="1">
        <f>IF(Data!I55&gt;0,4-Data!I55,"")</f>
        <v>2</v>
      </c>
      <c r="J55" s="1">
        <f>IF(Data!J55&gt;0,4-Data!J55,"")</f>
        <v>3</v>
      </c>
      <c r="K55" s="1">
        <f>IF(Data!K55&gt;0,Data!K55-4,"")</f>
        <v>2</v>
      </c>
      <c r="L55" s="1">
        <f>IF(Data!L55&gt;0,4-Data!L55,"")</f>
        <v>3</v>
      </c>
      <c r="M55" s="1">
        <f>IF(Data!M55&gt;0,Data!M55-4,"")</f>
        <v>3</v>
      </c>
      <c r="N55" s="1">
        <f>IF(Data!N55&gt;0,Data!N55-4,"")</f>
        <v>3</v>
      </c>
      <c r="O55" s="1">
        <f>IF(Data!O55&gt;0,Data!O55-4,"")</f>
        <v>3</v>
      </c>
      <c r="P55" s="1">
        <f>IF(Data!P55&gt;0,Data!P55-4,"")</f>
        <v>3</v>
      </c>
      <c r="Q55" s="1">
        <f>IF(Data!Q55&gt;0,4-Data!Q55,"")</f>
        <v>2</v>
      </c>
      <c r="R55" s="1">
        <f>IF(Data!R55&gt;0,4-Data!R55,"")</f>
        <v>2</v>
      </c>
      <c r="S55" s="1">
        <f>IF(Data!S55&gt;0,4-Data!S55,"")</f>
        <v>3</v>
      </c>
      <c r="T55" s="1">
        <f>IF(Data!T55&gt;0,Data!T55-4,"")</f>
        <v>3</v>
      </c>
      <c r="U55" s="1">
        <f>IF(Data!U55&gt;0,4-Data!U55,"")</f>
        <v>2</v>
      </c>
      <c r="V55" s="1">
        <f>IF(Data!V55&gt;0,Data!V55-4,"")</f>
        <v>2</v>
      </c>
      <c r="W55" s="1">
        <f>IF(Data!W55&gt;0,4-Data!W55,"")</f>
        <v>2</v>
      </c>
      <c r="X55" s="1">
        <f>IF(Data!X55&gt;0,4-Data!X55,"")</f>
        <v>2</v>
      </c>
      <c r="Y55" s="1">
        <f>IF(Data!Y55&gt;0,4-Data!Y55,"")</f>
        <v>2</v>
      </c>
      <c r="Z55" s="1">
        <f>IF(Data!Z55&gt;0,Data!Z55-4,"")</f>
        <v>1</v>
      </c>
      <c r="AC55" s="4" t="str">
        <f t="shared" si="11"/>
        <v/>
      </c>
      <c r="AD55" s="4">
        <f t="shared" si="12"/>
        <v>1</v>
      </c>
      <c r="AE55" s="4" t="str">
        <f t="shared" si="13"/>
        <v/>
      </c>
      <c r="AF55" s="4">
        <f t="shared" si="14"/>
        <v>1</v>
      </c>
      <c r="AG55" s="4" t="str">
        <f t="shared" si="8"/>
        <v/>
      </c>
      <c r="AH55" s="4" t="str">
        <f t="shared" si="15"/>
        <v/>
      </c>
      <c r="AI55" s="2">
        <f t="shared" si="10"/>
        <v>2</v>
      </c>
      <c r="AK55" s="2">
        <f>IF(MAX(COUNTIF(Data!A55:Z55,1),COUNTIF(Data!A55:Z55,2),COUNTIF(Data!A55:Z55,3),COUNTIF(Data!A55:Z55,4),COUNTIF(Data!A55:Z55,5),COUNTIF(Data!A55:Z55,6),COUNTIF(Data!A55:Z55,7))&gt;0,MAX(COUNTIF(Data!A55:Z55,1),COUNTIF(Data!A55:Z55,2),COUNTIF(Data!A55:Z55,3),COUNTIF(Data!A55:Z55,4),COUNTIF(Data!A55:Z55,5),COUNTIF(Data!A55:Z55,6),COUNTIF(Data!A55:Z55,7)),"")</f>
        <v>9</v>
      </c>
    </row>
    <row r="56" spans="1:37">
      <c r="A56" s="1">
        <f>IF(Data!A56&gt;0,Data!A56-4,"")</f>
        <v>1</v>
      </c>
      <c r="B56" s="1">
        <f>IF(Data!B56&gt;0,Data!B56-4,"")</f>
        <v>3</v>
      </c>
      <c r="C56" s="1">
        <f>IF(Data!C56&gt;0,4-Data!C56,"")</f>
        <v>-3</v>
      </c>
      <c r="D56" s="1">
        <f>IF(Data!D56&gt;0,4-Data!D56,"")</f>
        <v>-3</v>
      </c>
      <c r="E56" s="1">
        <f>IF(Data!E56&gt;0,4-Data!E56,"")</f>
        <v>-3</v>
      </c>
      <c r="F56" s="1">
        <f>IF(Data!F56&gt;0,Data!F56-4,"")</f>
        <v>3</v>
      </c>
      <c r="G56" s="1">
        <f>IF(Data!G56&gt;0,Data!G56-4,"")</f>
        <v>3</v>
      </c>
      <c r="H56" s="1">
        <f>IF(Data!H56&gt;0,Data!H56-4,"")</f>
        <v>2</v>
      </c>
      <c r="I56" s="1">
        <f>IF(Data!I56&gt;0,4-Data!I56,"")</f>
        <v>-3</v>
      </c>
      <c r="J56" s="1">
        <f>IF(Data!J56&gt;0,4-Data!J56,"")</f>
        <v>-3</v>
      </c>
      <c r="K56" s="1">
        <f>IF(Data!K56&gt;0,Data!K56-4,"")</f>
        <v>3</v>
      </c>
      <c r="L56" s="1">
        <f>IF(Data!L56&gt;0,4-Data!L56,"")</f>
        <v>-3</v>
      </c>
      <c r="M56" s="1">
        <f>IF(Data!M56&gt;0,Data!M56-4,"")</f>
        <v>3</v>
      </c>
      <c r="N56" s="1">
        <f>IF(Data!N56&gt;0,Data!N56-4,"")</f>
        <v>2</v>
      </c>
      <c r="O56" s="1">
        <f>IF(Data!O56&gt;0,Data!O56-4,"")</f>
        <v>2</v>
      </c>
      <c r="P56" s="1">
        <f>IF(Data!P56&gt;0,Data!P56-4,"")</f>
        <v>3</v>
      </c>
      <c r="Q56" s="1">
        <f>IF(Data!Q56&gt;0,4-Data!Q56,"")</f>
        <v>-3</v>
      </c>
      <c r="R56" s="1">
        <f>IF(Data!R56&gt;0,4-Data!R56,"")</f>
        <v>-3</v>
      </c>
      <c r="S56" s="1">
        <f>IF(Data!S56&gt;0,4-Data!S56,"")</f>
        <v>-3</v>
      </c>
      <c r="T56" s="1">
        <f>IF(Data!T56&gt;0,Data!T56-4,"")</f>
        <v>2</v>
      </c>
      <c r="U56" s="1">
        <f>IF(Data!U56&gt;0,4-Data!U56,"")</f>
        <v>-3</v>
      </c>
      <c r="V56" s="1">
        <f>IF(Data!V56&gt;0,Data!V56-4,"")</f>
        <v>3</v>
      </c>
      <c r="W56" s="1">
        <f>IF(Data!W56&gt;0,4-Data!W56,"")</f>
        <v>3</v>
      </c>
      <c r="X56" s="1">
        <f>IF(Data!X56&gt;0,4-Data!X56,"")</f>
        <v>-2</v>
      </c>
      <c r="Y56" s="1">
        <f>IF(Data!Y56&gt;0,4-Data!Y56,"")</f>
        <v>-3</v>
      </c>
      <c r="Z56" s="1">
        <f>IF(Data!Z56&gt;0,Data!Z56-4,"")</f>
        <v>3</v>
      </c>
      <c r="AC56" s="4">
        <f t="shared" si="11"/>
        <v>1</v>
      </c>
      <c r="AD56" s="4">
        <f t="shared" si="12"/>
        <v>1</v>
      </c>
      <c r="AE56" s="4">
        <f t="shared" si="13"/>
        <v>1</v>
      </c>
      <c r="AF56" s="4">
        <f t="shared" si="14"/>
        <v>1</v>
      </c>
      <c r="AG56" s="4">
        <f t="shared" si="8"/>
        <v>1</v>
      </c>
      <c r="AH56" s="4">
        <f t="shared" si="15"/>
        <v>1</v>
      </c>
      <c r="AI56" s="2">
        <f t="shared" si="10"/>
        <v>6</v>
      </c>
      <c r="AK56" s="2">
        <f>IF(MAX(COUNTIF(Data!A56:Z56,1),COUNTIF(Data!A56:Z56,2),COUNTIF(Data!A56:Z56,3),COUNTIF(Data!A56:Z56,4),COUNTIF(Data!A56:Z56,5),COUNTIF(Data!A56:Z56,6),COUNTIF(Data!A56:Z56,7))&gt;0,MAX(COUNTIF(Data!A56:Z56,1),COUNTIF(Data!A56:Z56,2),COUNTIF(Data!A56:Z56,3),COUNTIF(Data!A56:Z56,4),COUNTIF(Data!A56:Z56,5),COUNTIF(Data!A56:Z56,6),COUNTIF(Data!A56:Z56,7)),"")</f>
        <v>19</v>
      </c>
    </row>
    <row r="57" spans="1:37">
      <c r="A57" s="1">
        <f>IF(Data!A57&gt;0,Data!A57-4,"")</f>
        <v>3</v>
      </c>
      <c r="B57" s="1">
        <f>IF(Data!B57&gt;0,Data!B57-4,"")</f>
        <v>3</v>
      </c>
      <c r="C57" s="1">
        <f>IF(Data!C57&gt;0,4-Data!C57,"")</f>
        <v>2</v>
      </c>
      <c r="D57" s="1">
        <f>IF(Data!D57&gt;0,4-Data!D57,"")</f>
        <v>3</v>
      </c>
      <c r="E57" s="1">
        <f>IF(Data!E57&gt;0,4-Data!E57,"")</f>
        <v>3</v>
      </c>
      <c r="F57" s="1">
        <f>IF(Data!F57&gt;0,Data!F57-4,"")</f>
        <v>3</v>
      </c>
      <c r="G57" s="1">
        <f>IF(Data!G57&gt;0,Data!G57-4,"")</f>
        <v>3</v>
      </c>
      <c r="H57" s="1">
        <f>IF(Data!H57&gt;0,Data!H57-4,"")</f>
        <v>0</v>
      </c>
      <c r="I57" s="1">
        <f>IF(Data!I57&gt;0,4-Data!I57,"")</f>
        <v>1</v>
      </c>
      <c r="J57" s="1">
        <f>IF(Data!J57&gt;0,4-Data!J57,"")</f>
        <v>3</v>
      </c>
      <c r="K57" s="1">
        <f>IF(Data!K57&gt;0,Data!K57-4,"")</f>
        <v>3</v>
      </c>
      <c r="L57" s="1">
        <f>IF(Data!L57&gt;0,4-Data!L57,"")</f>
        <v>3</v>
      </c>
      <c r="M57" s="1">
        <f>IF(Data!M57&gt;0,Data!M57-4,"")</f>
        <v>3</v>
      </c>
      <c r="N57" s="1">
        <f>IF(Data!N57&gt;0,Data!N57-4,"")</f>
        <v>3</v>
      </c>
      <c r="O57" s="1">
        <f>IF(Data!O57&gt;0,Data!O57-4,"")</f>
        <v>2</v>
      </c>
      <c r="P57" s="1">
        <f>IF(Data!P57&gt;0,Data!P57-4,"")</f>
        <v>3</v>
      </c>
      <c r="Q57" s="1">
        <f>IF(Data!Q57&gt;0,4-Data!Q57,"")</f>
        <v>2</v>
      </c>
      <c r="R57" s="1">
        <f>IF(Data!R57&gt;0,4-Data!R57,"")</f>
        <v>3</v>
      </c>
      <c r="S57" s="1">
        <f>IF(Data!S57&gt;0,4-Data!S57,"")</f>
        <v>3</v>
      </c>
      <c r="T57" s="1">
        <f>IF(Data!T57&gt;0,Data!T57-4,"")</f>
        <v>3</v>
      </c>
      <c r="U57" s="1">
        <f>IF(Data!U57&gt;0,4-Data!U57,"")</f>
        <v>3</v>
      </c>
      <c r="V57" s="1">
        <f>IF(Data!V57&gt;0,Data!V57-4,"")</f>
        <v>3</v>
      </c>
      <c r="W57" s="1">
        <f>IF(Data!W57&gt;0,4-Data!W57,"")</f>
        <v>3</v>
      </c>
      <c r="X57" s="1">
        <f>IF(Data!X57&gt;0,4-Data!X57,"")</f>
        <v>1</v>
      </c>
      <c r="Y57" s="1">
        <f>IF(Data!Y57&gt;0,4-Data!Y57,"")</f>
        <v>3</v>
      </c>
      <c r="Z57" s="1">
        <f>IF(Data!Z57&gt;0,Data!Z57-4,"")</f>
        <v>2</v>
      </c>
      <c r="AC57" s="4" t="str">
        <f t="shared" si="11"/>
        <v/>
      </c>
      <c r="AD57" s="4" t="str">
        <f t="shared" si="12"/>
        <v/>
      </c>
      <c r="AE57" s="4" t="str">
        <f t="shared" si="13"/>
        <v/>
      </c>
      <c r="AF57" s="4" t="str">
        <f t="shared" si="14"/>
        <v/>
      </c>
      <c r="AG57" s="4" t="str">
        <f t="shared" si="8"/>
        <v/>
      </c>
      <c r="AH57" s="4" t="str">
        <f t="shared" si="15"/>
        <v/>
      </c>
      <c r="AI57" s="2">
        <f t="shared" si="10"/>
        <v>0</v>
      </c>
      <c r="AK57" s="2">
        <f>IF(MAX(COUNTIF(Data!A57:Z57,1),COUNTIF(Data!A57:Z57,2),COUNTIF(Data!A57:Z57,3),COUNTIF(Data!A57:Z57,4),COUNTIF(Data!A57:Z57,5),COUNTIF(Data!A57:Z57,6),COUNTIF(Data!A57:Z57,7))&gt;0,MAX(COUNTIF(Data!A57:Z57,1),COUNTIF(Data!A57:Z57,2),COUNTIF(Data!A57:Z57,3),COUNTIF(Data!A57:Z57,4),COUNTIF(Data!A57:Z57,5),COUNTIF(Data!A57:Z57,6),COUNTIF(Data!A57:Z57,7)),"")</f>
        <v>10</v>
      </c>
    </row>
    <row r="58" spans="1:37">
      <c r="A58" s="1">
        <f>IF(Data!A58&gt;0,Data!A58-4,"")</f>
        <v>3</v>
      </c>
      <c r="B58" s="1">
        <f>IF(Data!B58&gt;0,Data!B58-4,"")</f>
        <v>3</v>
      </c>
      <c r="C58" s="1">
        <f>IF(Data!C58&gt;0,4-Data!C58,"")</f>
        <v>3</v>
      </c>
      <c r="D58" s="1">
        <f>IF(Data!D58&gt;0,4-Data!D58,"")</f>
        <v>3</v>
      </c>
      <c r="E58" s="1">
        <f>IF(Data!E58&gt;0,4-Data!E58,"")</f>
        <v>3</v>
      </c>
      <c r="F58" s="1">
        <f>IF(Data!F58&gt;0,Data!F58-4,"")</f>
        <v>3</v>
      </c>
      <c r="G58" s="1">
        <f>IF(Data!G58&gt;0,Data!G58-4,"")</f>
        <v>3</v>
      </c>
      <c r="H58" s="1">
        <f>IF(Data!H58&gt;0,Data!H58-4,"")</f>
        <v>0</v>
      </c>
      <c r="I58" s="1">
        <f>IF(Data!I58&gt;0,4-Data!I58,"")</f>
        <v>3</v>
      </c>
      <c r="J58" s="1">
        <f>IF(Data!J58&gt;0,4-Data!J58,"")</f>
        <v>3</v>
      </c>
      <c r="K58" s="1">
        <f>IF(Data!K58&gt;0,Data!K58-4,"")</f>
        <v>2</v>
      </c>
      <c r="L58" s="1">
        <f>IF(Data!L58&gt;0,4-Data!L58,"")</f>
        <v>3</v>
      </c>
      <c r="M58" s="1">
        <f>IF(Data!M58&gt;0,Data!M58-4,"")</f>
        <v>3</v>
      </c>
      <c r="N58" s="1">
        <f>IF(Data!N58&gt;0,Data!N58-4,"")</f>
        <v>3</v>
      </c>
      <c r="O58" s="1">
        <f>IF(Data!O58&gt;0,Data!O58-4,"")</f>
        <v>2</v>
      </c>
      <c r="P58" s="1">
        <f>IF(Data!P58&gt;0,Data!P58-4,"")</f>
        <v>3</v>
      </c>
      <c r="Q58" s="1">
        <f>IF(Data!Q58&gt;0,4-Data!Q58,"")</f>
        <v>3</v>
      </c>
      <c r="R58" s="1">
        <f>IF(Data!R58&gt;0,4-Data!R58,"")</f>
        <v>3</v>
      </c>
      <c r="S58" s="1">
        <f>IF(Data!S58&gt;0,4-Data!S58,"")</f>
        <v>3</v>
      </c>
      <c r="T58" s="1">
        <f>IF(Data!T58&gt;0,Data!T58-4,"")</f>
        <v>3</v>
      </c>
      <c r="U58" s="1">
        <f>IF(Data!U58&gt;0,4-Data!U58,"")</f>
        <v>3</v>
      </c>
      <c r="V58" s="1">
        <f>IF(Data!V58&gt;0,Data!V58-4,"")</f>
        <v>3</v>
      </c>
      <c r="W58" s="1">
        <f>IF(Data!W58&gt;0,4-Data!W58,"")</f>
        <v>2</v>
      </c>
      <c r="X58" s="1">
        <f>IF(Data!X58&gt;0,4-Data!X58,"")</f>
        <v>3</v>
      </c>
      <c r="Y58" s="1">
        <f>IF(Data!Y58&gt;0,4-Data!Y58,"")</f>
        <v>3</v>
      </c>
      <c r="Z58" s="1">
        <f>IF(Data!Z58&gt;0,Data!Z58-4,"")</f>
        <v>3</v>
      </c>
      <c r="AC58" s="4" t="str">
        <f t="shared" si="11"/>
        <v/>
      </c>
      <c r="AD58" s="4" t="str">
        <f t="shared" si="12"/>
        <v/>
      </c>
      <c r="AE58" s="4" t="str">
        <f t="shared" si="13"/>
        <v/>
      </c>
      <c r="AF58" s="4" t="str">
        <f t="shared" si="14"/>
        <v/>
      </c>
      <c r="AG58" s="4" t="str">
        <f t="shared" si="8"/>
        <v/>
      </c>
      <c r="AH58" s="4" t="str">
        <f t="shared" si="15"/>
        <v/>
      </c>
      <c r="AI58" s="2">
        <f t="shared" si="10"/>
        <v>0</v>
      </c>
      <c r="AK58" s="2">
        <f>IF(MAX(COUNTIF(Data!A58:Z58,1),COUNTIF(Data!A58:Z58,2),COUNTIF(Data!A58:Z58,3),COUNTIF(Data!A58:Z58,4),COUNTIF(Data!A58:Z58,5),COUNTIF(Data!A58:Z58,6),COUNTIF(Data!A58:Z58,7))&gt;0,MAX(COUNTIF(Data!A58:Z58,1),COUNTIF(Data!A58:Z58,2),COUNTIF(Data!A58:Z58,3),COUNTIF(Data!A58:Z58,4),COUNTIF(Data!A58:Z58,5),COUNTIF(Data!A58:Z58,6),COUNTIF(Data!A58:Z58,7)),"")</f>
        <v>12</v>
      </c>
    </row>
    <row r="59" spans="1:37">
      <c r="A59" s="1">
        <f>IF(Data!A59&gt;0,Data!A59-4,"")</f>
        <v>3</v>
      </c>
      <c r="B59" s="1">
        <f>IF(Data!B59&gt;0,Data!B59-4,"")</f>
        <v>3</v>
      </c>
      <c r="C59" s="1">
        <f>IF(Data!C59&gt;0,4-Data!C59,"")</f>
        <v>2</v>
      </c>
      <c r="D59" s="1">
        <f>IF(Data!D59&gt;0,4-Data!D59,"")</f>
        <v>3</v>
      </c>
      <c r="E59" s="1">
        <f>IF(Data!E59&gt;0,4-Data!E59,"")</f>
        <v>3</v>
      </c>
      <c r="F59" s="1">
        <f>IF(Data!F59&gt;0,Data!F59-4,"")</f>
        <v>2</v>
      </c>
      <c r="G59" s="1">
        <f>IF(Data!G59&gt;0,Data!G59-4,"")</f>
        <v>3</v>
      </c>
      <c r="H59" s="1">
        <f>IF(Data!H59&gt;0,Data!H59-4,"")</f>
        <v>0</v>
      </c>
      <c r="I59" s="1">
        <f>IF(Data!I59&gt;0,4-Data!I59,"")</f>
        <v>2</v>
      </c>
      <c r="J59" s="1">
        <f>IF(Data!J59&gt;0,4-Data!J59,"")</f>
        <v>0</v>
      </c>
      <c r="K59" s="1">
        <f>IF(Data!K59&gt;0,Data!K59-4,"")</f>
        <v>2</v>
      </c>
      <c r="L59" s="1">
        <f>IF(Data!L59&gt;0,4-Data!L59,"")</f>
        <v>3</v>
      </c>
      <c r="M59" s="1">
        <f>IF(Data!M59&gt;0,Data!M59-4,"")</f>
        <v>3</v>
      </c>
      <c r="N59" s="1">
        <f>IF(Data!N59&gt;0,Data!N59-4,"")</f>
        <v>3</v>
      </c>
      <c r="O59" s="1">
        <f>IF(Data!O59&gt;0,Data!O59-4,"")</f>
        <v>0</v>
      </c>
      <c r="P59" s="1">
        <f>IF(Data!P59&gt;0,Data!P59-4,"")</f>
        <v>3</v>
      </c>
      <c r="Q59" s="1">
        <f>IF(Data!Q59&gt;0,4-Data!Q59,"")</f>
        <v>2</v>
      </c>
      <c r="R59" s="1">
        <f>IF(Data!R59&gt;0,4-Data!R59,"")</f>
        <v>3</v>
      </c>
      <c r="S59" s="1">
        <f>IF(Data!S59&gt;0,4-Data!S59,"")</f>
        <v>3</v>
      </c>
      <c r="T59" s="1">
        <f>IF(Data!T59&gt;0,Data!T59-4,"")</f>
        <v>3</v>
      </c>
      <c r="U59" s="1">
        <f>IF(Data!U59&gt;0,4-Data!U59,"")</f>
        <v>3</v>
      </c>
      <c r="V59" s="1">
        <f>IF(Data!V59&gt;0,Data!V59-4,"")</f>
        <v>3</v>
      </c>
      <c r="W59" s="1">
        <f>IF(Data!W59&gt;0,4-Data!W59,"")</f>
        <v>3</v>
      </c>
      <c r="X59" s="1">
        <f>IF(Data!X59&gt;0,4-Data!X59,"")</f>
        <v>3</v>
      </c>
      <c r="Y59" s="1">
        <f>IF(Data!Y59&gt;0,4-Data!Y59,"")</f>
        <v>3</v>
      </c>
      <c r="Z59" s="1">
        <f>IF(Data!Z59&gt;0,Data!Z59-4,"")</f>
        <v>1</v>
      </c>
      <c r="AC59" s="4" t="str">
        <f t="shared" si="11"/>
        <v/>
      </c>
      <c r="AD59" s="4" t="str">
        <f t="shared" si="12"/>
        <v/>
      </c>
      <c r="AE59" s="4" t="str">
        <f t="shared" si="13"/>
        <v/>
      </c>
      <c r="AF59" s="4" t="str">
        <f t="shared" si="14"/>
        <v/>
      </c>
      <c r="AG59" s="4" t="str">
        <f t="shared" si="8"/>
        <v/>
      </c>
      <c r="AH59" s="4" t="str">
        <f t="shared" si="15"/>
        <v/>
      </c>
      <c r="AI59" s="2">
        <f t="shared" si="10"/>
        <v>0</v>
      </c>
      <c r="AK59" s="2">
        <f>IF(MAX(COUNTIF(Data!A59:Z59,1),COUNTIF(Data!A59:Z59,2),COUNTIF(Data!A59:Z59,3),COUNTIF(Data!A59:Z59,4),COUNTIF(Data!A59:Z59,5),COUNTIF(Data!A59:Z59,6),COUNTIF(Data!A59:Z59,7))&gt;0,MAX(COUNTIF(Data!A59:Z59,1),COUNTIF(Data!A59:Z59,2),COUNTIF(Data!A59:Z59,3),COUNTIF(Data!A59:Z59,4),COUNTIF(Data!A59:Z59,5),COUNTIF(Data!A59:Z59,6),COUNTIF(Data!A59:Z59,7)),"")</f>
        <v>9</v>
      </c>
    </row>
    <row r="60" spans="1:37">
      <c r="A60" s="1">
        <f>IF(Data!A60&gt;0,Data!A60-4,"")</f>
        <v>2</v>
      </c>
      <c r="B60" s="1">
        <f>IF(Data!B60&gt;0,Data!B60-4,"")</f>
        <v>2</v>
      </c>
      <c r="C60" s="1">
        <f>IF(Data!C60&gt;0,4-Data!C60,"")</f>
        <v>-1</v>
      </c>
      <c r="D60" s="1">
        <f>IF(Data!D60&gt;0,4-Data!D60,"")</f>
        <v>-1</v>
      </c>
      <c r="E60" s="1">
        <f>IF(Data!E60&gt;0,4-Data!E60,"")</f>
        <v>2</v>
      </c>
      <c r="F60" s="1">
        <f>IF(Data!F60&gt;0,Data!F60-4,"")</f>
        <v>2</v>
      </c>
      <c r="G60" s="1">
        <f>IF(Data!G60&gt;0,Data!G60-4,"")</f>
        <v>1</v>
      </c>
      <c r="H60" s="1">
        <f>IF(Data!H60&gt;0,Data!H60-4,"")</f>
        <v>1</v>
      </c>
      <c r="I60" s="1">
        <f>IF(Data!I60&gt;0,4-Data!I60,"")</f>
        <v>2</v>
      </c>
      <c r="J60" s="1">
        <f>IF(Data!J60&gt;0,4-Data!J60,"")</f>
        <v>1</v>
      </c>
      <c r="K60" s="1">
        <f>IF(Data!K60&gt;0,Data!K60-4,"")</f>
        <v>1</v>
      </c>
      <c r="L60" s="1">
        <f>IF(Data!L60&gt;0,4-Data!L60,"")</f>
        <v>1</v>
      </c>
      <c r="M60" s="1">
        <f>IF(Data!M60&gt;0,Data!M60-4,"")</f>
        <v>-1</v>
      </c>
      <c r="N60" s="1">
        <f>IF(Data!N60&gt;0,Data!N60-4,"")</f>
        <v>2</v>
      </c>
      <c r="O60" s="1">
        <f>IF(Data!O60&gt;0,Data!O60-4,"")</f>
        <v>1</v>
      </c>
      <c r="P60" s="1">
        <f>IF(Data!P60&gt;0,Data!P60-4,"")</f>
        <v>2</v>
      </c>
      <c r="Q60" s="1">
        <f>IF(Data!Q60&gt;0,4-Data!Q60,"")</f>
        <v>3</v>
      </c>
      <c r="R60" s="1">
        <f>IF(Data!R60&gt;0,4-Data!R60,"")</f>
        <v>1</v>
      </c>
      <c r="S60" s="1">
        <f>IF(Data!S60&gt;0,4-Data!S60,"")</f>
        <v>2</v>
      </c>
      <c r="T60" s="1">
        <f>IF(Data!T60&gt;0,Data!T60-4,"")</f>
        <v>1</v>
      </c>
      <c r="U60" s="1">
        <f>IF(Data!U60&gt;0,4-Data!U60,"")</f>
        <v>1</v>
      </c>
      <c r="V60" s="1">
        <f>IF(Data!V60&gt;0,Data!V60-4,"")</f>
        <v>2</v>
      </c>
      <c r="W60" s="1">
        <f>IF(Data!W60&gt;0,4-Data!W60,"")</f>
        <v>-1</v>
      </c>
      <c r="X60" s="1">
        <f>IF(Data!X60&gt;0,4-Data!X60,"")</f>
        <v>1</v>
      </c>
      <c r="Y60" s="1">
        <f>IF(Data!Y60&gt;0,4-Data!Y60,"")</f>
        <v>2</v>
      </c>
      <c r="Z60" s="1">
        <f>IF(Data!Z60&gt;0,Data!Z60-4,"")</f>
        <v>2</v>
      </c>
      <c r="AC60" s="4" t="str">
        <f t="shared" si="11"/>
        <v/>
      </c>
      <c r="AD60" s="4" t="str">
        <f t="shared" si="12"/>
        <v/>
      </c>
      <c r="AE60" s="4" t="str">
        <f t="shared" si="13"/>
        <v/>
      </c>
      <c r="AF60" s="4" t="str">
        <f t="shared" si="14"/>
        <v/>
      </c>
      <c r="AG60" s="4" t="str">
        <f t="shared" si="8"/>
        <v/>
      </c>
      <c r="AH60" s="4" t="str">
        <f t="shared" si="15"/>
        <v/>
      </c>
      <c r="AI60" s="2">
        <f t="shared" si="10"/>
        <v>0</v>
      </c>
      <c r="AK60" s="2">
        <f>IF(MAX(COUNTIF(Data!A60:Z60,1),COUNTIF(Data!A60:Z60,2),COUNTIF(Data!A60:Z60,3),COUNTIF(Data!A60:Z60,4),COUNTIF(Data!A60:Z60,5),COUNTIF(Data!A60:Z60,6),COUNTIF(Data!A60:Z60,7))&gt;0,MAX(COUNTIF(Data!A60:Z60,1),COUNTIF(Data!A60:Z60,2),COUNTIF(Data!A60:Z60,3),COUNTIF(Data!A60:Z60,4),COUNTIF(Data!A60:Z60,5),COUNTIF(Data!A60:Z60,6),COUNTIF(Data!A60:Z60,7)),"")</f>
        <v>8</v>
      </c>
    </row>
    <row r="61" spans="1:37">
      <c r="A61" s="1">
        <f>IF(Data!A61&gt;0,Data!A61-4,"")</f>
        <v>0</v>
      </c>
      <c r="B61" s="1">
        <f>IF(Data!B61&gt;0,Data!B61-4,"")</f>
        <v>-1</v>
      </c>
      <c r="C61" s="1">
        <f>IF(Data!C61&gt;0,4-Data!C61,"")</f>
        <v>0</v>
      </c>
      <c r="D61" s="1">
        <f>IF(Data!D61&gt;0,4-Data!D61,"")</f>
        <v>-1</v>
      </c>
      <c r="E61" s="1">
        <f>IF(Data!E61&gt;0,4-Data!E61,"")</f>
        <v>1</v>
      </c>
      <c r="F61" s="1">
        <f>IF(Data!F61&gt;0,Data!F61-4,"")</f>
        <v>0</v>
      </c>
      <c r="G61" s="1">
        <f>IF(Data!G61&gt;0,Data!G61-4,"")</f>
        <v>2</v>
      </c>
      <c r="H61" s="1">
        <f>IF(Data!H61&gt;0,Data!H61-4,"")</f>
        <v>0</v>
      </c>
      <c r="I61" s="1">
        <f>IF(Data!I61&gt;0,4-Data!I61,"")</f>
        <v>1</v>
      </c>
      <c r="J61" s="1">
        <f>IF(Data!J61&gt;0,4-Data!J61,"")</f>
        <v>2</v>
      </c>
      <c r="K61" s="1">
        <f>IF(Data!K61&gt;0,Data!K61-4,"")</f>
        <v>-1</v>
      </c>
      <c r="L61" s="1">
        <f>IF(Data!L61&gt;0,4-Data!L61,"")</f>
        <v>0</v>
      </c>
      <c r="M61" s="1">
        <f>IF(Data!M61&gt;0,Data!M61-4,"")</f>
        <v>-1</v>
      </c>
      <c r="N61" s="1">
        <f>IF(Data!N61&gt;0,Data!N61-4,"")</f>
        <v>-2</v>
      </c>
      <c r="O61" s="1">
        <f>IF(Data!O61&gt;0,Data!O61-4,"")</f>
        <v>-1</v>
      </c>
      <c r="P61" s="1">
        <f>IF(Data!P61&gt;0,Data!P61-4,"")</f>
        <v>-1</v>
      </c>
      <c r="Q61" s="1">
        <f>IF(Data!Q61&gt;0,4-Data!Q61,"")</f>
        <v>-1</v>
      </c>
      <c r="R61" s="1">
        <f>IF(Data!R61&gt;0,4-Data!R61,"")</f>
        <v>0</v>
      </c>
      <c r="S61" s="1">
        <f>IF(Data!S61&gt;0,4-Data!S61,"")</f>
        <v>0</v>
      </c>
      <c r="T61" s="1">
        <f>IF(Data!T61&gt;0,Data!T61-4,"")</f>
        <v>1</v>
      </c>
      <c r="U61" s="1">
        <f>IF(Data!U61&gt;0,4-Data!U61,"")</f>
        <v>1</v>
      </c>
      <c r="V61" s="1">
        <f>IF(Data!V61&gt;0,Data!V61-4,"")</f>
        <v>1</v>
      </c>
      <c r="W61" s="1">
        <f>IF(Data!W61&gt;0,4-Data!W61,"")</f>
        <v>-1</v>
      </c>
      <c r="X61" s="1">
        <f>IF(Data!X61&gt;0,4-Data!X61,"")</f>
        <v>1</v>
      </c>
      <c r="Y61" s="1">
        <f>IF(Data!Y61&gt;0,4-Data!Y61,"")</f>
        <v>0</v>
      </c>
      <c r="Z61" s="1">
        <f>IF(Data!Z61&gt;0,Data!Z61-4,"")</f>
        <v>0</v>
      </c>
      <c r="AC61" s="4" t="str">
        <f t="shared" si="11"/>
        <v/>
      </c>
      <c r="AD61" s="4" t="str">
        <f t="shared" si="12"/>
        <v/>
      </c>
      <c r="AE61" s="4" t="str">
        <f t="shared" si="13"/>
        <v/>
      </c>
      <c r="AF61" s="4" t="str">
        <f t="shared" si="14"/>
        <v/>
      </c>
      <c r="AG61" s="4" t="str">
        <f t="shared" si="8"/>
        <v/>
      </c>
      <c r="AH61" s="4" t="str">
        <f t="shared" si="15"/>
        <v/>
      </c>
      <c r="AI61" s="2">
        <f t="shared" si="10"/>
        <v>0</v>
      </c>
      <c r="AK61" s="2">
        <f>IF(MAX(COUNTIF(Data!A61:Z61,1),COUNTIF(Data!A61:Z61,2),COUNTIF(Data!A61:Z61,3),COUNTIF(Data!A61:Z61,4),COUNTIF(Data!A61:Z61,5),COUNTIF(Data!A61:Z61,6),COUNTIF(Data!A61:Z61,7))&gt;0,MAX(COUNTIF(Data!A61:Z61,1),COUNTIF(Data!A61:Z61,2),COUNTIF(Data!A61:Z61,3),COUNTIF(Data!A61:Z61,4),COUNTIF(Data!A61:Z61,5),COUNTIF(Data!A61:Z61,6),COUNTIF(Data!A61:Z61,7)),"")</f>
        <v>9</v>
      </c>
    </row>
    <row r="62" spans="1:37">
      <c r="A62" s="1">
        <f>IF(Data!A62&gt;0,Data!A62-4,"")</f>
        <v>3</v>
      </c>
      <c r="B62" s="1">
        <f>IF(Data!B62&gt;0,Data!B62-4,"")</f>
        <v>3</v>
      </c>
      <c r="C62" s="1">
        <f>IF(Data!C62&gt;0,4-Data!C62,"")</f>
        <v>3</v>
      </c>
      <c r="D62" s="1">
        <f>IF(Data!D62&gt;0,4-Data!D62,"")</f>
        <v>3</v>
      </c>
      <c r="E62" s="1">
        <f>IF(Data!E62&gt;0,4-Data!E62,"")</f>
        <v>3</v>
      </c>
      <c r="F62" s="1">
        <f>IF(Data!F62&gt;0,Data!F62-4,"")</f>
        <v>3</v>
      </c>
      <c r="G62" s="1">
        <f>IF(Data!G62&gt;0,Data!G62-4,"")</f>
        <v>3</v>
      </c>
      <c r="H62" s="1">
        <f>IF(Data!H62&gt;0,Data!H62-4,"")</f>
        <v>0</v>
      </c>
      <c r="I62" s="1">
        <f>IF(Data!I62&gt;0,4-Data!I62,"")</f>
        <v>3</v>
      </c>
      <c r="J62" s="1">
        <f>IF(Data!J62&gt;0,4-Data!J62,"")</f>
        <v>3</v>
      </c>
      <c r="K62" s="1">
        <f>IF(Data!K62&gt;0,Data!K62-4,"")</f>
        <v>3</v>
      </c>
      <c r="L62" s="1">
        <f>IF(Data!L62&gt;0,4-Data!L62,"")</f>
        <v>3</v>
      </c>
      <c r="M62" s="1">
        <f>IF(Data!M62&gt;0,Data!M62-4,"")</f>
        <v>3</v>
      </c>
      <c r="N62" s="1">
        <f>IF(Data!N62&gt;0,Data!N62-4,"")</f>
        <v>3</v>
      </c>
      <c r="O62" s="1">
        <f>IF(Data!O62&gt;0,Data!O62-4,"")</f>
        <v>0</v>
      </c>
      <c r="P62" s="1">
        <f>IF(Data!P62&gt;0,Data!P62-4,"")</f>
        <v>3</v>
      </c>
      <c r="Q62" s="1">
        <f>IF(Data!Q62&gt;0,4-Data!Q62,"")</f>
        <v>3</v>
      </c>
      <c r="R62" s="1">
        <f>IF(Data!R62&gt;0,4-Data!R62,"")</f>
        <v>3</v>
      </c>
      <c r="S62" s="1">
        <f>IF(Data!S62&gt;0,4-Data!S62,"")</f>
        <v>3</v>
      </c>
      <c r="T62" s="1">
        <f>IF(Data!T62&gt;0,Data!T62-4,"")</f>
        <v>3</v>
      </c>
      <c r="U62" s="1">
        <f>IF(Data!U62&gt;0,4-Data!U62,"")</f>
        <v>3</v>
      </c>
      <c r="V62" s="1">
        <f>IF(Data!V62&gt;0,Data!V62-4,"")</f>
        <v>3</v>
      </c>
      <c r="W62" s="1">
        <f>IF(Data!W62&gt;0,4-Data!W62,"")</f>
        <v>3</v>
      </c>
      <c r="X62" s="1">
        <f>IF(Data!X62&gt;0,4-Data!X62,"")</f>
        <v>3</v>
      </c>
      <c r="Y62" s="1">
        <f>IF(Data!Y62&gt;0,4-Data!Y62,"")</f>
        <v>3</v>
      </c>
      <c r="Z62" s="1">
        <f>IF(Data!Z62&gt;0,Data!Z62-4,"")</f>
        <v>0</v>
      </c>
      <c r="AC62" s="4" t="str">
        <f t="shared" si="11"/>
        <v/>
      </c>
      <c r="AD62" s="4" t="str">
        <f t="shared" si="12"/>
        <v/>
      </c>
      <c r="AE62" s="4" t="str">
        <f t="shared" si="13"/>
        <v/>
      </c>
      <c r="AF62" s="4" t="str">
        <f t="shared" si="14"/>
        <v/>
      </c>
      <c r="AG62" s="4" t="str">
        <f t="shared" si="8"/>
        <v/>
      </c>
      <c r="AH62" s="4" t="str">
        <f t="shared" si="15"/>
        <v/>
      </c>
      <c r="AI62" s="2">
        <f t="shared" si="10"/>
        <v>0</v>
      </c>
      <c r="AK62" s="2">
        <f>IF(MAX(COUNTIF(Data!A62:Z62,1),COUNTIF(Data!A62:Z62,2),COUNTIF(Data!A62:Z62,3),COUNTIF(Data!A62:Z62,4),COUNTIF(Data!A62:Z62,5),COUNTIF(Data!A62:Z62,6),COUNTIF(Data!A62:Z62,7))&gt;0,MAX(COUNTIF(Data!A62:Z62,1),COUNTIF(Data!A62:Z62,2),COUNTIF(Data!A62:Z62,3),COUNTIF(Data!A62:Z62,4),COUNTIF(Data!A62:Z62,5),COUNTIF(Data!A62:Z62,6),COUNTIF(Data!A62:Z62,7)),"")</f>
        <v>13</v>
      </c>
    </row>
    <row r="63" spans="1:37">
      <c r="A63" s="1">
        <f>IF(Data!A63&gt;0,Data!A63-4,"")</f>
        <v>3</v>
      </c>
      <c r="B63" s="1">
        <f>IF(Data!B63&gt;0,Data!B63-4,"")</f>
        <v>3</v>
      </c>
      <c r="C63" s="1">
        <f>IF(Data!C63&gt;0,4-Data!C63,"")</f>
        <v>1</v>
      </c>
      <c r="D63" s="1">
        <f>IF(Data!D63&gt;0,4-Data!D63,"")</f>
        <v>1</v>
      </c>
      <c r="E63" s="1">
        <f>IF(Data!E63&gt;0,4-Data!E63,"")</f>
        <v>3</v>
      </c>
      <c r="F63" s="1">
        <f>IF(Data!F63&gt;0,Data!F63-4,"")</f>
        <v>2</v>
      </c>
      <c r="G63" s="1">
        <f>IF(Data!G63&gt;0,Data!G63-4,"")</f>
        <v>2</v>
      </c>
      <c r="H63" s="1">
        <f>IF(Data!H63&gt;0,Data!H63-4,"")</f>
        <v>1</v>
      </c>
      <c r="I63" s="1">
        <f>IF(Data!I63&gt;0,4-Data!I63,"")</f>
        <v>3</v>
      </c>
      <c r="J63" s="1">
        <f>IF(Data!J63&gt;0,4-Data!J63,"")</f>
        <v>2</v>
      </c>
      <c r="K63" s="1">
        <f>IF(Data!K63&gt;0,Data!K63-4,"")</f>
        <v>2</v>
      </c>
      <c r="L63" s="1">
        <f>IF(Data!L63&gt;0,4-Data!L63,"")</f>
        <v>3</v>
      </c>
      <c r="M63" s="1">
        <f>IF(Data!M63&gt;0,Data!M63-4,"")</f>
        <v>2</v>
      </c>
      <c r="N63" s="1">
        <f>IF(Data!N63&gt;0,Data!N63-4,"")</f>
        <v>3</v>
      </c>
      <c r="O63" s="1">
        <f>IF(Data!O63&gt;0,Data!O63-4,"")</f>
        <v>2</v>
      </c>
      <c r="P63" s="1">
        <f>IF(Data!P63&gt;0,Data!P63-4,"")</f>
        <v>3</v>
      </c>
      <c r="Q63" s="1">
        <f>IF(Data!Q63&gt;0,4-Data!Q63,"")</f>
        <v>2</v>
      </c>
      <c r="R63" s="1">
        <f>IF(Data!R63&gt;0,4-Data!R63,"")</f>
        <v>3</v>
      </c>
      <c r="S63" s="1">
        <f>IF(Data!S63&gt;0,4-Data!S63,"")</f>
        <v>3</v>
      </c>
      <c r="T63" s="1">
        <f>IF(Data!T63&gt;0,Data!T63-4,"")</f>
        <v>3</v>
      </c>
      <c r="U63" s="1">
        <f>IF(Data!U63&gt;0,4-Data!U63,"")</f>
        <v>2</v>
      </c>
      <c r="V63" s="1">
        <f>IF(Data!V63&gt;0,Data!V63-4,"")</f>
        <v>3</v>
      </c>
      <c r="W63" s="1">
        <f>IF(Data!W63&gt;0,4-Data!W63,"")</f>
        <v>3</v>
      </c>
      <c r="X63" s="1">
        <f>IF(Data!X63&gt;0,4-Data!X63,"")</f>
        <v>3</v>
      </c>
      <c r="Y63" s="1">
        <f>IF(Data!Y63&gt;0,4-Data!Y63,"")</f>
        <v>1</v>
      </c>
      <c r="Z63" s="1">
        <f>IF(Data!Z63&gt;0,Data!Z63-4,"")</f>
        <v>2</v>
      </c>
      <c r="AC63" s="4" t="str">
        <f t="shared" si="11"/>
        <v/>
      </c>
      <c r="AD63" s="4" t="str">
        <f t="shared" si="12"/>
        <v/>
      </c>
      <c r="AE63" s="4" t="str">
        <f t="shared" si="13"/>
        <v/>
      </c>
      <c r="AF63" s="4" t="str">
        <f t="shared" si="14"/>
        <v/>
      </c>
      <c r="AG63" s="4" t="str">
        <f t="shared" si="8"/>
        <v/>
      </c>
      <c r="AH63" s="4" t="str">
        <f t="shared" si="15"/>
        <v/>
      </c>
      <c r="AI63" s="2">
        <f t="shared" si="10"/>
        <v>0</v>
      </c>
      <c r="AK63" s="2">
        <f>IF(MAX(COUNTIF(Data!A63:Z63,1),COUNTIF(Data!A63:Z63,2),COUNTIF(Data!A63:Z63,3),COUNTIF(Data!A63:Z63,4),COUNTIF(Data!A63:Z63,5),COUNTIF(Data!A63:Z63,6),COUNTIF(Data!A63:Z63,7))&gt;0,MAX(COUNTIF(Data!A63:Z63,1),COUNTIF(Data!A63:Z63,2),COUNTIF(Data!A63:Z63,3),COUNTIF(Data!A63:Z63,4),COUNTIF(Data!A63:Z63,5),COUNTIF(Data!A63:Z63,6),COUNTIF(Data!A63:Z63,7)),"")</f>
        <v>7</v>
      </c>
    </row>
    <row r="64" spans="1:37">
      <c r="A64" s="1">
        <f>IF(Data!A64&gt;0,Data!A64-4,"")</f>
        <v>2</v>
      </c>
      <c r="B64" s="1">
        <f>IF(Data!B64&gt;0,Data!B64-4,"")</f>
        <v>2</v>
      </c>
      <c r="C64" s="1">
        <f>IF(Data!C64&gt;0,4-Data!C64,"")</f>
        <v>1</v>
      </c>
      <c r="D64" s="1">
        <f>IF(Data!D64&gt;0,4-Data!D64,"")</f>
        <v>3</v>
      </c>
      <c r="E64" s="1">
        <f>IF(Data!E64&gt;0,4-Data!E64,"")</f>
        <v>3</v>
      </c>
      <c r="F64" s="1">
        <f>IF(Data!F64&gt;0,Data!F64-4,"")</f>
        <v>2</v>
      </c>
      <c r="G64" s="1">
        <f>IF(Data!G64&gt;0,Data!G64-4,"")</f>
        <v>3</v>
      </c>
      <c r="H64" s="1">
        <f>IF(Data!H64&gt;0,Data!H64-4,"")</f>
        <v>1</v>
      </c>
      <c r="I64" s="1">
        <f>IF(Data!I64&gt;0,4-Data!I64,"")</f>
        <v>2</v>
      </c>
      <c r="J64" s="1">
        <f>IF(Data!J64&gt;0,4-Data!J64,"")</f>
        <v>1</v>
      </c>
      <c r="K64" s="1">
        <f>IF(Data!K64&gt;0,Data!K64-4,"")</f>
        <v>2</v>
      </c>
      <c r="L64" s="1">
        <f>IF(Data!L64&gt;0,4-Data!L64,"")</f>
        <v>3</v>
      </c>
      <c r="M64" s="1">
        <f>IF(Data!M64&gt;0,Data!M64-4,"")</f>
        <v>3</v>
      </c>
      <c r="N64" s="1">
        <f>IF(Data!N64&gt;0,Data!N64-4,"")</f>
        <v>3</v>
      </c>
      <c r="O64" s="1">
        <f>IF(Data!O64&gt;0,Data!O64-4,"")</f>
        <v>-3</v>
      </c>
      <c r="P64" s="1">
        <f>IF(Data!P64&gt;0,Data!P64-4,"")</f>
        <v>3</v>
      </c>
      <c r="Q64" s="1">
        <f>IF(Data!Q64&gt;0,4-Data!Q64,"")</f>
        <v>3</v>
      </c>
      <c r="R64" s="1">
        <f>IF(Data!R64&gt;0,4-Data!R64,"")</f>
        <v>3</v>
      </c>
      <c r="S64" s="1">
        <f>IF(Data!S64&gt;0,4-Data!S64,"")</f>
        <v>3</v>
      </c>
      <c r="T64" s="1">
        <f>IF(Data!T64&gt;0,Data!T64-4,"")</f>
        <v>3</v>
      </c>
      <c r="U64" s="1">
        <f>IF(Data!U64&gt;0,4-Data!U64,"")</f>
        <v>3</v>
      </c>
      <c r="V64" s="1">
        <f>IF(Data!V64&gt;0,Data!V64-4,"")</f>
        <v>3</v>
      </c>
      <c r="W64" s="1">
        <f>IF(Data!W64&gt;0,4-Data!W64,"")</f>
        <v>3</v>
      </c>
      <c r="X64" s="1">
        <f>IF(Data!X64&gt;0,4-Data!X64,"")</f>
        <v>2</v>
      </c>
      <c r="Y64" s="1">
        <f>IF(Data!Y64&gt;0,4-Data!Y64,"")</f>
        <v>2</v>
      </c>
      <c r="Z64" s="1">
        <f>IF(Data!Z64&gt;0,Data!Z64-4,"")</f>
        <v>-2</v>
      </c>
      <c r="AC64" s="4" t="str">
        <f t="shared" si="11"/>
        <v/>
      </c>
      <c r="AD64" s="4" t="str">
        <f t="shared" si="12"/>
        <v/>
      </c>
      <c r="AE64" s="4" t="str">
        <f t="shared" si="13"/>
        <v/>
      </c>
      <c r="AF64" s="4" t="str">
        <f t="shared" si="14"/>
        <v/>
      </c>
      <c r="AG64" s="4" t="str">
        <f t="shared" si="8"/>
        <v/>
      </c>
      <c r="AH64" s="4">
        <f t="shared" si="15"/>
        <v>1</v>
      </c>
      <c r="AI64" s="2">
        <f t="shared" si="10"/>
        <v>1</v>
      </c>
      <c r="AK64" s="2">
        <f>IF(MAX(COUNTIF(Data!A64:Z64,1),COUNTIF(Data!A64:Z64,2),COUNTIF(Data!A64:Z64,3),COUNTIF(Data!A64:Z64,4),COUNTIF(Data!A64:Z64,5),COUNTIF(Data!A64:Z64,6),COUNTIF(Data!A64:Z64,7))&gt;0,MAX(COUNTIF(Data!A64:Z64,1),COUNTIF(Data!A64:Z64,2),COUNTIF(Data!A64:Z64,3),COUNTIF(Data!A64:Z64,4),COUNTIF(Data!A64:Z64,5),COUNTIF(Data!A64:Z64,6),COUNTIF(Data!A64:Z64,7)),"")</f>
        <v>9</v>
      </c>
    </row>
    <row r="65" spans="1:37">
      <c r="A65" s="1">
        <f>IF(Data!A65&gt;0,Data!A65-4,"")</f>
        <v>3</v>
      </c>
      <c r="B65" s="1">
        <f>IF(Data!B65&gt;0,Data!B65-4,"")</f>
        <v>3</v>
      </c>
      <c r="C65" s="1">
        <f>IF(Data!C65&gt;0,4-Data!C65,"")</f>
        <v>0</v>
      </c>
      <c r="D65" s="1">
        <f>IF(Data!D65&gt;0,4-Data!D65,"")</f>
        <v>3</v>
      </c>
      <c r="E65" s="1">
        <f>IF(Data!E65&gt;0,4-Data!E65,"")</f>
        <v>3</v>
      </c>
      <c r="F65" s="1">
        <f>IF(Data!F65&gt;0,Data!F65-4,"")</f>
        <v>1</v>
      </c>
      <c r="G65" s="1">
        <f>IF(Data!G65&gt;0,Data!G65-4,"")</f>
        <v>0</v>
      </c>
      <c r="H65" s="1">
        <f>IF(Data!H65&gt;0,Data!H65-4,"")</f>
        <v>0</v>
      </c>
      <c r="I65" s="1">
        <f>IF(Data!I65&gt;0,4-Data!I65,"")</f>
        <v>1</v>
      </c>
      <c r="J65" s="1">
        <f>IF(Data!J65&gt;0,4-Data!J65,"")</f>
        <v>0</v>
      </c>
      <c r="K65" s="1">
        <f>IF(Data!K65&gt;0,Data!K65-4,"")</f>
        <v>2</v>
      </c>
      <c r="L65" s="1">
        <f>IF(Data!L65&gt;0,4-Data!L65,"")</f>
        <v>3</v>
      </c>
      <c r="M65" s="1">
        <f>IF(Data!M65&gt;0,Data!M65-4,"")</f>
        <v>3</v>
      </c>
      <c r="N65" s="1">
        <f>IF(Data!N65&gt;0,Data!N65-4,"")</f>
        <v>3</v>
      </c>
      <c r="O65" s="1">
        <f>IF(Data!O65&gt;0,Data!O65-4,"")</f>
        <v>0</v>
      </c>
      <c r="P65" s="1">
        <f>IF(Data!P65&gt;0,Data!P65-4,"")</f>
        <v>3</v>
      </c>
      <c r="Q65" s="1">
        <f>IF(Data!Q65&gt;0,4-Data!Q65,"")</f>
        <v>1</v>
      </c>
      <c r="R65" s="1">
        <f>IF(Data!R65&gt;0,4-Data!R65,"")</f>
        <v>0</v>
      </c>
      <c r="S65" s="1">
        <f>IF(Data!S65&gt;0,4-Data!S65,"")</f>
        <v>3</v>
      </c>
      <c r="T65" s="1">
        <f>IF(Data!T65&gt;0,Data!T65-4,"")</f>
        <v>3</v>
      </c>
      <c r="U65" s="1">
        <f>IF(Data!U65&gt;0,4-Data!U65,"")</f>
        <v>3</v>
      </c>
      <c r="V65" s="1">
        <f>IF(Data!V65&gt;0,Data!V65-4,"")</f>
        <v>3</v>
      </c>
      <c r="W65" s="1">
        <f>IF(Data!W65&gt;0,4-Data!W65,"")</f>
        <v>0</v>
      </c>
      <c r="X65" s="1">
        <f>IF(Data!X65&gt;0,4-Data!X65,"")</f>
        <v>0</v>
      </c>
      <c r="Y65" s="1">
        <f>IF(Data!Y65&gt;0,4-Data!Y65,"")</f>
        <v>1</v>
      </c>
      <c r="Z65" s="1">
        <f>IF(Data!Z65&gt;0,Data!Z65-4,"")</f>
        <v>1</v>
      </c>
      <c r="AC65" s="4" t="str">
        <f t="shared" si="11"/>
        <v/>
      </c>
      <c r="AD65" s="4" t="str">
        <f t="shared" si="12"/>
        <v/>
      </c>
      <c r="AE65" s="4" t="str">
        <f t="shared" si="13"/>
        <v/>
      </c>
      <c r="AF65" s="4" t="str">
        <f t="shared" si="14"/>
        <v/>
      </c>
      <c r="AG65" s="4" t="str">
        <f t="shared" si="8"/>
        <v/>
      </c>
      <c r="AH65" s="4" t="str">
        <f t="shared" si="15"/>
        <v/>
      </c>
      <c r="AI65" s="2">
        <f t="shared" si="10"/>
        <v>0</v>
      </c>
      <c r="AK65" s="2">
        <f>IF(MAX(COUNTIF(Data!A65:Z65,1),COUNTIF(Data!A65:Z65,2),COUNTIF(Data!A65:Z65,3),COUNTIF(Data!A65:Z65,4),COUNTIF(Data!A65:Z65,5),COUNTIF(Data!A65:Z65,6),COUNTIF(Data!A65:Z65,7))&gt;0,MAX(COUNTIF(Data!A65:Z65,1),COUNTIF(Data!A65:Z65,2),COUNTIF(Data!A65:Z65,3),COUNTIF(Data!A65:Z65,4),COUNTIF(Data!A65:Z65,5),COUNTIF(Data!A65:Z65,6),COUNTIF(Data!A65:Z65,7)),"")</f>
        <v>8</v>
      </c>
    </row>
    <row r="66" spans="1:37">
      <c r="A66" s="1">
        <f>IF(Data!A66&gt;0,Data!A66-4,"")</f>
        <v>2</v>
      </c>
      <c r="B66" s="1">
        <f>IF(Data!B66&gt;0,Data!B66-4,"")</f>
        <v>2</v>
      </c>
      <c r="C66" s="1">
        <f>IF(Data!C66&gt;0,4-Data!C66,"")</f>
        <v>-1</v>
      </c>
      <c r="D66" s="1">
        <f>IF(Data!D66&gt;0,4-Data!D66,"")</f>
        <v>-1</v>
      </c>
      <c r="E66" s="1">
        <f>IF(Data!E66&gt;0,4-Data!E66,"")</f>
        <v>-1</v>
      </c>
      <c r="F66" s="1">
        <f>IF(Data!F66&gt;0,Data!F66-4,"")</f>
        <v>1</v>
      </c>
      <c r="G66" s="1">
        <f>IF(Data!G66&gt;0,Data!G66-4,"")</f>
        <v>1</v>
      </c>
      <c r="H66" s="1">
        <f>IF(Data!H66&gt;0,Data!H66-4,"")</f>
        <v>-1</v>
      </c>
      <c r="I66" s="1">
        <f>IF(Data!I66&gt;0,4-Data!I66,"")</f>
        <v>0</v>
      </c>
      <c r="J66" s="1">
        <f>IF(Data!J66&gt;0,4-Data!J66,"")</f>
        <v>-1</v>
      </c>
      <c r="K66" s="1">
        <f>IF(Data!K66&gt;0,Data!K66-4,"")</f>
        <v>1</v>
      </c>
      <c r="L66" s="1">
        <f>IF(Data!L66&gt;0,4-Data!L66,"")</f>
        <v>-1</v>
      </c>
      <c r="M66" s="1">
        <f>IF(Data!M66&gt;0,Data!M66-4,"")</f>
        <v>1</v>
      </c>
      <c r="N66" s="1">
        <f>IF(Data!N66&gt;0,Data!N66-4,"")</f>
        <v>1</v>
      </c>
      <c r="O66" s="1">
        <f>IF(Data!O66&gt;0,Data!O66-4,"")</f>
        <v>1</v>
      </c>
      <c r="P66" s="1">
        <f>IF(Data!P66&gt;0,Data!P66-4,"")</f>
        <v>1</v>
      </c>
      <c r="Q66" s="1">
        <f>IF(Data!Q66&gt;0,4-Data!Q66,"")</f>
        <v>-2</v>
      </c>
      <c r="R66" s="1">
        <f>IF(Data!R66&gt;0,4-Data!R66,"")</f>
        <v>-1</v>
      </c>
      <c r="S66" s="1">
        <f>IF(Data!S66&gt;0,4-Data!S66,"")</f>
        <v>0</v>
      </c>
      <c r="T66" s="1">
        <f>IF(Data!T66&gt;0,Data!T66-4,"")</f>
        <v>1</v>
      </c>
      <c r="U66" s="1">
        <f>IF(Data!U66&gt;0,4-Data!U66,"")</f>
        <v>0</v>
      </c>
      <c r="V66" s="1">
        <f>IF(Data!V66&gt;0,Data!V66-4,"")</f>
        <v>1</v>
      </c>
      <c r="W66" s="1">
        <f>IF(Data!W66&gt;0,4-Data!W66,"")</f>
        <v>0</v>
      </c>
      <c r="X66" s="1">
        <f>IF(Data!X66&gt;0,4-Data!X66,"")</f>
        <v>-1</v>
      </c>
      <c r="Y66" s="1">
        <f>IF(Data!Y66&gt;0,4-Data!Y66,"")</f>
        <v>-1</v>
      </c>
      <c r="Z66" s="1">
        <f>IF(Data!Z66&gt;0,Data!Z66-4,"")</f>
        <v>0</v>
      </c>
      <c r="AC66" s="4" t="str">
        <f t="shared" si="11"/>
        <v/>
      </c>
      <c r="AD66" s="4" t="str">
        <f t="shared" si="12"/>
        <v/>
      </c>
      <c r="AE66" s="4" t="str">
        <f t="shared" si="13"/>
        <v/>
      </c>
      <c r="AF66" s="4" t="str">
        <f t="shared" si="14"/>
        <v/>
      </c>
      <c r="AG66" s="4" t="str">
        <f t="shared" si="8"/>
        <v/>
      </c>
      <c r="AH66" s="4" t="str">
        <f t="shared" si="15"/>
        <v/>
      </c>
      <c r="AI66" s="2">
        <f t="shared" si="10"/>
        <v>0</v>
      </c>
      <c r="AK66" s="2">
        <f>IF(MAX(COUNTIF(Data!A66:Z66,1),COUNTIF(Data!A66:Z66,2),COUNTIF(Data!A66:Z66,3),COUNTIF(Data!A66:Z66,4),COUNTIF(Data!A66:Z66,5),COUNTIF(Data!A66:Z66,6),COUNTIF(Data!A66:Z66,7))&gt;0,MAX(COUNTIF(Data!A66:Z66,1),COUNTIF(Data!A66:Z66,2),COUNTIF(Data!A66:Z66,3),COUNTIF(Data!A66:Z66,4),COUNTIF(Data!A66:Z66,5),COUNTIF(Data!A66:Z66,6),COUNTIF(Data!A66:Z66,7)),"")</f>
        <v>17</v>
      </c>
    </row>
    <row r="67" spans="1:37">
      <c r="A67" s="1">
        <f>IF(Data!A67&gt;0,Data!A67-4,"")</f>
        <v>2</v>
      </c>
      <c r="B67" s="1">
        <f>IF(Data!B67&gt;0,Data!B67-4,"")</f>
        <v>2</v>
      </c>
      <c r="C67" s="1">
        <f>IF(Data!C67&gt;0,4-Data!C67,"")</f>
        <v>2</v>
      </c>
      <c r="D67" s="1">
        <f>IF(Data!D67&gt;0,4-Data!D67,"")</f>
        <v>3</v>
      </c>
      <c r="E67" s="1">
        <f>IF(Data!E67&gt;0,4-Data!E67,"")</f>
        <v>3</v>
      </c>
      <c r="F67" s="1">
        <f>IF(Data!F67&gt;0,Data!F67-4,"")</f>
        <v>1</v>
      </c>
      <c r="G67" s="1">
        <f>IF(Data!G67&gt;0,Data!G67-4,"")</f>
        <v>2</v>
      </c>
      <c r="H67" s="1">
        <f>IF(Data!H67&gt;0,Data!H67-4,"")</f>
        <v>2</v>
      </c>
      <c r="I67" s="1">
        <f>IF(Data!I67&gt;0,4-Data!I67,"")</f>
        <v>3</v>
      </c>
      <c r="J67" s="1">
        <f>IF(Data!J67&gt;0,4-Data!J67,"")</f>
        <v>3</v>
      </c>
      <c r="K67" s="1">
        <f>IF(Data!K67&gt;0,Data!K67-4,"")</f>
        <v>1</v>
      </c>
      <c r="L67" s="1">
        <f>IF(Data!L67&gt;0,4-Data!L67,"")</f>
        <v>1</v>
      </c>
      <c r="M67" s="1">
        <f>IF(Data!M67&gt;0,Data!M67-4,"")</f>
        <v>2</v>
      </c>
      <c r="N67" s="1">
        <f>IF(Data!N67&gt;0,Data!N67-4,"")</f>
        <v>2</v>
      </c>
      <c r="O67" s="1">
        <f>IF(Data!O67&gt;0,Data!O67-4,"")</f>
        <v>3</v>
      </c>
      <c r="P67" s="1">
        <f>IF(Data!P67&gt;0,Data!P67-4,"")</f>
        <v>2</v>
      </c>
      <c r="Q67" s="1">
        <f>IF(Data!Q67&gt;0,4-Data!Q67,"")</f>
        <v>2</v>
      </c>
      <c r="R67" s="1">
        <f>IF(Data!R67&gt;0,4-Data!R67,"")</f>
        <v>2</v>
      </c>
      <c r="S67" s="1">
        <f>IF(Data!S67&gt;0,4-Data!S67,"")</f>
        <v>3</v>
      </c>
      <c r="T67" s="1">
        <f>IF(Data!T67&gt;0,Data!T67-4,"")</f>
        <v>2</v>
      </c>
      <c r="U67" s="1">
        <f>IF(Data!U67&gt;0,4-Data!U67,"")</f>
        <v>1</v>
      </c>
      <c r="V67" s="1">
        <f>IF(Data!V67&gt;0,Data!V67-4,"")</f>
        <v>3</v>
      </c>
      <c r="W67" s="1">
        <f>IF(Data!W67&gt;0,4-Data!W67,"")</f>
        <v>2</v>
      </c>
      <c r="X67" s="1">
        <f>IF(Data!X67&gt;0,4-Data!X67,"")</f>
        <v>1</v>
      </c>
      <c r="Y67" s="1">
        <f>IF(Data!Y67&gt;0,4-Data!Y67,"")</f>
        <v>1</v>
      </c>
      <c r="Z67" s="1">
        <f>IF(Data!Z67&gt;0,Data!Z67-4,"")</f>
        <v>3</v>
      </c>
      <c r="AC67" s="4" t="str">
        <f t="shared" si="11"/>
        <v/>
      </c>
      <c r="AD67" s="4" t="str">
        <f t="shared" si="12"/>
        <v/>
      </c>
      <c r="AE67" s="4" t="str">
        <f t="shared" si="13"/>
        <v/>
      </c>
      <c r="AF67" s="4" t="str">
        <f t="shared" si="14"/>
        <v/>
      </c>
      <c r="AG67" s="4" t="str">
        <f t="shared" si="8"/>
        <v/>
      </c>
      <c r="AH67" s="4" t="str">
        <f t="shared" si="15"/>
        <v/>
      </c>
      <c r="AI67" s="2">
        <f t="shared" si="10"/>
        <v>0</v>
      </c>
      <c r="AK67" s="2">
        <f>IF(MAX(COUNTIF(Data!A67:Z67,1),COUNTIF(Data!A67:Z67,2),COUNTIF(Data!A67:Z67,3),COUNTIF(Data!A67:Z67,4),COUNTIF(Data!A67:Z67,5),COUNTIF(Data!A67:Z67,6),COUNTIF(Data!A67:Z67,7))&gt;0,MAX(COUNTIF(Data!A67:Z67,1),COUNTIF(Data!A67:Z67,2),COUNTIF(Data!A67:Z67,3),COUNTIF(Data!A67:Z67,4),COUNTIF(Data!A67:Z67,5),COUNTIF(Data!A67:Z67,6),COUNTIF(Data!A67:Z67,7)),"")</f>
        <v>8</v>
      </c>
    </row>
    <row r="68" spans="1:37">
      <c r="A68" s="1">
        <f>IF(Data!A68&gt;0,Data!A68-4,"")</f>
        <v>2</v>
      </c>
      <c r="B68" s="1">
        <f>IF(Data!B68&gt;0,Data!B68-4,"")</f>
        <v>3</v>
      </c>
      <c r="C68" s="1">
        <f>IF(Data!C68&gt;0,4-Data!C68,"")</f>
        <v>0</v>
      </c>
      <c r="D68" s="1">
        <f>IF(Data!D68&gt;0,4-Data!D68,"")</f>
        <v>3</v>
      </c>
      <c r="E68" s="1">
        <f>IF(Data!E68&gt;0,4-Data!E68,"")</f>
        <v>0</v>
      </c>
      <c r="F68" s="1">
        <f>IF(Data!F68&gt;0,Data!F68-4,"")</f>
        <v>2</v>
      </c>
      <c r="G68" s="1">
        <f>IF(Data!G68&gt;0,Data!G68-4,"")</f>
        <v>2</v>
      </c>
      <c r="H68" s="1">
        <f>IF(Data!H68&gt;0,Data!H68-4,"")</f>
        <v>3</v>
      </c>
      <c r="I68" s="1">
        <f>IF(Data!I68&gt;0,4-Data!I68,"")</f>
        <v>0</v>
      </c>
      <c r="J68" s="1">
        <f>IF(Data!J68&gt;0,4-Data!J68,"")</f>
        <v>0</v>
      </c>
      <c r="K68" s="1">
        <f>IF(Data!K68&gt;0,Data!K68-4,"")</f>
        <v>2</v>
      </c>
      <c r="L68" s="1">
        <f>IF(Data!L68&gt;0,4-Data!L68,"")</f>
        <v>3</v>
      </c>
      <c r="M68" s="1">
        <f>IF(Data!M68&gt;0,Data!M68-4,"")</f>
        <v>3</v>
      </c>
      <c r="N68" s="1">
        <f>IF(Data!N68&gt;0,Data!N68-4,"")</f>
        <v>3</v>
      </c>
      <c r="O68" s="1">
        <f>IF(Data!O68&gt;0,Data!O68-4,"")</f>
        <v>0</v>
      </c>
      <c r="P68" s="1">
        <f>IF(Data!P68&gt;0,Data!P68-4,"")</f>
        <v>3</v>
      </c>
      <c r="Q68" s="1">
        <f>IF(Data!Q68&gt;0,4-Data!Q68,"")</f>
        <v>1</v>
      </c>
      <c r="R68" s="1">
        <f>IF(Data!R68&gt;0,4-Data!R68,"")</f>
        <v>0</v>
      </c>
      <c r="S68" s="1">
        <f>IF(Data!S68&gt;0,4-Data!S68,"")</f>
        <v>3</v>
      </c>
      <c r="T68" s="1">
        <f>IF(Data!T68&gt;0,Data!T68-4,"")</f>
        <v>3</v>
      </c>
      <c r="U68" s="1">
        <f>IF(Data!U68&gt;0,4-Data!U68,"")</f>
        <v>3</v>
      </c>
      <c r="V68" s="1">
        <f>IF(Data!V68&gt;0,Data!V68-4,"")</f>
        <v>3</v>
      </c>
      <c r="W68" s="1">
        <f>IF(Data!W68&gt;0,4-Data!W68,"")</f>
        <v>3</v>
      </c>
      <c r="X68" s="1">
        <f>IF(Data!X68&gt;0,4-Data!X68,"")</f>
        <v>1</v>
      </c>
      <c r="Y68" s="1">
        <f>IF(Data!Y68&gt;0,4-Data!Y68,"")</f>
        <v>3</v>
      </c>
      <c r="Z68" s="1">
        <f>IF(Data!Z68&gt;0,Data!Z68-4,"")</f>
        <v>1</v>
      </c>
      <c r="AC68" s="4" t="str">
        <f t="shared" si="11"/>
        <v/>
      </c>
      <c r="AD68" s="4" t="str">
        <f t="shared" si="12"/>
        <v/>
      </c>
      <c r="AE68" s="4" t="str">
        <f t="shared" si="13"/>
        <v/>
      </c>
      <c r="AF68" s="4" t="str">
        <f t="shared" si="14"/>
        <v/>
      </c>
      <c r="AG68" s="4" t="str">
        <f t="shared" si="8"/>
        <v/>
      </c>
      <c r="AH68" s="4" t="str">
        <f t="shared" si="15"/>
        <v/>
      </c>
      <c r="AI68" s="2">
        <f t="shared" si="10"/>
        <v>0</v>
      </c>
      <c r="AK68" s="2">
        <f>IF(MAX(COUNTIF(Data!A68:Z68,1),COUNTIF(Data!A68:Z68,2),COUNTIF(Data!A68:Z68,3),COUNTIF(Data!A68:Z68,4),COUNTIF(Data!A68:Z68,5),COUNTIF(Data!A68:Z68,6),COUNTIF(Data!A68:Z68,7))&gt;0,MAX(COUNTIF(Data!A68:Z68,1),COUNTIF(Data!A68:Z68,2),COUNTIF(Data!A68:Z68,3),COUNTIF(Data!A68:Z68,4),COUNTIF(Data!A68:Z68,5),COUNTIF(Data!A68:Z68,6),COUNTIF(Data!A68:Z68,7)),"")</f>
        <v>7</v>
      </c>
    </row>
    <row r="69" spans="1:37">
      <c r="A69" s="1">
        <f>IF(Data!A69&gt;0,Data!A69-4,"")</f>
        <v>2</v>
      </c>
      <c r="B69" s="1">
        <f>IF(Data!B69&gt;0,Data!B69-4,"")</f>
        <v>2</v>
      </c>
      <c r="C69" s="1">
        <f>IF(Data!C69&gt;0,4-Data!C69,"")</f>
        <v>1</v>
      </c>
      <c r="D69" s="1">
        <f>IF(Data!D69&gt;0,4-Data!D69,"")</f>
        <v>1</v>
      </c>
      <c r="E69" s="1">
        <f>IF(Data!E69&gt;0,4-Data!E69,"")</f>
        <v>1</v>
      </c>
      <c r="F69" s="1">
        <f>IF(Data!F69&gt;0,Data!F69-4,"")</f>
        <v>2</v>
      </c>
      <c r="G69" s="1">
        <f>IF(Data!G69&gt;0,Data!G69-4,"")</f>
        <v>2</v>
      </c>
      <c r="H69" s="1">
        <f>IF(Data!H69&gt;0,Data!H69-4,"")</f>
        <v>1</v>
      </c>
      <c r="I69" s="1">
        <f>IF(Data!I69&gt;0,4-Data!I69,"")</f>
        <v>2</v>
      </c>
      <c r="J69" s="1">
        <f>IF(Data!J69&gt;0,4-Data!J69,"")</f>
        <v>0</v>
      </c>
      <c r="K69" s="1">
        <f>IF(Data!K69&gt;0,Data!K69-4,"")</f>
        <v>0</v>
      </c>
      <c r="L69" s="1">
        <f>IF(Data!L69&gt;0,4-Data!L69,"")</f>
        <v>2</v>
      </c>
      <c r="M69" s="1">
        <f>IF(Data!M69&gt;0,Data!M69-4,"")</f>
        <v>2</v>
      </c>
      <c r="N69" s="1">
        <f>IF(Data!N69&gt;0,Data!N69-4,"")</f>
        <v>0</v>
      </c>
      <c r="O69" s="1">
        <f>IF(Data!O69&gt;0,Data!O69-4,"")</f>
        <v>1</v>
      </c>
      <c r="P69" s="1">
        <f>IF(Data!P69&gt;0,Data!P69-4,"")</f>
        <v>1</v>
      </c>
      <c r="Q69" s="1">
        <f>IF(Data!Q69&gt;0,4-Data!Q69,"")</f>
        <v>2</v>
      </c>
      <c r="R69" s="1">
        <f>IF(Data!R69&gt;0,4-Data!R69,"")</f>
        <v>1</v>
      </c>
      <c r="S69" s="1">
        <f>IF(Data!S69&gt;0,4-Data!S69,"")</f>
        <v>1</v>
      </c>
      <c r="T69" s="1">
        <f>IF(Data!T69&gt;0,Data!T69-4,"")</f>
        <v>2</v>
      </c>
      <c r="U69" s="1">
        <f>IF(Data!U69&gt;0,4-Data!U69,"")</f>
        <v>2</v>
      </c>
      <c r="V69" s="1">
        <f>IF(Data!V69&gt;0,Data!V69-4,"")</f>
        <v>2</v>
      </c>
      <c r="W69" s="1">
        <f>IF(Data!W69&gt;0,4-Data!W69,"")</f>
        <v>1</v>
      </c>
      <c r="X69" s="1">
        <f>IF(Data!X69&gt;0,4-Data!X69,"")</f>
        <v>1</v>
      </c>
      <c r="Y69" s="1">
        <f>IF(Data!Y69&gt;0,4-Data!Y69,"")</f>
        <v>1</v>
      </c>
      <c r="Z69" s="1">
        <f>IF(Data!Z69&gt;0,Data!Z69-4,"")</f>
        <v>0</v>
      </c>
      <c r="AC69" s="4" t="str">
        <f t="shared" ref="AC69:AC132" si="16">IF((MAX(A69,L69,N69,P69,X69,Y69)-MIN(A69,L69,N69,P69,X69,Y69))&gt;3,1,"")</f>
        <v/>
      </c>
      <c r="AD69" s="4" t="str">
        <f t="shared" ref="AD69:AD132" si="17">IF((MAX(B69,D69,M69,U69)-MIN(B69,D69,M69,U69))&gt;3,1,"")</f>
        <v/>
      </c>
      <c r="AE69" s="4" t="str">
        <f t="shared" ref="AE69:AE132" si="18">IF((MAX(I69,T69,V69,W69)-MIN(I69,T69,V69,W69))&gt;3,1,"")</f>
        <v/>
      </c>
      <c r="AF69" s="4" t="str">
        <f t="shared" ref="AF69:AF132" si="19">IF((MAX(H69,K69,Q69,S69)-MIN(H69,K69,Q69,S69))&gt;3,1,"")</f>
        <v/>
      </c>
      <c r="AG69" s="4" t="str">
        <f t="shared" ref="AG69:AG132" si="20">IF((MAX(E69,F69,G69,R69)-MIN(E69,F69,G69,R69))&gt;3,1,"")</f>
        <v/>
      </c>
      <c r="AH69" s="4" t="str">
        <f t="shared" ref="AH69:AH132" si="21">IF((MAX(C69,J69,O69,Z69)-MIN(C69,J69,O69,Z69))&gt;3,1,"")</f>
        <v/>
      </c>
      <c r="AI69" s="2">
        <f t="shared" ref="AI69:AI132" si="22">IF(COUNT(A69:Z69)&gt;0,IF(COUNT(AC69,AD69,AE69,AF69,AG69,AH69)&gt;0,SUM(AC69,AD69,AE69,AF69,AG69,AH69),0),"")</f>
        <v>0</v>
      </c>
      <c r="AK69" s="2">
        <f>IF(MAX(COUNTIF(Data!A69:Z69,1),COUNTIF(Data!A69:Z69,2),COUNTIF(Data!A69:Z69,3),COUNTIF(Data!A69:Z69,4),COUNTIF(Data!A69:Z69,5),COUNTIF(Data!A69:Z69,6),COUNTIF(Data!A69:Z69,7))&gt;0,MAX(COUNTIF(Data!A69:Z69,1),COUNTIF(Data!A69:Z69,2),COUNTIF(Data!A69:Z69,3),COUNTIF(Data!A69:Z69,4),COUNTIF(Data!A69:Z69,5),COUNTIF(Data!A69:Z69,6),COUNTIF(Data!A69:Z69,7)),"")</f>
        <v>8</v>
      </c>
    </row>
    <row r="70" spans="1:37">
      <c r="A70" s="1">
        <f>IF(Data!A70&gt;0,Data!A70-4,"")</f>
        <v>3</v>
      </c>
      <c r="B70" s="1">
        <f>IF(Data!B70&gt;0,Data!B70-4,"")</f>
        <v>3</v>
      </c>
      <c r="C70" s="1">
        <f>IF(Data!C70&gt;0,4-Data!C70,"")</f>
        <v>2</v>
      </c>
      <c r="D70" s="1">
        <f>IF(Data!D70&gt;0,4-Data!D70,"")</f>
        <v>2</v>
      </c>
      <c r="E70" s="1">
        <f>IF(Data!E70&gt;0,4-Data!E70,"")</f>
        <v>1</v>
      </c>
      <c r="F70" s="1">
        <f>IF(Data!F70&gt;0,Data!F70-4,"")</f>
        <v>1</v>
      </c>
      <c r="G70" s="1">
        <f>IF(Data!G70&gt;0,Data!G70-4,"")</f>
        <v>2</v>
      </c>
      <c r="H70" s="1">
        <f>IF(Data!H70&gt;0,Data!H70-4,"")</f>
        <v>0</v>
      </c>
      <c r="I70" s="1">
        <f>IF(Data!I70&gt;0,4-Data!I70,"")</f>
        <v>0</v>
      </c>
      <c r="J70" s="1">
        <f>IF(Data!J70&gt;0,4-Data!J70,"")</f>
        <v>0</v>
      </c>
      <c r="K70" s="1">
        <f>IF(Data!K70&gt;0,Data!K70-4,"")</f>
        <v>1</v>
      </c>
      <c r="L70" s="1">
        <f>IF(Data!L70&gt;0,4-Data!L70,"")</f>
        <v>2</v>
      </c>
      <c r="M70" s="1">
        <f>IF(Data!M70&gt;0,Data!M70-4,"")</f>
        <v>2</v>
      </c>
      <c r="N70" s="1">
        <f>IF(Data!N70&gt;0,Data!N70-4,"")</f>
        <v>2</v>
      </c>
      <c r="O70" s="1">
        <f>IF(Data!O70&gt;0,Data!O70-4,"")</f>
        <v>0</v>
      </c>
      <c r="P70" s="1">
        <f>IF(Data!P70&gt;0,Data!P70-4,"")</f>
        <v>1</v>
      </c>
      <c r="Q70" s="1">
        <f>IF(Data!Q70&gt;0,4-Data!Q70,"")</f>
        <v>2</v>
      </c>
      <c r="R70" s="1">
        <f>IF(Data!R70&gt;0,4-Data!R70,"")</f>
        <v>1</v>
      </c>
      <c r="S70" s="1">
        <f>IF(Data!S70&gt;0,4-Data!S70,"")</f>
        <v>2</v>
      </c>
      <c r="T70" s="1">
        <f>IF(Data!T70&gt;0,Data!T70-4,"")</f>
        <v>2</v>
      </c>
      <c r="U70" s="1">
        <f>IF(Data!U70&gt;0,4-Data!U70,"")</f>
        <v>2</v>
      </c>
      <c r="V70" s="1">
        <f>IF(Data!V70&gt;0,Data!V70-4,"")</f>
        <v>2</v>
      </c>
      <c r="W70" s="1">
        <f>IF(Data!W70&gt;0,4-Data!W70,"")</f>
        <v>2</v>
      </c>
      <c r="X70" s="1">
        <f>IF(Data!X70&gt;0,4-Data!X70,"")</f>
        <v>1</v>
      </c>
      <c r="Y70" s="1">
        <f>IF(Data!Y70&gt;0,4-Data!Y70,"")</f>
        <v>2</v>
      </c>
      <c r="Z70" s="1">
        <f>IF(Data!Z70&gt;0,Data!Z70-4,"")</f>
        <v>0</v>
      </c>
      <c r="AC70" s="4" t="str">
        <f t="shared" si="16"/>
        <v/>
      </c>
      <c r="AD70" s="4" t="str">
        <f t="shared" si="17"/>
        <v/>
      </c>
      <c r="AE70" s="4" t="str">
        <f t="shared" si="18"/>
        <v/>
      </c>
      <c r="AF70" s="4" t="str">
        <f t="shared" si="19"/>
        <v/>
      </c>
      <c r="AG70" s="4" t="str">
        <f t="shared" si="20"/>
        <v/>
      </c>
      <c r="AH70" s="4" t="str">
        <f t="shared" si="21"/>
        <v/>
      </c>
      <c r="AI70" s="2">
        <f t="shared" si="22"/>
        <v>0</v>
      </c>
      <c r="AK70" s="2">
        <f>IF(MAX(COUNTIF(Data!A70:Z70,1),COUNTIF(Data!A70:Z70,2),COUNTIF(Data!A70:Z70,3),COUNTIF(Data!A70:Z70,4),COUNTIF(Data!A70:Z70,5),COUNTIF(Data!A70:Z70,6),COUNTIF(Data!A70:Z70,7))&gt;0,MAX(COUNTIF(Data!A70:Z70,1),COUNTIF(Data!A70:Z70,2),COUNTIF(Data!A70:Z70,3),COUNTIF(Data!A70:Z70,4),COUNTIF(Data!A70:Z70,5),COUNTIF(Data!A70:Z70,6),COUNTIF(Data!A70:Z70,7)),"")</f>
        <v>8</v>
      </c>
    </row>
    <row r="71" spans="1:37">
      <c r="A71" s="1">
        <f>IF(Data!A71&gt;0,Data!A71-4,"")</f>
        <v>1</v>
      </c>
      <c r="B71" s="1">
        <f>IF(Data!B71&gt;0,Data!B71-4,"")</f>
        <v>1</v>
      </c>
      <c r="C71" s="1">
        <f>IF(Data!C71&gt;0,4-Data!C71,"")</f>
        <v>0</v>
      </c>
      <c r="D71" s="1">
        <f>IF(Data!D71&gt;0,4-Data!D71,"")</f>
        <v>-3</v>
      </c>
      <c r="E71" s="1">
        <f>IF(Data!E71&gt;0,4-Data!E71,"")</f>
        <v>1</v>
      </c>
      <c r="F71" s="1">
        <f>IF(Data!F71&gt;0,Data!F71-4,"")</f>
        <v>-2</v>
      </c>
      <c r="G71" s="1">
        <f>IF(Data!G71&gt;0,Data!G71-4,"")</f>
        <v>-2</v>
      </c>
      <c r="H71" s="1">
        <f>IF(Data!H71&gt;0,Data!H71-4,"")</f>
        <v>2</v>
      </c>
      <c r="I71" s="1">
        <f>IF(Data!I71&gt;0,4-Data!I71,"")</f>
        <v>-2</v>
      </c>
      <c r="J71" s="1">
        <f>IF(Data!J71&gt;0,4-Data!J71,"")</f>
        <v>1</v>
      </c>
      <c r="K71" s="1">
        <f>IF(Data!K71&gt;0,Data!K71-4,"")</f>
        <v>0</v>
      </c>
      <c r="L71" s="1">
        <f>IF(Data!L71&gt;0,4-Data!L71,"")</f>
        <v>1</v>
      </c>
      <c r="M71" s="1">
        <f>IF(Data!M71&gt;0,Data!M71-4,"")</f>
        <v>2</v>
      </c>
      <c r="N71" s="1">
        <f>IF(Data!N71&gt;0,Data!N71-4,"")</f>
        <v>0</v>
      </c>
      <c r="O71" s="1">
        <f>IF(Data!O71&gt;0,Data!O71-4,"")</f>
        <v>2</v>
      </c>
      <c r="P71" s="1">
        <f>IF(Data!P71&gt;0,Data!P71-4,"")</f>
        <v>0</v>
      </c>
      <c r="Q71" s="1">
        <f>IF(Data!Q71&gt;0,4-Data!Q71,"")</f>
        <v>2</v>
      </c>
      <c r="R71" s="1">
        <f>IF(Data!R71&gt;0,4-Data!R71,"")</f>
        <v>0</v>
      </c>
      <c r="S71" s="1">
        <f>IF(Data!S71&gt;0,4-Data!S71,"")</f>
        <v>3</v>
      </c>
      <c r="T71" s="1">
        <f>IF(Data!T71&gt;0,Data!T71-4,"")</f>
        <v>0</v>
      </c>
      <c r="U71" s="1">
        <f>IF(Data!U71&gt;0,4-Data!U71,"")</f>
        <v>2</v>
      </c>
      <c r="V71" s="1">
        <f>IF(Data!V71&gt;0,Data!V71-4,"")</f>
        <v>2</v>
      </c>
      <c r="W71" s="1">
        <f>IF(Data!W71&gt;0,4-Data!W71,"")</f>
        <v>0</v>
      </c>
      <c r="X71" s="1">
        <f>IF(Data!X71&gt;0,4-Data!X71,"")</f>
        <v>-2</v>
      </c>
      <c r="Y71" s="1">
        <f>IF(Data!Y71&gt;0,4-Data!Y71,"")</f>
        <v>0</v>
      </c>
      <c r="Z71" s="1">
        <f>IF(Data!Z71&gt;0,Data!Z71-4,"")</f>
        <v>2</v>
      </c>
      <c r="AC71" s="4" t="str">
        <f t="shared" si="16"/>
        <v/>
      </c>
      <c r="AD71" s="4">
        <f t="shared" si="17"/>
        <v>1</v>
      </c>
      <c r="AE71" s="4">
        <f t="shared" si="18"/>
        <v>1</v>
      </c>
      <c r="AF71" s="4" t="str">
        <f t="shared" si="19"/>
        <v/>
      </c>
      <c r="AG71" s="4" t="str">
        <f t="shared" si="20"/>
        <v/>
      </c>
      <c r="AH71" s="4" t="str">
        <f t="shared" si="21"/>
        <v/>
      </c>
      <c r="AI71" s="2">
        <f t="shared" si="22"/>
        <v>2</v>
      </c>
      <c r="AK71" s="2">
        <f>IF(MAX(COUNTIF(Data!A71:Z71,1),COUNTIF(Data!A71:Z71,2),COUNTIF(Data!A71:Z71,3),COUNTIF(Data!A71:Z71,4),COUNTIF(Data!A71:Z71,5),COUNTIF(Data!A71:Z71,6),COUNTIF(Data!A71:Z71,7))&gt;0,MAX(COUNTIF(Data!A71:Z71,1),COUNTIF(Data!A71:Z71,2),COUNTIF(Data!A71:Z71,3),COUNTIF(Data!A71:Z71,4),COUNTIF(Data!A71:Z71,5),COUNTIF(Data!A71:Z71,6),COUNTIF(Data!A71:Z71,7)),"")</f>
        <v>8</v>
      </c>
    </row>
    <row r="72" spans="1:37">
      <c r="A72" s="1">
        <f>IF(Data!A72&gt;0,Data!A72-4,"")</f>
        <v>2</v>
      </c>
      <c r="B72" s="1">
        <f>IF(Data!B72&gt;0,Data!B72-4,"")</f>
        <v>2</v>
      </c>
      <c r="C72" s="1">
        <f>IF(Data!C72&gt;0,4-Data!C72,"")</f>
        <v>3</v>
      </c>
      <c r="D72" s="1">
        <f>IF(Data!D72&gt;0,4-Data!D72,"")</f>
        <v>2</v>
      </c>
      <c r="E72" s="1">
        <f>IF(Data!E72&gt;0,4-Data!E72,"")</f>
        <v>1</v>
      </c>
      <c r="F72" s="1">
        <f>IF(Data!F72&gt;0,Data!F72-4,"")</f>
        <v>1</v>
      </c>
      <c r="G72" s="1">
        <f>IF(Data!G72&gt;0,Data!G72-4,"")</f>
        <v>0</v>
      </c>
      <c r="H72" s="1">
        <f>IF(Data!H72&gt;0,Data!H72-4,"")</f>
        <v>0</v>
      </c>
      <c r="I72" s="1">
        <f>IF(Data!I72&gt;0,4-Data!I72,"")</f>
        <v>0</v>
      </c>
      <c r="J72" s="1">
        <f>IF(Data!J72&gt;0,4-Data!J72,"")</f>
        <v>2</v>
      </c>
      <c r="K72" s="1">
        <f>IF(Data!K72&gt;0,Data!K72-4,"")</f>
        <v>0</v>
      </c>
      <c r="L72" s="1">
        <f>IF(Data!L72&gt;0,4-Data!L72,"")</f>
        <v>3</v>
      </c>
      <c r="M72" s="1">
        <f>IF(Data!M72&gt;0,Data!M72-4,"")</f>
        <v>-1</v>
      </c>
      <c r="N72" s="1">
        <f>IF(Data!N72&gt;0,Data!N72-4,"")</f>
        <v>-1</v>
      </c>
      <c r="O72" s="1">
        <f>IF(Data!O72&gt;0,Data!O72-4,"")</f>
        <v>0</v>
      </c>
      <c r="P72" s="1">
        <f>IF(Data!P72&gt;0,Data!P72-4,"")</f>
        <v>0</v>
      </c>
      <c r="Q72" s="1">
        <f>IF(Data!Q72&gt;0,4-Data!Q72,"")</f>
        <v>2</v>
      </c>
      <c r="R72" s="1">
        <f>IF(Data!R72&gt;0,4-Data!R72,"")</f>
        <v>1</v>
      </c>
      <c r="S72" s="1">
        <f>IF(Data!S72&gt;0,4-Data!S72,"")</f>
        <v>2</v>
      </c>
      <c r="T72" s="1">
        <f>IF(Data!T72&gt;0,Data!T72-4,"")</f>
        <v>0</v>
      </c>
      <c r="U72" s="1">
        <f>IF(Data!U72&gt;0,4-Data!U72,"")</f>
        <v>2</v>
      </c>
      <c r="V72" s="1">
        <f>IF(Data!V72&gt;0,Data!V72-4,"")</f>
        <v>-1</v>
      </c>
      <c r="W72" s="1">
        <f>IF(Data!W72&gt;0,4-Data!W72,"")</f>
        <v>1</v>
      </c>
      <c r="X72" s="1">
        <f>IF(Data!X72&gt;0,4-Data!X72,"")</f>
        <v>2</v>
      </c>
      <c r="Y72" s="1">
        <f>IF(Data!Y72&gt;0,4-Data!Y72,"")</f>
        <v>1</v>
      </c>
      <c r="Z72" s="1">
        <f>IF(Data!Z72&gt;0,Data!Z72-4,"")</f>
        <v>0</v>
      </c>
      <c r="AC72" s="4">
        <f t="shared" si="16"/>
        <v>1</v>
      </c>
      <c r="AD72" s="4" t="str">
        <f t="shared" si="17"/>
        <v/>
      </c>
      <c r="AE72" s="4" t="str">
        <f t="shared" si="18"/>
        <v/>
      </c>
      <c r="AF72" s="4" t="str">
        <f t="shared" si="19"/>
        <v/>
      </c>
      <c r="AG72" s="4" t="str">
        <f t="shared" si="20"/>
        <v/>
      </c>
      <c r="AH72" s="4" t="str">
        <f t="shared" si="21"/>
        <v/>
      </c>
      <c r="AI72" s="2">
        <f t="shared" si="22"/>
        <v>1</v>
      </c>
      <c r="AK72" s="2">
        <f>IF(MAX(COUNTIF(Data!A72:Z72,1),COUNTIF(Data!A72:Z72,2),COUNTIF(Data!A72:Z72,3),COUNTIF(Data!A72:Z72,4),COUNTIF(Data!A72:Z72,5),COUNTIF(Data!A72:Z72,6),COUNTIF(Data!A72:Z72,7))&gt;0,MAX(COUNTIF(Data!A72:Z72,1),COUNTIF(Data!A72:Z72,2),COUNTIF(Data!A72:Z72,3),COUNTIF(Data!A72:Z72,4),COUNTIF(Data!A72:Z72,5),COUNTIF(Data!A72:Z72,6),COUNTIF(Data!A72:Z72,7)),"")</f>
        <v>8</v>
      </c>
    </row>
    <row r="73" spans="1:37">
      <c r="A73" s="1">
        <f>IF(Data!A73&gt;0,Data!A73-4,"")</f>
        <v>1</v>
      </c>
      <c r="B73" s="1">
        <f>IF(Data!B73&gt;0,Data!B73-4,"")</f>
        <v>-2</v>
      </c>
      <c r="C73" s="1">
        <f>IF(Data!C73&gt;0,4-Data!C73,"")</f>
        <v>1</v>
      </c>
      <c r="D73" s="1">
        <f>IF(Data!D73&gt;0,4-Data!D73,"")</f>
        <v>1</v>
      </c>
      <c r="E73" s="1">
        <f>IF(Data!E73&gt;0,4-Data!E73,"")</f>
        <v>2</v>
      </c>
      <c r="F73" s="1">
        <f>IF(Data!F73&gt;0,Data!F73-4,"")</f>
        <v>1</v>
      </c>
      <c r="G73" s="1">
        <f>IF(Data!G73&gt;0,Data!G73-4,"")</f>
        <v>1</v>
      </c>
      <c r="H73" s="1">
        <f>IF(Data!H73&gt;0,Data!H73-4,"")</f>
        <v>1</v>
      </c>
      <c r="I73" s="1">
        <f>IF(Data!I73&gt;0,4-Data!I73,"")</f>
        <v>2</v>
      </c>
      <c r="J73" s="1">
        <f>IF(Data!J73&gt;0,4-Data!J73,"")</f>
        <v>1</v>
      </c>
      <c r="K73" s="1">
        <f>IF(Data!K73&gt;0,Data!K73-4,"")</f>
        <v>1</v>
      </c>
      <c r="L73" s="1">
        <f>IF(Data!L73&gt;0,4-Data!L73,"")</f>
        <v>1</v>
      </c>
      <c r="M73" s="1">
        <f>IF(Data!M73&gt;0,Data!M73-4,"")</f>
        <v>1</v>
      </c>
      <c r="N73" s="1">
        <f>IF(Data!N73&gt;0,Data!N73-4,"")</f>
        <v>1</v>
      </c>
      <c r="O73" s="1">
        <f>IF(Data!O73&gt;0,Data!O73-4,"")</f>
        <v>-1</v>
      </c>
      <c r="P73" s="1">
        <f>IF(Data!P73&gt;0,Data!P73-4,"")</f>
        <v>1</v>
      </c>
      <c r="Q73" s="1">
        <f>IF(Data!Q73&gt;0,4-Data!Q73,"")</f>
        <v>2</v>
      </c>
      <c r="R73" s="1">
        <f>IF(Data!R73&gt;0,4-Data!R73,"")</f>
        <v>0</v>
      </c>
      <c r="S73" s="1">
        <f>IF(Data!S73&gt;0,4-Data!S73,"")</f>
        <v>2</v>
      </c>
      <c r="T73" s="1">
        <f>IF(Data!T73&gt;0,Data!T73-4,"")</f>
        <v>1</v>
      </c>
      <c r="U73" s="1">
        <f>IF(Data!U73&gt;0,4-Data!U73,"")</f>
        <v>1</v>
      </c>
      <c r="V73" s="1">
        <f>IF(Data!V73&gt;0,Data!V73-4,"")</f>
        <v>1</v>
      </c>
      <c r="W73" s="1">
        <f>IF(Data!W73&gt;0,4-Data!W73,"")</f>
        <v>0</v>
      </c>
      <c r="X73" s="1">
        <f>IF(Data!X73&gt;0,4-Data!X73,"")</f>
        <v>1</v>
      </c>
      <c r="Y73" s="1">
        <f>IF(Data!Y73&gt;0,4-Data!Y73,"")</f>
        <v>1</v>
      </c>
      <c r="Z73" s="1">
        <f>IF(Data!Z73&gt;0,Data!Z73-4,"")</f>
        <v>-1</v>
      </c>
      <c r="AC73" s="4" t="str">
        <f t="shared" si="16"/>
        <v/>
      </c>
      <c r="AD73" s="4" t="str">
        <f t="shared" si="17"/>
        <v/>
      </c>
      <c r="AE73" s="4" t="str">
        <f t="shared" si="18"/>
        <v/>
      </c>
      <c r="AF73" s="4" t="str">
        <f t="shared" si="19"/>
        <v/>
      </c>
      <c r="AG73" s="4" t="str">
        <f t="shared" si="20"/>
        <v/>
      </c>
      <c r="AH73" s="4" t="str">
        <f t="shared" si="21"/>
        <v/>
      </c>
      <c r="AI73" s="2">
        <f t="shared" si="22"/>
        <v>0</v>
      </c>
      <c r="AK73" s="2">
        <f>IF(MAX(COUNTIF(Data!A73:Z73,1),COUNTIF(Data!A73:Z73,2),COUNTIF(Data!A73:Z73,3),COUNTIF(Data!A73:Z73,4),COUNTIF(Data!A73:Z73,5),COUNTIF(Data!A73:Z73,6),COUNTIF(Data!A73:Z73,7))&gt;0,MAX(COUNTIF(Data!A73:Z73,1),COUNTIF(Data!A73:Z73,2),COUNTIF(Data!A73:Z73,3),COUNTIF(Data!A73:Z73,4),COUNTIF(Data!A73:Z73,5),COUNTIF(Data!A73:Z73,6),COUNTIF(Data!A73:Z73,7)),"")</f>
        <v>10</v>
      </c>
    </row>
    <row r="74" spans="1:37">
      <c r="A74" s="1">
        <f>IF(Data!A74&gt;0,Data!A74-4,"")</f>
        <v>2</v>
      </c>
      <c r="B74" s="1">
        <f>IF(Data!B74&gt;0,Data!B74-4,"")</f>
        <v>2</v>
      </c>
      <c r="C74" s="1">
        <f>IF(Data!C74&gt;0,4-Data!C74,"")</f>
        <v>-1</v>
      </c>
      <c r="D74" s="1">
        <f>IF(Data!D74&gt;0,4-Data!D74,"")</f>
        <v>3</v>
      </c>
      <c r="E74" s="1">
        <f>IF(Data!E74&gt;0,4-Data!E74,"")</f>
        <v>2</v>
      </c>
      <c r="F74" s="1">
        <f>IF(Data!F74&gt;0,Data!F74-4,"")</f>
        <v>2</v>
      </c>
      <c r="G74" s="1">
        <f>IF(Data!G74&gt;0,Data!G74-4,"")</f>
        <v>2</v>
      </c>
      <c r="H74" s="1">
        <f>IF(Data!H74&gt;0,Data!H74-4,"")</f>
        <v>0</v>
      </c>
      <c r="I74" s="1">
        <f>IF(Data!I74&gt;0,4-Data!I74,"")</f>
        <v>2</v>
      </c>
      <c r="J74" s="1">
        <f>IF(Data!J74&gt;0,4-Data!J74,"")</f>
        <v>1</v>
      </c>
      <c r="K74" s="1">
        <f>IF(Data!K74&gt;0,Data!K74-4,"")</f>
        <v>1</v>
      </c>
      <c r="L74" s="1">
        <f>IF(Data!L74&gt;0,4-Data!L74,"")</f>
        <v>3</v>
      </c>
      <c r="M74" s="1">
        <f>IF(Data!M74&gt;0,Data!M74-4,"")</f>
        <v>2</v>
      </c>
      <c r="N74" s="1">
        <f>IF(Data!N74&gt;0,Data!N74-4,"")</f>
        <v>2</v>
      </c>
      <c r="O74" s="1">
        <f>IF(Data!O74&gt;0,Data!O74-4,"")</f>
        <v>0</v>
      </c>
      <c r="P74" s="1">
        <f>IF(Data!P74&gt;0,Data!P74-4,"")</f>
        <v>2</v>
      </c>
      <c r="Q74" s="1">
        <f>IF(Data!Q74&gt;0,4-Data!Q74,"")</f>
        <v>2</v>
      </c>
      <c r="R74" s="1">
        <f>IF(Data!R74&gt;0,4-Data!R74,"")</f>
        <v>1</v>
      </c>
      <c r="S74" s="1">
        <f>IF(Data!S74&gt;0,4-Data!S74,"")</f>
        <v>2</v>
      </c>
      <c r="T74" s="1">
        <f>IF(Data!T74&gt;0,Data!T74-4,"")</f>
        <v>2</v>
      </c>
      <c r="U74" s="1">
        <f>IF(Data!U74&gt;0,4-Data!U74,"")</f>
        <v>1</v>
      </c>
      <c r="V74" s="1">
        <f>IF(Data!V74&gt;0,Data!V74-4,"")</f>
        <v>2</v>
      </c>
      <c r="W74" s="1">
        <f>IF(Data!W74&gt;0,4-Data!W74,"")</f>
        <v>2</v>
      </c>
      <c r="X74" s="1">
        <f>IF(Data!X74&gt;0,4-Data!X74,"")</f>
        <v>2</v>
      </c>
      <c r="Y74" s="1">
        <f>IF(Data!Y74&gt;0,4-Data!Y74,"")</f>
        <v>2</v>
      </c>
      <c r="Z74" s="1">
        <f>IF(Data!Z74&gt;0,Data!Z74-4,"")</f>
        <v>-1</v>
      </c>
      <c r="AC74" s="4" t="str">
        <f t="shared" si="16"/>
        <v/>
      </c>
      <c r="AD74" s="4" t="str">
        <f t="shared" si="17"/>
        <v/>
      </c>
      <c r="AE74" s="4" t="str">
        <f t="shared" si="18"/>
        <v/>
      </c>
      <c r="AF74" s="4" t="str">
        <f t="shared" si="19"/>
        <v/>
      </c>
      <c r="AG74" s="4" t="str">
        <f t="shared" si="20"/>
        <v/>
      </c>
      <c r="AH74" s="4" t="str">
        <f t="shared" si="21"/>
        <v/>
      </c>
      <c r="AI74" s="2">
        <f t="shared" si="22"/>
        <v>0</v>
      </c>
      <c r="AK74" s="2">
        <f>IF(MAX(COUNTIF(Data!A74:Z74,1),COUNTIF(Data!A74:Z74,2),COUNTIF(Data!A74:Z74,3),COUNTIF(Data!A74:Z74,4),COUNTIF(Data!A74:Z74,5),COUNTIF(Data!A74:Z74,6),COUNTIF(Data!A74:Z74,7))&gt;0,MAX(COUNTIF(Data!A74:Z74,1),COUNTIF(Data!A74:Z74,2),COUNTIF(Data!A74:Z74,3),COUNTIF(Data!A74:Z74,4),COUNTIF(Data!A74:Z74,5),COUNTIF(Data!A74:Z74,6),COUNTIF(Data!A74:Z74,7)),"")</f>
        <v>9</v>
      </c>
    </row>
    <row r="75" spans="1:37">
      <c r="A75" s="1">
        <f>IF(Data!A75&gt;0,Data!A75-4,"")</f>
        <v>3</v>
      </c>
      <c r="B75" s="1">
        <f>IF(Data!B75&gt;0,Data!B75-4,"")</f>
        <v>3</v>
      </c>
      <c r="C75" s="1">
        <f>IF(Data!C75&gt;0,4-Data!C75,"")</f>
        <v>2</v>
      </c>
      <c r="D75" s="1">
        <f>IF(Data!D75&gt;0,4-Data!D75,"")</f>
        <v>3</v>
      </c>
      <c r="E75" s="1">
        <f>IF(Data!E75&gt;0,4-Data!E75,"")</f>
        <v>3</v>
      </c>
      <c r="F75" s="1">
        <f>IF(Data!F75&gt;0,Data!F75-4,"")</f>
        <v>3</v>
      </c>
      <c r="G75" s="1">
        <f>IF(Data!G75&gt;0,Data!G75-4,"")</f>
        <v>3</v>
      </c>
      <c r="H75" s="1">
        <f>IF(Data!H75&gt;0,Data!H75-4,"")</f>
        <v>-1</v>
      </c>
      <c r="I75" s="1">
        <f>IF(Data!I75&gt;0,4-Data!I75,"")</f>
        <v>3</v>
      </c>
      <c r="J75" s="1">
        <f>IF(Data!J75&gt;0,4-Data!J75,"")</f>
        <v>3</v>
      </c>
      <c r="K75" s="1">
        <f>IF(Data!K75&gt;0,Data!K75-4,"")</f>
        <v>3</v>
      </c>
      <c r="L75" s="1">
        <f>IF(Data!L75&gt;0,4-Data!L75,"")</f>
        <v>3</v>
      </c>
      <c r="M75" s="1">
        <f>IF(Data!M75&gt;0,Data!M75-4,"")</f>
        <v>3</v>
      </c>
      <c r="N75" s="1">
        <f>IF(Data!N75&gt;0,Data!N75-4,"")</f>
        <v>3</v>
      </c>
      <c r="O75" s="1">
        <f>IF(Data!O75&gt;0,Data!O75-4,"")</f>
        <v>1</v>
      </c>
      <c r="P75" s="1">
        <f>IF(Data!P75&gt;0,Data!P75-4,"")</f>
        <v>3</v>
      </c>
      <c r="Q75" s="1">
        <f>IF(Data!Q75&gt;0,4-Data!Q75,"")</f>
        <v>3</v>
      </c>
      <c r="R75" s="1">
        <f>IF(Data!R75&gt;0,4-Data!R75,"")</f>
        <v>2</v>
      </c>
      <c r="S75" s="1">
        <f>IF(Data!S75&gt;0,4-Data!S75,"")</f>
        <v>3</v>
      </c>
      <c r="T75" s="1">
        <f>IF(Data!T75&gt;0,Data!T75-4,"")</f>
        <v>3</v>
      </c>
      <c r="U75" s="1">
        <f>IF(Data!U75&gt;0,4-Data!U75,"")</f>
        <v>3</v>
      </c>
      <c r="V75" s="1">
        <f>IF(Data!V75&gt;0,Data!V75-4,"")</f>
        <v>3</v>
      </c>
      <c r="W75" s="1">
        <f>IF(Data!W75&gt;0,4-Data!W75,"")</f>
        <v>3</v>
      </c>
      <c r="X75" s="1">
        <f>IF(Data!X75&gt;0,4-Data!X75,"")</f>
        <v>3</v>
      </c>
      <c r="Y75" s="1">
        <f>IF(Data!Y75&gt;0,4-Data!Y75,"")</f>
        <v>3</v>
      </c>
      <c r="Z75" s="1">
        <f>IF(Data!Z75&gt;0,Data!Z75-4,"")</f>
        <v>3</v>
      </c>
      <c r="AC75" s="4" t="str">
        <f t="shared" si="16"/>
        <v/>
      </c>
      <c r="AD75" s="4" t="str">
        <f t="shared" si="17"/>
        <v/>
      </c>
      <c r="AE75" s="4" t="str">
        <f t="shared" si="18"/>
        <v/>
      </c>
      <c r="AF75" s="4">
        <f t="shared" si="19"/>
        <v>1</v>
      </c>
      <c r="AG75" s="4" t="str">
        <f t="shared" si="20"/>
        <v/>
      </c>
      <c r="AH75" s="4" t="str">
        <f t="shared" si="21"/>
        <v/>
      </c>
      <c r="AI75" s="2">
        <f t="shared" si="22"/>
        <v>1</v>
      </c>
      <c r="AK75" s="2">
        <f>IF(MAX(COUNTIF(Data!A75:Z75,1),COUNTIF(Data!A75:Z75,2),COUNTIF(Data!A75:Z75,3),COUNTIF(Data!A75:Z75,4),COUNTIF(Data!A75:Z75,5),COUNTIF(Data!A75:Z75,6),COUNTIF(Data!A75:Z75,7))&gt;0,MAX(COUNTIF(Data!A75:Z75,1),COUNTIF(Data!A75:Z75,2),COUNTIF(Data!A75:Z75,3),COUNTIF(Data!A75:Z75,4),COUNTIF(Data!A75:Z75,5),COUNTIF(Data!A75:Z75,6),COUNTIF(Data!A75:Z75,7)),"")</f>
        <v>11</v>
      </c>
    </row>
    <row r="76" spans="1:37">
      <c r="A76" s="1">
        <f>IF(Data!A76&gt;0,Data!A76-4,"")</f>
        <v>3</v>
      </c>
      <c r="B76" s="1">
        <f>IF(Data!B76&gt;0,Data!B76-4,"")</f>
        <v>3</v>
      </c>
      <c r="C76" s="1">
        <f>IF(Data!C76&gt;0,4-Data!C76,"")</f>
        <v>1</v>
      </c>
      <c r="D76" s="1">
        <f>IF(Data!D76&gt;0,4-Data!D76,"")</f>
        <v>2</v>
      </c>
      <c r="E76" s="1">
        <f>IF(Data!E76&gt;0,4-Data!E76,"")</f>
        <v>1</v>
      </c>
      <c r="F76" s="1">
        <f>IF(Data!F76&gt;0,Data!F76-4,"")</f>
        <v>2</v>
      </c>
      <c r="G76" s="1">
        <f>IF(Data!G76&gt;0,Data!G76-4,"")</f>
        <v>2</v>
      </c>
      <c r="H76" s="1">
        <f>IF(Data!H76&gt;0,Data!H76-4,"")</f>
        <v>2</v>
      </c>
      <c r="I76" s="1">
        <f>IF(Data!I76&gt;0,4-Data!I76,"")</f>
        <v>2</v>
      </c>
      <c r="J76" s="1">
        <f>IF(Data!J76&gt;0,4-Data!J76,"")</f>
        <v>0</v>
      </c>
      <c r="K76" s="1">
        <f>IF(Data!K76&gt;0,Data!K76-4,"")</f>
        <v>1</v>
      </c>
      <c r="L76" s="1">
        <f>IF(Data!L76&gt;0,4-Data!L76,"")</f>
        <v>3</v>
      </c>
      <c r="M76" s="1">
        <f>IF(Data!M76&gt;0,Data!M76-4,"")</f>
        <v>2</v>
      </c>
      <c r="N76" s="1">
        <f>IF(Data!N76&gt;0,Data!N76-4,"")</f>
        <v>2</v>
      </c>
      <c r="O76" s="1">
        <f>IF(Data!O76&gt;0,Data!O76-4,"")</f>
        <v>0</v>
      </c>
      <c r="P76" s="1">
        <f>IF(Data!P76&gt;0,Data!P76-4,"")</f>
        <v>2</v>
      </c>
      <c r="Q76" s="1">
        <f>IF(Data!Q76&gt;0,4-Data!Q76,"")</f>
        <v>2</v>
      </c>
      <c r="R76" s="1">
        <f>IF(Data!R76&gt;0,4-Data!R76,"")</f>
        <v>0</v>
      </c>
      <c r="S76" s="1">
        <f>IF(Data!S76&gt;0,4-Data!S76,"")</f>
        <v>3</v>
      </c>
      <c r="T76" s="1">
        <f>IF(Data!T76&gt;0,Data!T76-4,"")</f>
        <v>3</v>
      </c>
      <c r="U76" s="1">
        <f>IF(Data!U76&gt;0,4-Data!U76,"")</f>
        <v>2</v>
      </c>
      <c r="V76" s="1">
        <f>IF(Data!V76&gt;0,Data!V76-4,"")</f>
        <v>2</v>
      </c>
      <c r="W76" s="1">
        <f>IF(Data!W76&gt;0,4-Data!W76,"")</f>
        <v>2</v>
      </c>
      <c r="X76" s="1">
        <f>IF(Data!X76&gt;0,4-Data!X76,"")</f>
        <v>2</v>
      </c>
      <c r="Y76" s="1">
        <f>IF(Data!Y76&gt;0,4-Data!Y76,"")</f>
        <v>1</v>
      </c>
      <c r="Z76" s="1">
        <f>IF(Data!Z76&gt;0,Data!Z76-4,"")</f>
        <v>0</v>
      </c>
      <c r="AC76" s="4" t="str">
        <f t="shared" si="16"/>
        <v/>
      </c>
      <c r="AD76" s="4" t="str">
        <f t="shared" si="17"/>
        <v/>
      </c>
      <c r="AE76" s="4" t="str">
        <f t="shared" si="18"/>
        <v/>
      </c>
      <c r="AF76" s="4" t="str">
        <f t="shared" si="19"/>
        <v/>
      </c>
      <c r="AG76" s="4" t="str">
        <f t="shared" si="20"/>
        <v/>
      </c>
      <c r="AH76" s="4" t="str">
        <f t="shared" si="21"/>
        <v/>
      </c>
      <c r="AI76" s="2">
        <f t="shared" si="22"/>
        <v>0</v>
      </c>
      <c r="AK76" s="2">
        <f>IF(MAX(COUNTIF(Data!A76:Z76,1),COUNTIF(Data!A76:Z76,2),COUNTIF(Data!A76:Z76,3),COUNTIF(Data!A76:Z76,4),COUNTIF(Data!A76:Z76,5),COUNTIF(Data!A76:Z76,6),COUNTIF(Data!A76:Z76,7))&gt;0,MAX(COUNTIF(Data!A76:Z76,1),COUNTIF(Data!A76:Z76,2),COUNTIF(Data!A76:Z76,3),COUNTIF(Data!A76:Z76,4),COUNTIF(Data!A76:Z76,5),COUNTIF(Data!A76:Z76,6),COUNTIF(Data!A76:Z76,7)),"")</f>
        <v>7</v>
      </c>
    </row>
    <row r="77" spans="1:37">
      <c r="A77" s="1">
        <f>IF(Data!A77&gt;0,Data!A77-4,"")</f>
        <v>3</v>
      </c>
      <c r="B77" s="1">
        <f>IF(Data!B77&gt;0,Data!B77-4,"")</f>
        <v>3</v>
      </c>
      <c r="C77" s="1">
        <f>IF(Data!C77&gt;0,4-Data!C77,"")</f>
        <v>1</v>
      </c>
      <c r="D77" s="1">
        <f>IF(Data!D77&gt;0,4-Data!D77,"")</f>
        <v>3</v>
      </c>
      <c r="E77" s="1">
        <f>IF(Data!E77&gt;0,4-Data!E77,"")</f>
        <v>3</v>
      </c>
      <c r="F77" s="1">
        <f>IF(Data!F77&gt;0,Data!F77-4,"")</f>
        <v>0</v>
      </c>
      <c r="G77" s="1">
        <f>IF(Data!G77&gt;0,Data!G77-4,"")</f>
        <v>0</v>
      </c>
      <c r="H77" s="1">
        <f>IF(Data!H77&gt;0,Data!H77-4,"")</f>
        <v>3</v>
      </c>
      <c r="I77" s="1">
        <f>IF(Data!I77&gt;0,4-Data!I77,"")</f>
        <v>-3</v>
      </c>
      <c r="J77" s="1">
        <f>IF(Data!J77&gt;0,4-Data!J77,"")</f>
        <v>-3</v>
      </c>
      <c r="K77" s="1">
        <f>IF(Data!K77&gt;0,Data!K77-4,"")</f>
        <v>0</v>
      </c>
      <c r="L77" s="1">
        <f>IF(Data!L77&gt;0,4-Data!L77,"")</f>
        <v>3</v>
      </c>
      <c r="M77" s="1">
        <f>IF(Data!M77&gt;0,Data!M77-4,"")</f>
        <v>1</v>
      </c>
      <c r="N77" s="1">
        <f>IF(Data!N77&gt;0,Data!N77-4,"")</f>
        <v>3</v>
      </c>
      <c r="O77" s="1">
        <f>IF(Data!O77&gt;0,Data!O77-4,"")</f>
        <v>-3</v>
      </c>
      <c r="P77" s="1">
        <f>IF(Data!P77&gt;0,Data!P77-4,"")</f>
        <v>3</v>
      </c>
      <c r="Q77" s="1">
        <f>IF(Data!Q77&gt;0,4-Data!Q77,"")</f>
        <v>3</v>
      </c>
      <c r="R77" s="1">
        <f>IF(Data!R77&gt;0,4-Data!R77,"")</f>
        <v>-1</v>
      </c>
      <c r="S77" s="1">
        <f>IF(Data!S77&gt;0,4-Data!S77,"")</f>
        <v>3</v>
      </c>
      <c r="T77" s="1">
        <f>IF(Data!T77&gt;0,Data!T77-4,"")</f>
        <v>3</v>
      </c>
      <c r="U77" s="1">
        <f>IF(Data!U77&gt;0,4-Data!U77,"")</f>
        <v>3</v>
      </c>
      <c r="V77" s="1">
        <f>IF(Data!V77&gt;0,Data!V77-4,"")</f>
        <v>3</v>
      </c>
      <c r="W77" s="1">
        <f>IF(Data!W77&gt;0,4-Data!W77,"")</f>
        <v>3</v>
      </c>
      <c r="X77" s="1">
        <f>IF(Data!X77&gt;0,4-Data!X77,"")</f>
        <v>3</v>
      </c>
      <c r="Y77" s="1">
        <f>IF(Data!Y77&gt;0,4-Data!Y77,"")</f>
        <v>3</v>
      </c>
      <c r="Z77" s="1">
        <f>IF(Data!Z77&gt;0,Data!Z77-4,"")</f>
        <v>0</v>
      </c>
      <c r="AC77" s="4" t="str">
        <f t="shared" si="16"/>
        <v/>
      </c>
      <c r="AD77" s="4" t="str">
        <f t="shared" si="17"/>
        <v/>
      </c>
      <c r="AE77" s="4">
        <f t="shared" si="18"/>
        <v>1</v>
      </c>
      <c r="AF77" s="4" t="str">
        <f t="shared" si="19"/>
        <v/>
      </c>
      <c r="AG77" s="4">
        <f t="shared" si="20"/>
        <v>1</v>
      </c>
      <c r="AH77" s="4">
        <f t="shared" si="21"/>
        <v>1</v>
      </c>
      <c r="AI77" s="2">
        <f t="shared" si="22"/>
        <v>3</v>
      </c>
      <c r="AK77" s="2">
        <f>IF(MAX(COUNTIF(Data!A77:Z77,1),COUNTIF(Data!A77:Z77,2),COUNTIF(Data!A77:Z77,3),COUNTIF(Data!A77:Z77,4),COUNTIF(Data!A77:Z77,5),COUNTIF(Data!A77:Z77,6),COUNTIF(Data!A77:Z77,7))&gt;0,MAX(COUNTIF(Data!A77:Z77,1),COUNTIF(Data!A77:Z77,2),COUNTIF(Data!A77:Z77,3),COUNTIF(Data!A77:Z77,4),COUNTIF(Data!A77:Z77,5),COUNTIF(Data!A77:Z77,6),COUNTIF(Data!A77:Z77,7)),"")</f>
        <v>10</v>
      </c>
    </row>
    <row r="78" spans="1:37">
      <c r="A78" s="1">
        <f>IF(Data!A78&gt;0,Data!A78-4,"")</f>
        <v>2</v>
      </c>
      <c r="B78" s="1">
        <f>IF(Data!B78&gt;0,Data!B78-4,"")</f>
        <v>2</v>
      </c>
      <c r="C78" s="1">
        <f>IF(Data!C78&gt;0,4-Data!C78,"")</f>
        <v>-2</v>
      </c>
      <c r="D78" s="1">
        <f>IF(Data!D78&gt;0,4-Data!D78,"")</f>
        <v>2</v>
      </c>
      <c r="E78" s="1">
        <f>IF(Data!E78&gt;0,4-Data!E78,"")</f>
        <v>2</v>
      </c>
      <c r="F78" s="1">
        <f>IF(Data!F78&gt;0,Data!F78-4,"")</f>
        <v>-1</v>
      </c>
      <c r="G78" s="1">
        <f>IF(Data!G78&gt;0,Data!G78-4,"")</f>
        <v>-2</v>
      </c>
      <c r="H78" s="1">
        <f>IF(Data!H78&gt;0,Data!H78-4,"")</f>
        <v>1</v>
      </c>
      <c r="I78" s="1">
        <f>IF(Data!I78&gt;0,4-Data!I78,"")</f>
        <v>2</v>
      </c>
      <c r="J78" s="1">
        <f>IF(Data!J78&gt;0,4-Data!J78,"")</f>
        <v>-2</v>
      </c>
      <c r="K78" s="1">
        <f>IF(Data!K78&gt;0,Data!K78-4,"")</f>
        <v>0</v>
      </c>
      <c r="L78" s="1">
        <f>IF(Data!L78&gt;0,4-Data!L78,"")</f>
        <v>2</v>
      </c>
      <c r="M78" s="1">
        <f>IF(Data!M78&gt;0,Data!M78-4,"")</f>
        <v>2</v>
      </c>
      <c r="N78" s="1">
        <f>IF(Data!N78&gt;0,Data!N78-4,"")</f>
        <v>0</v>
      </c>
      <c r="O78" s="1">
        <f>IF(Data!O78&gt;0,Data!O78-4,"")</f>
        <v>-2</v>
      </c>
      <c r="P78" s="1">
        <f>IF(Data!P78&gt;0,Data!P78-4,"")</f>
        <v>2</v>
      </c>
      <c r="Q78" s="1">
        <f>IF(Data!Q78&gt;0,4-Data!Q78,"")</f>
        <v>1</v>
      </c>
      <c r="R78" s="1">
        <f>IF(Data!R78&gt;0,4-Data!R78,"")</f>
        <v>-1</v>
      </c>
      <c r="S78" s="1">
        <f>IF(Data!S78&gt;0,4-Data!S78,"")</f>
        <v>2</v>
      </c>
      <c r="T78" s="1">
        <f>IF(Data!T78&gt;0,Data!T78-4,"")</f>
        <v>-1</v>
      </c>
      <c r="U78" s="1">
        <f>IF(Data!U78&gt;0,4-Data!U78,"")</f>
        <v>2</v>
      </c>
      <c r="V78" s="1">
        <f>IF(Data!V78&gt;0,Data!V78-4,"")</f>
        <v>2</v>
      </c>
      <c r="W78" s="1">
        <f>IF(Data!W78&gt;0,4-Data!W78,"")</f>
        <v>-2</v>
      </c>
      <c r="X78" s="1">
        <f>IF(Data!X78&gt;0,4-Data!X78,"")</f>
        <v>1</v>
      </c>
      <c r="Y78" s="1">
        <f>IF(Data!Y78&gt;0,4-Data!Y78,"")</f>
        <v>1</v>
      </c>
      <c r="Z78" s="1">
        <f>IF(Data!Z78&gt;0,Data!Z78-4,"")</f>
        <v>0</v>
      </c>
      <c r="AC78" s="4" t="str">
        <f t="shared" si="16"/>
        <v/>
      </c>
      <c r="AD78" s="4" t="str">
        <f t="shared" si="17"/>
        <v/>
      </c>
      <c r="AE78" s="4">
        <f t="shared" si="18"/>
        <v>1</v>
      </c>
      <c r="AF78" s="4" t="str">
        <f t="shared" si="19"/>
        <v/>
      </c>
      <c r="AG78" s="4">
        <f t="shared" si="20"/>
        <v>1</v>
      </c>
      <c r="AH78" s="4" t="str">
        <f t="shared" si="21"/>
        <v/>
      </c>
      <c r="AI78" s="2">
        <f t="shared" si="22"/>
        <v>2</v>
      </c>
      <c r="AK78" s="2">
        <f>IF(MAX(COUNTIF(Data!A78:Z78,1),COUNTIF(Data!A78:Z78,2),COUNTIF(Data!A78:Z78,3),COUNTIF(Data!A78:Z78,4),COUNTIF(Data!A78:Z78,5),COUNTIF(Data!A78:Z78,6),COUNTIF(Data!A78:Z78,7))&gt;0,MAX(COUNTIF(Data!A78:Z78,1),COUNTIF(Data!A78:Z78,2),COUNTIF(Data!A78:Z78,3),COUNTIF(Data!A78:Z78,4),COUNTIF(Data!A78:Z78,5),COUNTIF(Data!A78:Z78,6),COUNTIF(Data!A78:Z78,7)),"")</f>
        <v>8</v>
      </c>
    </row>
    <row r="79" spans="1:37">
      <c r="A79" s="1">
        <f>IF(Data!A79&gt;0,Data!A79-4,"")</f>
        <v>3</v>
      </c>
      <c r="B79" s="1">
        <f>IF(Data!B79&gt;0,Data!B79-4,"")</f>
        <v>3</v>
      </c>
      <c r="C79" s="1">
        <f>IF(Data!C79&gt;0,4-Data!C79,"")</f>
        <v>3</v>
      </c>
      <c r="D79" s="1">
        <f>IF(Data!D79&gt;0,4-Data!D79,"")</f>
        <v>3</v>
      </c>
      <c r="E79" s="1">
        <f>IF(Data!E79&gt;0,4-Data!E79,"")</f>
        <v>3</v>
      </c>
      <c r="F79" s="1">
        <f>IF(Data!F79&gt;0,Data!F79-4,"")</f>
        <v>3</v>
      </c>
      <c r="G79" s="1">
        <f>IF(Data!G79&gt;0,Data!G79-4,"")</f>
        <v>3</v>
      </c>
      <c r="H79" s="1">
        <f>IF(Data!H79&gt;0,Data!H79-4,"")</f>
        <v>0</v>
      </c>
      <c r="I79" s="1">
        <f>IF(Data!I79&gt;0,4-Data!I79,"")</f>
        <v>3</v>
      </c>
      <c r="J79" s="1">
        <f>IF(Data!J79&gt;0,4-Data!J79,"")</f>
        <v>3</v>
      </c>
      <c r="K79" s="1">
        <f>IF(Data!K79&gt;0,Data!K79-4,"")</f>
        <v>3</v>
      </c>
      <c r="L79" s="1">
        <f>IF(Data!L79&gt;0,4-Data!L79,"")</f>
        <v>3</v>
      </c>
      <c r="M79" s="1">
        <f>IF(Data!M79&gt;0,Data!M79-4,"")</f>
        <v>3</v>
      </c>
      <c r="N79" s="1">
        <f>IF(Data!N79&gt;0,Data!N79-4,"")</f>
        <v>3</v>
      </c>
      <c r="O79" s="1">
        <f>IF(Data!O79&gt;0,Data!O79-4,"")</f>
        <v>3</v>
      </c>
      <c r="P79" s="1">
        <f>IF(Data!P79&gt;0,Data!P79-4,"")</f>
        <v>3</v>
      </c>
      <c r="Q79" s="1">
        <f>IF(Data!Q79&gt;0,4-Data!Q79,"")</f>
        <v>1</v>
      </c>
      <c r="R79" s="1">
        <f>IF(Data!R79&gt;0,4-Data!R79,"")</f>
        <v>0</v>
      </c>
      <c r="S79" s="1">
        <f>IF(Data!S79&gt;0,4-Data!S79,"")</f>
        <v>3</v>
      </c>
      <c r="T79" s="1">
        <f>IF(Data!T79&gt;0,Data!T79-4,"")</f>
        <v>3</v>
      </c>
      <c r="U79" s="1">
        <f>IF(Data!U79&gt;0,4-Data!U79,"")</f>
        <v>3</v>
      </c>
      <c r="V79" s="1">
        <f>IF(Data!V79&gt;0,Data!V79-4,"")</f>
        <v>3</v>
      </c>
      <c r="W79" s="1">
        <f>IF(Data!W79&gt;0,4-Data!W79,"")</f>
        <v>3</v>
      </c>
      <c r="X79" s="1">
        <f>IF(Data!X79&gt;0,4-Data!X79,"")</f>
        <v>3</v>
      </c>
      <c r="Y79" s="1">
        <f>IF(Data!Y79&gt;0,4-Data!Y79,"")</f>
        <v>3</v>
      </c>
      <c r="Z79" s="1">
        <f>IF(Data!Z79&gt;0,Data!Z79-4,"")</f>
        <v>3</v>
      </c>
      <c r="AC79" s="4" t="str">
        <f t="shared" si="16"/>
        <v/>
      </c>
      <c r="AD79" s="4" t="str">
        <f t="shared" si="17"/>
        <v/>
      </c>
      <c r="AE79" s="4" t="str">
        <f t="shared" si="18"/>
        <v/>
      </c>
      <c r="AF79" s="4" t="str">
        <f t="shared" si="19"/>
        <v/>
      </c>
      <c r="AG79" s="4" t="str">
        <f t="shared" si="20"/>
        <v/>
      </c>
      <c r="AH79" s="4" t="str">
        <f t="shared" si="21"/>
        <v/>
      </c>
      <c r="AI79" s="2">
        <f t="shared" si="22"/>
        <v>0</v>
      </c>
      <c r="AK79" s="2">
        <f>IF(MAX(COUNTIF(Data!A79:Z79,1),COUNTIF(Data!A79:Z79,2),COUNTIF(Data!A79:Z79,3),COUNTIF(Data!A79:Z79,4),COUNTIF(Data!A79:Z79,5),COUNTIF(Data!A79:Z79,6),COUNTIF(Data!A79:Z79,7))&gt;0,MAX(COUNTIF(Data!A79:Z79,1),COUNTIF(Data!A79:Z79,2),COUNTIF(Data!A79:Z79,3),COUNTIF(Data!A79:Z79,4),COUNTIF(Data!A79:Z79,5),COUNTIF(Data!A79:Z79,6),COUNTIF(Data!A79:Z79,7)),"")</f>
        <v>12</v>
      </c>
    </row>
    <row r="80" spans="1:37">
      <c r="A80" s="1">
        <f>IF(Data!A80&gt;0,Data!A80-4,"")</f>
        <v>1</v>
      </c>
      <c r="B80" s="1">
        <f>IF(Data!B80&gt;0,Data!B80-4,"")</f>
        <v>3</v>
      </c>
      <c r="C80" s="1">
        <f>IF(Data!C80&gt;0,4-Data!C80,"")</f>
        <v>-1</v>
      </c>
      <c r="D80" s="1">
        <f>IF(Data!D80&gt;0,4-Data!D80,"")</f>
        <v>-1</v>
      </c>
      <c r="E80" s="1">
        <f>IF(Data!E80&gt;0,4-Data!E80,"")</f>
        <v>-2</v>
      </c>
      <c r="F80" s="1">
        <f>IF(Data!F80&gt;0,Data!F80-4,"")</f>
        <v>1</v>
      </c>
      <c r="G80" s="1">
        <f>IF(Data!G80&gt;0,Data!G80-4,"")</f>
        <v>1</v>
      </c>
      <c r="H80" s="1">
        <f>IF(Data!H80&gt;0,Data!H80-4,"")</f>
        <v>2</v>
      </c>
      <c r="I80" s="1">
        <f>IF(Data!I80&gt;0,4-Data!I80,"")</f>
        <v>-2</v>
      </c>
      <c r="J80" s="1">
        <f>IF(Data!J80&gt;0,4-Data!J80,"")</f>
        <v>0</v>
      </c>
      <c r="K80" s="1">
        <f>IF(Data!K80&gt;0,Data!K80-4,"")</f>
        <v>3</v>
      </c>
      <c r="L80" s="1">
        <f>IF(Data!L80&gt;0,4-Data!L80,"")</f>
        <v>3</v>
      </c>
      <c r="M80" s="1">
        <f>IF(Data!M80&gt;0,Data!M80-4,"")</f>
        <v>2</v>
      </c>
      <c r="N80" s="1">
        <f>IF(Data!N80&gt;0,Data!N80-4,"")</f>
        <v>2</v>
      </c>
      <c r="O80" s="1">
        <f>IF(Data!O80&gt;0,Data!O80-4,"")</f>
        <v>2</v>
      </c>
      <c r="P80" s="1">
        <f>IF(Data!P80&gt;0,Data!P80-4,"")</f>
        <v>2</v>
      </c>
      <c r="Q80" s="1">
        <f>IF(Data!Q80&gt;0,4-Data!Q80,"")</f>
        <v>-3</v>
      </c>
      <c r="R80" s="1">
        <f>IF(Data!R80&gt;0,4-Data!R80,"")</f>
        <v>2</v>
      </c>
      <c r="S80" s="1">
        <f>IF(Data!S80&gt;0,4-Data!S80,"")</f>
        <v>3</v>
      </c>
      <c r="T80" s="1">
        <f>IF(Data!T80&gt;0,Data!T80-4,"")</f>
        <v>2</v>
      </c>
      <c r="U80" s="1">
        <f>IF(Data!U80&gt;0,4-Data!U80,"")</f>
        <v>1</v>
      </c>
      <c r="V80" s="1">
        <f>IF(Data!V80&gt;0,Data!V80-4,"")</f>
        <v>1</v>
      </c>
      <c r="W80" s="1">
        <f>IF(Data!W80&gt;0,4-Data!W80,"")</f>
        <v>2</v>
      </c>
      <c r="X80" s="1">
        <f>IF(Data!X80&gt;0,4-Data!X80,"")</f>
        <v>0</v>
      </c>
      <c r="Y80" s="1">
        <f>IF(Data!Y80&gt;0,4-Data!Y80,"")</f>
        <v>1</v>
      </c>
      <c r="Z80" s="1">
        <f>IF(Data!Z80&gt;0,Data!Z80-4,"")</f>
        <v>1</v>
      </c>
      <c r="AC80" s="4" t="str">
        <f t="shared" si="16"/>
        <v/>
      </c>
      <c r="AD80" s="4">
        <f t="shared" si="17"/>
        <v>1</v>
      </c>
      <c r="AE80" s="4">
        <f t="shared" si="18"/>
        <v>1</v>
      </c>
      <c r="AF80" s="4">
        <f t="shared" si="19"/>
        <v>1</v>
      </c>
      <c r="AG80" s="4">
        <f t="shared" si="20"/>
        <v>1</v>
      </c>
      <c r="AH80" s="4" t="str">
        <f t="shared" si="21"/>
        <v/>
      </c>
      <c r="AI80" s="2">
        <f t="shared" si="22"/>
        <v>4</v>
      </c>
      <c r="AK80" s="2">
        <f>IF(MAX(COUNTIF(Data!A80:Z80,1),COUNTIF(Data!A80:Z80,2),COUNTIF(Data!A80:Z80,3),COUNTIF(Data!A80:Z80,4),COUNTIF(Data!A80:Z80,5),COUNTIF(Data!A80:Z80,6),COUNTIF(Data!A80:Z80,7))&gt;0,MAX(COUNTIF(Data!A80:Z80,1),COUNTIF(Data!A80:Z80,2),COUNTIF(Data!A80:Z80,3),COUNTIF(Data!A80:Z80,4),COUNTIF(Data!A80:Z80,5),COUNTIF(Data!A80:Z80,6),COUNTIF(Data!A80:Z80,7)),"")</f>
        <v>8</v>
      </c>
    </row>
    <row r="81" spans="1:37">
      <c r="A81" s="1">
        <f>IF(Data!A81&gt;0,Data!A81-4,"")</f>
        <v>0</v>
      </c>
      <c r="B81" s="1">
        <f>IF(Data!B81&gt;0,Data!B81-4,"")</f>
        <v>3</v>
      </c>
      <c r="C81" s="1">
        <f>IF(Data!C81&gt;0,4-Data!C81,"")</f>
        <v>-1</v>
      </c>
      <c r="D81" s="1">
        <f>IF(Data!D81&gt;0,4-Data!D81,"")</f>
        <v>-2</v>
      </c>
      <c r="E81" s="1">
        <f>IF(Data!E81&gt;0,4-Data!E81,"")</f>
        <v>-2</v>
      </c>
      <c r="F81" s="1">
        <f>IF(Data!F81&gt;0,Data!F81-4,"")</f>
        <v>2</v>
      </c>
      <c r="G81" s="1">
        <f>IF(Data!G81&gt;0,Data!G81-4,"")</f>
        <v>-2</v>
      </c>
      <c r="H81" s="1">
        <f>IF(Data!H81&gt;0,Data!H81-4,"")</f>
        <v>3</v>
      </c>
      <c r="I81" s="1">
        <f>IF(Data!I81&gt;0,4-Data!I81,"")</f>
        <v>1</v>
      </c>
      <c r="J81" s="1">
        <f>IF(Data!J81&gt;0,4-Data!J81,"")</f>
        <v>1</v>
      </c>
      <c r="K81" s="1">
        <f>IF(Data!K81&gt;0,Data!K81-4,"")</f>
        <v>1</v>
      </c>
      <c r="L81" s="1">
        <f>IF(Data!L81&gt;0,4-Data!L81,"")</f>
        <v>1</v>
      </c>
      <c r="M81" s="1">
        <f>IF(Data!M81&gt;0,Data!M81-4,"")</f>
        <v>3</v>
      </c>
      <c r="N81" s="1">
        <f>IF(Data!N81&gt;0,Data!N81-4,"")</f>
        <v>2</v>
      </c>
      <c r="O81" s="1">
        <f>IF(Data!O81&gt;0,Data!O81-4,"")</f>
        <v>1</v>
      </c>
      <c r="P81" s="1">
        <f>IF(Data!P81&gt;0,Data!P81-4,"")</f>
        <v>1</v>
      </c>
      <c r="Q81" s="1">
        <f>IF(Data!Q81&gt;0,4-Data!Q81,"")</f>
        <v>2</v>
      </c>
      <c r="R81" s="1">
        <f>IF(Data!R81&gt;0,4-Data!R81,"")</f>
        <v>2</v>
      </c>
      <c r="S81" s="1">
        <f>IF(Data!S81&gt;0,4-Data!S81,"")</f>
        <v>1</v>
      </c>
      <c r="T81" s="1">
        <f>IF(Data!T81&gt;0,Data!T81-4,"")</f>
        <v>2</v>
      </c>
      <c r="U81" s="1">
        <f>IF(Data!U81&gt;0,4-Data!U81,"")</f>
        <v>3</v>
      </c>
      <c r="V81" s="1">
        <f>IF(Data!V81&gt;0,Data!V81-4,"")</f>
        <v>3</v>
      </c>
      <c r="W81" s="1">
        <f>IF(Data!W81&gt;0,4-Data!W81,"")</f>
        <v>3</v>
      </c>
      <c r="X81" s="1">
        <f>IF(Data!X81&gt;0,4-Data!X81,"")</f>
        <v>1</v>
      </c>
      <c r="Y81" s="1">
        <f>IF(Data!Y81&gt;0,4-Data!Y81,"")</f>
        <v>1</v>
      </c>
      <c r="Z81" s="1">
        <f>IF(Data!Z81&gt;0,Data!Z81-4,"")</f>
        <v>0</v>
      </c>
      <c r="AC81" s="4" t="str">
        <f t="shared" si="16"/>
        <v/>
      </c>
      <c r="AD81" s="4">
        <f t="shared" si="17"/>
        <v>1</v>
      </c>
      <c r="AE81" s="4" t="str">
        <f t="shared" si="18"/>
        <v/>
      </c>
      <c r="AF81" s="4" t="str">
        <f t="shared" si="19"/>
        <v/>
      </c>
      <c r="AG81" s="4">
        <f t="shared" si="20"/>
        <v>1</v>
      </c>
      <c r="AH81" s="4" t="str">
        <f t="shared" si="21"/>
        <v/>
      </c>
      <c r="AI81" s="2">
        <f t="shared" si="22"/>
        <v>2</v>
      </c>
      <c r="AK81" s="2">
        <f>IF(MAX(COUNTIF(Data!A81:Z81,1),COUNTIF(Data!A81:Z81,2),COUNTIF(Data!A81:Z81,3),COUNTIF(Data!A81:Z81,4),COUNTIF(Data!A81:Z81,5),COUNTIF(Data!A81:Z81,6),COUNTIF(Data!A81:Z81,7))&gt;0,MAX(COUNTIF(Data!A81:Z81,1),COUNTIF(Data!A81:Z81,2),COUNTIF(Data!A81:Z81,3),COUNTIF(Data!A81:Z81,4),COUNTIF(Data!A81:Z81,5),COUNTIF(Data!A81:Z81,6),COUNTIF(Data!A81:Z81,7)),"")</f>
        <v>6</v>
      </c>
    </row>
    <row r="82" spans="1:37">
      <c r="A82" s="1">
        <f>IF(Data!A82&gt;0,Data!A82-4,"")</f>
        <v>2</v>
      </c>
      <c r="B82" s="1">
        <f>IF(Data!B82&gt;0,Data!B82-4,"")</f>
        <v>2</v>
      </c>
      <c r="C82" s="1">
        <f>IF(Data!C82&gt;0,4-Data!C82,"")</f>
        <v>1</v>
      </c>
      <c r="D82" s="1">
        <f>IF(Data!D82&gt;0,4-Data!D82,"")</f>
        <v>2</v>
      </c>
      <c r="E82" s="1">
        <f>IF(Data!E82&gt;0,4-Data!E82,"")</f>
        <v>2</v>
      </c>
      <c r="F82" s="1">
        <f>IF(Data!F82&gt;0,Data!F82-4,"")</f>
        <v>1</v>
      </c>
      <c r="G82" s="1">
        <f>IF(Data!G82&gt;0,Data!G82-4,"")</f>
        <v>2</v>
      </c>
      <c r="H82" s="1">
        <f>IF(Data!H82&gt;0,Data!H82-4,"")</f>
        <v>1</v>
      </c>
      <c r="I82" s="1">
        <f>IF(Data!I82&gt;0,4-Data!I82,"")</f>
        <v>-1</v>
      </c>
      <c r="J82" s="1">
        <f>IF(Data!J82&gt;0,4-Data!J82,"")</f>
        <v>0</v>
      </c>
      <c r="K82" s="1">
        <f>IF(Data!K82&gt;0,Data!K82-4,"")</f>
        <v>1</v>
      </c>
      <c r="L82" s="1">
        <f>IF(Data!L82&gt;0,4-Data!L82,"")</f>
        <v>2</v>
      </c>
      <c r="M82" s="1">
        <f>IF(Data!M82&gt;0,Data!M82-4,"")</f>
        <v>0</v>
      </c>
      <c r="N82" s="1">
        <f>IF(Data!N82&gt;0,Data!N82-4,"")</f>
        <v>1</v>
      </c>
      <c r="O82" s="1">
        <f>IF(Data!O82&gt;0,Data!O82-4,"")</f>
        <v>-2</v>
      </c>
      <c r="P82" s="1">
        <f>IF(Data!P82&gt;0,Data!P82-4,"")</f>
        <v>2</v>
      </c>
      <c r="Q82" s="1">
        <f>IF(Data!Q82&gt;0,4-Data!Q82,"")</f>
        <v>2</v>
      </c>
      <c r="R82" s="1">
        <f>IF(Data!R82&gt;0,4-Data!R82,"")</f>
        <v>2</v>
      </c>
      <c r="S82" s="1">
        <f>IF(Data!S82&gt;0,4-Data!S82,"")</f>
        <v>2</v>
      </c>
      <c r="T82" s="1">
        <f>IF(Data!T82&gt;0,Data!T82-4,"")</f>
        <v>1</v>
      </c>
      <c r="U82" s="1">
        <f>IF(Data!U82&gt;0,4-Data!U82,"")</f>
        <v>-1</v>
      </c>
      <c r="V82" s="1">
        <f>IF(Data!V82&gt;0,Data!V82-4,"")</f>
        <v>2</v>
      </c>
      <c r="W82" s="1">
        <f>IF(Data!W82&gt;0,4-Data!W82,"")</f>
        <v>-1</v>
      </c>
      <c r="X82" s="1">
        <f>IF(Data!X82&gt;0,4-Data!X82,"")</f>
        <v>2</v>
      </c>
      <c r="Y82" s="1">
        <f>IF(Data!Y82&gt;0,4-Data!Y82,"")</f>
        <v>2</v>
      </c>
      <c r="Z82" s="1">
        <f>IF(Data!Z82&gt;0,Data!Z82-4,"")</f>
        <v>1</v>
      </c>
      <c r="AC82" s="4" t="str">
        <f t="shared" si="16"/>
        <v/>
      </c>
      <c r="AD82" s="4" t="str">
        <f t="shared" si="17"/>
        <v/>
      </c>
      <c r="AE82" s="4" t="str">
        <f t="shared" si="18"/>
        <v/>
      </c>
      <c r="AF82" s="4" t="str">
        <f t="shared" si="19"/>
        <v/>
      </c>
      <c r="AG82" s="4" t="str">
        <f t="shared" si="20"/>
        <v/>
      </c>
      <c r="AH82" s="4" t="str">
        <f t="shared" si="21"/>
        <v/>
      </c>
      <c r="AI82" s="2">
        <f t="shared" si="22"/>
        <v>0</v>
      </c>
      <c r="AK82" s="2">
        <f>IF(MAX(COUNTIF(Data!A82:Z82,1),COUNTIF(Data!A82:Z82,2),COUNTIF(Data!A82:Z82,3),COUNTIF(Data!A82:Z82,4),COUNTIF(Data!A82:Z82,5),COUNTIF(Data!A82:Z82,6),COUNTIF(Data!A82:Z82,7))&gt;0,MAX(COUNTIF(Data!A82:Z82,1),COUNTIF(Data!A82:Z82,2),COUNTIF(Data!A82:Z82,3),COUNTIF(Data!A82:Z82,4),COUNTIF(Data!A82:Z82,5),COUNTIF(Data!A82:Z82,6),COUNTIF(Data!A82:Z82,7)),"")</f>
        <v>9</v>
      </c>
    </row>
    <row r="83" spans="1:37">
      <c r="A83" s="1">
        <f>IF(Data!A83&gt;0,Data!A83-4,"")</f>
        <v>2</v>
      </c>
      <c r="B83" s="1">
        <f>IF(Data!B83&gt;0,Data!B83-4,"")</f>
        <v>2</v>
      </c>
      <c r="C83" s="1">
        <f>IF(Data!C83&gt;0,4-Data!C83,"")</f>
        <v>2</v>
      </c>
      <c r="D83" s="1">
        <f>IF(Data!D83&gt;0,4-Data!D83,"")</f>
        <v>2</v>
      </c>
      <c r="E83" s="1">
        <f>IF(Data!E83&gt;0,4-Data!E83,"")</f>
        <v>0</v>
      </c>
      <c r="F83" s="1">
        <f>IF(Data!F83&gt;0,Data!F83-4,"")</f>
        <v>0</v>
      </c>
      <c r="G83" s="1">
        <f>IF(Data!G83&gt;0,Data!G83-4,"")</f>
        <v>2</v>
      </c>
      <c r="H83" s="1">
        <f>IF(Data!H83&gt;0,Data!H83-4,"")</f>
        <v>0</v>
      </c>
      <c r="I83" s="1">
        <f>IF(Data!I83&gt;0,4-Data!I83,"")</f>
        <v>0</v>
      </c>
      <c r="J83" s="1">
        <f>IF(Data!J83&gt;0,4-Data!J83,"")</f>
        <v>2</v>
      </c>
      <c r="K83" s="1">
        <f>IF(Data!K83&gt;0,Data!K83-4,"")</f>
        <v>0</v>
      </c>
      <c r="L83" s="1">
        <f>IF(Data!L83&gt;0,4-Data!L83,"")</f>
        <v>1</v>
      </c>
      <c r="M83" s="1">
        <f>IF(Data!M83&gt;0,Data!M83-4,"")</f>
        <v>0</v>
      </c>
      <c r="N83" s="1">
        <f>IF(Data!N83&gt;0,Data!N83-4,"")</f>
        <v>0</v>
      </c>
      <c r="O83" s="1">
        <f>IF(Data!O83&gt;0,Data!O83-4,"")</f>
        <v>1</v>
      </c>
      <c r="P83" s="1">
        <f>IF(Data!P83&gt;0,Data!P83-4,"")</f>
        <v>0</v>
      </c>
      <c r="Q83" s="1">
        <f>IF(Data!Q83&gt;0,4-Data!Q83,"")</f>
        <v>0</v>
      </c>
      <c r="R83" s="1">
        <f>IF(Data!R83&gt;0,4-Data!R83,"")</f>
        <v>0</v>
      </c>
      <c r="S83" s="1">
        <f>IF(Data!S83&gt;0,4-Data!S83,"")</f>
        <v>2</v>
      </c>
      <c r="T83" s="1">
        <f>IF(Data!T83&gt;0,Data!T83-4,"")</f>
        <v>2</v>
      </c>
      <c r="U83" s="1">
        <f>IF(Data!U83&gt;0,4-Data!U83,"")</f>
        <v>2</v>
      </c>
      <c r="V83" s="1">
        <f>IF(Data!V83&gt;0,Data!V83-4,"")</f>
        <v>0</v>
      </c>
      <c r="W83" s="1">
        <f>IF(Data!W83&gt;0,4-Data!W83,"")</f>
        <v>2</v>
      </c>
      <c r="X83" s="1">
        <f>IF(Data!X83&gt;0,4-Data!X83,"")</f>
        <v>0</v>
      </c>
      <c r="Y83" s="1">
        <f>IF(Data!Y83&gt;0,4-Data!Y83,"")</f>
        <v>0</v>
      </c>
      <c r="Z83" s="1">
        <f>IF(Data!Z83&gt;0,Data!Z83-4,"")</f>
        <v>1</v>
      </c>
      <c r="AC83" s="4" t="str">
        <f t="shared" si="16"/>
        <v/>
      </c>
      <c r="AD83" s="4" t="str">
        <f t="shared" si="17"/>
        <v/>
      </c>
      <c r="AE83" s="4" t="str">
        <f t="shared" si="18"/>
        <v/>
      </c>
      <c r="AF83" s="4" t="str">
        <f t="shared" si="19"/>
        <v/>
      </c>
      <c r="AG83" s="4" t="str">
        <f t="shared" si="20"/>
        <v/>
      </c>
      <c r="AH83" s="4" t="str">
        <f t="shared" si="21"/>
        <v/>
      </c>
      <c r="AI83" s="2">
        <f t="shared" si="22"/>
        <v>0</v>
      </c>
      <c r="AK83" s="2">
        <f>IF(MAX(COUNTIF(Data!A83:Z83,1),COUNTIF(Data!A83:Z83,2),COUNTIF(Data!A83:Z83,3),COUNTIF(Data!A83:Z83,4),COUNTIF(Data!A83:Z83,5),COUNTIF(Data!A83:Z83,6),COUNTIF(Data!A83:Z83,7))&gt;0,MAX(COUNTIF(Data!A83:Z83,1),COUNTIF(Data!A83:Z83,2),COUNTIF(Data!A83:Z83,3),COUNTIF(Data!A83:Z83,4),COUNTIF(Data!A83:Z83,5),COUNTIF(Data!A83:Z83,6),COUNTIF(Data!A83:Z83,7)),"")</f>
        <v>13</v>
      </c>
    </row>
    <row r="84" spans="1:37">
      <c r="A84" s="1">
        <f>IF(Data!A84&gt;0,Data!A84-4,"")</f>
        <v>3</v>
      </c>
      <c r="B84" s="1">
        <f>IF(Data!B84&gt;0,Data!B84-4,"")</f>
        <v>2</v>
      </c>
      <c r="C84" s="1">
        <f>IF(Data!C84&gt;0,4-Data!C84,"")</f>
        <v>-3</v>
      </c>
      <c r="D84" s="1">
        <f>IF(Data!D84&gt;0,4-Data!D84,"")</f>
        <v>-1</v>
      </c>
      <c r="E84" s="1">
        <f>IF(Data!E84&gt;0,4-Data!E84,"")</f>
        <v>-3</v>
      </c>
      <c r="F84" s="1">
        <f>IF(Data!F84&gt;0,Data!F84-4,"")</f>
        <v>3</v>
      </c>
      <c r="G84" s="1">
        <f>IF(Data!G84&gt;0,Data!G84-4,"")</f>
        <v>3</v>
      </c>
      <c r="H84" s="1">
        <f>IF(Data!H84&gt;0,Data!H84-4,"")</f>
        <v>3</v>
      </c>
      <c r="I84" s="1">
        <f>IF(Data!I84&gt;0,4-Data!I84,"")</f>
        <v>3</v>
      </c>
      <c r="J84" s="1">
        <f>IF(Data!J84&gt;0,4-Data!J84,"")</f>
        <v>-3</v>
      </c>
      <c r="K84" s="1">
        <f>IF(Data!K84&gt;0,Data!K84-4,"")</f>
        <v>3</v>
      </c>
      <c r="L84" s="1">
        <f>IF(Data!L84&gt;0,4-Data!L84,"")</f>
        <v>3</v>
      </c>
      <c r="M84" s="1">
        <f>IF(Data!M84&gt;0,Data!M84-4,"")</f>
        <v>3</v>
      </c>
      <c r="N84" s="1">
        <f>IF(Data!N84&gt;0,Data!N84-4,"")</f>
        <v>2</v>
      </c>
      <c r="O84" s="1">
        <f>IF(Data!O84&gt;0,Data!O84-4,"")</f>
        <v>2</v>
      </c>
      <c r="P84" s="1">
        <f>IF(Data!P84&gt;0,Data!P84-4,"")</f>
        <v>2</v>
      </c>
      <c r="Q84" s="1">
        <f>IF(Data!Q84&gt;0,4-Data!Q84,"")</f>
        <v>3</v>
      </c>
      <c r="R84" s="1">
        <f>IF(Data!R84&gt;0,4-Data!R84,"")</f>
        <v>3</v>
      </c>
      <c r="S84" s="1">
        <f>IF(Data!S84&gt;0,4-Data!S84,"")</f>
        <v>3</v>
      </c>
      <c r="T84" s="1">
        <f>IF(Data!T84&gt;0,Data!T84-4,"")</f>
        <v>0</v>
      </c>
      <c r="U84" s="1">
        <f>IF(Data!U84&gt;0,4-Data!U84,"")</f>
        <v>0</v>
      </c>
      <c r="V84" s="1">
        <f>IF(Data!V84&gt;0,Data!V84-4,"")</f>
        <v>0</v>
      </c>
      <c r="W84" s="1">
        <f>IF(Data!W84&gt;0,4-Data!W84,"")</f>
        <v>3</v>
      </c>
      <c r="X84" s="1">
        <f>IF(Data!X84&gt;0,4-Data!X84,"")</f>
        <v>3</v>
      </c>
      <c r="Y84" s="1">
        <f>IF(Data!Y84&gt;0,4-Data!Y84,"")</f>
        <v>3</v>
      </c>
      <c r="Z84" s="1">
        <f>IF(Data!Z84&gt;0,Data!Z84-4,"")</f>
        <v>0</v>
      </c>
      <c r="AC84" s="4" t="str">
        <f t="shared" si="16"/>
        <v/>
      </c>
      <c r="AD84" s="4">
        <f t="shared" si="17"/>
        <v>1</v>
      </c>
      <c r="AE84" s="4" t="str">
        <f t="shared" si="18"/>
        <v/>
      </c>
      <c r="AF84" s="4" t="str">
        <f t="shared" si="19"/>
        <v/>
      </c>
      <c r="AG84" s="4">
        <f t="shared" si="20"/>
        <v>1</v>
      </c>
      <c r="AH84" s="4">
        <f t="shared" si="21"/>
        <v>1</v>
      </c>
      <c r="AI84" s="2">
        <f t="shared" si="22"/>
        <v>3</v>
      </c>
      <c r="AK84" s="2">
        <f>IF(MAX(COUNTIF(Data!A84:Z84,1),COUNTIF(Data!A84:Z84,2),COUNTIF(Data!A84:Z84,3),COUNTIF(Data!A84:Z84,4),COUNTIF(Data!A84:Z84,5),COUNTIF(Data!A84:Z84,6),COUNTIF(Data!A84:Z84,7))&gt;0,MAX(COUNTIF(Data!A84:Z84,1),COUNTIF(Data!A84:Z84,2),COUNTIF(Data!A84:Z84,3),COUNTIF(Data!A84:Z84,4),COUNTIF(Data!A84:Z84,5),COUNTIF(Data!A84:Z84,6),COUNTIF(Data!A84:Z84,7)),"")</f>
        <v>9</v>
      </c>
    </row>
    <row r="85" spans="1:37">
      <c r="A85" s="1">
        <f>IF(Data!A85&gt;0,Data!A85-4,"")</f>
        <v>1</v>
      </c>
      <c r="B85" s="1">
        <f>IF(Data!B85&gt;0,Data!B85-4,"")</f>
        <v>3</v>
      </c>
      <c r="C85" s="1">
        <f>IF(Data!C85&gt;0,4-Data!C85,"")</f>
        <v>1</v>
      </c>
      <c r="D85" s="1">
        <f>IF(Data!D85&gt;0,4-Data!D85,"")</f>
        <v>3</v>
      </c>
      <c r="E85" s="1">
        <f>IF(Data!E85&gt;0,4-Data!E85,"")</f>
        <v>1</v>
      </c>
      <c r="F85" s="1">
        <f>IF(Data!F85&gt;0,Data!F85-4,"")</f>
        <v>1</v>
      </c>
      <c r="G85" s="1">
        <f>IF(Data!G85&gt;0,Data!G85-4,"")</f>
        <v>1</v>
      </c>
      <c r="H85" s="1">
        <f>IF(Data!H85&gt;0,Data!H85-4,"")</f>
        <v>-1</v>
      </c>
      <c r="I85" s="1">
        <f>IF(Data!I85&gt;0,4-Data!I85,"")</f>
        <v>3</v>
      </c>
      <c r="J85" s="1">
        <f>IF(Data!J85&gt;0,4-Data!J85,"")</f>
        <v>1</v>
      </c>
      <c r="K85" s="1">
        <f>IF(Data!K85&gt;0,Data!K85-4,"")</f>
        <v>0</v>
      </c>
      <c r="L85" s="1">
        <f>IF(Data!L85&gt;0,4-Data!L85,"")</f>
        <v>0</v>
      </c>
      <c r="M85" s="1">
        <f>IF(Data!M85&gt;0,Data!M85-4,"")</f>
        <v>3</v>
      </c>
      <c r="N85" s="1">
        <f>IF(Data!N85&gt;0,Data!N85-4,"")</f>
        <v>0</v>
      </c>
      <c r="O85" s="1">
        <f>IF(Data!O85&gt;0,Data!O85-4,"")</f>
        <v>1</v>
      </c>
      <c r="P85" s="1">
        <f>IF(Data!P85&gt;0,Data!P85-4,"")</f>
        <v>0</v>
      </c>
      <c r="Q85" s="1">
        <f>IF(Data!Q85&gt;0,4-Data!Q85,"")</f>
        <v>3</v>
      </c>
      <c r="R85" s="1">
        <f>IF(Data!R85&gt;0,4-Data!R85,"")</f>
        <v>1</v>
      </c>
      <c r="S85" s="1">
        <f>IF(Data!S85&gt;0,4-Data!S85,"")</f>
        <v>3</v>
      </c>
      <c r="T85" s="1">
        <f>IF(Data!T85&gt;0,Data!T85-4,"")</f>
        <v>3</v>
      </c>
      <c r="U85" s="1">
        <f>IF(Data!U85&gt;0,4-Data!U85,"")</f>
        <v>3</v>
      </c>
      <c r="V85" s="1">
        <f>IF(Data!V85&gt;0,Data!V85-4,"")</f>
        <v>3</v>
      </c>
      <c r="W85" s="1">
        <f>IF(Data!W85&gt;0,4-Data!W85,"")</f>
        <v>1</v>
      </c>
      <c r="X85" s="1">
        <f>IF(Data!X85&gt;0,4-Data!X85,"")</f>
        <v>-1</v>
      </c>
      <c r="Y85" s="1">
        <f>IF(Data!Y85&gt;0,4-Data!Y85,"")</f>
        <v>0</v>
      </c>
      <c r="Z85" s="1">
        <f>IF(Data!Z85&gt;0,Data!Z85-4,"")</f>
        <v>1</v>
      </c>
      <c r="AC85" s="4" t="str">
        <f t="shared" si="16"/>
        <v/>
      </c>
      <c r="AD85" s="4" t="str">
        <f t="shared" si="17"/>
        <v/>
      </c>
      <c r="AE85" s="4" t="str">
        <f t="shared" si="18"/>
        <v/>
      </c>
      <c r="AF85" s="4">
        <f t="shared" si="19"/>
        <v>1</v>
      </c>
      <c r="AG85" s="4" t="str">
        <f t="shared" si="20"/>
        <v/>
      </c>
      <c r="AH85" s="4" t="str">
        <f t="shared" si="21"/>
        <v/>
      </c>
      <c r="AI85" s="2">
        <f t="shared" si="22"/>
        <v>1</v>
      </c>
      <c r="AK85" s="2">
        <f>IF(MAX(COUNTIF(Data!A85:Z85,1),COUNTIF(Data!A85:Z85,2),COUNTIF(Data!A85:Z85,3),COUNTIF(Data!A85:Z85,4),COUNTIF(Data!A85:Z85,5),COUNTIF(Data!A85:Z85,6),COUNTIF(Data!A85:Z85,7))&gt;0,MAX(COUNTIF(Data!A85:Z85,1),COUNTIF(Data!A85:Z85,2),COUNTIF(Data!A85:Z85,3),COUNTIF(Data!A85:Z85,4),COUNTIF(Data!A85:Z85,5),COUNTIF(Data!A85:Z85,6),COUNTIF(Data!A85:Z85,7)),"")</f>
        <v>6</v>
      </c>
    </row>
    <row r="86" spans="1:37">
      <c r="A86" s="1">
        <f>IF(Data!A86&gt;0,Data!A86-4,"")</f>
        <v>-2</v>
      </c>
      <c r="B86" s="1">
        <f>IF(Data!B86&gt;0,Data!B86-4,"")</f>
        <v>-3</v>
      </c>
      <c r="C86" s="1">
        <f>IF(Data!C86&gt;0,4-Data!C86,"")</f>
        <v>-1</v>
      </c>
      <c r="D86" s="1">
        <f>IF(Data!D86&gt;0,4-Data!D86,"")</f>
        <v>-1</v>
      </c>
      <c r="E86" s="1">
        <f>IF(Data!E86&gt;0,4-Data!E86,"")</f>
        <v>0</v>
      </c>
      <c r="F86" s="1">
        <f>IF(Data!F86&gt;0,Data!F86-4,"")</f>
        <v>-1</v>
      </c>
      <c r="G86" s="1">
        <f>IF(Data!G86&gt;0,Data!G86-4,"")</f>
        <v>-1</v>
      </c>
      <c r="H86" s="1">
        <f>IF(Data!H86&gt;0,Data!H86-4,"")</f>
        <v>0</v>
      </c>
      <c r="I86" s="1">
        <f>IF(Data!I86&gt;0,4-Data!I86,"")</f>
        <v>-1</v>
      </c>
      <c r="J86" s="1">
        <f>IF(Data!J86&gt;0,4-Data!J86,"")</f>
        <v>-1</v>
      </c>
      <c r="K86" s="1">
        <f>IF(Data!K86&gt;0,Data!K86-4,"")</f>
        <v>-2</v>
      </c>
      <c r="L86" s="1">
        <f>IF(Data!L86&gt;0,4-Data!L86,"")</f>
        <v>-2</v>
      </c>
      <c r="M86" s="1">
        <f>IF(Data!M86&gt;0,Data!M86-4,"")</f>
        <v>-2</v>
      </c>
      <c r="N86" s="1">
        <f>IF(Data!N86&gt;0,Data!N86-4,"")</f>
        <v>-3</v>
      </c>
      <c r="O86" s="1">
        <f>IF(Data!O86&gt;0,Data!O86-4,"")</f>
        <v>-1</v>
      </c>
      <c r="P86" s="1">
        <f>IF(Data!P86&gt;0,Data!P86-4,"")</f>
        <v>-2</v>
      </c>
      <c r="Q86" s="1">
        <f>IF(Data!Q86&gt;0,4-Data!Q86,"")</f>
        <v>-1</v>
      </c>
      <c r="R86" s="1">
        <f>IF(Data!R86&gt;0,4-Data!R86,"")</f>
        <v>-1</v>
      </c>
      <c r="S86" s="1">
        <f>IF(Data!S86&gt;0,4-Data!S86,"")</f>
        <v>0</v>
      </c>
      <c r="T86" s="1">
        <f>IF(Data!T86&gt;0,Data!T86-4,"")</f>
        <v>-3</v>
      </c>
      <c r="U86" s="1">
        <f>IF(Data!U86&gt;0,4-Data!U86,"")</f>
        <v>2</v>
      </c>
      <c r="V86" s="1">
        <f>IF(Data!V86&gt;0,Data!V86-4,"")</f>
        <v>1</v>
      </c>
      <c r="W86" s="1">
        <f>IF(Data!W86&gt;0,4-Data!W86,"")</f>
        <v>1</v>
      </c>
      <c r="X86" s="1">
        <f>IF(Data!X86&gt;0,4-Data!X86,"")</f>
        <v>0</v>
      </c>
      <c r="Y86" s="1">
        <f>IF(Data!Y86&gt;0,4-Data!Y86,"")</f>
        <v>1</v>
      </c>
      <c r="Z86" s="1">
        <f>IF(Data!Z86&gt;0,Data!Z86-4,"")</f>
        <v>2</v>
      </c>
      <c r="AC86" s="4">
        <f t="shared" si="16"/>
        <v>1</v>
      </c>
      <c r="AD86" s="4">
        <f t="shared" si="17"/>
        <v>1</v>
      </c>
      <c r="AE86" s="4">
        <f t="shared" si="18"/>
        <v>1</v>
      </c>
      <c r="AF86" s="4" t="str">
        <f t="shared" si="19"/>
        <v/>
      </c>
      <c r="AG86" s="4" t="str">
        <f t="shared" si="20"/>
        <v/>
      </c>
      <c r="AH86" s="4" t="str">
        <f t="shared" si="21"/>
        <v/>
      </c>
      <c r="AI86" s="2">
        <f t="shared" si="22"/>
        <v>3</v>
      </c>
      <c r="AK86" s="2">
        <f>IF(MAX(COUNTIF(Data!A86:Z86,1),COUNTIF(Data!A86:Z86,2),COUNTIF(Data!A86:Z86,3),COUNTIF(Data!A86:Z86,4),COUNTIF(Data!A86:Z86,5),COUNTIF(Data!A86:Z86,6),COUNTIF(Data!A86:Z86,7))&gt;0,MAX(COUNTIF(Data!A86:Z86,1),COUNTIF(Data!A86:Z86,2),COUNTIF(Data!A86:Z86,3),COUNTIF(Data!A86:Z86,4),COUNTIF(Data!A86:Z86,5),COUNTIF(Data!A86:Z86,6),COUNTIF(Data!A86:Z86,7)),"")</f>
        <v>7</v>
      </c>
    </row>
    <row r="87" spans="1:37">
      <c r="A87" s="1">
        <f>IF(Data!A87&gt;0,Data!A87-4,"")</f>
        <v>3</v>
      </c>
      <c r="B87" s="1">
        <f>IF(Data!B87&gt;0,Data!B87-4,"")</f>
        <v>3</v>
      </c>
      <c r="C87" s="1">
        <f>IF(Data!C87&gt;0,4-Data!C87,"")</f>
        <v>3</v>
      </c>
      <c r="D87" s="1">
        <f>IF(Data!D87&gt;0,4-Data!D87,"")</f>
        <v>3</v>
      </c>
      <c r="E87" s="1">
        <f>IF(Data!E87&gt;0,4-Data!E87,"")</f>
        <v>3</v>
      </c>
      <c r="F87" s="1">
        <f>IF(Data!F87&gt;0,Data!F87-4,"")</f>
        <v>2</v>
      </c>
      <c r="G87" s="1">
        <f>IF(Data!G87&gt;0,Data!G87-4,"")</f>
        <v>2</v>
      </c>
      <c r="H87" s="1">
        <f>IF(Data!H87&gt;0,Data!H87-4,"")</f>
        <v>0</v>
      </c>
      <c r="I87" s="1">
        <f>IF(Data!I87&gt;0,4-Data!I87,"")</f>
        <v>2</v>
      </c>
      <c r="J87" s="1">
        <f>IF(Data!J87&gt;0,4-Data!J87,"")</f>
        <v>3</v>
      </c>
      <c r="K87" s="1">
        <f>IF(Data!K87&gt;0,Data!K87-4,"")</f>
        <v>2</v>
      </c>
      <c r="L87" s="1">
        <f>IF(Data!L87&gt;0,4-Data!L87,"")</f>
        <v>2</v>
      </c>
      <c r="M87" s="1">
        <f>IF(Data!M87&gt;0,Data!M87-4,"")</f>
        <v>2</v>
      </c>
      <c r="N87" s="1">
        <f>IF(Data!N87&gt;0,Data!N87-4,"")</f>
        <v>3</v>
      </c>
      <c r="O87" s="1">
        <f>IF(Data!O87&gt;0,Data!O87-4,"")</f>
        <v>3</v>
      </c>
      <c r="P87" s="1">
        <f>IF(Data!P87&gt;0,Data!P87-4,"")</f>
        <v>2</v>
      </c>
      <c r="Q87" s="1">
        <f>IF(Data!Q87&gt;0,4-Data!Q87,"")</f>
        <v>1</v>
      </c>
      <c r="R87" s="1">
        <f>IF(Data!R87&gt;0,4-Data!R87,"")</f>
        <v>0</v>
      </c>
      <c r="S87" s="1">
        <f>IF(Data!S87&gt;0,4-Data!S87,"")</f>
        <v>3</v>
      </c>
      <c r="T87" s="1">
        <f>IF(Data!T87&gt;0,Data!T87-4,"")</f>
        <v>3</v>
      </c>
      <c r="U87" s="1">
        <f>IF(Data!U87&gt;0,4-Data!U87,"")</f>
        <v>3</v>
      </c>
      <c r="V87" s="1">
        <f>IF(Data!V87&gt;0,Data!V87-4,"")</f>
        <v>2</v>
      </c>
      <c r="W87" s="1">
        <f>IF(Data!W87&gt;0,4-Data!W87,"")</f>
        <v>0</v>
      </c>
      <c r="X87" s="1">
        <f>IF(Data!X87&gt;0,4-Data!X87,"")</f>
        <v>2</v>
      </c>
      <c r="Y87" s="1">
        <f>IF(Data!Y87&gt;0,4-Data!Y87,"")</f>
        <v>2</v>
      </c>
      <c r="Z87" s="1">
        <f>IF(Data!Z87&gt;0,Data!Z87-4,"")</f>
        <v>2</v>
      </c>
      <c r="AC87" s="4" t="str">
        <f t="shared" si="16"/>
        <v/>
      </c>
      <c r="AD87" s="4" t="str">
        <f t="shared" si="17"/>
        <v/>
      </c>
      <c r="AE87" s="4" t="str">
        <f t="shared" si="18"/>
        <v/>
      </c>
      <c r="AF87" s="4" t="str">
        <f t="shared" si="19"/>
        <v/>
      </c>
      <c r="AG87" s="4" t="str">
        <f t="shared" si="20"/>
        <v/>
      </c>
      <c r="AH87" s="4" t="str">
        <f t="shared" si="21"/>
        <v/>
      </c>
      <c r="AI87" s="2">
        <f t="shared" si="22"/>
        <v>0</v>
      </c>
      <c r="AK87" s="2">
        <f>IF(MAX(COUNTIF(Data!A87:Z87,1),COUNTIF(Data!A87:Z87,2),COUNTIF(Data!A87:Z87,3),COUNTIF(Data!A87:Z87,4),COUNTIF(Data!A87:Z87,5),COUNTIF(Data!A87:Z87,6),COUNTIF(Data!A87:Z87,7))&gt;0,MAX(COUNTIF(Data!A87:Z87,1),COUNTIF(Data!A87:Z87,2),COUNTIF(Data!A87:Z87,3),COUNTIF(Data!A87:Z87,4),COUNTIF(Data!A87:Z87,5),COUNTIF(Data!A87:Z87,6),COUNTIF(Data!A87:Z87,7)),"")</f>
        <v>7</v>
      </c>
    </row>
    <row r="88" spans="1:37">
      <c r="A88" s="1">
        <f>IF(Data!A88&gt;0,Data!A88-4,"")</f>
        <v>2</v>
      </c>
      <c r="B88" s="1">
        <f>IF(Data!B88&gt;0,Data!B88-4,"")</f>
        <v>2</v>
      </c>
      <c r="C88" s="1">
        <f>IF(Data!C88&gt;0,4-Data!C88,"")</f>
        <v>0</v>
      </c>
      <c r="D88" s="1">
        <f>IF(Data!D88&gt;0,4-Data!D88,"")</f>
        <v>-2</v>
      </c>
      <c r="E88" s="1">
        <f>IF(Data!E88&gt;0,4-Data!E88,"")</f>
        <v>1</v>
      </c>
      <c r="F88" s="1">
        <f>IF(Data!F88&gt;0,Data!F88-4,"")</f>
        <v>0</v>
      </c>
      <c r="G88" s="1">
        <f>IF(Data!G88&gt;0,Data!G88-4,"")</f>
        <v>1</v>
      </c>
      <c r="H88" s="1">
        <f>IF(Data!H88&gt;0,Data!H88-4,"")</f>
        <v>1</v>
      </c>
      <c r="I88" s="1">
        <f>IF(Data!I88&gt;0,4-Data!I88,"")</f>
        <v>2</v>
      </c>
      <c r="J88" s="1">
        <f>IF(Data!J88&gt;0,4-Data!J88,"")</f>
        <v>0</v>
      </c>
      <c r="K88" s="1">
        <f>IF(Data!K88&gt;0,Data!K88-4,"")</f>
        <v>2</v>
      </c>
      <c r="L88" s="1">
        <f>IF(Data!L88&gt;0,4-Data!L88,"")</f>
        <v>2</v>
      </c>
      <c r="M88" s="1">
        <f>IF(Data!M88&gt;0,Data!M88-4,"")</f>
        <v>2</v>
      </c>
      <c r="N88" s="1">
        <f>IF(Data!N88&gt;0,Data!N88-4,"")</f>
        <v>2</v>
      </c>
      <c r="O88" s="1">
        <f>IF(Data!O88&gt;0,Data!O88-4,"")</f>
        <v>2</v>
      </c>
      <c r="P88" s="1">
        <f>IF(Data!P88&gt;0,Data!P88-4,"")</f>
        <v>2</v>
      </c>
      <c r="Q88" s="1">
        <f>IF(Data!Q88&gt;0,4-Data!Q88,"")</f>
        <v>2</v>
      </c>
      <c r="R88" s="1">
        <f>IF(Data!R88&gt;0,4-Data!R88,"")</f>
        <v>0</v>
      </c>
      <c r="S88" s="1">
        <f>IF(Data!S88&gt;0,4-Data!S88,"")</f>
        <v>2</v>
      </c>
      <c r="T88" s="1">
        <f>IF(Data!T88&gt;0,Data!T88-4,"")</f>
        <v>2</v>
      </c>
      <c r="U88" s="1">
        <f>IF(Data!U88&gt;0,4-Data!U88,"")</f>
        <v>2</v>
      </c>
      <c r="V88" s="1">
        <f>IF(Data!V88&gt;0,Data!V88-4,"")</f>
        <v>2</v>
      </c>
      <c r="W88" s="1">
        <f>IF(Data!W88&gt;0,4-Data!W88,"")</f>
        <v>2</v>
      </c>
      <c r="X88" s="1">
        <f>IF(Data!X88&gt;0,4-Data!X88,"")</f>
        <v>1</v>
      </c>
      <c r="Y88" s="1">
        <f>IF(Data!Y88&gt;0,4-Data!Y88,"")</f>
        <v>2</v>
      </c>
      <c r="Z88" s="1">
        <f>IF(Data!Z88&gt;0,Data!Z88-4,"")</f>
        <v>0</v>
      </c>
      <c r="AC88" s="4" t="str">
        <f t="shared" si="16"/>
        <v/>
      </c>
      <c r="AD88" s="4">
        <f t="shared" si="17"/>
        <v>1</v>
      </c>
      <c r="AE88" s="4" t="str">
        <f t="shared" si="18"/>
        <v/>
      </c>
      <c r="AF88" s="4" t="str">
        <f t="shared" si="19"/>
        <v/>
      </c>
      <c r="AG88" s="4" t="str">
        <f t="shared" si="20"/>
        <v/>
      </c>
      <c r="AH88" s="4" t="str">
        <f t="shared" si="21"/>
        <v/>
      </c>
      <c r="AI88" s="2">
        <f t="shared" si="22"/>
        <v>1</v>
      </c>
      <c r="AK88" s="2">
        <f>IF(MAX(COUNTIF(Data!A88:Z88,1),COUNTIF(Data!A88:Z88,2),COUNTIF(Data!A88:Z88,3),COUNTIF(Data!A88:Z88,4),COUNTIF(Data!A88:Z88,5),COUNTIF(Data!A88:Z88,6),COUNTIF(Data!A88:Z88,7))&gt;0,MAX(COUNTIF(Data!A88:Z88,1),COUNTIF(Data!A88:Z88,2),COUNTIF(Data!A88:Z88,3),COUNTIF(Data!A88:Z88,4),COUNTIF(Data!A88:Z88,5),COUNTIF(Data!A88:Z88,6),COUNTIF(Data!A88:Z88,7)),"")</f>
        <v>10</v>
      </c>
    </row>
    <row r="89" spans="1:37">
      <c r="A89" s="1">
        <f>IF(Data!A89&gt;0,Data!A89-4,"")</f>
        <v>2</v>
      </c>
      <c r="B89" s="1">
        <f>IF(Data!B89&gt;0,Data!B89-4,"")</f>
        <v>2</v>
      </c>
      <c r="C89" s="1">
        <f>IF(Data!C89&gt;0,4-Data!C89,"")</f>
        <v>2</v>
      </c>
      <c r="D89" s="1">
        <f>IF(Data!D89&gt;0,4-Data!D89,"")</f>
        <v>2</v>
      </c>
      <c r="E89" s="1">
        <f>IF(Data!E89&gt;0,4-Data!E89,"")</f>
        <v>2</v>
      </c>
      <c r="F89" s="1">
        <f>IF(Data!F89&gt;0,Data!F89-4,"")</f>
        <v>1</v>
      </c>
      <c r="G89" s="1">
        <f>IF(Data!G89&gt;0,Data!G89-4,"")</f>
        <v>1</v>
      </c>
      <c r="H89" s="1">
        <f>IF(Data!H89&gt;0,Data!H89-4,"")</f>
        <v>2</v>
      </c>
      <c r="I89" s="1">
        <f>IF(Data!I89&gt;0,4-Data!I89,"")</f>
        <v>3</v>
      </c>
      <c r="J89" s="1">
        <f>IF(Data!J89&gt;0,4-Data!J89,"")</f>
        <v>2</v>
      </c>
      <c r="K89" s="1">
        <f>IF(Data!K89&gt;0,Data!K89-4,"")</f>
        <v>0</v>
      </c>
      <c r="L89" s="1">
        <f>IF(Data!L89&gt;0,4-Data!L89,"")</f>
        <v>2</v>
      </c>
      <c r="M89" s="1">
        <f>IF(Data!M89&gt;0,Data!M89-4,"")</f>
        <v>2</v>
      </c>
      <c r="N89" s="1">
        <f>IF(Data!N89&gt;0,Data!N89-4,"")</f>
        <v>2</v>
      </c>
      <c r="O89" s="1">
        <f>IF(Data!O89&gt;0,Data!O89-4,"")</f>
        <v>2</v>
      </c>
      <c r="P89" s="1">
        <f>IF(Data!P89&gt;0,Data!P89-4,"")</f>
        <v>2</v>
      </c>
      <c r="Q89" s="1">
        <f>IF(Data!Q89&gt;0,4-Data!Q89,"")</f>
        <v>2</v>
      </c>
      <c r="R89" s="1">
        <f>IF(Data!R89&gt;0,4-Data!R89,"")</f>
        <v>2</v>
      </c>
      <c r="S89" s="1">
        <f>IF(Data!S89&gt;0,4-Data!S89,"")</f>
        <v>2</v>
      </c>
      <c r="T89" s="1">
        <f>IF(Data!T89&gt;0,Data!T89-4,"")</f>
        <v>3</v>
      </c>
      <c r="U89" s="1">
        <f>IF(Data!U89&gt;0,4-Data!U89,"")</f>
        <v>2</v>
      </c>
      <c r="V89" s="1">
        <f>IF(Data!V89&gt;0,Data!V89-4,"")</f>
        <v>2</v>
      </c>
      <c r="W89" s="1">
        <f>IF(Data!W89&gt;0,4-Data!W89,"")</f>
        <v>2</v>
      </c>
      <c r="X89" s="1">
        <f>IF(Data!X89&gt;0,4-Data!X89,"")</f>
        <v>2</v>
      </c>
      <c r="Y89" s="1">
        <f>IF(Data!Y89&gt;0,4-Data!Y89,"")</f>
        <v>2</v>
      </c>
      <c r="Z89" s="1">
        <f>IF(Data!Z89&gt;0,Data!Z89-4,"")</f>
        <v>3</v>
      </c>
      <c r="AC89" s="4" t="str">
        <f t="shared" si="16"/>
        <v/>
      </c>
      <c r="AD89" s="4" t="str">
        <f t="shared" si="17"/>
        <v/>
      </c>
      <c r="AE89" s="4" t="str">
        <f t="shared" si="18"/>
        <v/>
      </c>
      <c r="AF89" s="4" t="str">
        <f t="shared" si="19"/>
        <v/>
      </c>
      <c r="AG89" s="4" t="str">
        <f t="shared" si="20"/>
        <v/>
      </c>
      <c r="AH89" s="4" t="str">
        <f t="shared" si="21"/>
        <v/>
      </c>
      <c r="AI89" s="2">
        <f t="shared" si="22"/>
        <v>0</v>
      </c>
      <c r="AK89" s="2">
        <f>IF(MAX(COUNTIF(Data!A89:Z89,1),COUNTIF(Data!A89:Z89,2),COUNTIF(Data!A89:Z89,3),COUNTIF(Data!A89:Z89,4),COUNTIF(Data!A89:Z89,5),COUNTIF(Data!A89:Z89,6),COUNTIF(Data!A89:Z89,7))&gt;0,MAX(COUNTIF(Data!A89:Z89,1),COUNTIF(Data!A89:Z89,2),COUNTIF(Data!A89:Z89,3),COUNTIF(Data!A89:Z89,4),COUNTIF(Data!A89:Z89,5),COUNTIF(Data!A89:Z89,6),COUNTIF(Data!A89:Z89,7)),"")</f>
        <v>12</v>
      </c>
    </row>
    <row r="90" spans="1:37">
      <c r="A90" s="1">
        <f>IF(Data!A90&gt;0,Data!A90-4,"")</f>
        <v>0</v>
      </c>
      <c r="B90" s="1">
        <f>IF(Data!B90&gt;0,Data!B90-4,"")</f>
        <v>-1</v>
      </c>
      <c r="C90" s="1">
        <f>IF(Data!C90&gt;0,4-Data!C90,"")</f>
        <v>0</v>
      </c>
      <c r="D90" s="1">
        <f>IF(Data!D90&gt;0,4-Data!D90,"")</f>
        <v>-1</v>
      </c>
      <c r="E90" s="1">
        <f>IF(Data!E90&gt;0,4-Data!E90,"")</f>
        <v>2</v>
      </c>
      <c r="F90" s="1">
        <f>IF(Data!F90&gt;0,Data!F90-4,"")</f>
        <v>2</v>
      </c>
      <c r="G90" s="1">
        <f>IF(Data!G90&gt;0,Data!G90-4,"")</f>
        <v>2</v>
      </c>
      <c r="H90" s="1">
        <f>IF(Data!H90&gt;0,Data!H90-4,"")</f>
        <v>2</v>
      </c>
      <c r="I90" s="1">
        <f>IF(Data!I90&gt;0,4-Data!I90,"")</f>
        <v>1</v>
      </c>
      <c r="J90" s="1">
        <f>IF(Data!J90&gt;0,4-Data!J90,"")</f>
        <v>-2</v>
      </c>
      <c r="K90" s="1">
        <f>IF(Data!K90&gt;0,Data!K90-4,"")</f>
        <v>0</v>
      </c>
      <c r="L90" s="1">
        <f>IF(Data!L90&gt;0,4-Data!L90,"")</f>
        <v>1</v>
      </c>
      <c r="M90" s="1">
        <f>IF(Data!M90&gt;0,Data!M90-4,"")</f>
        <v>0</v>
      </c>
      <c r="N90" s="1">
        <f>IF(Data!N90&gt;0,Data!N90-4,"")</f>
        <v>1</v>
      </c>
      <c r="O90" s="1">
        <f>IF(Data!O90&gt;0,Data!O90-4,"")</f>
        <v>-1</v>
      </c>
      <c r="P90" s="1">
        <f>IF(Data!P90&gt;0,Data!P90-4,"")</f>
        <v>1</v>
      </c>
      <c r="Q90" s="1">
        <f>IF(Data!Q90&gt;0,4-Data!Q90,"")</f>
        <v>2</v>
      </c>
      <c r="R90" s="1">
        <f>IF(Data!R90&gt;0,4-Data!R90,"")</f>
        <v>1</v>
      </c>
      <c r="S90" s="1">
        <f>IF(Data!S90&gt;0,4-Data!S90,"")</f>
        <v>2</v>
      </c>
      <c r="T90" s="1">
        <f>IF(Data!T90&gt;0,Data!T90-4,"")</f>
        <v>2</v>
      </c>
      <c r="U90" s="1">
        <f>IF(Data!U90&gt;0,4-Data!U90,"")</f>
        <v>1</v>
      </c>
      <c r="V90" s="1">
        <f>IF(Data!V90&gt;0,Data!V90-4,"")</f>
        <v>2</v>
      </c>
      <c r="W90" s="1">
        <f>IF(Data!W90&gt;0,4-Data!W90,"")</f>
        <v>-2</v>
      </c>
      <c r="X90" s="1">
        <f>IF(Data!X90&gt;0,4-Data!X90,"")</f>
        <v>0</v>
      </c>
      <c r="Y90" s="1">
        <f>IF(Data!Y90&gt;0,4-Data!Y90,"")</f>
        <v>0</v>
      </c>
      <c r="Z90" s="1">
        <f>IF(Data!Z90&gt;0,Data!Z90-4,"")</f>
        <v>-1</v>
      </c>
      <c r="AC90" s="4" t="str">
        <f t="shared" si="16"/>
        <v/>
      </c>
      <c r="AD90" s="4" t="str">
        <f t="shared" si="17"/>
        <v/>
      </c>
      <c r="AE90" s="4">
        <f t="shared" si="18"/>
        <v>1</v>
      </c>
      <c r="AF90" s="4" t="str">
        <f t="shared" si="19"/>
        <v/>
      </c>
      <c r="AG90" s="4" t="str">
        <f t="shared" si="20"/>
        <v/>
      </c>
      <c r="AH90" s="4" t="str">
        <f t="shared" si="21"/>
        <v/>
      </c>
      <c r="AI90" s="2">
        <f t="shared" si="22"/>
        <v>1</v>
      </c>
      <c r="AK90" s="2">
        <f>IF(MAX(COUNTIF(Data!A90:Z90,1),COUNTIF(Data!A90:Z90,2),COUNTIF(Data!A90:Z90,3),COUNTIF(Data!A90:Z90,4),COUNTIF(Data!A90:Z90,5),COUNTIF(Data!A90:Z90,6),COUNTIF(Data!A90:Z90,7))&gt;0,MAX(COUNTIF(Data!A90:Z90,1),COUNTIF(Data!A90:Z90,2),COUNTIF(Data!A90:Z90,3),COUNTIF(Data!A90:Z90,4),COUNTIF(Data!A90:Z90,5),COUNTIF(Data!A90:Z90,6),COUNTIF(Data!A90:Z90,7)),"")</f>
        <v>7</v>
      </c>
    </row>
    <row r="91" spans="1:37">
      <c r="A91" s="1">
        <f>IF(Data!A91&gt;0,Data!A91-4,"")</f>
        <v>1</v>
      </c>
      <c r="B91" s="1">
        <f>IF(Data!B91&gt;0,Data!B91-4,"")</f>
        <v>2</v>
      </c>
      <c r="C91" s="1">
        <f>IF(Data!C91&gt;0,4-Data!C91,"")</f>
        <v>1</v>
      </c>
      <c r="D91" s="1">
        <f>IF(Data!D91&gt;0,4-Data!D91,"")</f>
        <v>1</v>
      </c>
      <c r="E91" s="1">
        <f>IF(Data!E91&gt;0,4-Data!E91,"")</f>
        <v>2</v>
      </c>
      <c r="F91" s="1">
        <f>IF(Data!F91&gt;0,Data!F91-4,"")</f>
        <v>1</v>
      </c>
      <c r="G91" s="1">
        <f>IF(Data!G91&gt;0,Data!G91-4,"")</f>
        <v>1</v>
      </c>
      <c r="H91" s="1">
        <f>IF(Data!H91&gt;0,Data!H91-4,"")</f>
        <v>0</v>
      </c>
      <c r="I91" s="1">
        <f>IF(Data!I91&gt;0,4-Data!I91,"")</f>
        <v>2</v>
      </c>
      <c r="J91" s="1">
        <f>IF(Data!J91&gt;0,4-Data!J91,"")</f>
        <v>1</v>
      </c>
      <c r="K91" s="1">
        <f>IF(Data!K91&gt;0,Data!K91-4,"")</f>
        <v>1</v>
      </c>
      <c r="L91" s="1">
        <f>IF(Data!L91&gt;0,4-Data!L91,"")</f>
        <v>2</v>
      </c>
      <c r="M91" s="1">
        <f>IF(Data!M91&gt;0,Data!M91-4,"")</f>
        <v>1</v>
      </c>
      <c r="N91" s="1">
        <f>IF(Data!N91&gt;0,Data!N91-4,"")</f>
        <v>1</v>
      </c>
      <c r="O91" s="1">
        <f>IF(Data!O91&gt;0,Data!O91-4,"")</f>
        <v>2</v>
      </c>
      <c r="P91" s="1">
        <f>IF(Data!P91&gt;0,Data!P91-4,"")</f>
        <v>1</v>
      </c>
      <c r="Q91" s="1">
        <f>IF(Data!Q91&gt;0,4-Data!Q91,"")</f>
        <v>1</v>
      </c>
      <c r="R91" s="1">
        <f>IF(Data!R91&gt;0,4-Data!R91,"")</f>
        <v>1</v>
      </c>
      <c r="S91" s="1">
        <f>IF(Data!S91&gt;0,4-Data!S91,"")</f>
        <v>1</v>
      </c>
      <c r="T91" s="1">
        <f>IF(Data!T91&gt;0,Data!T91-4,"")</f>
        <v>2</v>
      </c>
      <c r="U91" s="1">
        <f>IF(Data!U91&gt;0,4-Data!U91,"")</f>
        <v>2</v>
      </c>
      <c r="V91" s="1">
        <f>IF(Data!V91&gt;0,Data!V91-4,"")</f>
        <v>2</v>
      </c>
      <c r="W91" s="1">
        <f>IF(Data!W91&gt;0,4-Data!W91,"")</f>
        <v>2</v>
      </c>
      <c r="X91" s="1">
        <f>IF(Data!X91&gt;0,4-Data!X91,"")</f>
        <v>1</v>
      </c>
      <c r="Y91" s="1">
        <f>IF(Data!Y91&gt;0,4-Data!Y91,"")</f>
        <v>1</v>
      </c>
      <c r="Z91" s="1">
        <f>IF(Data!Z91&gt;0,Data!Z91-4,"")</f>
        <v>2</v>
      </c>
      <c r="AC91" s="4" t="str">
        <f t="shared" si="16"/>
        <v/>
      </c>
      <c r="AD91" s="4" t="str">
        <f t="shared" si="17"/>
        <v/>
      </c>
      <c r="AE91" s="4" t="str">
        <f t="shared" si="18"/>
        <v/>
      </c>
      <c r="AF91" s="4" t="str">
        <f t="shared" si="19"/>
        <v/>
      </c>
      <c r="AG91" s="4" t="str">
        <f t="shared" si="20"/>
        <v/>
      </c>
      <c r="AH91" s="4" t="str">
        <f t="shared" si="21"/>
        <v/>
      </c>
      <c r="AI91" s="2">
        <f t="shared" si="22"/>
        <v>0</v>
      </c>
      <c r="AK91" s="2">
        <f>IF(MAX(COUNTIF(Data!A91:Z91,1),COUNTIF(Data!A91:Z91,2),COUNTIF(Data!A91:Z91,3),COUNTIF(Data!A91:Z91,4),COUNTIF(Data!A91:Z91,5),COUNTIF(Data!A91:Z91,6),COUNTIF(Data!A91:Z91,7))&gt;0,MAX(COUNTIF(Data!A91:Z91,1),COUNTIF(Data!A91:Z91,2),COUNTIF(Data!A91:Z91,3),COUNTIF(Data!A91:Z91,4),COUNTIF(Data!A91:Z91,5),COUNTIF(Data!A91:Z91,6),COUNTIF(Data!A91:Z91,7)),"")</f>
        <v>8</v>
      </c>
    </row>
    <row r="92" spans="1:37">
      <c r="A92" s="1">
        <f>IF(Data!A92&gt;0,Data!A92-4,"")</f>
        <v>3</v>
      </c>
      <c r="B92" s="1">
        <f>IF(Data!B92&gt;0,Data!B92-4,"")</f>
        <v>3</v>
      </c>
      <c r="C92" s="1">
        <f>IF(Data!C92&gt;0,4-Data!C92,"")</f>
        <v>3</v>
      </c>
      <c r="D92" s="1">
        <f>IF(Data!D92&gt;0,4-Data!D92,"")</f>
        <v>3</v>
      </c>
      <c r="E92" s="1">
        <f>IF(Data!E92&gt;0,4-Data!E92,"")</f>
        <v>3</v>
      </c>
      <c r="F92" s="1">
        <f>IF(Data!F92&gt;0,Data!F92-4,"")</f>
        <v>3</v>
      </c>
      <c r="G92" s="1">
        <f>IF(Data!G92&gt;0,Data!G92-4,"")</f>
        <v>3</v>
      </c>
      <c r="H92" s="1">
        <f>IF(Data!H92&gt;0,Data!H92-4,"")</f>
        <v>0</v>
      </c>
      <c r="I92" s="1">
        <f>IF(Data!I92&gt;0,4-Data!I92,"")</f>
        <v>3</v>
      </c>
      <c r="J92" s="1">
        <f>IF(Data!J92&gt;0,4-Data!J92,"")</f>
        <v>2</v>
      </c>
      <c r="K92" s="1">
        <f>IF(Data!K92&gt;0,Data!K92-4,"")</f>
        <v>3</v>
      </c>
      <c r="L92" s="1">
        <f>IF(Data!L92&gt;0,4-Data!L92,"")</f>
        <v>3</v>
      </c>
      <c r="M92" s="1">
        <f>IF(Data!M92&gt;0,Data!M92-4,"")</f>
        <v>3</v>
      </c>
      <c r="N92" s="1">
        <f>IF(Data!N92&gt;0,Data!N92-4,"")</f>
        <v>3</v>
      </c>
      <c r="O92" s="1">
        <f>IF(Data!O92&gt;0,Data!O92-4,"")</f>
        <v>3</v>
      </c>
      <c r="P92" s="1">
        <f>IF(Data!P92&gt;0,Data!P92-4,"")</f>
        <v>3</v>
      </c>
      <c r="Q92" s="1">
        <f>IF(Data!Q92&gt;0,4-Data!Q92,"")</f>
        <v>3</v>
      </c>
      <c r="R92" s="1">
        <f>IF(Data!R92&gt;0,4-Data!R92,"")</f>
        <v>3</v>
      </c>
      <c r="S92" s="1">
        <f>IF(Data!S92&gt;0,4-Data!S92,"")</f>
        <v>3</v>
      </c>
      <c r="T92" s="1">
        <f>IF(Data!T92&gt;0,Data!T92-4,"")</f>
        <v>3</v>
      </c>
      <c r="U92" s="1">
        <f>IF(Data!U92&gt;0,4-Data!U92,"")</f>
        <v>3</v>
      </c>
      <c r="V92" s="1">
        <f>IF(Data!V92&gt;0,Data!V92-4,"")</f>
        <v>3</v>
      </c>
      <c r="W92" s="1">
        <f>IF(Data!W92&gt;0,4-Data!W92,"")</f>
        <v>3</v>
      </c>
      <c r="X92" s="1">
        <f>IF(Data!X92&gt;0,4-Data!X92,"")</f>
        <v>3</v>
      </c>
      <c r="Y92" s="1">
        <f>IF(Data!Y92&gt;0,4-Data!Y92,"")</f>
        <v>3</v>
      </c>
      <c r="Z92" s="1">
        <f>IF(Data!Z92&gt;0,Data!Z92-4,"")</f>
        <v>-3</v>
      </c>
      <c r="AC92" s="4" t="str">
        <f t="shared" si="16"/>
        <v/>
      </c>
      <c r="AD92" s="4" t="str">
        <f t="shared" si="17"/>
        <v/>
      </c>
      <c r="AE92" s="4" t="str">
        <f t="shared" si="18"/>
        <v/>
      </c>
      <c r="AF92" s="4" t="str">
        <f t="shared" si="19"/>
        <v/>
      </c>
      <c r="AG92" s="4" t="str">
        <f t="shared" si="20"/>
        <v/>
      </c>
      <c r="AH92" s="4">
        <f t="shared" si="21"/>
        <v>1</v>
      </c>
      <c r="AI92" s="2">
        <f t="shared" si="22"/>
        <v>1</v>
      </c>
      <c r="AK92" s="2">
        <f>IF(MAX(COUNTIF(Data!A92:Z92,1),COUNTIF(Data!A92:Z92,2),COUNTIF(Data!A92:Z92,3),COUNTIF(Data!A92:Z92,4),COUNTIF(Data!A92:Z92,5),COUNTIF(Data!A92:Z92,6),COUNTIF(Data!A92:Z92,7))&gt;0,MAX(COUNTIF(Data!A92:Z92,1),COUNTIF(Data!A92:Z92,2),COUNTIF(Data!A92:Z92,3),COUNTIF(Data!A92:Z92,4),COUNTIF(Data!A92:Z92,5),COUNTIF(Data!A92:Z92,6),COUNTIF(Data!A92:Z92,7)),"")</f>
        <v>13</v>
      </c>
    </row>
    <row r="93" spans="1:37">
      <c r="A93" s="1">
        <f>IF(Data!A93&gt;0,Data!A93-4,"")</f>
        <v>-3</v>
      </c>
      <c r="B93" s="1">
        <f>IF(Data!B93&gt;0,Data!B93-4,"")</f>
        <v>1</v>
      </c>
      <c r="C93" s="1">
        <f>IF(Data!C93&gt;0,4-Data!C93,"")</f>
        <v>1</v>
      </c>
      <c r="D93" s="1">
        <f>IF(Data!D93&gt;0,4-Data!D93,"")</f>
        <v>-1</v>
      </c>
      <c r="E93" s="1">
        <f>IF(Data!E93&gt;0,4-Data!E93,"")</f>
        <v>0</v>
      </c>
      <c r="F93" s="1">
        <f>IF(Data!F93&gt;0,Data!F93-4,"")</f>
        <v>1</v>
      </c>
      <c r="G93" s="1">
        <f>IF(Data!G93&gt;0,Data!G93-4,"")</f>
        <v>0</v>
      </c>
      <c r="H93" s="1">
        <f>IF(Data!H93&gt;0,Data!H93-4,"")</f>
        <v>0</v>
      </c>
      <c r="I93" s="1">
        <f>IF(Data!I93&gt;0,4-Data!I93,"")</f>
        <v>0</v>
      </c>
      <c r="J93" s="1">
        <f>IF(Data!J93&gt;0,4-Data!J93,"")</f>
        <v>-1</v>
      </c>
      <c r="K93" s="1">
        <f>IF(Data!K93&gt;0,Data!K93-4,"")</f>
        <v>-2</v>
      </c>
      <c r="L93" s="1">
        <f>IF(Data!L93&gt;0,4-Data!L93,"")</f>
        <v>-2</v>
      </c>
      <c r="M93" s="1">
        <f>IF(Data!M93&gt;0,Data!M93-4,"")</f>
        <v>0</v>
      </c>
      <c r="N93" s="1">
        <f>IF(Data!N93&gt;0,Data!N93-4,"")</f>
        <v>-3</v>
      </c>
      <c r="O93" s="1">
        <f>IF(Data!O93&gt;0,Data!O93-4,"")</f>
        <v>0</v>
      </c>
      <c r="P93" s="1">
        <f>IF(Data!P93&gt;0,Data!P93-4,"")</f>
        <v>-3</v>
      </c>
      <c r="Q93" s="1">
        <f>IF(Data!Q93&gt;0,4-Data!Q93,"")</f>
        <v>0</v>
      </c>
      <c r="R93" s="1">
        <f>IF(Data!R93&gt;0,4-Data!R93,"")</f>
        <v>-3</v>
      </c>
      <c r="S93" s="1">
        <f>IF(Data!S93&gt;0,4-Data!S93,"")</f>
        <v>-1</v>
      </c>
      <c r="T93" s="1">
        <f>IF(Data!T93&gt;0,Data!T93-4,"")</f>
        <v>0</v>
      </c>
      <c r="U93" s="1">
        <f>IF(Data!U93&gt;0,4-Data!U93,"")</f>
        <v>0</v>
      </c>
      <c r="V93" s="1">
        <f>IF(Data!V93&gt;0,Data!V93-4,"")</f>
        <v>0</v>
      </c>
      <c r="W93" s="1">
        <f>IF(Data!W93&gt;0,4-Data!W93,"")</f>
        <v>0</v>
      </c>
      <c r="X93" s="1">
        <f>IF(Data!X93&gt;0,4-Data!X93,"")</f>
        <v>0</v>
      </c>
      <c r="Y93" s="1">
        <f>IF(Data!Y93&gt;0,4-Data!Y93,"")</f>
        <v>-3</v>
      </c>
      <c r="Z93" s="1">
        <f>IF(Data!Z93&gt;0,Data!Z93-4,"")</f>
        <v>0</v>
      </c>
      <c r="AC93" s="4" t="str">
        <f t="shared" si="16"/>
        <v/>
      </c>
      <c r="AD93" s="4" t="str">
        <f t="shared" si="17"/>
        <v/>
      </c>
      <c r="AE93" s="4" t="str">
        <f t="shared" si="18"/>
        <v/>
      </c>
      <c r="AF93" s="4" t="str">
        <f t="shared" si="19"/>
        <v/>
      </c>
      <c r="AG93" s="4">
        <f t="shared" si="20"/>
        <v>1</v>
      </c>
      <c r="AH93" s="4" t="str">
        <f t="shared" si="21"/>
        <v/>
      </c>
      <c r="AI93" s="2">
        <f t="shared" si="22"/>
        <v>1</v>
      </c>
      <c r="AK93" s="2">
        <f>IF(MAX(COUNTIF(Data!A93:Z93,1),COUNTIF(Data!A93:Z93,2),COUNTIF(Data!A93:Z93,3),COUNTIF(Data!A93:Z93,4),COUNTIF(Data!A93:Z93,5),COUNTIF(Data!A93:Z93,6),COUNTIF(Data!A93:Z93,7))&gt;0,MAX(COUNTIF(Data!A93:Z93,1),COUNTIF(Data!A93:Z93,2),COUNTIF(Data!A93:Z93,3),COUNTIF(Data!A93:Z93,4),COUNTIF(Data!A93:Z93,5),COUNTIF(Data!A93:Z93,6),COUNTIF(Data!A93:Z93,7)),"")</f>
        <v>13</v>
      </c>
    </row>
    <row r="94" spans="1:37">
      <c r="A94" s="1">
        <f>IF(Data!A94&gt;0,Data!A94-4,"")</f>
        <v>-2</v>
      </c>
      <c r="B94" s="1">
        <f>IF(Data!B94&gt;0,Data!B94-4,"")</f>
        <v>1</v>
      </c>
      <c r="C94" s="1">
        <f>IF(Data!C94&gt;0,4-Data!C94,"")</f>
        <v>-1</v>
      </c>
      <c r="D94" s="1">
        <f>IF(Data!D94&gt;0,4-Data!D94,"")</f>
        <v>0</v>
      </c>
      <c r="E94" s="1">
        <f>IF(Data!E94&gt;0,4-Data!E94,"")</f>
        <v>2</v>
      </c>
      <c r="F94" s="1">
        <f>IF(Data!F94&gt;0,Data!F94-4,"")</f>
        <v>0</v>
      </c>
      <c r="G94" s="1">
        <f>IF(Data!G94&gt;0,Data!G94-4,"")</f>
        <v>-1</v>
      </c>
      <c r="H94" s="1">
        <f>IF(Data!H94&gt;0,Data!H94-4,"")</f>
        <v>-1</v>
      </c>
      <c r="I94" s="1">
        <f>IF(Data!I94&gt;0,4-Data!I94,"")</f>
        <v>3</v>
      </c>
      <c r="J94" s="1">
        <f>IF(Data!J94&gt;0,4-Data!J94,"")</f>
        <v>2</v>
      </c>
      <c r="K94" s="1">
        <f>IF(Data!K94&gt;0,Data!K94-4,"")</f>
        <v>1</v>
      </c>
      <c r="L94" s="1">
        <f>IF(Data!L94&gt;0,4-Data!L94,"")</f>
        <v>2</v>
      </c>
      <c r="M94" s="1">
        <f>IF(Data!M94&gt;0,Data!M94-4,"")</f>
        <v>2</v>
      </c>
      <c r="N94" s="1">
        <f>IF(Data!N94&gt;0,Data!N94-4,"")</f>
        <v>1</v>
      </c>
      <c r="O94" s="1">
        <f>IF(Data!O94&gt;0,Data!O94-4,"")</f>
        <v>1</v>
      </c>
      <c r="P94" s="1">
        <f>IF(Data!P94&gt;0,Data!P94-4,"")</f>
        <v>1</v>
      </c>
      <c r="Q94" s="1">
        <f>IF(Data!Q94&gt;0,4-Data!Q94,"")</f>
        <v>-1</v>
      </c>
      <c r="R94" s="1">
        <f>IF(Data!R94&gt;0,4-Data!R94,"")</f>
        <v>0</v>
      </c>
      <c r="S94" s="1">
        <f>IF(Data!S94&gt;0,4-Data!S94,"")</f>
        <v>2</v>
      </c>
      <c r="T94" s="1">
        <f>IF(Data!T94&gt;0,Data!T94-4,"")</f>
        <v>3</v>
      </c>
      <c r="U94" s="1">
        <f>IF(Data!U94&gt;0,4-Data!U94,"")</f>
        <v>2</v>
      </c>
      <c r="V94" s="1">
        <f>IF(Data!V94&gt;0,Data!V94-4,"")</f>
        <v>3</v>
      </c>
      <c r="W94" s="1">
        <f>IF(Data!W94&gt;0,4-Data!W94,"")</f>
        <v>1</v>
      </c>
      <c r="X94" s="1">
        <f>IF(Data!X94&gt;0,4-Data!X94,"")</f>
        <v>2</v>
      </c>
      <c r="Y94" s="1">
        <f>IF(Data!Y94&gt;0,4-Data!Y94,"")</f>
        <v>2</v>
      </c>
      <c r="Z94" s="1">
        <f>IF(Data!Z94&gt;0,Data!Z94-4,"")</f>
        <v>1</v>
      </c>
      <c r="AC94" s="4">
        <f t="shared" si="16"/>
        <v>1</v>
      </c>
      <c r="AD94" s="4" t="str">
        <f t="shared" si="17"/>
        <v/>
      </c>
      <c r="AE94" s="4" t="str">
        <f t="shared" si="18"/>
        <v/>
      </c>
      <c r="AF94" s="4" t="str">
        <f t="shared" si="19"/>
        <v/>
      </c>
      <c r="AG94" s="4" t="str">
        <f t="shared" si="20"/>
        <v/>
      </c>
      <c r="AH94" s="4" t="str">
        <f t="shared" si="21"/>
        <v/>
      </c>
      <c r="AI94" s="2">
        <f t="shared" si="22"/>
        <v>1</v>
      </c>
      <c r="AK94" s="2">
        <f>IF(MAX(COUNTIF(Data!A94:Z94,1),COUNTIF(Data!A94:Z94,2),COUNTIF(Data!A94:Z94,3),COUNTIF(Data!A94:Z94,4),COUNTIF(Data!A94:Z94,5),COUNTIF(Data!A94:Z94,6),COUNTIF(Data!A94:Z94,7))&gt;0,MAX(COUNTIF(Data!A94:Z94,1),COUNTIF(Data!A94:Z94,2),COUNTIF(Data!A94:Z94,3),COUNTIF(Data!A94:Z94,4),COUNTIF(Data!A94:Z94,5),COUNTIF(Data!A94:Z94,6),COUNTIF(Data!A94:Z94,7)),"")</f>
        <v>8</v>
      </c>
    </row>
    <row r="95" spans="1:37">
      <c r="A95" s="1">
        <f>IF(Data!A95&gt;0,Data!A95-4,"")</f>
        <v>3</v>
      </c>
      <c r="B95" s="1">
        <f>IF(Data!B95&gt;0,Data!B95-4,"")</f>
        <v>3</v>
      </c>
      <c r="C95" s="1">
        <f>IF(Data!C95&gt;0,4-Data!C95,"")</f>
        <v>3</v>
      </c>
      <c r="D95" s="1">
        <f>IF(Data!D95&gt;0,4-Data!D95,"")</f>
        <v>3</v>
      </c>
      <c r="E95" s="1">
        <f>IF(Data!E95&gt;0,4-Data!E95,"")</f>
        <v>3</v>
      </c>
      <c r="F95" s="1">
        <f>IF(Data!F95&gt;0,Data!F95-4,"")</f>
        <v>3</v>
      </c>
      <c r="G95" s="1">
        <f>IF(Data!G95&gt;0,Data!G95-4,"")</f>
        <v>3</v>
      </c>
      <c r="H95" s="1">
        <f>IF(Data!H95&gt;0,Data!H95-4,"")</f>
        <v>0</v>
      </c>
      <c r="I95" s="1">
        <f>IF(Data!I95&gt;0,4-Data!I95,"")</f>
        <v>3</v>
      </c>
      <c r="J95" s="1">
        <f>IF(Data!J95&gt;0,4-Data!J95,"")</f>
        <v>3</v>
      </c>
      <c r="K95" s="1">
        <f>IF(Data!K95&gt;0,Data!K95-4,"")</f>
        <v>3</v>
      </c>
      <c r="L95" s="1">
        <f>IF(Data!L95&gt;0,4-Data!L95,"")</f>
        <v>3</v>
      </c>
      <c r="M95" s="1">
        <f>IF(Data!M95&gt;0,Data!M95-4,"")</f>
        <v>-3</v>
      </c>
      <c r="N95" s="1">
        <f>IF(Data!N95&gt;0,Data!N95-4,"")</f>
        <v>3</v>
      </c>
      <c r="O95" s="1">
        <f>IF(Data!O95&gt;0,Data!O95-4,"")</f>
        <v>3</v>
      </c>
      <c r="P95" s="1">
        <f>IF(Data!P95&gt;0,Data!P95-4,"")</f>
        <v>3</v>
      </c>
      <c r="Q95" s="1">
        <f>IF(Data!Q95&gt;0,4-Data!Q95,"")</f>
        <v>3</v>
      </c>
      <c r="R95" s="1">
        <f>IF(Data!R95&gt;0,4-Data!R95,"")</f>
        <v>3</v>
      </c>
      <c r="S95" s="1">
        <f>IF(Data!S95&gt;0,4-Data!S95,"")</f>
        <v>3</v>
      </c>
      <c r="T95" s="1">
        <f>IF(Data!T95&gt;0,Data!T95-4,"")</f>
        <v>3</v>
      </c>
      <c r="U95" s="1">
        <f>IF(Data!U95&gt;0,4-Data!U95,"")</f>
        <v>3</v>
      </c>
      <c r="V95" s="1">
        <f>IF(Data!V95&gt;0,Data!V95-4,"")</f>
        <v>3</v>
      </c>
      <c r="W95" s="1">
        <f>IF(Data!W95&gt;0,4-Data!W95,"")</f>
        <v>3</v>
      </c>
      <c r="X95" s="1">
        <f>IF(Data!X95&gt;0,4-Data!X95,"")</f>
        <v>3</v>
      </c>
      <c r="Y95" s="1">
        <f>IF(Data!Y95&gt;0,4-Data!Y95,"")</f>
        <v>3</v>
      </c>
      <c r="Z95" s="1">
        <f>IF(Data!Z95&gt;0,Data!Z95-4,"")</f>
        <v>-3</v>
      </c>
      <c r="AC95" s="4" t="str">
        <f t="shared" si="16"/>
        <v/>
      </c>
      <c r="AD95" s="4">
        <f t="shared" si="17"/>
        <v>1</v>
      </c>
      <c r="AE95" s="4" t="str">
        <f t="shared" si="18"/>
        <v/>
      </c>
      <c r="AF95" s="4" t="str">
        <f t="shared" si="19"/>
        <v/>
      </c>
      <c r="AG95" s="4" t="str">
        <f t="shared" si="20"/>
        <v/>
      </c>
      <c r="AH95" s="4">
        <f t="shared" si="21"/>
        <v>1</v>
      </c>
      <c r="AI95" s="2">
        <f t="shared" si="22"/>
        <v>2</v>
      </c>
      <c r="AK95" s="2">
        <f>IF(MAX(COUNTIF(Data!A95:Z95,1),COUNTIF(Data!A95:Z95,2),COUNTIF(Data!A95:Z95,3),COUNTIF(Data!A95:Z95,4),COUNTIF(Data!A95:Z95,5),COUNTIF(Data!A95:Z95,6),COUNTIF(Data!A95:Z95,7))&gt;0,MAX(COUNTIF(Data!A95:Z95,1),COUNTIF(Data!A95:Z95,2),COUNTIF(Data!A95:Z95,3),COUNTIF(Data!A95:Z95,4),COUNTIF(Data!A95:Z95,5),COUNTIF(Data!A95:Z95,6),COUNTIF(Data!A95:Z95,7)),"")</f>
        <v>15</v>
      </c>
    </row>
    <row r="96" spans="1:37">
      <c r="A96" s="1">
        <f>IF(Data!A96&gt;0,Data!A96-4,"")</f>
        <v>2</v>
      </c>
      <c r="B96" s="1">
        <f>IF(Data!B96&gt;0,Data!B96-4,"")</f>
        <v>2</v>
      </c>
      <c r="C96" s="1">
        <f>IF(Data!C96&gt;0,4-Data!C96,"")</f>
        <v>0</v>
      </c>
      <c r="D96" s="1">
        <f>IF(Data!D96&gt;0,4-Data!D96,"")</f>
        <v>2</v>
      </c>
      <c r="E96" s="1">
        <f>IF(Data!E96&gt;0,4-Data!E96,"")</f>
        <v>2</v>
      </c>
      <c r="F96" s="1">
        <f>IF(Data!F96&gt;0,Data!F96-4,"")</f>
        <v>2</v>
      </c>
      <c r="G96" s="1">
        <f>IF(Data!G96&gt;0,Data!G96-4,"")</f>
        <v>2</v>
      </c>
      <c r="H96" s="1">
        <f>IF(Data!H96&gt;0,Data!H96-4,"")</f>
        <v>1</v>
      </c>
      <c r="I96" s="1">
        <f>IF(Data!I96&gt;0,4-Data!I96,"")</f>
        <v>1</v>
      </c>
      <c r="J96" s="1">
        <f>IF(Data!J96&gt;0,4-Data!J96,"")</f>
        <v>2</v>
      </c>
      <c r="K96" s="1">
        <f>IF(Data!K96&gt;0,Data!K96-4,"")</f>
        <v>1</v>
      </c>
      <c r="L96" s="1">
        <f>IF(Data!L96&gt;0,4-Data!L96,"")</f>
        <v>0</v>
      </c>
      <c r="M96" s="1">
        <f>IF(Data!M96&gt;0,Data!M96-4,"")</f>
        <v>3</v>
      </c>
      <c r="N96" s="1">
        <f>IF(Data!N96&gt;0,Data!N96-4,"")</f>
        <v>2</v>
      </c>
      <c r="O96" s="1">
        <f>IF(Data!O96&gt;0,Data!O96-4,"")</f>
        <v>1</v>
      </c>
      <c r="P96" s="1">
        <f>IF(Data!P96&gt;0,Data!P96-4,"")</f>
        <v>1</v>
      </c>
      <c r="Q96" s="1">
        <f>IF(Data!Q96&gt;0,4-Data!Q96,"")</f>
        <v>2</v>
      </c>
      <c r="R96" s="1">
        <f>IF(Data!R96&gt;0,4-Data!R96,"")</f>
        <v>0</v>
      </c>
      <c r="S96" s="1">
        <f>IF(Data!S96&gt;0,4-Data!S96,"")</f>
        <v>1</v>
      </c>
      <c r="T96" s="1">
        <f>IF(Data!T96&gt;0,Data!T96-4,"")</f>
        <v>2</v>
      </c>
      <c r="U96" s="1">
        <f>IF(Data!U96&gt;0,4-Data!U96,"")</f>
        <v>2</v>
      </c>
      <c r="V96" s="1">
        <f>IF(Data!V96&gt;0,Data!V96-4,"")</f>
        <v>2</v>
      </c>
      <c r="W96" s="1">
        <f>IF(Data!W96&gt;0,4-Data!W96,"")</f>
        <v>3</v>
      </c>
      <c r="X96" s="1">
        <f>IF(Data!X96&gt;0,4-Data!X96,"")</f>
        <v>2</v>
      </c>
      <c r="Y96" s="1">
        <f>IF(Data!Y96&gt;0,4-Data!Y96,"")</f>
        <v>2</v>
      </c>
      <c r="Z96" s="1">
        <f>IF(Data!Z96&gt;0,Data!Z96-4,"")</f>
        <v>1</v>
      </c>
      <c r="AC96" s="4" t="str">
        <f t="shared" si="16"/>
        <v/>
      </c>
      <c r="AD96" s="4" t="str">
        <f t="shared" si="17"/>
        <v/>
      </c>
      <c r="AE96" s="4" t="str">
        <f t="shared" si="18"/>
        <v/>
      </c>
      <c r="AF96" s="4" t="str">
        <f t="shared" si="19"/>
        <v/>
      </c>
      <c r="AG96" s="4" t="str">
        <f t="shared" si="20"/>
        <v/>
      </c>
      <c r="AH96" s="4" t="str">
        <f t="shared" si="21"/>
        <v/>
      </c>
      <c r="AI96" s="2">
        <f t="shared" si="22"/>
        <v>0</v>
      </c>
      <c r="AK96" s="2">
        <f>IF(MAX(COUNTIF(Data!A96:Z96,1),COUNTIF(Data!A96:Z96,2),COUNTIF(Data!A96:Z96,3),COUNTIF(Data!A96:Z96,4),COUNTIF(Data!A96:Z96,5),COUNTIF(Data!A96:Z96,6),COUNTIF(Data!A96:Z96,7))&gt;0,MAX(COUNTIF(Data!A96:Z96,1),COUNTIF(Data!A96:Z96,2),COUNTIF(Data!A96:Z96,3),COUNTIF(Data!A96:Z96,4),COUNTIF(Data!A96:Z96,5),COUNTIF(Data!A96:Z96,6),COUNTIF(Data!A96:Z96,7)),"")</f>
        <v>7</v>
      </c>
    </row>
    <row r="97" spans="1:37">
      <c r="A97" s="1">
        <f>IF(Data!A97&gt;0,Data!A97-4,"")</f>
        <v>2</v>
      </c>
      <c r="B97" s="1">
        <f>IF(Data!B97&gt;0,Data!B97-4,"")</f>
        <v>3</v>
      </c>
      <c r="C97" s="1">
        <f>IF(Data!C97&gt;0,4-Data!C97,"")</f>
        <v>2</v>
      </c>
      <c r="D97" s="1">
        <f>IF(Data!D97&gt;0,4-Data!D97,"")</f>
        <v>3</v>
      </c>
      <c r="E97" s="1">
        <f>IF(Data!E97&gt;0,4-Data!E97,"")</f>
        <v>3</v>
      </c>
      <c r="F97" s="1">
        <f>IF(Data!F97&gt;0,Data!F97-4,"")</f>
        <v>2</v>
      </c>
      <c r="G97" s="1">
        <f>IF(Data!G97&gt;0,Data!G97-4,"")</f>
        <v>1</v>
      </c>
      <c r="H97" s="1">
        <f>IF(Data!H97&gt;0,Data!H97-4,"")</f>
        <v>2</v>
      </c>
      <c r="I97" s="1">
        <f>IF(Data!I97&gt;0,4-Data!I97,"")</f>
        <v>0</v>
      </c>
      <c r="J97" s="1">
        <f>IF(Data!J97&gt;0,4-Data!J97,"")</f>
        <v>1</v>
      </c>
      <c r="K97" s="1">
        <f>IF(Data!K97&gt;0,Data!K97-4,"")</f>
        <v>2</v>
      </c>
      <c r="L97" s="1">
        <f>IF(Data!L97&gt;0,4-Data!L97,"")</f>
        <v>3</v>
      </c>
      <c r="M97" s="1">
        <f>IF(Data!M97&gt;0,Data!M97-4,"")</f>
        <v>-1</v>
      </c>
      <c r="N97" s="1">
        <f>IF(Data!N97&gt;0,Data!N97-4,"")</f>
        <v>3</v>
      </c>
      <c r="O97" s="1">
        <f>IF(Data!O97&gt;0,Data!O97-4,"")</f>
        <v>1</v>
      </c>
      <c r="P97" s="1">
        <f>IF(Data!P97&gt;0,Data!P97-4,"")</f>
        <v>2</v>
      </c>
      <c r="Q97" s="1">
        <f>IF(Data!Q97&gt;0,4-Data!Q97,"")</f>
        <v>1</v>
      </c>
      <c r="R97" s="1">
        <f>IF(Data!R97&gt;0,4-Data!R97,"")</f>
        <v>2</v>
      </c>
      <c r="S97" s="1">
        <f>IF(Data!S97&gt;0,4-Data!S97,"")</f>
        <v>3</v>
      </c>
      <c r="T97" s="1">
        <f>IF(Data!T97&gt;0,Data!T97-4,"")</f>
        <v>3</v>
      </c>
      <c r="U97" s="1">
        <f>IF(Data!U97&gt;0,4-Data!U97,"")</f>
        <v>3</v>
      </c>
      <c r="V97" s="1">
        <f>IF(Data!V97&gt;0,Data!V97-4,"")</f>
        <v>3</v>
      </c>
      <c r="W97" s="1">
        <f>IF(Data!W97&gt;0,4-Data!W97,"")</f>
        <v>3</v>
      </c>
      <c r="X97" s="1">
        <f>IF(Data!X97&gt;0,4-Data!X97,"")</f>
        <v>2</v>
      </c>
      <c r="Y97" s="1">
        <f>IF(Data!Y97&gt;0,4-Data!Y97,"")</f>
        <v>3</v>
      </c>
      <c r="Z97" s="1">
        <f>IF(Data!Z97&gt;0,Data!Z97-4,"")</f>
        <v>2</v>
      </c>
      <c r="AC97" s="4" t="str">
        <f t="shared" si="16"/>
        <v/>
      </c>
      <c r="AD97" s="4">
        <f t="shared" si="17"/>
        <v>1</v>
      </c>
      <c r="AE97" s="4" t="str">
        <f t="shared" si="18"/>
        <v/>
      </c>
      <c r="AF97" s="4" t="str">
        <f t="shared" si="19"/>
        <v/>
      </c>
      <c r="AG97" s="4" t="str">
        <f t="shared" si="20"/>
        <v/>
      </c>
      <c r="AH97" s="4" t="str">
        <f t="shared" si="21"/>
        <v/>
      </c>
      <c r="AI97" s="2">
        <f t="shared" si="22"/>
        <v>1</v>
      </c>
      <c r="AK97" s="2">
        <f>IF(MAX(COUNTIF(Data!A97:Z97,1),COUNTIF(Data!A97:Z97,2),COUNTIF(Data!A97:Z97,3),COUNTIF(Data!A97:Z97,4),COUNTIF(Data!A97:Z97,5),COUNTIF(Data!A97:Z97,6),COUNTIF(Data!A97:Z97,7))&gt;0,MAX(COUNTIF(Data!A97:Z97,1),COUNTIF(Data!A97:Z97,2),COUNTIF(Data!A97:Z97,3),COUNTIF(Data!A97:Z97,4),COUNTIF(Data!A97:Z97,5),COUNTIF(Data!A97:Z97,6),COUNTIF(Data!A97:Z97,7)),"")</f>
        <v>7</v>
      </c>
    </row>
    <row r="98" spans="1:37">
      <c r="A98" s="1">
        <f>IF(Data!A98&gt;0,Data!A98-4,"")</f>
        <v>3</v>
      </c>
      <c r="B98" s="1">
        <f>IF(Data!B98&gt;0,Data!B98-4,"")</f>
        <v>3</v>
      </c>
      <c r="C98" s="1">
        <f>IF(Data!C98&gt;0,4-Data!C98,"")</f>
        <v>0</v>
      </c>
      <c r="D98" s="1">
        <f>IF(Data!D98&gt;0,4-Data!D98,"")</f>
        <v>3</v>
      </c>
      <c r="E98" s="1">
        <f>IF(Data!E98&gt;0,4-Data!E98,"")</f>
        <v>3</v>
      </c>
      <c r="F98" s="1">
        <f>IF(Data!F98&gt;0,Data!F98-4,"")</f>
        <v>3</v>
      </c>
      <c r="G98" s="1">
        <f>IF(Data!G98&gt;0,Data!G98-4,"")</f>
        <v>3</v>
      </c>
      <c r="H98" s="1">
        <f>IF(Data!H98&gt;0,Data!H98-4,"")</f>
        <v>0</v>
      </c>
      <c r="I98" s="1">
        <f>IF(Data!I98&gt;0,4-Data!I98,"")</f>
        <v>3</v>
      </c>
      <c r="J98" s="1">
        <f>IF(Data!J98&gt;0,4-Data!J98,"")</f>
        <v>3</v>
      </c>
      <c r="K98" s="1">
        <f>IF(Data!K98&gt;0,Data!K98-4,"")</f>
        <v>3</v>
      </c>
      <c r="L98" s="1">
        <f>IF(Data!L98&gt;0,4-Data!L98,"")</f>
        <v>3</v>
      </c>
      <c r="M98" s="1">
        <f>IF(Data!M98&gt;0,Data!M98-4,"")</f>
        <v>3</v>
      </c>
      <c r="N98" s="1">
        <f>IF(Data!N98&gt;0,Data!N98-4,"")</f>
        <v>3</v>
      </c>
      <c r="O98" s="1">
        <f>IF(Data!O98&gt;0,Data!O98-4,"")</f>
        <v>3</v>
      </c>
      <c r="P98" s="1">
        <f>IF(Data!P98&gt;0,Data!P98-4,"")</f>
        <v>3</v>
      </c>
      <c r="Q98" s="1">
        <f>IF(Data!Q98&gt;0,4-Data!Q98,"")</f>
        <v>3</v>
      </c>
      <c r="R98" s="1">
        <f>IF(Data!R98&gt;0,4-Data!R98,"")</f>
        <v>0</v>
      </c>
      <c r="S98" s="1">
        <f>IF(Data!S98&gt;0,4-Data!S98,"")</f>
        <v>3</v>
      </c>
      <c r="T98" s="1">
        <f>IF(Data!T98&gt;0,Data!T98-4,"")</f>
        <v>3</v>
      </c>
      <c r="U98" s="1">
        <f>IF(Data!U98&gt;0,4-Data!U98,"")</f>
        <v>3</v>
      </c>
      <c r="V98" s="1">
        <f>IF(Data!V98&gt;0,Data!V98-4,"")</f>
        <v>3</v>
      </c>
      <c r="W98" s="1">
        <f>IF(Data!W98&gt;0,4-Data!W98,"")</f>
        <v>1</v>
      </c>
      <c r="X98" s="1">
        <f>IF(Data!X98&gt;0,4-Data!X98,"")</f>
        <v>2</v>
      </c>
      <c r="Y98" s="1">
        <f>IF(Data!Y98&gt;0,4-Data!Y98,"")</f>
        <v>3</v>
      </c>
      <c r="Z98" s="1">
        <f>IF(Data!Z98&gt;0,Data!Z98-4,"")</f>
        <v>3</v>
      </c>
      <c r="AC98" s="4" t="str">
        <f t="shared" si="16"/>
        <v/>
      </c>
      <c r="AD98" s="4" t="str">
        <f t="shared" si="17"/>
        <v/>
      </c>
      <c r="AE98" s="4" t="str">
        <f t="shared" si="18"/>
        <v/>
      </c>
      <c r="AF98" s="4" t="str">
        <f t="shared" si="19"/>
        <v/>
      </c>
      <c r="AG98" s="4" t="str">
        <f t="shared" si="20"/>
        <v/>
      </c>
      <c r="AH98" s="4" t="str">
        <f t="shared" si="21"/>
        <v/>
      </c>
      <c r="AI98" s="2">
        <f t="shared" si="22"/>
        <v>0</v>
      </c>
      <c r="AK98" s="2">
        <f>IF(MAX(COUNTIF(Data!A98:Z98,1),COUNTIF(Data!A98:Z98,2),COUNTIF(Data!A98:Z98,3),COUNTIF(Data!A98:Z98,4),COUNTIF(Data!A98:Z98,5),COUNTIF(Data!A98:Z98,6),COUNTIF(Data!A98:Z98,7))&gt;0,MAX(COUNTIF(Data!A98:Z98,1),COUNTIF(Data!A98:Z98,2),COUNTIF(Data!A98:Z98,3),COUNTIF(Data!A98:Z98,4),COUNTIF(Data!A98:Z98,5),COUNTIF(Data!A98:Z98,6),COUNTIF(Data!A98:Z98,7)),"")</f>
        <v>12</v>
      </c>
    </row>
    <row r="99" spans="1:37">
      <c r="A99" s="1">
        <f>IF(Data!A99&gt;0,Data!A99-4,"")</f>
        <v>2</v>
      </c>
      <c r="B99" s="1">
        <f>IF(Data!B99&gt;0,Data!B99-4,"")</f>
        <v>3</v>
      </c>
      <c r="C99" s="1">
        <f>IF(Data!C99&gt;0,4-Data!C99,"")</f>
        <v>3</v>
      </c>
      <c r="D99" s="1">
        <f>IF(Data!D99&gt;0,4-Data!D99,"")</f>
        <v>3</v>
      </c>
      <c r="E99" s="1">
        <f>IF(Data!E99&gt;0,4-Data!E99,"")</f>
        <v>3</v>
      </c>
      <c r="F99" s="1">
        <f>IF(Data!F99&gt;0,Data!F99-4,"")</f>
        <v>1</v>
      </c>
      <c r="G99" s="1">
        <f>IF(Data!G99&gt;0,Data!G99-4,"")</f>
        <v>1</v>
      </c>
      <c r="H99" s="1">
        <f>IF(Data!H99&gt;0,Data!H99-4,"")</f>
        <v>0</v>
      </c>
      <c r="I99" s="1">
        <f>IF(Data!I99&gt;0,4-Data!I99,"")</f>
        <v>3</v>
      </c>
      <c r="J99" s="1">
        <f>IF(Data!J99&gt;0,4-Data!J99,"")</f>
        <v>1</v>
      </c>
      <c r="K99" s="1">
        <f>IF(Data!K99&gt;0,Data!K99-4,"")</f>
        <v>1</v>
      </c>
      <c r="L99" s="1">
        <f>IF(Data!L99&gt;0,4-Data!L99,"")</f>
        <v>3</v>
      </c>
      <c r="M99" s="1">
        <f>IF(Data!M99&gt;0,Data!M99-4,"")</f>
        <v>3</v>
      </c>
      <c r="N99" s="1">
        <f>IF(Data!N99&gt;0,Data!N99-4,"")</f>
        <v>3</v>
      </c>
      <c r="O99" s="1">
        <f>IF(Data!O99&gt;0,Data!O99-4,"")</f>
        <v>2</v>
      </c>
      <c r="P99" s="1">
        <f>IF(Data!P99&gt;0,Data!P99-4,"")</f>
        <v>3</v>
      </c>
      <c r="Q99" s="1">
        <f>IF(Data!Q99&gt;0,4-Data!Q99,"")</f>
        <v>3</v>
      </c>
      <c r="R99" s="1">
        <f>IF(Data!R99&gt;0,4-Data!R99,"")</f>
        <v>1</v>
      </c>
      <c r="S99" s="1">
        <f>IF(Data!S99&gt;0,4-Data!S99,"")</f>
        <v>0</v>
      </c>
      <c r="T99" s="1">
        <f>IF(Data!T99&gt;0,Data!T99-4,"")</f>
        <v>3</v>
      </c>
      <c r="U99" s="1">
        <f>IF(Data!U99&gt;0,4-Data!U99,"")</f>
        <v>3</v>
      </c>
      <c r="V99" s="1">
        <f>IF(Data!V99&gt;0,Data!V99-4,"")</f>
        <v>3</v>
      </c>
      <c r="W99" s="1">
        <f>IF(Data!W99&gt;0,4-Data!W99,"")</f>
        <v>3</v>
      </c>
      <c r="X99" s="1">
        <f>IF(Data!X99&gt;0,4-Data!X99,"")</f>
        <v>3</v>
      </c>
      <c r="Y99" s="1">
        <f>IF(Data!Y99&gt;0,4-Data!Y99,"")</f>
        <v>0</v>
      </c>
      <c r="Z99" s="1">
        <f>IF(Data!Z99&gt;0,Data!Z99-4,"")</f>
        <v>2</v>
      </c>
      <c r="AC99" s="4" t="str">
        <f t="shared" si="16"/>
        <v/>
      </c>
      <c r="AD99" s="4" t="str">
        <f t="shared" si="17"/>
        <v/>
      </c>
      <c r="AE99" s="4" t="str">
        <f t="shared" si="18"/>
        <v/>
      </c>
      <c r="AF99" s="4" t="str">
        <f t="shared" si="19"/>
        <v/>
      </c>
      <c r="AG99" s="4" t="str">
        <f t="shared" si="20"/>
        <v/>
      </c>
      <c r="AH99" s="4" t="str">
        <f t="shared" si="21"/>
        <v/>
      </c>
      <c r="AI99" s="2">
        <f t="shared" si="22"/>
        <v>0</v>
      </c>
      <c r="AK99" s="2">
        <f>IF(MAX(COUNTIF(Data!A99:Z99,1),COUNTIF(Data!A99:Z99,2),COUNTIF(Data!A99:Z99,3),COUNTIF(Data!A99:Z99,4),COUNTIF(Data!A99:Z99,5),COUNTIF(Data!A99:Z99,6),COUNTIF(Data!A99:Z99,7))&gt;0,MAX(COUNTIF(Data!A99:Z99,1),COUNTIF(Data!A99:Z99,2),COUNTIF(Data!A99:Z99,3),COUNTIF(Data!A99:Z99,4),COUNTIF(Data!A99:Z99,5),COUNTIF(Data!A99:Z99,6),COUNTIF(Data!A99:Z99,7)),"")</f>
        <v>9</v>
      </c>
    </row>
    <row r="100" spans="1:37">
      <c r="A100" s="1">
        <f>IF(Data!A100&gt;0,Data!A100-4,"")</f>
        <v>1</v>
      </c>
      <c r="B100" s="1">
        <f>IF(Data!B100&gt;0,Data!B100-4,"")</f>
        <v>2</v>
      </c>
      <c r="C100" s="1">
        <f>IF(Data!C100&gt;0,4-Data!C100,"")</f>
        <v>-1</v>
      </c>
      <c r="D100" s="1">
        <f>IF(Data!D100&gt;0,4-Data!D100,"")</f>
        <v>2</v>
      </c>
      <c r="E100" s="1">
        <f>IF(Data!E100&gt;0,4-Data!E100,"")</f>
        <v>2</v>
      </c>
      <c r="F100" s="1">
        <f>IF(Data!F100&gt;0,Data!F100-4,"")</f>
        <v>0</v>
      </c>
      <c r="G100" s="1">
        <f>IF(Data!G100&gt;0,Data!G100-4,"")</f>
        <v>1</v>
      </c>
      <c r="H100" s="1">
        <f>IF(Data!H100&gt;0,Data!H100-4,"")</f>
        <v>1</v>
      </c>
      <c r="I100" s="1">
        <f>IF(Data!I100&gt;0,4-Data!I100,"")</f>
        <v>2</v>
      </c>
      <c r="J100" s="1">
        <f>IF(Data!J100&gt;0,4-Data!J100,"")</f>
        <v>2</v>
      </c>
      <c r="K100" s="1">
        <f>IF(Data!K100&gt;0,Data!K100-4,"")</f>
        <v>-1</v>
      </c>
      <c r="L100" s="1">
        <f>IF(Data!L100&gt;0,4-Data!L100,"")</f>
        <v>1</v>
      </c>
      <c r="M100" s="1">
        <f>IF(Data!M100&gt;0,Data!M100-4,"")</f>
        <v>0</v>
      </c>
      <c r="N100" s="1">
        <f>IF(Data!N100&gt;0,Data!N100-4,"")</f>
        <v>2</v>
      </c>
      <c r="O100" s="1">
        <f>IF(Data!O100&gt;0,Data!O100-4,"")</f>
        <v>2</v>
      </c>
      <c r="P100" s="1">
        <f>IF(Data!P100&gt;0,Data!P100-4,"")</f>
        <v>3</v>
      </c>
      <c r="Q100" s="1">
        <f>IF(Data!Q100&gt;0,4-Data!Q100,"")</f>
        <v>2</v>
      </c>
      <c r="R100" s="1">
        <f>IF(Data!R100&gt;0,4-Data!R100,"")</f>
        <v>1</v>
      </c>
      <c r="S100" s="1">
        <f>IF(Data!S100&gt;0,4-Data!S100,"")</f>
        <v>2</v>
      </c>
      <c r="T100" s="1">
        <f>IF(Data!T100&gt;0,Data!T100-4,"")</f>
        <v>3</v>
      </c>
      <c r="U100" s="1">
        <f>IF(Data!U100&gt;0,4-Data!U100,"")</f>
        <v>1</v>
      </c>
      <c r="V100" s="1">
        <f>IF(Data!V100&gt;0,Data!V100-4,"")</f>
        <v>2</v>
      </c>
      <c r="W100" s="1">
        <f>IF(Data!W100&gt;0,4-Data!W100,"")</f>
        <v>-1</v>
      </c>
      <c r="X100" s="1">
        <f>IF(Data!X100&gt;0,4-Data!X100,"")</f>
        <v>0</v>
      </c>
      <c r="Y100" s="1">
        <f>IF(Data!Y100&gt;0,4-Data!Y100,"")</f>
        <v>1</v>
      </c>
      <c r="Z100" s="1">
        <f>IF(Data!Z100&gt;0,Data!Z100-4,"")</f>
        <v>2</v>
      </c>
      <c r="AC100" s="4" t="str">
        <f t="shared" si="16"/>
        <v/>
      </c>
      <c r="AD100" s="4" t="str">
        <f t="shared" si="17"/>
        <v/>
      </c>
      <c r="AE100" s="4">
        <f t="shared" si="18"/>
        <v>1</v>
      </c>
      <c r="AF100" s="4" t="str">
        <f t="shared" si="19"/>
        <v/>
      </c>
      <c r="AG100" s="4" t="str">
        <f t="shared" si="20"/>
        <v/>
      </c>
      <c r="AH100" s="4" t="str">
        <f t="shared" si="21"/>
        <v/>
      </c>
      <c r="AI100" s="2">
        <f t="shared" si="22"/>
        <v>1</v>
      </c>
      <c r="AK100" s="2">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6</v>
      </c>
    </row>
    <row r="101" spans="1:37">
      <c r="A101" s="1">
        <f>IF(Data!A101&gt;0,Data!A101-4,"")</f>
        <v>0</v>
      </c>
      <c r="B101" s="1">
        <f>IF(Data!B101&gt;0,Data!B101-4,"")</f>
        <v>2</v>
      </c>
      <c r="C101" s="1">
        <f>IF(Data!C101&gt;0,4-Data!C101,"")</f>
        <v>0</v>
      </c>
      <c r="D101" s="1">
        <f>IF(Data!D101&gt;0,4-Data!D101,"")</f>
        <v>2</v>
      </c>
      <c r="E101" s="1">
        <f>IF(Data!E101&gt;0,4-Data!E101,"")</f>
        <v>1</v>
      </c>
      <c r="F101" s="1">
        <f>IF(Data!F101&gt;0,Data!F101-4,"")</f>
        <v>0</v>
      </c>
      <c r="G101" s="1">
        <f>IF(Data!G101&gt;0,Data!G101-4,"")</f>
        <v>0</v>
      </c>
      <c r="H101" s="1">
        <f>IF(Data!H101&gt;0,Data!H101-4,"")</f>
        <v>3</v>
      </c>
      <c r="I101" s="1">
        <f>IF(Data!I101&gt;0,4-Data!I101,"")</f>
        <v>2</v>
      </c>
      <c r="J101" s="1">
        <f>IF(Data!J101&gt;0,4-Data!J101,"")</f>
        <v>0</v>
      </c>
      <c r="K101" s="1">
        <f>IF(Data!K101&gt;0,Data!K101-4,"")</f>
        <v>0</v>
      </c>
      <c r="L101" s="1">
        <f>IF(Data!L101&gt;0,4-Data!L101,"")</f>
        <v>-1</v>
      </c>
      <c r="M101" s="1">
        <f>IF(Data!M101&gt;0,Data!M101-4,"")</f>
        <v>2</v>
      </c>
      <c r="N101" s="1">
        <f>IF(Data!N101&gt;0,Data!N101-4,"")</f>
        <v>0</v>
      </c>
      <c r="O101" s="1">
        <f>IF(Data!O101&gt;0,Data!O101-4,"")</f>
        <v>-1</v>
      </c>
      <c r="P101" s="1">
        <f>IF(Data!P101&gt;0,Data!P101-4,"")</f>
        <v>1</v>
      </c>
      <c r="Q101" s="1">
        <f>IF(Data!Q101&gt;0,4-Data!Q101,"")</f>
        <v>2</v>
      </c>
      <c r="R101" s="1">
        <f>IF(Data!R101&gt;0,4-Data!R101,"")</f>
        <v>0</v>
      </c>
      <c r="S101" s="1">
        <f>IF(Data!S101&gt;0,4-Data!S101,"")</f>
        <v>1</v>
      </c>
      <c r="T101" s="1">
        <f>IF(Data!T101&gt;0,Data!T101-4,"")</f>
        <v>1</v>
      </c>
      <c r="U101" s="1">
        <f>IF(Data!U101&gt;0,4-Data!U101,"")</f>
        <v>2</v>
      </c>
      <c r="V101" s="1">
        <f>IF(Data!V101&gt;0,Data!V101-4,"")</f>
        <v>2</v>
      </c>
      <c r="W101" s="1">
        <f>IF(Data!W101&gt;0,4-Data!W101,"")</f>
        <v>-2</v>
      </c>
      <c r="X101" s="1">
        <f>IF(Data!X101&gt;0,4-Data!X101,"")</f>
        <v>1</v>
      </c>
      <c r="Y101" s="1">
        <f>IF(Data!Y101&gt;0,4-Data!Y101,"")</f>
        <v>1</v>
      </c>
      <c r="Z101" s="1">
        <f>IF(Data!Z101&gt;0,Data!Z101-4,"")</f>
        <v>0</v>
      </c>
      <c r="AC101" s="4" t="str">
        <f t="shared" si="16"/>
        <v/>
      </c>
      <c r="AD101" s="4" t="str">
        <f t="shared" si="17"/>
        <v/>
      </c>
      <c r="AE101" s="4">
        <f t="shared" si="18"/>
        <v>1</v>
      </c>
      <c r="AF101" s="4" t="str">
        <f t="shared" si="19"/>
        <v/>
      </c>
      <c r="AG101" s="4" t="str">
        <f t="shared" si="20"/>
        <v/>
      </c>
      <c r="AH101" s="4" t="str">
        <f t="shared" si="21"/>
        <v/>
      </c>
      <c r="AI101" s="2">
        <f t="shared" si="22"/>
        <v>1</v>
      </c>
      <c r="AK101" s="2">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9</v>
      </c>
    </row>
    <row r="102" spans="1:37">
      <c r="A102" s="1">
        <f>IF(Data!A102&gt;0,Data!A102-4,"")</f>
        <v>3</v>
      </c>
      <c r="B102" s="1">
        <f>IF(Data!B102&gt;0,Data!B102-4,"")</f>
        <v>3</v>
      </c>
      <c r="C102" s="1">
        <f>IF(Data!C102&gt;0,4-Data!C102,"")</f>
        <v>2</v>
      </c>
      <c r="D102" s="1">
        <f>IF(Data!D102&gt;0,4-Data!D102,"")</f>
        <v>3</v>
      </c>
      <c r="E102" s="1">
        <f>IF(Data!E102&gt;0,4-Data!E102,"")</f>
        <v>3</v>
      </c>
      <c r="F102" s="1">
        <f>IF(Data!F102&gt;0,Data!F102-4,"")</f>
        <v>3</v>
      </c>
      <c r="G102" s="1">
        <f>IF(Data!G102&gt;0,Data!G102-4,"")</f>
        <v>3</v>
      </c>
      <c r="H102" s="1">
        <f>IF(Data!H102&gt;0,Data!H102-4,"")</f>
        <v>-1</v>
      </c>
      <c r="I102" s="1">
        <f>IF(Data!I102&gt;0,4-Data!I102,"")</f>
        <v>0</v>
      </c>
      <c r="J102" s="1">
        <f>IF(Data!J102&gt;0,4-Data!J102,"")</f>
        <v>2</v>
      </c>
      <c r="K102" s="1">
        <f>IF(Data!K102&gt;0,Data!K102-4,"")</f>
        <v>2</v>
      </c>
      <c r="L102" s="1">
        <f>IF(Data!L102&gt;0,4-Data!L102,"")</f>
        <v>3</v>
      </c>
      <c r="M102" s="1">
        <f>IF(Data!M102&gt;0,Data!M102-4,"")</f>
        <v>3</v>
      </c>
      <c r="N102" s="1">
        <f>IF(Data!N102&gt;0,Data!N102-4,"")</f>
        <v>3</v>
      </c>
      <c r="O102" s="1">
        <f>IF(Data!O102&gt;0,Data!O102-4,"")</f>
        <v>0</v>
      </c>
      <c r="P102" s="1">
        <f>IF(Data!P102&gt;0,Data!P102-4,"")</f>
        <v>3</v>
      </c>
      <c r="Q102" s="1">
        <f>IF(Data!Q102&gt;0,4-Data!Q102,"")</f>
        <v>3</v>
      </c>
      <c r="R102" s="1">
        <f>IF(Data!R102&gt;0,4-Data!R102,"")</f>
        <v>0</v>
      </c>
      <c r="S102" s="1">
        <f>IF(Data!S102&gt;0,4-Data!S102,"")</f>
        <v>3</v>
      </c>
      <c r="T102" s="1">
        <f>IF(Data!T102&gt;0,Data!T102-4,"")</f>
        <v>3</v>
      </c>
      <c r="U102" s="1">
        <f>IF(Data!U102&gt;0,4-Data!U102,"")</f>
        <v>3</v>
      </c>
      <c r="V102" s="1">
        <f>IF(Data!V102&gt;0,Data!V102-4,"")</f>
        <v>3</v>
      </c>
      <c r="W102" s="1">
        <f>IF(Data!W102&gt;0,4-Data!W102,"")</f>
        <v>3</v>
      </c>
      <c r="X102" s="1">
        <f>IF(Data!X102&gt;0,4-Data!X102,"")</f>
        <v>3</v>
      </c>
      <c r="Y102" s="1">
        <f>IF(Data!Y102&gt;0,4-Data!Y102,"")</f>
        <v>3</v>
      </c>
      <c r="Z102" s="1">
        <f>IF(Data!Z102&gt;0,Data!Z102-4,"")</f>
        <v>1</v>
      </c>
      <c r="AC102" s="4" t="str">
        <f t="shared" si="16"/>
        <v/>
      </c>
      <c r="AD102" s="4" t="str">
        <f t="shared" si="17"/>
        <v/>
      </c>
      <c r="AE102" s="4" t="str">
        <f t="shared" si="18"/>
        <v/>
      </c>
      <c r="AF102" s="4">
        <f t="shared" si="19"/>
        <v>1</v>
      </c>
      <c r="AG102" s="4" t="str">
        <f t="shared" si="20"/>
        <v/>
      </c>
      <c r="AH102" s="4" t="str">
        <f t="shared" si="21"/>
        <v/>
      </c>
      <c r="AI102" s="2">
        <f t="shared" si="22"/>
        <v>1</v>
      </c>
      <c r="AK102" s="2">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9</v>
      </c>
    </row>
    <row r="103" spans="1:37">
      <c r="A103" s="1">
        <f>IF(Data!A103&gt;0,Data!A103-4,"")</f>
        <v>-2</v>
      </c>
      <c r="B103" s="1">
        <f>IF(Data!B103&gt;0,Data!B103-4,"")</f>
        <v>-2</v>
      </c>
      <c r="C103" s="1">
        <f>IF(Data!C103&gt;0,4-Data!C103,"")</f>
        <v>1</v>
      </c>
      <c r="D103" s="1">
        <f>IF(Data!D103&gt;0,4-Data!D103,"")</f>
        <v>1</v>
      </c>
      <c r="E103" s="1">
        <f>IF(Data!E103&gt;0,4-Data!E103,"")</f>
        <v>2</v>
      </c>
      <c r="F103" s="1">
        <f>IF(Data!F103&gt;0,Data!F103-4,"")</f>
        <v>1</v>
      </c>
      <c r="G103" s="1">
        <f>IF(Data!G103&gt;0,Data!G103-4,"")</f>
        <v>0</v>
      </c>
      <c r="H103" s="1">
        <f>IF(Data!H103&gt;0,Data!H103-4,"")</f>
        <v>-1</v>
      </c>
      <c r="I103" s="1">
        <f>IF(Data!I103&gt;0,4-Data!I103,"")</f>
        <v>2</v>
      </c>
      <c r="J103" s="1">
        <f>IF(Data!J103&gt;0,4-Data!J103,"")</f>
        <v>2</v>
      </c>
      <c r="K103" s="1">
        <f>IF(Data!K103&gt;0,Data!K103-4,"")</f>
        <v>0</v>
      </c>
      <c r="L103" s="1">
        <f>IF(Data!L103&gt;0,4-Data!L103,"")</f>
        <v>2</v>
      </c>
      <c r="M103" s="1">
        <f>IF(Data!M103&gt;0,Data!M103-4,"")</f>
        <v>2</v>
      </c>
      <c r="N103" s="1">
        <f>IF(Data!N103&gt;0,Data!N103-4,"")</f>
        <v>1</v>
      </c>
      <c r="O103" s="1">
        <f>IF(Data!O103&gt;0,Data!O103-4,"")</f>
        <v>2</v>
      </c>
      <c r="P103" s="1">
        <f>IF(Data!P103&gt;0,Data!P103-4,"")</f>
        <v>-3</v>
      </c>
      <c r="Q103" s="1">
        <f>IF(Data!Q103&gt;0,4-Data!Q103,"")</f>
        <v>2</v>
      </c>
      <c r="R103" s="1">
        <f>IF(Data!R103&gt;0,4-Data!R103,"")</f>
        <v>0</v>
      </c>
      <c r="S103" s="1">
        <f>IF(Data!S103&gt;0,4-Data!S103,"")</f>
        <v>2</v>
      </c>
      <c r="T103" s="1">
        <f>IF(Data!T103&gt;0,Data!T103-4,"")</f>
        <v>1</v>
      </c>
      <c r="U103" s="1">
        <f>IF(Data!U103&gt;0,4-Data!U103,"")</f>
        <v>2</v>
      </c>
      <c r="V103" s="1">
        <f>IF(Data!V103&gt;0,Data!V103-4,"")</f>
        <v>3</v>
      </c>
      <c r="W103" s="1">
        <f>IF(Data!W103&gt;0,4-Data!W103,"")</f>
        <v>1</v>
      </c>
      <c r="X103" s="1">
        <f>IF(Data!X103&gt;0,4-Data!X103,"")</f>
        <v>1</v>
      </c>
      <c r="Y103" s="1">
        <f>IF(Data!Y103&gt;0,4-Data!Y103,"")</f>
        <v>0</v>
      </c>
      <c r="Z103" s="1">
        <f>IF(Data!Z103&gt;0,Data!Z103-4,"")</f>
        <v>3</v>
      </c>
      <c r="AC103" s="4">
        <f t="shared" si="16"/>
        <v>1</v>
      </c>
      <c r="AD103" s="4">
        <f t="shared" si="17"/>
        <v>1</v>
      </c>
      <c r="AE103" s="4" t="str">
        <f t="shared" si="18"/>
        <v/>
      </c>
      <c r="AF103" s="4" t="str">
        <f t="shared" si="19"/>
        <v/>
      </c>
      <c r="AG103" s="4" t="str">
        <f t="shared" si="20"/>
        <v/>
      </c>
      <c r="AH103" s="4" t="str">
        <f t="shared" si="21"/>
        <v/>
      </c>
      <c r="AI103" s="2">
        <f t="shared" si="22"/>
        <v>2</v>
      </c>
      <c r="AK103" s="2">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9</v>
      </c>
    </row>
    <row r="104" spans="1:37">
      <c r="A104" s="1">
        <f>IF(Data!A104&gt;0,Data!A104-4,"")</f>
        <v>0</v>
      </c>
      <c r="B104" s="1">
        <f>IF(Data!B104&gt;0,Data!B104-4,"")</f>
        <v>2</v>
      </c>
      <c r="C104" s="1">
        <f>IF(Data!C104&gt;0,4-Data!C104,"")</f>
        <v>0</v>
      </c>
      <c r="D104" s="1">
        <f>IF(Data!D104&gt;0,4-Data!D104,"")</f>
        <v>2</v>
      </c>
      <c r="E104" s="1">
        <f>IF(Data!E104&gt;0,4-Data!E104,"")</f>
        <v>3</v>
      </c>
      <c r="F104" s="1">
        <f>IF(Data!F104&gt;0,Data!F104-4,"")</f>
        <v>0</v>
      </c>
      <c r="G104" s="1">
        <f>IF(Data!G104&gt;0,Data!G104-4,"")</f>
        <v>1</v>
      </c>
      <c r="H104" s="1">
        <f>IF(Data!H104&gt;0,Data!H104-4,"")</f>
        <v>2</v>
      </c>
      <c r="I104" s="1">
        <f>IF(Data!I104&gt;0,4-Data!I104,"")</f>
        <v>2</v>
      </c>
      <c r="J104" s="1">
        <f>IF(Data!J104&gt;0,4-Data!J104,"")</f>
        <v>1</v>
      </c>
      <c r="K104" s="1">
        <f>IF(Data!K104&gt;0,Data!K104-4,"")</f>
        <v>3</v>
      </c>
      <c r="L104" s="1">
        <f>IF(Data!L104&gt;0,4-Data!L104,"")</f>
        <v>3</v>
      </c>
      <c r="M104" s="1">
        <f>IF(Data!M104&gt;0,Data!M104-4,"")</f>
        <v>2</v>
      </c>
      <c r="N104" s="1">
        <f>IF(Data!N104&gt;0,Data!N104-4,"")</f>
        <v>2</v>
      </c>
      <c r="O104" s="1">
        <f>IF(Data!O104&gt;0,Data!O104-4,"")</f>
        <v>0</v>
      </c>
      <c r="P104" s="1">
        <f>IF(Data!P104&gt;0,Data!P104-4,"")</f>
        <v>2</v>
      </c>
      <c r="Q104" s="1">
        <f>IF(Data!Q104&gt;0,4-Data!Q104,"")</f>
        <v>2</v>
      </c>
      <c r="R104" s="1">
        <f>IF(Data!R104&gt;0,4-Data!R104,"")</f>
        <v>1</v>
      </c>
      <c r="S104" s="1">
        <f>IF(Data!S104&gt;0,4-Data!S104,"")</f>
        <v>3</v>
      </c>
      <c r="T104" s="1">
        <f>IF(Data!T104&gt;0,Data!T104-4,"")</f>
        <v>3</v>
      </c>
      <c r="U104" s="1">
        <f>IF(Data!U104&gt;0,4-Data!U104,"")</f>
        <v>2</v>
      </c>
      <c r="V104" s="1">
        <f>IF(Data!V104&gt;0,Data!V104-4,"")</f>
        <v>2</v>
      </c>
      <c r="W104" s="1">
        <f>IF(Data!W104&gt;0,4-Data!W104,"")</f>
        <v>2</v>
      </c>
      <c r="X104" s="1">
        <f>IF(Data!X104&gt;0,4-Data!X104,"")</f>
        <v>0</v>
      </c>
      <c r="Y104" s="1">
        <f>IF(Data!Y104&gt;0,4-Data!Y104,"")</f>
        <v>2</v>
      </c>
      <c r="Z104" s="1">
        <f>IF(Data!Z104&gt;0,Data!Z104-4,"")</f>
        <v>0</v>
      </c>
      <c r="AC104" s="4" t="str">
        <f t="shared" si="16"/>
        <v/>
      </c>
      <c r="AD104" s="4" t="str">
        <f t="shared" si="17"/>
        <v/>
      </c>
      <c r="AE104" s="4" t="str">
        <f t="shared" si="18"/>
        <v/>
      </c>
      <c r="AF104" s="4" t="str">
        <f t="shared" si="19"/>
        <v/>
      </c>
      <c r="AG104" s="4" t="str">
        <f t="shared" si="20"/>
        <v/>
      </c>
      <c r="AH104" s="4" t="str">
        <f t="shared" si="21"/>
        <v/>
      </c>
      <c r="AI104" s="2">
        <f t="shared" si="22"/>
        <v>0</v>
      </c>
      <c r="AK104" s="2">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6</v>
      </c>
    </row>
    <row r="105" spans="1:37">
      <c r="A105" s="1">
        <f>IF(Data!A105&gt;0,Data!A105-4,"")</f>
        <v>3</v>
      </c>
      <c r="B105" s="1">
        <f>IF(Data!B105&gt;0,Data!B105-4,"")</f>
        <v>3</v>
      </c>
      <c r="C105" s="1">
        <f>IF(Data!C105&gt;0,4-Data!C105,"")</f>
        <v>-2</v>
      </c>
      <c r="D105" s="1">
        <f>IF(Data!D105&gt;0,4-Data!D105,"")</f>
        <v>0</v>
      </c>
      <c r="E105" s="1">
        <f>IF(Data!E105&gt;0,4-Data!E105,"")</f>
        <v>-3</v>
      </c>
      <c r="F105" s="1">
        <f>IF(Data!F105&gt;0,Data!F105-4,"")</f>
        <v>3</v>
      </c>
      <c r="G105" s="1">
        <f>IF(Data!G105&gt;0,Data!G105-4,"")</f>
        <v>3</v>
      </c>
      <c r="H105" s="1">
        <f>IF(Data!H105&gt;0,Data!H105-4,"")</f>
        <v>3</v>
      </c>
      <c r="I105" s="1">
        <f>IF(Data!I105&gt;0,4-Data!I105,"")</f>
        <v>3</v>
      </c>
      <c r="J105" s="1">
        <f>IF(Data!J105&gt;0,4-Data!J105,"")</f>
        <v>-3</v>
      </c>
      <c r="K105" s="1">
        <f>IF(Data!K105&gt;0,Data!K105-4,"")</f>
        <v>3</v>
      </c>
      <c r="L105" s="1">
        <f>IF(Data!L105&gt;0,4-Data!L105,"")</f>
        <v>3</v>
      </c>
      <c r="M105" s="1">
        <f>IF(Data!M105&gt;0,Data!M105-4,"")</f>
        <v>3</v>
      </c>
      <c r="N105" s="1">
        <f>IF(Data!N105&gt;0,Data!N105-4,"")</f>
        <v>3</v>
      </c>
      <c r="O105" s="1">
        <f>IF(Data!O105&gt;0,Data!O105-4,"")</f>
        <v>0</v>
      </c>
      <c r="P105" s="1">
        <f>IF(Data!P105&gt;0,Data!P105-4,"")</f>
        <v>3</v>
      </c>
      <c r="Q105" s="1">
        <f>IF(Data!Q105&gt;0,4-Data!Q105,"")</f>
        <v>2</v>
      </c>
      <c r="R105" s="1">
        <f>IF(Data!R105&gt;0,4-Data!R105,"")</f>
        <v>2</v>
      </c>
      <c r="S105" s="1">
        <f>IF(Data!S105&gt;0,4-Data!S105,"")</f>
        <v>2</v>
      </c>
      <c r="T105" s="1">
        <f>IF(Data!T105&gt;0,Data!T105-4,"")</f>
        <v>-2</v>
      </c>
      <c r="U105" s="1">
        <f>IF(Data!U105&gt;0,4-Data!U105,"")</f>
        <v>3</v>
      </c>
      <c r="V105" s="1">
        <f>IF(Data!V105&gt;0,Data!V105-4,"")</f>
        <v>3</v>
      </c>
      <c r="W105" s="1">
        <f>IF(Data!W105&gt;0,4-Data!W105,"")</f>
        <v>-3</v>
      </c>
      <c r="X105" s="1">
        <f>IF(Data!X105&gt;0,4-Data!X105,"")</f>
        <v>1</v>
      </c>
      <c r="Y105" s="1">
        <f>IF(Data!Y105&gt;0,4-Data!Y105,"")</f>
        <v>1</v>
      </c>
      <c r="Z105" s="1">
        <f>IF(Data!Z105&gt;0,Data!Z105-4,"")</f>
        <v>-1</v>
      </c>
      <c r="AC105" s="4" t="str">
        <f t="shared" si="16"/>
        <v/>
      </c>
      <c r="AD105" s="4" t="str">
        <f t="shared" si="17"/>
        <v/>
      </c>
      <c r="AE105" s="4">
        <f t="shared" si="18"/>
        <v>1</v>
      </c>
      <c r="AF105" s="4" t="str">
        <f t="shared" si="19"/>
        <v/>
      </c>
      <c r="AG105" s="4">
        <f t="shared" si="20"/>
        <v>1</v>
      </c>
      <c r="AH105" s="4" t="str">
        <f t="shared" si="21"/>
        <v/>
      </c>
      <c r="AI105" s="2">
        <f t="shared" si="22"/>
        <v>2</v>
      </c>
      <c r="AK105" s="2">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13</v>
      </c>
    </row>
    <row r="106" spans="1:37">
      <c r="A106" s="1">
        <f>IF(Data!A106&gt;0,Data!A106-4,"")</f>
        <v>3</v>
      </c>
      <c r="B106" s="1">
        <f>IF(Data!B106&gt;0,Data!B106-4,"")</f>
        <v>3</v>
      </c>
      <c r="C106" s="1">
        <f>IF(Data!C106&gt;0,4-Data!C106,"")</f>
        <v>3</v>
      </c>
      <c r="D106" s="1">
        <f>IF(Data!D106&gt;0,4-Data!D106,"")</f>
        <v>3</v>
      </c>
      <c r="E106" s="1">
        <f>IF(Data!E106&gt;0,4-Data!E106,"")</f>
        <v>3</v>
      </c>
      <c r="F106" s="1">
        <f>IF(Data!F106&gt;0,Data!F106-4,"")</f>
        <v>3</v>
      </c>
      <c r="G106" s="1">
        <f>IF(Data!G106&gt;0,Data!G106-4,"")</f>
        <v>3</v>
      </c>
      <c r="H106" s="1">
        <f>IF(Data!H106&gt;0,Data!H106-4,"")</f>
        <v>3</v>
      </c>
      <c r="I106" s="1">
        <f>IF(Data!I106&gt;0,4-Data!I106,"")</f>
        <v>3</v>
      </c>
      <c r="J106" s="1">
        <f>IF(Data!J106&gt;0,4-Data!J106,"")</f>
        <v>3</v>
      </c>
      <c r="K106" s="1">
        <f>IF(Data!K106&gt;0,Data!K106-4,"")</f>
        <v>3</v>
      </c>
      <c r="L106" s="1">
        <f>IF(Data!L106&gt;0,4-Data!L106,"")</f>
        <v>3</v>
      </c>
      <c r="M106" s="1">
        <f>IF(Data!M106&gt;0,Data!M106-4,"")</f>
        <v>3</v>
      </c>
      <c r="N106" s="1">
        <f>IF(Data!N106&gt;0,Data!N106-4,"")</f>
        <v>3</v>
      </c>
      <c r="O106" s="1">
        <f>IF(Data!O106&gt;0,Data!O106-4,"")</f>
        <v>3</v>
      </c>
      <c r="P106" s="1">
        <f>IF(Data!P106&gt;0,Data!P106-4,"")</f>
        <v>3</v>
      </c>
      <c r="Q106" s="1">
        <f>IF(Data!Q106&gt;0,4-Data!Q106,"")</f>
        <v>3</v>
      </c>
      <c r="R106" s="1">
        <f>IF(Data!R106&gt;0,4-Data!R106,"")</f>
        <v>3</v>
      </c>
      <c r="S106" s="1">
        <f>IF(Data!S106&gt;0,4-Data!S106,"")</f>
        <v>3</v>
      </c>
      <c r="T106" s="1">
        <f>IF(Data!T106&gt;0,Data!T106-4,"")</f>
        <v>3</v>
      </c>
      <c r="U106" s="1">
        <f>IF(Data!U106&gt;0,4-Data!U106,"")</f>
        <v>3</v>
      </c>
      <c r="V106" s="1">
        <f>IF(Data!V106&gt;0,Data!V106-4,"")</f>
        <v>3</v>
      </c>
      <c r="W106" s="1">
        <f>IF(Data!W106&gt;0,4-Data!W106,"")</f>
        <v>3</v>
      </c>
      <c r="X106" s="1">
        <f>IF(Data!X106&gt;0,4-Data!X106,"")</f>
        <v>3</v>
      </c>
      <c r="Y106" s="1">
        <f>IF(Data!Y106&gt;0,4-Data!Y106,"")</f>
        <v>3</v>
      </c>
      <c r="Z106" s="1">
        <f>IF(Data!Z106&gt;0,Data!Z106-4,"")</f>
        <v>-3</v>
      </c>
      <c r="AC106" s="4" t="str">
        <f t="shared" si="16"/>
        <v/>
      </c>
      <c r="AD106" s="4" t="str">
        <f t="shared" si="17"/>
        <v/>
      </c>
      <c r="AE106" s="4" t="str">
        <f t="shared" si="18"/>
        <v/>
      </c>
      <c r="AF106" s="4" t="str">
        <f t="shared" si="19"/>
        <v/>
      </c>
      <c r="AG106" s="4" t="str">
        <f t="shared" si="20"/>
        <v/>
      </c>
      <c r="AH106" s="4">
        <f t="shared" si="21"/>
        <v>1</v>
      </c>
      <c r="AI106" s="2">
        <f t="shared" si="22"/>
        <v>1</v>
      </c>
      <c r="AK106" s="2">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14</v>
      </c>
    </row>
    <row r="107" spans="1:37">
      <c r="A107" s="1">
        <f>IF(Data!A107&gt;0,Data!A107-4,"")</f>
        <v>2</v>
      </c>
      <c r="B107" s="1">
        <f>IF(Data!B107&gt;0,Data!B107-4,"")</f>
        <v>3</v>
      </c>
      <c r="C107" s="1">
        <f>IF(Data!C107&gt;0,4-Data!C107,"")</f>
        <v>2</v>
      </c>
      <c r="D107" s="1">
        <f>IF(Data!D107&gt;0,4-Data!D107,"")</f>
        <v>1</v>
      </c>
      <c r="E107" s="1">
        <f>IF(Data!E107&gt;0,4-Data!E107,"")</f>
        <v>3</v>
      </c>
      <c r="F107" s="1">
        <f>IF(Data!F107&gt;0,Data!F107-4,"")</f>
        <v>2</v>
      </c>
      <c r="G107" s="1">
        <f>IF(Data!G107&gt;0,Data!G107-4,"")</f>
        <v>3</v>
      </c>
      <c r="H107" s="1">
        <f>IF(Data!H107&gt;0,Data!H107-4,"")</f>
        <v>0</v>
      </c>
      <c r="I107" s="1">
        <f>IF(Data!I107&gt;0,4-Data!I107,"")</f>
        <v>2</v>
      </c>
      <c r="J107" s="1">
        <f>IF(Data!J107&gt;0,4-Data!J107,"")</f>
        <v>2</v>
      </c>
      <c r="K107" s="1">
        <f>IF(Data!K107&gt;0,Data!K107-4,"")</f>
        <v>2</v>
      </c>
      <c r="L107" s="1">
        <f>IF(Data!L107&gt;0,4-Data!L107,"")</f>
        <v>3</v>
      </c>
      <c r="M107" s="1">
        <f>IF(Data!M107&gt;0,Data!M107-4,"")</f>
        <v>3</v>
      </c>
      <c r="N107" s="1">
        <f>IF(Data!N107&gt;0,Data!N107-4,"")</f>
        <v>2</v>
      </c>
      <c r="O107" s="1">
        <f>IF(Data!O107&gt;0,Data!O107-4,"")</f>
        <v>2</v>
      </c>
      <c r="P107" s="1">
        <f>IF(Data!P107&gt;0,Data!P107-4,"")</f>
        <v>3</v>
      </c>
      <c r="Q107" s="1">
        <f>IF(Data!Q107&gt;0,4-Data!Q107,"")</f>
        <v>1</v>
      </c>
      <c r="R107" s="1">
        <f>IF(Data!R107&gt;0,4-Data!R107,"")</f>
        <v>1</v>
      </c>
      <c r="S107" s="1">
        <f>IF(Data!S107&gt;0,4-Data!S107,"")</f>
        <v>2</v>
      </c>
      <c r="T107" s="1">
        <f>IF(Data!T107&gt;0,Data!T107-4,"")</f>
        <v>2</v>
      </c>
      <c r="U107" s="1">
        <f>IF(Data!U107&gt;0,4-Data!U107,"")</f>
        <v>2</v>
      </c>
      <c r="V107" s="1">
        <f>IF(Data!V107&gt;0,Data!V107-4,"")</f>
        <v>2</v>
      </c>
      <c r="W107" s="1">
        <f>IF(Data!W107&gt;0,4-Data!W107,"")</f>
        <v>3</v>
      </c>
      <c r="X107" s="1">
        <f>IF(Data!X107&gt;0,4-Data!X107,"")</f>
        <v>2</v>
      </c>
      <c r="Y107" s="1">
        <f>IF(Data!Y107&gt;0,4-Data!Y107,"")</f>
        <v>2</v>
      </c>
      <c r="Z107" s="1">
        <f>IF(Data!Z107&gt;0,Data!Z107-4,"")</f>
        <v>2</v>
      </c>
      <c r="AC107" s="4" t="str">
        <f t="shared" si="16"/>
        <v/>
      </c>
      <c r="AD107" s="4" t="str">
        <f t="shared" si="17"/>
        <v/>
      </c>
      <c r="AE107" s="4" t="str">
        <f t="shared" si="18"/>
        <v/>
      </c>
      <c r="AF107" s="4" t="str">
        <f t="shared" si="19"/>
        <v/>
      </c>
      <c r="AG107" s="4" t="str">
        <f t="shared" si="20"/>
        <v/>
      </c>
      <c r="AH107" s="4" t="str">
        <f t="shared" si="21"/>
        <v/>
      </c>
      <c r="AI107" s="2">
        <f t="shared" si="22"/>
        <v>0</v>
      </c>
      <c r="AK107" s="2">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8</v>
      </c>
    </row>
    <row r="108" spans="1:37">
      <c r="A108" s="1">
        <f>IF(Data!A108&gt;0,Data!A108-4,"")</f>
        <v>3</v>
      </c>
      <c r="B108" s="1">
        <f>IF(Data!B108&gt;0,Data!B108-4,"")</f>
        <v>3</v>
      </c>
      <c r="C108" s="1">
        <f>IF(Data!C108&gt;0,4-Data!C108,"")</f>
        <v>3</v>
      </c>
      <c r="D108" s="1">
        <f>IF(Data!D108&gt;0,4-Data!D108,"")</f>
        <v>3</v>
      </c>
      <c r="E108" s="1">
        <f>IF(Data!E108&gt;0,4-Data!E108,"")</f>
        <v>0</v>
      </c>
      <c r="F108" s="1">
        <f>IF(Data!F108&gt;0,Data!F108-4,"")</f>
        <v>0</v>
      </c>
      <c r="G108" s="1">
        <f>IF(Data!G108&gt;0,Data!G108-4,"")</f>
        <v>3</v>
      </c>
      <c r="H108" s="1">
        <f>IF(Data!H108&gt;0,Data!H108-4,"")</f>
        <v>0</v>
      </c>
      <c r="I108" s="1">
        <f>IF(Data!I108&gt;0,4-Data!I108,"")</f>
        <v>2</v>
      </c>
      <c r="J108" s="1">
        <f>IF(Data!J108&gt;0,4-Data!J108,"")</f>
        <v>-2</v>
      </c>
      <c r="K108" s="1">
        <f>IF(Data!K108&gt;0,Data!K108-4,"")</f>
        <v>3</v>
      </c>
      <c r="L108" s="1">
        <f>IF(Data!L108&gt;0,4-Data!L108,"")</f>
        <v>3</v>
      </c>
      <c r="M108" s="1">
        <f>IF(Data!M108&gt;0,Data!M108-4,"")</f>
        <v>3</v>
      </c>
      <c r="N108" s="1">
        <f>IF(Data!N108&gt;0,Data!N108-4,"")</f>
        <v>2</v>
      </c>
      <c r="O108" s="1">
        <f>IF(Data!O108&gt;0,Data!O108-4,"")</f>
        <v>2</v>
      </c>
      <c r="P108" s="1">
        <f>IF(Data!P108&gt;0,Data!P108-4,"")</f>
        <v>3</v>
      </c>
      <c r="Q108" s="1">
        <f>IF(Data!Q108&gt;0,4-Data!Q108,"")</f>
        <v>1</v>
      </c>
      <c r="R108" s="1">
        <f>IF(Data!R108&gt;0,4-Data!R108,"")</f>
        <v>1</v>
      </c>
      <c r="S108" s="1">
        <f>IF(Data!S108&gt;0,4-Data!S108,"")</f>
        <v>3</v>
      </c>
      <c r="T108" s="1">
        <f>IF(Data!T108&gt;0,Data!T108-4,"")</f>
        <v>2</v>
      </c>
      <c r="U108" s="1">
        <f>IF(Data!U108&gt;0,4-Data!U108,"")</f>
        <v>3</v>
      </c>
      <c r="V108" s="1">
        <f>IF(Data!V108&gt;0,Data!V108-4,"")</f>
        <v>3</v>
      </c>
      <c r="W108" s="1">
        <f>IF(Data!W108&gt;0,4-Data!W108,"")</f>
        <v>3</v>
      </c>
      <c r="X108" s="1">
        <f>IF(Data!X108&gt;0,4-Data!X108,"")</f>
        <v>1</v>
      </c>
      <c r="Y108" s="1">
        <f>IF(Data!Y108&gt;0,4-Data!Y108,"")</f>
        <v>3</v>
      </c>
      <c r="Z108" s="1">
        <f>IF(Data!Z108&gt;0,Data!Z108-4,"")</f>
        <v>-2</v>
      </c>
      <c r="AC108" s="4" t="str">
        <f t="shared" si="16"/>
        <v/>
      </c>
      <c r="AD108" s="4" t="str">
        <f t="shared" si="17"/>
        <v/>
      </c>
      <c r="AE108" s="4" t="str">
        <f t="shared" si="18"/>
        <v/>
      </c>
      <c r="AF108" s="4" t="str">
        <f t="shared" si="19"/>
        <v/>
      </c>
      <c r="AG108" s="4" t="str">
        <f t="shared" si="20"/>
        <v/>
      </c>
      <c r="AH108" s="4">
        <f t="shared" si="21"/>
        <v>1</v>
      </c>
      <c r="AI108" s="2">
        <f t="shared" si="22"/>
        <v>1</v>
      </c>
      <c r="AK108" s="2">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7</v>
      </c>
    </row>
    <row r="109" spans="1:37">
      <c r="A109" s="1">
        <f>IF(Data!A109&gt;0,Data!A109-4,"")</f>
        <v>3</v>
      </c>
      <c r="B109" s="1">
        <f>IF(Data!B109&gt;0,Data!B109-4,"")</f>
        <v>3</v>
      </c>
      <c r="C109" s="1">
        <f>IF(Data!C109&gt;0,4-Data!C109,"")</f>
        <v>1</v>
      </c>
      <c r="D109" s="1">
        <f>IF(Data!D109&gt;0,4-Data!D109,"")</f>
        <v>3</v>
      </c>
      <c r="E109" s="1">
        <f>IF(Data!E109&gt;0,4-Data!E109,"")</f>
        <v>3</v>
      </c>
      <c r="F109" s="1">
        <f>IF(Data!F109&gt;0,Data!F109-4,"")</f>
        <v>2</v>
      </c>
      <c r="G109" s="1">
        <f>IF(Data!G109&gt;0,Data!G109-4,"")</f>
        <v>2</v>
      </c>
      <c r="H109" s="1">
        <f>IF(Data!H109&gt;0,Data!H109-4,"")</f>
        <v>1</v>
      </c>
      <c r="I109" s="1">
        <f>IF(Data!I109&gt;0,4-Data!I109,"")</f>
        <v>2</v>
      </c>
      <c r="J109" s="1">
        <f>IF(Data!J109&gt;0,4-Data!J109,"")</f>
        <v>1</v>
      </c>
      <c r="K109" s="1">
        <f>IF(Data!K109&gt;0,Data!K109-4,"")</f>
        <v>3</v>
      </c>
      <c r="L109" s="1">
        <f>IF(Data!L109&gt;0,4-Data!L109,"")</f>
        <v>3</v>
      </c>
      <c r="M109" s="1">
        <f>IF(Data!M109&gt;0,Data!M109-4,"")</f>
        <v>3</v>
      </c>
      <c r="N109" s="1">
        <f>IF(Data!N109&gt;0,Data!N109-4,"")</f>
        <v>3</v>
      </c>
      <c r="O109" s="1">
        <f>IF(Data!O109&gt;0,Data!O109-4,"")</f>
        <v>-2</v>
      </c>
      <c r="P109" s="1">
        <f>IF(Data!P109&gt;0,Data!P109-4,"")</f>
        <v>2</v>
      </c>
      <c r="Q109" s="1">
        <f>IF(Data!Q109&gt;0,4-Data!Q109,"")</f>
        <v>3</v>
      </c>
      <c r="R109" s="1">
        <f>IF(Data!R109&gt;0,4-Data!R109,"")</f>
        <v>2</v>
      </c>
      <c r="S109" s="1">
        <f>IF(Data!S109&gt;0,4-Data!S109,"")</f>
        <v>2</v>
      </c>
      <c r="T109" s="1">
        <f>IF(Data!T109&gt;0,Data!T109-4,"")</f>
        <v>3</v>
      </c>
      <c r="U109" s="1">
        <f>IF(Data!U109&gt;0,4-Data!U109,"")</f>
        <v>3</v>
      </c>
      <c r="V109" s="1">
        <f>IF(Data!V109&gt;0,Data!V109-4,"")</f>
        <v>3</v>
      </c>
      <c r="W109" s="1">
        <f>IF(Data!W109&gt;0,4-Data!W109,"")</f>
        <v>3</v>
      </c>
      <c r="X109" s="1">
        <f>IF(Data!X109&gt;0,4-Data!X109,"")</f>
        <v>3</v>
      </c>
      <c r="Y109" s="1">
        <f>IF(Data!Y109&gt;0,4-Data!Y109,"")</f>
        <v>3</v>
      </c>
      <c r="Z109" s="1">
        <f>IF(Data!Z109&gt;0,Data!Z109-4,"")</f>
        <v>-1</v>
      </c>
      <c r="AC109" s="4" t="str">
        <f t="shared" si="16"/>
        <v/>
      </c>
      <c r="AD109" s="4" t="str">
        <f t="shared" si="17"/>
        <v/>
      </c>
      <c r="AE109" s="4" t="str">
        <f t="shared" si="18"/>
        <v/>
      </c>
      <c r="AF109" s="4" t="str">
        <f t="shared" si="19"/>
        <v/>
      </c>
      <c r="AG109" s="4" t="str">
        <f t="shared" si="20"/>
        <v/>
      </c>
      <c r="AH109" s="4" t="str">
        <f t="shared" si="21"/>
        <v/>
      </c>
      <c r="AI109" s="2">
        <f t="shared" si="22"/>
        <v>0</v>
      </c>
      <c r="AK109" s="2">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8</v>
      </c>
    </row>
    <row r="110" spans="1:37">
      <c r="A110" s="1">
        <f>IF(Data!A110&gt;0,Data!A110-4,"")</f>
        <v>3</v>
      </c>
      <c r="B110" s="1">
        <f>IF(Data!B110&gt;0,Data!B110-4,"")</f>
        <v>3</v>
      </c>
      <c r="C110" s="1">
        <f>IF(Data!C110&gt;0,4-Data!C110,"")</f>
        <v>3</v>
      </c>
      <c r="D110" s="1">
        <f>IF(Data!D110&gt;0,4-Data!D110,"")</f>
        <v>3</v>
      </c>
      <c r="E110" s="1">
        <f>IF(Data!E110&gt;0,4-Data!E110,"")</f>
        <v>3</v>
      </c>
      <c r="F110" s="1">
        <f>IF(Data!F110&gt;0,Data!F110-4,"")</f>
        <v>3</v>
      </c>
      <c r="G110" s="1">
        <f>IF(Data!G110&gt;0,Data!G110-4,"")</f>
        <v>2</v>
      </c>
      <c r="H110" s="1">
        <f>IF(Data!H110&gt;0,Data!H110-4,"")</f>
        <v>0</v>
      </c>
      <c r="I110" s="1">
        <f>IF(Data!I110&gt;0,4-Data!I110,"")</f>
        <v>3</v>
      </c>
      <c r="J110" s="1">
        <f>IF(Data!J110&gt;0,4-Data!J110,"")</f>
        <v>3</v>
      </c>
      <c r="K110" s="1">
        <f>IF(Data!K110&gt;0,Data!K110-4,"")</f>
        <v>3</v>
      </c>
      <c r="L110" s="1">
        <f>IF(Data!L110&gt;0,4-Data!L110,"")</f>
        <v>3</v>
      </c>
      <c r="M110" s="1">
        <f>IF(Data!M110&gt;0,Data!M110-4,"")</f>
        <v>2</v>
      </c>
      <c r="N110" s="1">
        <f>IF(Data!N110&gt;0,Data!N110-4,"")</f>
        <v>3</v>
      </c>
      <c r="O110" s="1">
        <f>IF(Data!O110&gt;0,Data!O110-4,"")</f>
        <v>3</v>
      </c>
      <c r="P110" s="1">
        <f>IF(Data!P110&gt;0,Data!P110-4,"")</f>
        <v>3</v>
      </c>
      <c r="Q110" s="1">
        <f>IF(Data!Q110&gt;0,4-Data!Q110,"")</f>
        <v>3</v>
      </c>
      <c r="R110" s="1">
        <f>IF(Data!R110&gt;0,4-Data!R110,"")</f>
        <v>1</v>
      </c>
      <c r="S110" s="1">
        <f>IF(Data!S110&gt;0,4-Data!S110,"")</f>
        <v>3</v>
      </c>
      <c r="T110" s="1">
        <f>IF(Data!T110&gt;0,Data!T110-4,"")</f>
        <v>3</v>
      </c>
      <c r="U110" s="1">
        <f>IF(Data!U110&gt;0,4-Data!U110,"")</f>
        <v>3</v>
      </c>
      <c r="V110" s="1">
        <f>IF(Data!V110&gt;0,Data!V110-4,"")</f>
        <v>3</v>
      </c>
      <c r="W110" s="1">
        <f>IF(Data!W110&gt;0,4-Data!W110,"")</f>
        <v>2</v>
      </c>
      <c r="X110" s="1">
        <f>IF(Data!X110&gt;0,4-Data!X110,"")</f>
        <v>3</v>
      </c>
      <c r="Y110" s="1">
        <f>IF(Data!Y110&gt;0,4-Data!Y110,"")</f>
        <v>3</v>
      </c>
      <c r="Z110" s="1">
        <f>IF(Data!Z110&gt;0,Data!Z110-4,"")</f>
        <v>0</v>
      </c>
      <c r="AC110" s="4" t="str">
        <f t="shared" si="16"/>
        <v/>
      </c>
      <c r="AD110" s="4" t="str">
        <f t="shared" si="17"/>
        <v/>
      </c>
      <c r="AE110" s="4" t="str">
        <f t="shared" si="18"/>
        <v/>
      </c>
      <c r="AF110" s="4" t="str">
        <f t="shared" si="19"/>
        <v/>
      </c>
      <c r="AG110" s="4" t="str">
        <f t="shared" si="20"/>
        <v/>
      </c>
      <c r="AH110" s="4" t="str">
        <f t="shared" si="21"/>
        <v/>
      </c>
      <c r="AI110" s="2">
        <f t="shared" si="22"/>
        <v>0</v>
      </c>
      <c r="AK110" s="2">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11</v>
      </c>
    </row>
    <row r="111" spans="1:37">
      <c r="A111" s="1">
        <f>IF(Data!A111&gt;0,Data!A111-4,"")</f>
        <v>2</v>
      </c>
      <c r="B111" s="1">
        <f>IF(Data!B111&gt;0,Data!B111-4,"")</f>
        <v>2</v>
      </c>
      <c r="C111" s="1">
        <f>IF(Data!C111&gt;0,4-Data!C111,"")</f>
        <v>1</v>
      </c>
      <c r="D111" s="1">
        <f>IF(Data!D111&gt;0,4-Data!D111,"")</f>
        <v>2</v>
      </c>
      <c r="E111" s="1">
        <f>IF(Data!E111&gt;0,4-Data!E111,"")</f>
        <v>2</v>
      </c>
      <c r="F111" s="1">
        <f>IF(Data!F111&gt;0,Data!F111-4,"")</f>
        <v>0</v>
      </c>
      <c r="G111" s="1">
        <f>IF(Data!G111&gt;0,Data!G111-4,"")</f>
        <v>1</v>
      </c>
      <c r="H111" s="1">
        <f>IF(Data!H111&gt;0,Data!H111-4,"")</f>
        <v>0</v>
      </c>
      <c r="I111" s="1">
        <f>IF(Data!I111&gt;0,4-Data!I111,"")</f>
        <v>2</v>
      </c>
      <c r="J111" s="1">
        <f>IF(Data!J111&gt;0,4-Data!J111,"")</f>
        <v>2</v>
      </c>
      <c r="K111" s="1">
        <f>IF(Data!K111&gt;0,Data!K111-4,"")</f>
        <v>0</v>
      </c>
      <c r="L111" s="1">
        <f>IF(Data!L111&gt;0,4-Data!L111,"")</f>
        <v>2</v>
      </c>
      <c r="M111" s="1">
        <f>IF(Data!M111&gt;0,Data!M111-4,"")</f>
        <v>1</v>
      </c>
      <c r="N111" s="1">
        <f>IF(Data!N111&gt;0,Data!N111-4,"")</f>
        <v>1</v>
      </c>
      <c r="O111" s="1">
        <f>IF(Data!O111&gt;0,Data!O111-4,"")</f>
        <v>2</v>
      </c>
      <c r="P111" s="1">
        <f>IF(Data!P111&gt;0,Data!P111-4,"")</f>
        <v>1</v>
      </c>
      <c r="Q111" s="1">
        <f>IF(Data!Q111&gt;0,4-Data!Q111,"")</f>
        <v>1</v>
      </c>
      <c r="R111" s="1">
        <f>IF(Data!R111&gt;0,4-Data!R111,"")</f>
        <v>1</v>
      </c>
      <c r="S111" s="1">
        <f>IF(Data!S111&gt;0,4-Data!S111,"")</f>
        <v>1</v>
      </c>
      <c r="T111" s="1">
        <f>IF(Data!T111&gt;0,Data!T111-4,"")</f>
        <v>2</v>
      </c>
      <c r="U111" s="1">
        <f>IF(Data!U111&gt;0,4-Data!U111,"")</f>
        <v>0</v>
      </c>
      <c r="V111" s="1">
        <f>IF(Data!V111&gt;0,Data!V111-4,"")</f>
        <v>3</v>
      </c>
      <c r="W111" s="1">
        <f>IF(Data!W111&gt;0,4-Data!W111,"")</f>
        <v>1</v>
      </c>
      <c r="X111" s="1">
        <f>IF(Data!X111&gt;0,4-Data!X111,"")</f>
        <v>1</v>
      </c>
      <c r="Y111" s="1">
        <f>IF(Data!Y111&gt;0,4-Data!Y111,"")</f>
        <v>1</v>
      </c>
      <c r="Z111" s="1">
        <f>IF(Data!Z111&gt;0,Data!Z111-4,"")</f>
        <v>1</v>
      </c>
      <c r="AC111" s="4" t="str">
        <f t="shared" si="16"/>
        <v/>
      </c>
      <c r="AD111" s="4" t="str">
        <f t="shared" si="17"/>
        <v/>
      </c>
      <c r="AE111" s="4" t="str">
        <f t="shared" si="18"/>
        <v/>
      </c>
      <c r="AF111" s="4" t="str">
        <f t="shared" si="19"/>
        <v/>
      </c>
      <c r="AG111" s="4" t="str">
        <f t="shared" si="20"/>
        <v/>
      </c>
      <c r="AH111" s="4" t="str">
        <f t="shared" si="21"/>
        <v/>
      </c>
      <c r="AI111" s="2">
        <f t="shared" si="22"/>
        <v>0</v>
      </c>
      <c r="AK111" s="2">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7</v>
      </c>
    </row>
    <row r="112" spans="1:37">
      <c r="A112" s="1">
        <f>IF(Data!A112&gt;0,Data!A112-4,"")</f>
        <v>2</v>
      </c>
      <c r="B112" s="1">
        <f>IF(Data!B112&gt;0,Data!B112-4,"")</f>
        <v>1</v>
      </c>
      <c r="C112" s="1">
        <f>IF(Data!C112&gt;0,4-Data!C112,"")</f>
        <v>1</v>
      </c>
      <c r="D112" s="1">
        <f>IF(Data!D112&gt;0,4-Data!D112,"")</f>
        <v>1</v>
      </c>
      <c r="E112" s="1">
        <f>IF(Data!E112&gt;0,4-Data!E112,"")</f>
        <v>2</v>
      </c>
      <c r="F112" s="1">
        <f>IF(Data!F112&gt;0,Data!F112-4,"")</f>
        <v>0</v>
      </c>
      <c r="G112" s="1">
        <f>IF(Data!G112&gt;0,Data!G112-4,"")</f>
        <v>0</v>
      </c>
      <c r="H112" s="1">
        <f>IF(Data!H112&gt;0,Data!H112-4,"")</f>
        <v>2</v>
      </c>
      <c r="I112" s="1">
        <f>IF(Data!I112&gt;0,4-Data!I112,"")</f>
        <v>2</v>
      </c>
      <c r="J112" s="1">
        <f>IF(Data!J112&gt;0,4-Data!J112,"")</f>
        <v>1</v>
      </c>
      <c r="K112" s="1">
        <f>IF(Data!K112&gt;0,Data!K112-4,"")</f>
        <v>-3</v>
      </c>
      <c r="L112" s="1">
        <f>IF(Data!L112&gt;0,4-Data!L112,"")</f>
        <v>3</v>
      </c>
      <c r="M112" s="1">
        <f>IF(Data!M112&gt;0,Data!M112-4,"")</f>
        <v>-1</v>
      </c>
      <c r="N112" s="1">
        <f>IF(Data!N112&gt;0,Data!N112-4,"")</f>
        <v>1</v>
      </c>
      <c r="O112" s="1">
        <f>IF(Data!O112&gt;0,Data!O112-4,"")</f>
        <v>-1</v>
      </c>
      <c r="P112" s="1">
        <f>IF(Data!P112&gt;0,Data!P112-4,"")</f>
        <v>0</v>
      </c>
      <c r="Q112" s="1">
        <f>IF(Data!Q112&gt;0,4-Data!Q112,"")</f>
        <v>3</v>
      </c>
      <c r="R112" s="1">
        <f>IF(Data!R112&gt;0,4-Data!R112,"")</f>
        <v>-1</v>
      </c>
      <c r="S112" s="1">
        <f>IF(Data!S112&gt;0,4-Data!S112,"")</f>
        <v>2</v>
      </c>
      <c r="T112" s="1">
        <f>IF(Data!T112&gt;0,Data!T112-4,"")</f>
        <v>1</v>
      </c>
      <c r="U112" s="1">
        <f>IF(Data!U112&gt;0,4-Data!U112,"")</f>
        <v>2</v>
      </c>
      <c r="V112" s="1">
        <f>IF(Data!V112&gt;0,Data!V112-4,"")</f>
        <v>3</v>
      </c>
      <c r="W112" s="1">
        <f>IF(Data!W112&gt;0,4-Data!W112,"")</f>
        <v>2</v>
      </c>
      <c r="X112" s="1">
        <f>IF(Data!X112&gt;0,4-Data!X112,"")</f>
        <v>2</v>
      </c>
      <c r="Y112" s="1">
        <f>IF(Data!Y112&gt;0,4-Data!Y112,"")</f>
        <v>2</v>
      </c>
      <c r="Z112" s="1">
        <f>IF(Data!Z112&gt;0,Data!Z112-4,"")</f>
        <v>1</v>
      </c>
      <c r="AC112" s="4" t="str">
        <f t="shared" si="16"/>
        <v/>
      </c>
      <c r="AD112" s="4" t="str">
        <f t="shared" si="17"/>
        <v/>
      </c>
      <c r="AE112" s="4" t="str">
        <f t="shared" si="18"/>
        <v/>
      </c>
      <c r="AF112" s="4">
        <f t="shared" si="19"/>
        <v>1</v>
      </c>
      <c r="AG112" s="4" t="str">
        <f t="shared" si="20"/>
        <v/>
      </c>
      <c r="AH112" s="4" t="str">
        <f t="shared" si="21"/>
        <v/>
      </c>
      <c r="AI112" s="2">
        <f t="shared" si="22"/>
        <v>1</v>
      </c>
      <c r="AK112" s="2">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7</v>
      </c>
    </row>
    <row r="113" spans="1:37">
      <c r="A113" s="1">
        <f>IF(Data!A113&gt;0,Data!A113-4,"")</f>
        <v>2</v>
      </c>
      <c r="B113" s="1">
        <f>IF(Data!B113&gt;0,Data!B113-4,"")</f>
        <v>2</v>
      </c>
      <c r="C113" s="1">
        <f>IF(Data!C113&gt;0,4-Data!C113,"")</f>
        <v>2</v>
      </c>
      <c r="D113" s="1">
        <f>IF(Data!D113&gt;0,4-Data!D113,"")</f>
        <v>2</v>
      </c>
      <c r="E113" s="1">
        <f>IF(Data!E113&gt;0,4-Data!E113,"")</f>
        <v>2</v>
      </c>
      <c r="F113" s="1">
        <f>IF(Data!F113&gt;0,Data!F113-4,"")</f>
        <v>1</v>
      </c>
      <c r="G113" s="1">
        <f>IF(Data!G113&gt;0,Data!G113-4,"")</f>
        <v>2</v>
      </c>
      <c r="H113" s="1">
        <f>IF(Data!H113&gt;0,Data!H113-4,"")</f>
        <v>1</v>
      </c>
      <c r="I113" s="1">
        <f>IF(Data!I113&gt;0,4-Data!I113,"")</f>
        <v>2</v>
      </c>
      <c r="J113" s="1">
        <f>IF(Data!J113&gt;0,4-Data!J113,"")</f>
        <v>2</v>
      </c>
      <c r="K113" s="1">
        <f>IF(Data!K113&gt;0,Data!K113-4,"")</f>
        <v>2</v>
      </c>
      <c r="L113" s="1">
        <f>IF(Data!L113&gt;0,4-Data!L113,"")</f>
        <v>2</v>
      </c>
      <c r="M113" s="1">
        <f>IF(Data!M113&gt;0,Data!M113-4,"")</f>
        <v>2</v>
      </c>
      <c r="N113" s="1">
        <f>IF(Data!N113&gt;0,Data!N113-4,"")</f>
        <v>2</v>
      </c>
      <c r="O113" s="1">
        <f>IF(Data!O113&gt;0,Data!O113-4,"")</f>
        <v>2</v>
      </c>
      <c r="P113" s="1">
        <f>IF(Data!P113&gt;0,Data!P113-4,"")</f>
        <v>2</v>
      </c>
      <c r="Q113" s="1">
        <f>IF(Data!Q113&gt;0,4-Data!Q113,"")</f>
        <v>2</v>
      </c>
      <c r="R113" s="1">
        <f>IF(Data!R113&gt;0,4-Data!R113,"")</f>
        <v>1</v>
      </c>
      <c r="S113" s="1">
        <f>IF(Data!S113&gt;0,4-Data!S113,"")</f>
        <v>2</v>
      </c>
      <c r="T113" s="1">
        <f>IF(Data!T113&gt;0,Data!T113-4,"")</f>
        <v>2</v>
      </c>
      <c r="U113" s="1">
        <f>IF(Data!U113&gt;0,4-Data!U113,"")</f>
        <v>2</v>
      </c>
      <c r="V113" s="1">
        <f>IF(Data!V113&gt;0,Data!V113-4,"")</f>
        <v>1</v>
      </c>
      <c r="W113" s="1">
        <f>IF(Data!W113&gt;0,4-Data!W113,"")</f>
        <v>2</v>
      </c>
      <c r="X113" s="1">
        <f>IF(Data!X113&gt;0,4-Data!X113,"")</f>
        <v>2</v>
      </c>
      <c r="Y113" s="1">
        <f>IF(Data!Y113&gt;0,4-Data!Y113,"")</f>
        <v>2</v>
      </c>
      <c r="Z113" s="1">
        <f>IF(Data!Z113&gt;0,Data!Z113-4,"")</f>
        <v>2</v>
      </c>
      <c r="AC113" s="4" t="str">
        <f t="shared" si="16"/>
        <v/>
      </c>
      <c r="AD113" s="4" t="str">
        <f t="shared" si="17"/>
        <v/>
      </c>
      <c r="AE113" s="4" t="str">
        <f t="shared" si="18"/>
        <v/>
      </c>
      <c r="AF113" s="4" t="str">
        <f t="shared" si="19"/>
        <v/>
      </c>
      <c r="AG113" s="4" t="str">
        <f t="shared" si="20"/>
        <v/>
      </c>
      <c r="AH113" s="4" t="str">
        <f t="shared" si="21"/>
        <v/>
      </c>
      <c r="AI113" s="2">
        <f t="shared" si="22"/>
        <v>0</v>
      </c>
      <c r="AK113" s="2">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12</v>
      </c>
    </row>
    <row r="114" spans="1:37">
      <c r="A114" s="1">
        <f>IF(Data!A114&gt;0,Data!A114-4,"")</f>
        <v>2</v>
      </c>
      <c r="B114" s="1">
        <f>IF(Data!B114&gt;0,Data!B114-4,"")</f>
        <v>1</v>
      </c>
      <c r="C114" s="1">
        <f>IF(Data!C114&gt;0,4-Data!C114,"")</f>
        <v>1</v>
      </c>
      <c r="D114" s="1">
        <f>IF(Data!D114&gt;0,4-Data!D114,"")</f>
        <v>-1</v>
      </c>
      <c r="E114" s="1">
        <f>IF(Data!E114&gt;0,4-Data!E114,"")</f>
        <v>2</v>
      </c>
      <c r="F114" s="1">
        <f>IF(Data!F114&gt;0,Data!F114-4,"")</f>
        <v>2</v>
      </c>
      <c r="G114" s="1">
        <f>IF(Data!G114&gt;0,Data!G114-4,"")</f>
        <v>2</v>
      </c>
      <c r="H114" s="1">
        <f>IF(Data!H114&gt;0,Data!H114-4,"")</f>
        <v>0</v>
      </c>
      <c r="I114" s="1">
        <f>IF(Data!I114&gt;0,4-Data!I114,"")</f>
        <v>2</v>
      </c>
      <c r="J114" s="1">
        <f>IF(Data!J114&gt;0,4-Data!J114,"")</f>
        <v>2</v>
      </c>
      <c r="K114" s="1">
        <f>IF(Data!K114&gt;0,Data!K114-4,"")</f>
        <v>1</v>
      </c>
      <c r="L114" s="1">
        <f>IF(Data!L114&gt;0,4-Data!L114,"")</f>
        <v>2</v>
      </c>
      <c r="M114" s="1">
        <f>IF(Data!M114&gt;0,Data!M114-4,"")</f>
        <v>0</v>
      </c>
      <c r="N114" s="1">
        <f>IF(Data!N114&gt;0,Data!N114-4,"")</f>
        <v>1</v>
      </c>
      <c r="O114" s="1">
        <f>IF(Data!O114&gt;0,Data!O114-4,"")</f>
        <v>2</v>
      </c>
      <c r="P114" s="1">
        <f>IF(Data!P114&gt;0,Data!P114-4,"")</f>
        <v>2</v>
      </c>
      <c r="Q114" s="1">
        <f>IF(Data!Q114&gt;0,4-Data!Q114,"")</f>
        <v>2</v>
      </c>
      <c r="R114" s="1">
        <f>IF(Data!R114&gt;0,4-Data!R114,"")</f>
        <v>1</v>
      </c>
      <c r="S114" s="1">
        <f>IF(Data!S114&gt;0,4-Data!S114,"")</f>
        <v>2</v>
      </c>
      <c r="T114" s="1">
        <f>IF(Data!T114&gt;0,Data!T114-4,"")</f>
        <v>2</v>
      </c>
      <c r="U114" s="1">
        <f>IF(Data!U114&gt;0,4-Data!U114,"")</f>
        <v>0</v>
      </c>
      <c r="V114" s="1">
        <f>IF(Data!V114&gt;0,Data!V114-4,"")</f>
        <v>2</v>
      </c>
      <c r="W114" s="1">
        <f>IF(Data!W114&gt;0,4-Data!W114,"")</f>
        <v>1</v>
      </c>
      <c r="X114" s="1">
        <f>IF(Data!X114&gt;0,4-Data!X114,"")</f>
        <v>2</v>
      </c>
      <c r="Y114" s="1">
        <f>IF(Data!Y114&gt;0,4-Data!Y114,"")</f>
        <v>2</v>
      </c>
      <c r="Z114" s="1">
        <f>IF(Data!Z114&gt;0,Data!Z114-4,"")</f>
        <v>2</v>
      </c>
      <c r="AC114" s="4" t="str">
        <f t="shared" si="16"/>
        <v/>
      </c>
      <c r="AD114" s="4" t="str">
        <f t="shared" si="17"/>
        <v/>
      </c>
      <c r="AE114" s="4" t="str">
        <f t="shared" si="18"/>
        <v/>
      </c>
      <c r="AF114" s="4" t="str">
        <f t="shared" si="19"/>
        <v/>
      </c>
      <c r="AG114" s="4" t="str">
        <f t="shared" si="20"/>
        <v/>
      </c>
      <c r="AH114" s="4" t="str">
        <f t="shared" si="21"/>
        <v/>
      </c>
      <c r="AI114" s="2">
        <f t="shared" si="22"/>
        <v>0</v>
      </c>
      <c r="AK114" s="2">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8</v>
      </c>
    </row>
    <row r="115" spans="1:37">
      <c r="A115" s="1">
        <f>IF(Data!A115&gt;0,Data!A115-4,"")</f>
        <v>1</v>
      </c>
      <c r="B115" s="1">
        <f>IF(Data!B115&gt;0,Data!B115-4,"")</f>
        <v>3</v>
      </c>
      <c r="C115" s="1">
        <f>IF(Data!C115&gt;0,4-Data!C115,"")</f>
        <v>1</v>
      </c>
      <c r="D115" s="1">
        <f>IF(Data!D115&gt;0,4-Data!D115,"")</f>
        <v>2</v>
      </c>
      <c r="E115" s="1">
        <f>IF(Data!E115&gt;0,4-Data!E115,"")</f>
        <v>0</v>
      </c>
      <c r="F115" s="1">
        <f>IF(Data!F115&gt;0,Data!F115-4,"")</f>
        <v>0</v>
      </c>
      <c r="G115" s="1">
        <f>IF(Data!G115&gt;0,Data!G115-4,"")</f>
        <v>2</v>
      </c>
      <c r="H115" s="1">
        <f>IF(Data!H115&gt;0,Data!H115-4,"")</f>
        <v>0</v>
      </c>
      <c r="I115" s="1">
        <f>IF(Data!I115&gt;0,4-Data!I115,"")</f>
        <v>0</v>
      </c>
      <c r="J115" s="1">
        <f>IF(Data!J115&gt;0,4-Data!J115,"")</f>
        <v>0</v>
      </c>
      <c r="K115" s="1">
        <f>IF(Data!K115&gt;0,Data!K115-4,"")</f>
        <v>0</v>
      </c>
      <c r="L115" s="1">
        <f>IF(Data!L115&gt;0,4-Data!L115,"")</f>
        <v>2</v>
      </c>
      <c r="M115" s="1">
        <f>IF(Data!M115&gt;0,Data!M115-4,"")</f>
        <v>1</v>
      </c>
      <c r="N115" s="1">
        <f>IF(Data!N115&gt;0,Data!N115-4,"")</f>
        <v>1</v>
      </c>
      <c r="O115" s="1">
        <f>IF(Data!O115&gt;0,Data!O115-4,"")</f>
        <v>2</v>
      </c>
      <c r="P115" s="1">
        <f>IF(Data!P115&gt;0,Data!P115-4,"")</f>
        <v>2</v>
      </c>
      <c r="Q115" s="1">
        <f>IF(Data!Q115&gt;0,4-Data!Q115,"")</f>
        <v>2</v>
      </c>
      <c r="R115" s="1">
        <f>IF(Data!R115&gt;0,4-Data!R115,"")</f>
        <v>0</v>
      </c>
      <c r="S115" s="1">
        <f>IF(Data!S115&gt;0,4-Data!S115,"")</f>
        <v>2</v>
      </c>
      <c r="T115" s="1">
        <f>IF(Data!T115&gt;0,Data!T115-4,"")</f>
        <v>2</v>
      </c>
      <c r="U115" s="1">
        <f>IF(Data!U115&gt;0,4-Data!U115,"")</f>
        <v>3</v>
      </c>
      <c r="V115" s="1">
        <f>IF(Data!V115&gt;0,Data!V115-4,"")</f>
        <v>2</v>
      </c>
      <c r="W115" s="1">
        <f>IF(Data!W115&gt;0,4-Data!W115,"")</f>
        <v>3</v>
      </c>
      <c r="X115" s="1">
        <f>IF(Data!X115&gt;0,4-Data!X115,"")</f>
        <v>0</v>
      </c>
      <c r="Y115" s="1">
        <f>IF(Data!Y115&gt;0,4-Data!Y115,"")</f>
        <v>2</v>
      </c>
      <c r="Z115" s="1">
        <f>IF(Data!Z115&gt;0,Data!Z115-4,"")</f>
        <v>2</v>
      </c>
      <c r="AC115" s="4" t="str">
        <f t="shared" si="16"/>
        <v/>
      </c>
      <c r="AD115" s="4" t="str">
        <f t="shared" si="17"/>
        <v/>
      </c>
      <c r="AE115" s="4" t="str">
        <f t="shared" si="18"/>
        <v/>
      </c>
      <c r="AF115" s="4" t="str">
        <f t="shared" si="19"/>
        <v/>
      </c>
      <c r="AG115" s="4" t="str">
        <f t="shared" si="20"/>
        <v/>
      </c>
      <c r="AH115" s="4" t="str">
        <f t="shared" si="21"/>
        <v/>
      </c>
      <c r="AI115" s="2">
        <f t="shared" si="22"/>
        <v>0</v>
      </c>
      <c r="AK115" s="2">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8</v>
      </c>
    </row>
    <row r="116" spans="1:37">
      <c r="A116" s="1">
        <f>IF(Data!A116&gt;0,Data!A116-4,"")</f>
        <v>2</v>
      </c>
      <c r="B116" s="1">
        <f>IF(Data!B116&gt;0,Data!B116-4,"")</f>
        <v>2</v>
      </c>
      <c r="C116" s="1">
        <f>IF(Data!C116&gt;0,4-Data!C116,"")</f>
        <v>-2</v>
      </c>
      <c r="D116" s="1">
        <f>IF(Data!D116&gt;0,4-Data!D116,"")</f>
        <v>3</v>
      </c>
      <c r="E116" s="1">
        <f>IF(Data!E116&gt;0,4-Data!E116,"")</f>
        <v>2</v>
      </c>
      <c r="F116" s="1">
        <f>IF(Data!F116&gt;0,Data!F116-4,"")</f>
        <v>-1</v>
      </c>
      <c r="G116" s="1">
        <f>IF(Data!G116&gt;0,Data!G116-4,"")</f>
        <v>0</v>
      </c>
      <c r="H116" s="1">
        <f>IF(Data!H116&gt;0,Data!H116-4,"")</f>
        <v>2</v>
      </c>
      <c r="I116" s="1">
        <f>IF(Data!I116&gt;0,4-Data!I116,"")</f>
        <v>-2</v>
      </c>
      <c r="J116" s="1">
        <f>IF(Data!J116&gt;0,4-Data!J116,"")</f>
        <v>-2</v>
      </c>
      <c r="K116" s="1">
        <f>IF(Data!K116&gt;0,Data!K116-4,"")</f>
        <v>2</v>
      </c>
      <c r="L116" s="1">
        <f>IF(Data!L116&gt;0,4-Data!L116,"")</f>
        <v>2</v>
      </c>
      <c r="M116" s="1">
        <f>IF(Data!M116&gt;0,Data!M116-4,"")</f>
        <v>2</v>
      </c>
      <c r="N116" s="1">
        <f>IF(Data!N116&gt;0,Data!N116-4,"")</f>
        <v>1</v>
      </c>
      <c r="O116" s="1">
        <f>IF(Data!O116&gt;0,Data!O116-4,"")</f>
        <v>-1</v>
      </c>
      <c r="P116" s="1">
        <f>IF(Data!P116&gt;0,Data!P116-4,"")</f>
        <v>1</v>
      </c>
      <c r="Q116" s="1">
        <f>IF(Data!Q116&gt;0,4-Data!Q116,"")</f>
        <v>2</v>
      </c>
      <c r="R116" s="1">
        <f>IF(Data!R116&gt;0,4-Data!R116,"")</f>
        <v>2</v>
      </c>
      <c r="S116" s="1">
        <f>IF(Data!S116&gt;0,4-Data!S116,"")</f>
        <v>2</v>
      </c>
      <c r="T116" s="1">
        <f>IF(Data!T116&gt;0,Data!T116-4,"")</f>
        <v>1</v>
      </c>
      <c r="U116" s="1">
        <f>IF(Data!U116&gt;0,4-Data!U116,"")</f>
        <v>3</v>
      </c>
      <c r="V116" s="1">
        <f>IF(Data!V116&gt;0,Data!V116-4,"")</f>
        <v>2</v>
      </c>
      <c r="W116" s="1">
        <f>IF(Data!W116&gt;0,4-Data!W116,"")</f>
        <v>2</v>
      </c>
      <c r="X116" s="1">
        <f>IF(Data!X116&gt;0,4-Data!X116,"")</f>
        <v>2</v>
      </c>
      <c r="Y116" s="1">
        <f>IF(Data!Y116&gt;0,4-Data!Y116,"")</f>
        <v>2</v>
      </c>
      <c r="Z116" s="1">
        <f>IF(Data!Z116&gt;0,Data!Z116-4,"")</f>
        <v>1</v>
      </c>
      <c r="AC116" s="4" t="str">
        <f t="shared" si="16"/>
        <v/>
      </c>
      <c r="AD116" s="4" t="str">
        <f t="shared" si="17"/>
        <v/>
      </c>
      <c r="AE116" s="4">
        <f t="shared" si="18"/>
        <v>1</v>
      </c>
      <c r="AF116" s="4" t="str">
        <f t="shared" si="19"/>
        <v/>
      </c>
      <c r="AG116" s="4" t="str">
        <f t="shared" si="20"/>
        <v/>
      </c>
      <c r="AH116" s="4" t="str">
        <f t="shared" si="21"/>
        <v/>
      </c>
      <c r="AI116" s="2">
        <f t="shared" si="22"/>
        <v>1</v>
      </c>
      <c r="AK116" s="2">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9</v>
      </c>
    </row>
    <row r="117" spans="1:37">
      <c r="A117" s="1">
        <f>IF(Data!A117&gt;0,Data!A117-4,"")</f>
        <v>3</v>
      </c>
      <c r="B117" s="1">
        <f>IF(Data!B117&gt;0,Data!B117-4,"")</f>
        <v>3</v>
      </c>
      <c r="C117" s="1">
        <f>IF(Data!C117&gt;0,4-Data!C117,"")</f>
        <v>0</v>
      </c>
      <c r="D117" s="1">
        <f>IF(Data!D117&gt;0,4-Data!D117,"")</f>
        <v>0</v>
      </c>
      <c r="E117" s="1">
        <f>IF(Data!E117&gt;0,4-Data!E117,"")</f>
        <v>1</v>
      </c>
      <c r="F117" s="1">
        <f>IF(Data!F117&gt;0,Data!F117-4,"")</f>
        <v>3</v>
      </c>
      <c r="G117" s="1">
        <f>IF(Data!G117&gt;0,Data!G117-4,"")</f>
        <v>3</v>
      </c>
      <c r="H117" s="1">
        <f>IF(Data!H117&gt;0,Data!H117-4,"")</f>
        <v>0</v>
      </c>
      <c r="I117" s="1">
        <f>IF(Data!I117&gt;0,4-Data!I117,"")</f>
        <v>3</v>
      </c>
      <c r="J117" s="1">
        <f>IF(Data!J117&gt;0,4-Data!J117,"")</f>
        <v>3</v>
      </c>
      <c r="K117" s="1">
        <f>IF(Data!K117&gt;0,Data!K117-4,"")</f>
        <v>2</v>
      </c>
      <c r="L117" s="1">
        <f>IF(Data!L117&gt;0,4-Data!L117,"")</f>
        <v>3</v>
      </c>
      <c r="M117" s="1">
        <f>IF(Data!M117&gt;0,Data!M117-4,"")</f>
        <v>3</v>
      </c>
      <c r="N117" s="1">
        <f>IF(Data!N117&gt;0,Data!N117-4,"")</f>
        <v>3</v>
      </c>
      <c r="O117" s="1">
        <f>IF(Data!O117&gt;0,Data!O117-4,"")</f>
        <v>1</v>
      </c>
      <c r="P117" s="1">
        <f>IF(Data!P117&gt;0,Data!P117-4,"")</f>
        <v>3</v>
      </c>
      <c r="Q117" s="1">
        <f>IF(Data!Q117&gt;0,4-Data!Q117,"")</f>
        <v>3</v>
      </c>
      <c r="R117" s="1">
        <f>IF(Data!R117&gt;0,4-Data!R117,"")</f>
        <v>2</v>
      </c>
      <c r="S117" s="1">
        <f>IF(Data!S117&gt;0,4-Data!S117,"")</f>
        <v>3</v>
      </c>
      <c r="T117" s="1">
        <f>IF(Data!T117&gt;0,Data!T117-4,"")</f>
        <v>3</v>
      </c>
      <c r="U117" s="1">
        <f>IF(Data!U117&gt;0,4-Data!U117,"")</f>
        <v>3</v>
      </c>
      <c r="V117" s="1">
        <f>IF(Data!V117&gt;0,Data!V117-4,"")</f>
        <v>3</v>
      </c>
      <c r="W117" s="1">
        <f>IF(Data!W117&gt;0,4-Data!W117,"")</f>
        <v>2</v>
      </c>
      <c r="X117" s="1">
        <f>IF(Data!X117&gt;0,4-Data!X117,"")</f>
        <v>2</v>
      </c>
      <c r="Y117" s="1">
        <f>IF(Data!Y117&gt;0,4-Data!Y117,"")</f>
        <v>2</v>
      </c>
      <c r="Z117" s="1">
        <f>IF(Data!Z117&gt;0,Data!Z117-4,"")</f>
        <v>2</v>
      </c>
      <c r="AC117" s="4" t="str">
        <f t="shared" si="16"/>
        <v/>
      </c>
      <c r="AD117" s="4" t="str">
        <f t="shared" si="17"/>
        <v/>
      </c>
      <c r="AE117" s="4" t="str">
        <f t="shared" si="18"/>
        <v/>
      </c>
      <c r="AF117" s="4" t="str">
        <f t="shared" si="19"/>
        <v/>
      </c>
      <c r="AG117" s="4" t="str">
        <f t="shared" si="20"/>
        <v/>
      </c>
      <c r="AH117" s="4" t="str">
        <f t="shared" si="21"/>
        <v/>
      </c>
      <c r="AI117" s="2">
        <f t="shared" si="22"/>
        <v>0</v>
      </c>
      <c r="AK117" s="2">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9</v>
      </c>
    </row>
    <row r="118" spans="1:37">
      <c r="A118" s="1">
        <f>IF(Data!A118&gt;0,Data!A118-4,"")</f>
        <v>1</v>
      </c>
      <c r="B118" s="1">
        <f>IF(Data!B118&gt;0,Data!B118-4,"")</f>
        <v>0</v>
      </c>
      <c r="C118" s="1">
        <f>IF(Data!C118&gt;0,4-Data!C118,"")</f>
        <v>1</v>
      </c>
      <c r="D118" s="1">
        <f>IF(Data!D118&gt;0,4-Data!D118,"")</f>
        <v>2</v>
      </c>
      <c r="E118" s="1">
        <f>IF(Data!E118&gt;0,4-Data!E118,"")</f>
        <v>1</v>
      </c>
      <c r="F118" s="1">
        <f>IF(Data!F118&gt;0,Data!F118-4,"")</f>
        <v>0</v>
      </c>
      <c r="G118" s="1">
        <f>IF(Data!G118&gt;0,Data!G118-4,"")</f>
        <v>1</v>
      </c>
      <c r="H118" s="1">
        <f>IF(Data!H118&gt;0,Data!H118-4,"")</f>
        <v>0</v>
      </c>
      <c r="I118" s="1">
        <f>IF(Data!I118&gt;0,4-Data!I118,"")</f>
        <v>1</v>
      </c>
      <c r="J118" s="1">
        <f>IF(Data!J118&gt;0,4-Data!J118,"")</f>
        <v>0</v>
      </c>
      <c r="K118" s="1">
        <f>IF(Data!K118&gt;0,Data!K118-4,"")</f>
        <v>1</v>
      </c>
      <c r="L118" s="1">
        <f>IF(Data!L118&gt;0,4-Data!L118,"")</f>
        <v>1</v>
      </c>
      <c r="M118" s="1">
        <f>IF(Data!M118&gt;0,Data!M118-4,"")</f>
        <v>0</v>
      </c>
      <c r="N118" s="1">
        <f>IF(Data!N118&gt;0,Data!N118-4,"")</f>
        <v>1</v>
      </c>
      <c r="O118" s="1">
        <f>IF(Data!O118&gt;0,Data!O118-4,"")</f>
        <v>1</v>
      </c>
      <c r="P118" s="1">
        <f>IF(Data!P118&gt;0,Data!P118-4,"")</f>
        <v>1</v>
      </c>
      <c r="Q118" s="1">
        <f>IF(Data!Q118&gt;0,4-Data!Q118,"")</f>
        <v>-2</v>
      </c>
      <c r="R118" s="1">
        <f>IF(Data!R118&gt;0,4-Data!R118,"")</f>
        <v>2</v>
      </c>
      <c r="S118" s="1">
        <f>IF(Data!S118&gt;0,4-Data!S118,"")</f>
        <v>2</v>
      </c>
      <c r="T118" s="1">
        <f>IF(Data!T118&gt;0,Data!T118-4,"")</f>
        <v>1</v>
      </c>
      <c r="U118" s="1">
        <f>IF(Data!U118&gt;0,4-Data!U118,"")</f>
        <v>2</v>
      </c>
      <c r="V118" s="1">
        <f>IF(Data!V118&gt;0,Data!V118-4,"")</f>
        <v>1</v>
      </c>
      <c r="W118" s="1">
        <f>IF(Data!W118&gt;0,4-Data!W118,"")</f>
        <v>0</v>
      </c>
      <c r="X118" s="1">
        <f>IF(Data!X118&gt;0,4-Data!X118,"")</f>
        <v>-1</v>
      </c>
      <c r="Y118" s="1">
        <f>IF(Data!Y118&gt;0,4-Data!Y118,"")</f>
        <v>1</v>
      </c>
      <c r="Z118" s="1">
        <f>IF(Data!Z118&gt;0,Data!Z118-4,"")</f>
        <v>0</v>
      </c>
      <c r="AC118" s="4" t="str">
        <f t="shared" si="16"/>
        <v/>
      </c>
      <c r="AD118" s="4" t="str">
        <f t="shared" si="17"/>
        <v/>
      </c>
      <c r="AE118" s="4" t="str">
        <f t="shared" si="18"/>
        <v/>
      </c>
      <c r="AF118" s="4">
        <f t="shared" si="19"/>
        <v>1</v>
      </c>
      <c r="AG118" s="4" t="str">
        <f t="shared" si="20"/>
        <v/>
      </c>
      <c r="AH118" s="4" t="str">
        <f t="shared" si="21"/>
        <v/>
      </c>
      <c r="AI118" s="2">
        <f t="shared" si="22"/>
        <v>1</v>
      </c>
      <c r="AK118" s="2">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9</v>
      </c>
    </row>
    <row r="119" spans="1:37">
      <c r="A119" s="1">
        <f>IF(Data!A119&gt;0,Data!A119-4,"")</f>
        <v>0</v>
      </c>
      <c r="B119" s="1">
        <f>IF(Data!B119&gt;0,Data!B119-4,"")</f>
        <v>1</v>
      </c>
      <c r="C119" s="1">
        <f>IF(Data!C119&gt;0,4-Data!C119,"")</f>
        <v>2</v>
      </c>
      <c r="D119" s="1">
        <f>IF(Data!D119&gt;0,4-Data!D119,"")</f>
        <v>2</v>
      </c>
      <c r="E119" s="1">
        <f>IF(Data!E119&gt;0,4-Data!E119,"")</f>
        <v>1</v>
      </c>
      <c r="F119" s="1">
        <f>IF(Data!F119&gt;0,Data!F119-4,"")</f>
        <v>2</v>
      </c>
      <c r="G119" s="1">
        <f>IF(Data!G119&gt;0,Data!G119-4,"")</f>
        <v>0</v>
      </c>
      <c r="H119" s="1">
        <f>IF(Data!H119&gt;0,Data!H119-4,"")</f>
        <v>1</v>
      </c>
      <c r="I119" s="1">
        <f>IF(Data!I119&gt;0,4-Data!I119,"")</f>
        <v>-1</v>
      </c>
      <c r="J119" s="1">
        <f>IF(Data!J119&gt;0,4-Data!J119,"")</f>
        <v>0</v>
      </c>
      <c r="K119" s="1">
        <f>IF(Data!K119&gt;0,Data!K119-4,"")</f>
        <v>1</v>
      </c>
      <c r="L119" s="1">
        <f>IF(Data!L119&gt;0,4-Data!L119,"")</f>
        <v>2</v>
      </c>
      <c r="M119" s="1">
        <f>IF(Data!M119&gt;0,Data!M119-4,"")</f>
        <v>-2</v>
      </c>
      <c r="N119" s="1">
        <f>IF(Data!N119&gt;0,Data!N119-4,"")</f>
        <v>2</v>
      </c>
      <c r="O119" s="1">
        <f>IF(Data!O119&gt;0,Data!O119-4,"")</f>
        <v>-2</v>
      </c>
      <c r="P119" s="1">
        <f>IF(Data!P119&gt;0,Data!P119-4,"")</f>
        <v>2</v>
      </c>
      <c r="Q119" s="1">
        <f>IF(Data!Q119&gt;0,4-Data!Q119,"")</f>
        <v>2</v>
      </c>
      <c r="R119" s="1">
        <f>IF(Data!R119&gt;0,4-Data!R119,"")</f>
        <v>2</v>
      </c>
      <c r="S119" s="1">
        <f>IF(Data!S119&gt;0,4-Data!S119,"")</f>
        <v>1</v>
      </c>
      <c r="T119" s="1">
        <f>IF(Data!T119&gt;0,Data!T119-4,"")</f>
        <v>1</v>
      </c>
      <c r="U119" s="1">
        <f>IF(Data!U119&gt;0,4-Data!U119,"")</f>
        <v>2</v>
      </c>
      <c r="V119" s="1">
        <f>IF(Data!V119&gt;0,Data!V119-4,"")</f>
        <v>2</v>
      </c>
      <c r="W119" s="1">
        <f>IF(Data!W119&gt;0,4-Data!W119,"")</f>
        <v>3</v>
      </c>
      <c r="X119" s="1">
        <f>IF(Data!X119&gt;0,4-Data!X119,"")</f>
        <v>-1</v>
      </c>
      <c r="Y119" s="1">
        <f>IF(Data!Y119&gt;0,4-Data!Y119,"")</f>
        <v>2</v>
      </c>
      <c r="Z119" s="1">
        <f>IF(Data!Z119&gt;0,Data!Z119-4,"")</f>
        <v>-1</v>
      </c>
      <c r="AC119" s="4" t="str">
        <f t="shared" si="16"/>
        <v/>
      </c>
      <c r="AD119" s="4">
        <f t="shared" si="17"/>
        <v>1</v>
      </c>
      <c r="AE119" s="4">
        <f t="shared" si="18"/>
        <v>1</v>
      </c>
      <c r="AF119" s="4" t="str">
        <f t="shared" si="19"/>
        <v/>
      </c>
      <c r="AG119" s="4" t="str">
        <f t="shared" si="20"/>
        <v/>
      </c>
      <c r="AH119" s="4">
        <f t="shared" si="21"/>
        <v>1</v>
      </c>
      <c r="AI119" s="2">
        <f t="shared" si="22"/>
        <v>3</v>
      </c>
      <c r="AK119" s="2">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9</v>
      </c>
    </row>
    <row r="120" spans="1:37">
      <c r="A120" s="1">
        <f>IF(Data!A120&gt;0,Data!A120-4,"")</f>
        <v>1</v>
      </c>
      <c r="B120" s="1">
        <f>IF(Data!B120&gt;0,Data!B120-4,"")</f>
        <v>0</v>
      </c>
      <c r="C120" s="1">
        <f>IF(Data!C120&gt;0,4-Data!C120,"")</f>
        <v>-1</v>
      </c>
      <c r="D120" s="1">
        <f>IF(Data!D120&gt;0,4-Data!D120,"")</f>
        <v>-1</v>
      </c>
      <c r="E120" s="1">
        <f>IF(Data!E120&gt;0,4-Data!E120,"")</f>
        <v>1</v>
      </c>
      <c r="F120" s="1">
        <f>IF(Data!F120&gt;0,Data!F120-4,"")</f>
        <v>0</v>
      </c>
      <c r="G120" s="1">
        <f>IF(Data!G120&gt;0,Data!G120-4,"")</f>
        <v>1</v>
      </c>
      <c r="H120" s="1">
        <f>IF(Data!H120&gt;0,Data!H120-4,"")</f>
        <v>0</v>
      </c>
      <c r="I120" s="1">
        <f>IF(Data!I120&gt;0,4-Data!I120,"")</f>
        <v>1</v>
      </c>
      <c r="J120" s="1">
        <f>IF(Data!J120&gt;0,4-Data!J120,"")</f>
        <v>1</v>
      </c>
      <c r="K120" s="1">
        <f>IF(Data!K120&gt;0,Data!K120-4,"")</f>
        <v>0</v>
      </c>
      <c r="L120" s="1">
        <f>IF(Data!L120&gt;0,4-Data!L120,"")</f>
        <v>1</v>
      </c>
      <c r="M120" s="1">
        <f>IF(Data!M120&gt;0,Data!M120-4,"")</f>
        <v>-1</v>
      </c>
      <c r="N120" s="1">
        <f>IF(Data!N120&gt;0,Data!N120-4,"")</f>
        <v>0</v>
      </c>
      <c r="O120" s="1">
        <f>IF(Data!O120&gt;0,Data!O120-4,"")</f>
        <v>1</v>
      </c>
      <c r="P120" s="1">
        <f>IF(Data!P120&gt;0,Data!P120-4,"")</f>
        <v>0</v>
      </c>
      <c r="Q120" s="1">
        <f>IF(Data!Q120&gt;0,4-Data!Q120,"")</f>
        <v>0</v>
      </c>
      <c r="R120" s="1">
        <f>IF(Data!R120&gt;0,4-Data!R120,"")</f>
        <v>1</v>
      </c>
      <c r="S120" s="1">
        <f>IF(Data!S120&gt;0,4-Data!S120,"")</f>
        <v>1</v>
      </c>
      <c r="T120" s="1">
        <f>IF(Data!T120&gt;0,Data!T120-4,"")</f>
        <v>1</v>
      </c>
      <c r="U120" s="1">
        <f>IF(Data!U120&gt;0,4-Data!U120,"")</f>
        <v>-1</v>
      </c>
      <c r="V120" s="1">
        <f>IF(Data!V120&gt;0,Data!V120-4,"")</f>
        <v>0</v>
      </c>
      <c r="W120" s="1">
        <f>IF(Data!W120&gt;0,4-Data!W120,"")</f>
        <v>-2</v>
      </c>
      <c r="X120" s="1">
        <f>IF(Data!X120&gt;0,4-Data!X120,"")</f>
        <v>0</v>
      </c>
      <c r="Y120" s="1">
        <f>IF(Data!Y120&gt;0,4-Data!Y120,"")</f>
        <v>1</v>
      </c>
      <c r="Z120" s="1">
        <f>IF(Data!Z120&gt;0,Data!Z120-4,"")</f>
        <v>0</v>
      </c>
      <c r="AC120" s="4" t="str">
        <f t="shared" si="16"/>
        <v/>
      </c>
      <c r="AD120" s="4" t="str">
        <f t="shared" si="17"/>
        <v/>
      </c>
      <c r="AE120" s="4" t="str">
        <f t="shared" si="18"/>
        <v/>
      </c>
      <c r="AF120" s="4" t="str">
        <f t="shared" si="19"/>
        <v/>
      </c>
      <c r="AG120" s="4" t="str">
        <f t="shared" si="20"/>
        <v/>
      </c>
      <c r="AH120" s="4" t="str">
        <f t="shared" si="21"/>
        <v/>
      </c>
      <c r="AI120" s="2">
        <f t="shared" si="22"/>
        <v>0</v>
      </c>
      <c r="AK120" s="2">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10</v>
      </c>
    </row>
    <row r="121" spans="1:37">
      <c r="A121" s="1">
        <f>IF(Data!A121&gt;0,Data!A121-4,"")</f>
        <v>3</v>
      </c>
      <c r="B121" s="1">
        <f>IF(Data!B121&gt;0,Data!B121-4,"")</f>
        <v>3</v>
      </c>
      <c r="C121" s="1">
        <f>IF(Data!C121&gt;0,4-Data!C121,"")</f>
        <v>3</v>
      </c>
      <c r="D121" s="1">
        <f>IF(Data!D121&gt;0,4-Data!D121,"")</f>
        <v>3</v>
      </c>
      <c r="E121" s="1">
        <f>IF(Data!E121&gt;0,4-Data!E121,"")</f>
        <v>3</v>
      </c>
      <c r="F121" s="1">
        <f>IF(Data!F121&gt;0,Data!F121-4,"")</f>
        <v>3</v>
      </c>
      <c r="G121" s="1">
        <f>IF(Data!G121&gt;0,Data!G121-4,"")</f>
        <v>3</v>
      </c>
      <c r="H121" s="1">
        <f>IF(Data!H121&gt;0,Data!H121-4,"")</f>
        <v>3</v>
      </c>
      <c r="I121" s="1">
        <f>IF(Data!I121&gt;0,4-Data!I121,"")</f>
        <v>3</v>
      </c>
      <c r="J121" s="1">
        <f>IF(Data!J121&gt;0,4-Data!J121,"")</f>
        <v>3</v>
      </c>
      <c r="K121" s="1">
        <f>IF(Data!K121&gt;0,Data!K121-4,"")</f>
        <v>3</v>
      </c>
      <c r="L121" s="1">
        <f>IF(Data!L121&gt;0,4-Data!L121,"")</f>
        <v>3</v>
      </c>
      <c r="M121" s="1">
        <f>IF(Data!M121&gt;0,Data!M121-4,"")</f>
        <v>3</v>
      </c>
      <c r="N121" s="1">
        <f>IF(Data!N121&gt;0,Data!N121-4,"")</f>
        <v>3</v>
      </c>
      <c r="O121" s="1">
        <f>IF(Data!O121&gt;0,Data!O121-4,"")</f>
        <v>3</v>
      </c>
      <c r="P121" s="1">
        <f>IF(Data!P121&gt;0,Data!P121-4,"")</f>
        <v>3</v>
      </c>
      <c r="Q121" s="1">
        <f>IF(Data!Q121&gt;0,4-Data!Q121,"")</f>
        <v>3</v>
      </c>
      <c r="R121" s="1">
        <f>IF(Data!R121&gt;0,4-Data!R121,"")</f>
        <v>3</v>
      </c>
      <c r="S121" s="1">
        <f>IF(Data!S121&gt;0,4-Data!S121,"")</f>
        <v>3</v>
      </c>
      <c r="T121" s="1">
        <f>IF(Data!T121&gt;0,Data!T121-4,"")</f>
        <v>3</v>
      </c>
      <c r="U121" s="1">
        <f>IF(Data!U121&gt;0,4-Data!U121,"")</f>
        <v>3</v>
      </c>
      <c r="V121" s="1">
        <f>IF(Data!V121&gt;0,Data!V121-4,"")</f>
        <v>3</v>
      </c>
      <c r="W121" s="1">
        <f>IF(Data!W121&gt;0,4-Data!W121,"")</f>
        <v>3</v>
      </c>
      <c r="X121" s="1">
        <f>IF(Data!X121&gt;0,4-Data!X121,"")</f>
        <v>3</v>
      </c>
      <c r="Y121" s="1">
        <f>IF(Data!Y121&gt;0,4-Data!Y121,"")</f>
        <v>3</v>
      </c>
      <c r="Z121" s="1">
        <f>IF(Data!Z121&gt;0,Data!Z121-4,"")</f>
        <v>3</v>
      </c>
      <c r="AC121" s="4" t="str">
        <f t="shared" si="16"/>
        <v/>
      </c>
      <c r="AD121" s="4" t="str">
        <f t="shared" si="17"/>
        <v/>
      </c>
      <c r="AE121" s="4" t="str">
        <f t="shared" si="18"/>
        <v/>
      </c>
      <c r="AF121" s="4" t="str">
        <f t="shared" si="19"/>
        <v/>
      </c>
      <c r="AG121" s="4" t="str">
        <f t="shared" si="20"/>
        <v/>
      </c>
      <c r="AH121" s="4" t="str">
        <f t="shared" si="21"/>
        <v/>
      </c>
      <c r="AI121" s="2">
        <f t="shared" si="22"/>
        <v>0</v>
      </c>
      <c r="AK121" s="2">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13</v>
      </c>
    </row>
    <row r="122" spans="1:37">
      <c r="A122" s="1">
        <f>IF(Data!A122&gt;0,Data!A122-4,"")</f>
        <v>2</v>
      </c>
      <c r="B122" s="1">
        <f>IF(Data!B122&gt;0,Data!B122-4,"")</f>
        <v>3</v>
      </c>
      <c r="C122" s="1">
        <f>IF(Data!C122&gt;0,4-Data!C122,"")</f>
        <v>2</v>
      </c>
      <c r="D122" s="1">
        <f>IF(Data!D122&gt;0,4-Data!D122,"")</f>
        <v>1</v>
      </c>
      <c r="E122" s="1">
        <f>IF(Data!E122&gt;0,4-Data!E122,"")</f>
        <v>2</v>
      </c>
      <c r="F122" s="1">
        <f>IF(Data!F122&gt;0,Data!F122-4,"")</f>
        <v>2</v>
      </c>
      <c r="G122" s="1">
        <f>IF(Data!G122&gt;0,Data!G122-4,"")</f>
        <v>3</v>
      </c>
      <c r="H122" s="1">
        <f>IF(Data!H122&gt;0,Data!H122-4,"")</f>
        <v>1</v>
      </c>
      <c r="I122" s="1">
        <f>IF(Data!I122&gt;0,4-Data!I122,"")</f>
        <v>2</v>
      </c>
      <c r="J122" s="1">
        <f>IF(Data!J122&gt;0,4-Data!J122,"")</f>
        <v>-1</v>
      </c>
      <c r="K122" s="1">
        <f>IF(Data!K122&gt;0,Data!K122-4,"")</f>
        <v>2</v>
      </c>
      <c r="L122" s="1">
        <f>IF(Data!L122&gt;0,4-Data!L122,"")</f>
        <v>3</v>
      </c>
      <c r="M122" s="1">
        <f>IF(Data!M122&gt;0,Data!M122-4,"")</f>
        <v>1</v>
      </c>
      <c r="N122" s="1">
        <f>IF(Data!N122&gt;0,Data!N122-4,"")</f>
        <v>2</v>
      </c>
      <c r="O122" s="1">
        <f>IF(Data!O122&gt;0,Data!O122-4,"")</f>
        <v>2</v>
      </c>
      <c r="P122" s="1">
        <f>IF(Data!P122&gt;0,Data!P122-4,"")</f>
        <v>3</v>
      </c>
      <c r="Q122" s="1">
        <f>IF(Data!Q122&gt;0,4-Data!Q122,"")</f>
        <v>2</v>
      </c>
      <c r="R122" s="1">
        <f>IF(Data!R122&gt;0,4-Data!R122,"")</f>
        <v>1</v>
      </c>
      <c r="S122" s="1">
        <f>IF(Data!S122&gt;0,4-Data!S122,"")</f>
        <v>2</v>
      </c>
      <c r="T122" s="1">
        <f>IF(Data!T122&gt;0,Data!T122-4,"")</f>
        <v>2</v>
      </c>
      <c r="U122" s="1">
        <f>IF(Data!U122&gt;0,4-Data!U122,"")</f>
        <v>2</v>
      </c>
      <c r="V122" s="1">
        <f>IF(Data!V122&gt;0,Data!V122-4,"")</f>
        <v>2</v>
      </c>
      <c r="W122" s="1">
        <f>IF(Data!W122&gt;0,4-Data!W122,"")</f>
        <v>1</v>
      </c>
      <c r="X122" s="1">
        <f>IF(Data!X122&gt;0,4-Data!X122,"")</f>
        <v>2</v>
      </c>
      <c r="Y122" s="1">
        <f>IF(Data!Y122&gt;0,4-Data!Y122,"")</f>
        <v>1</v>
      </c>
      <c r="Z122" s="1">
        <f>IF(Data!Z122&gt;0,Data!Z122-4,"")</f>
        <v>1</v>
      </c>
      <c r="AC122" s="4" t="str">
        <f t="shared" si="16"/>
        <v/>
      </c>
      <c r="AD122" s="4" t="str">
        <f t="shared" si="17"/>
        <v/>
      </c>
      <c r="AE122" s="4" t="str">
        <f t="shared" si="18"/>
        <v/>
      </c>
      <c r="AF122" s="4" t="str">
        <f t="shared" si="19"/>
        <v/>
      </c>
      <c r="AG122" s="4" t="str">
        <f t="shared" si="20"/>
        <v/>
      </c>
      <c r="AH122" s="4" t="str">
        <f t="shared" si="21"/>
        <v/>
      </c>
      <c r="AI122" s="2">
        <f t="shared" si="22"/>
        <v>0</v>
      </c>
      <c r="AK122" s="2">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7</v>
      </c>
    </row>
    <row r="123" spans="1:37">
      <c r="A123" s="1">
        <f>IF(Data!A123&gt;0,Data!A123-4,"")</f>
        <v>1</v>
      </c>
      <c r="B123" s="1">
        <f>IF(Data!B123&gt;0,Data!B123-4,"")</f>
        <v>2</v>
      </c>
      <c r="C123" s="1">
        <f>IF(Data!C123&gt;0,4-Data!C123,"")</f>
        <v>0</v>
      </c>
      <c r="D123" s="1">
        <f>IF(Data!D123&gt;0,4-Data!D123,"")</f>
        <v>2</v>
      </c>
      <c r="E123" s="1">
        <f>IF(Data!E123&gt;0,4-Data!E123,"")</f>
        <v>1</v>
      </c>
      <c r="F123" s="1">
        <f>IF(Data!F123&gt;0,Data!F123-4,"")</f>
        <v>0</v>
      </c>
      <c r="G123" s="1">
        <f>IF(Data!G123&gt;0,Data!G123-4,"")</f>
        <v>1</v>
      </c>
      <c r="H123" s="1">
        <f>IF(Data!H123&gt;0,Data!H123-4,"")</f>
        <v>1</v>
      </c>
      <c r="I123" s="1">
        <f>IF(Data!I123&gt;0,4-Data!I123,"")</f>
        <v>0</v>
      </c>
      <c r="J123" s="1">
        <f>IF(Data!J123&gt;0,4-Data!J123,"")</f>
        <v>0</v>
      </c>
      <c r="K123" s="1">
        <f>IF(Data!K123&gt;0,Data!K123-4,"")</f>
        <v>0</v>
      </c>
      <c r="L123" s="1">
        <f>IF(Data!L123&gt;0,4-Data!L123,"")</f>
        <v>1</v>
      </c>
      <c r="M123" s="1">
        <f>IF(Data!M123&gt;0,Data!M123-4,"")</f>
        <v>1</v>
      </c>
      <c r="N123" s="1">
        <f>IF(Data!N123&gt;0,Data!N123-4,"")</f>
        <v>1</v>
      </c>
      <c r="O123" s="1">
        <f>IF(Data!O123&gt;0,Data!O123-4,"")</f>
        <v>0</v>
      </c>
      <c r="P123" s="1">
        <f>IF(Data!P123&gt;0,Data!P123-4,"")</f>
        <v>1</v>
      </c>
      <c r="Q123" s="1">
        <f>IF(Data!Q123&gt;0,4-Data!Q123,"")</f>
        <v>1</v>
      </c>
      <c r="R123" s="1">
        <f>IF(Data!R123&gt;0,4-Data!R123,"")</f>
        <v>0</v>
      </c>
      <c r="S123" s="1">
        <f>IF(Data!S123&gt;0,4-Data!S123,"")</f>
        <v>2</v>
      </c>
      <c r="T123" s="1">
        <f>IF(Data!T123&gt;0,Data!T123-4,"")</f>
        <v>1</v>
      </c>
      <c r="U123" s="1">
        <f>IF(Data!U123&gt;0,4-Data!U123,"")</f>
        <v>2</v>
      </c>
      <c r="V123" s="1">
        <f>IF(Data!V123&gt;0,Data!V123-4,"")</f>
        <v>2</v>
      </c>
      <c r="W123" s="1">
        <f>IF(Data!W123&gt;0,4-Data!W123,"")</f>
        <v>2</v>
      </c>
      <c r="X123" s="1">
        <f>IF(Data!X123&gt;0,4-Data!X123,"")</f>
        <v>1</v>
      </c>
      <c r="Y123" s="1">
        <f>IF(Data!Y123&gt;0,4-Data!Y123,"")</f>
        <v>2</v>
      </c>
      <c r="Z123" s="1">
        <f>IF(Data!Z123&gt;0,Data!Z123-4,"")</f>
        <v>0</v>
      </c>
      <c r="AC123" s="4" t="str">
        <f t="shared" si="16"/>
        <v/>
      </c>
      <c r="AD123" s="4" t="str">
        <f t="shared" si="17"/>
        <v/>
      </c>
      <c r="AE123" s="4" t="str">
        <f t="shared" si="18"/>
        <v/>
      </c>
      <c r="AF123" s="4" t="str">
        <f t="shared" si="19"/>
        <v/>
      </c>
      <c r="AG123" s="4" t="str">
        <f t="shared" si="20"/>
        <v/>
      </c>
      <c r="AH123" s="4" t="str">
        <f t="shared" si="21"/>
        <v/>
      </c>
      <c r="AI123" s="2">
        <f t="shared" si="22"/>
        <v>0</v>
      </c>
      <c r="AK123" s="2">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8</v>
      </c>
    </row>
    <row r="124" spans="1:37">
      <c r="A124" s="1">
        <f>IF(Data!A124&gt;0,Data!A124-4,"")</f>
        <v>2</v>
      </c>
      <c r="B124" s="1">
        <f>IF(Data!B124&gt;0,Data!B124-4,"")</f>
        <v>3</v>
      </c>
      <c r="C124" s="1">
        <f>IF(Data!C124&gt;0,4-Data!C124,"")</f>
        <v>1</v>
      </c>
      <c r="D124" s="1">
        <f>IF(Data!D124&gt;0,4-Data!D124,"")</f>
        <v>2</v>
      </c>
      <c r="E124" s="1">
        <f>IF(Data!E124&gt;0,4-Data!E124,"")</f>
        <v>2</v>
      </c>
      <c r="F124" s="1">
        <f>IF(Data!F124&gt;0,Data!F124-4,"")</f>
        <v>0</v>
      </c>
      <c r="G124" s="1">
        <f>IF(Data!G124&gt;0,Data!G124-4,"")</f>
        <v>2</v>
      </c>
      <c r="H124" s="1">
        <f>IF(Data!H124&gt;0,Data!H124-4,"")</f>
        <v>0</v>
      </c>
      <c r="I124" s="1">
        <f>IF(Data!I124&gt;0,4-Data!I124,"")</f>
        <v>2</v>
      </c>
      <c r="J124" s="1">
        <f>IF(Data!J124&gt;0,4-Data!J124,"")</f>
        <v>2</v>
      </c>
      <c r="K124" s="1">
        <f>IF(Data!K124&gt;0,Data!K124-4,"")</f>
        <v>2</v>
      </c>
      <c r="L124" s="1">
        <f>IF(Data!L124&gt;0,4-Data!L124,"")</f>
        <v>2</v>
      </c>
      <c r="M124" s="1">
        <f>IF(Data!M124&gt;0,Data!M124-4,"")</f>
        <v>2</v>
      </c>
      <c r="N124" s="1">
        <f>IF(Data!N124&gt;0,Data!N124-4,"")</f>
        <v>1</v>
      </c>
      <c r="O124" s="1">
        <f>IF(Data!O124&gt;0,Data!O124-4,"")</f>
        <v>0</v>
      </c>
      <c r="P124" s="1">
        <f>IF(Data!P124&gt;0,Data!P124-4,"")</f>
        <v>1</v>
      </c>
      <c r="Q124" s="1">
        <f>IF(Data!Q124&gt;0,4-Data!Q124,"")</f>
        <v>-2</v>
      </c>
      <c r="R124" s="1">
        <f>IF(Data!R124&gt;0,4-Data!R124,"")</f>
        <v>0</v>
      </c>
      <c r="S124" s="1">
        <f>IF(Data!S124&gt;0,4-Data!S124,"")</f>
        <v>-2</v>
      </c>
      <c r="T124" s="1">
        <f>IF(Data!T124&gt;0,Data!T124-4,"")</f>
        <v>2</v>
      </c>
      <c r="U124" s="1">
        <f>IF(Data!U124&gt;0,4-Data!U124,"")</f>
        <v>2</v>
      </c>
      <c r="V124" s="1">
        <f>IF(Data!V124&gt;0,Data!V124-4,"")</f>
        <v>2</v>
      </c>
      <c r="W124" s="1">
        <f>IF(Data!W124&gt;0,4-Data!W124,"")</f>
        <v>2</v>
      </c>
      <c r="X124" s="1">
        <f>IF(Data!X124&gt;0,4-Data!X124,"")</f>
        <v>1</v>
      </c>
      <c r="Y124" s="1">
        <f>IF(Data!Y124&gt;0,4-Data!Y124,"")</f>
        <v>2</v>
      </c>
      <c r="Z124" s="1">
        <f>IF(Data!Z124&gt;0,Data!Z124-4,"")</f>
        <v>2</v>
      </c>
      <c r="AC124" s="4" t="str">
        <f t="shared" si="16"/>
        <v/>
      </c>
      <c r="AD124" s="4" t="str">
        <f t="shared" si="17"/>
        <v/>
      </c>
      <c r="AE124" s="4" t="str">
        <f t="shared" si="18"/>
        <v/>
      </c>
      <c r="AF124" s="4">
        <f t="shared" si="19"/>
        <v>1</v>
      </c>
      <c r="AG124" s="4" t="str">
        <f t="shared" si="20"/>
        <v/>
      </c>
      <c r="AH124" s="4" t="str">
        <f t="shared" si="21"/>
        <v/>
      </c>
      <c r="AI124" s="2">
        <f t="shared" si="22"/>
        <v>1</v>
      </c>
      <c r="AK124" s="2">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9</v>
      </c>
    </row>
    <row r="125" spans="1:37">
      <c r="A125" s="1">
        <f>IF(Data!A125&gt;0,Data!A125-4,"")</f>
        <v>2</v>
      </c>
      <c r="B125" s="1">
        <f>IF(Data!B125&gt;0,Data!B125-4,"")</f>
        <v>2</v>
      </c>
      <c r="C125" s="1">
        <f>IF(Data!C125&gt;0,4-Data!C125,"")</f>
        <v>1</v>
      </c>
      <c r="D125" s="1">
        <f>IF(Data!D125&gt;0,4-Data!D125,"")</f>
        <v>3</v>
      </c>
      <c r="E125" s="1">
        <f>IF(Data!E125&gt;0,4-Data!E125,"")</f>
        <v>3</v>
      </c>
      <c r="F125" s="1">
        <f>IF(Data!F125&gt;0,Data!F125-4,"")</f>
        <v>0</v>
      </c>
      <c r="G125" s="1">
        <f>IF(Data!G125&gt;0,Data!G125-4,"")</f>
        <v>2</v>
      </c>
      <c r="H125" s="1">
        <f>IF(Data!H125&gt;0,Data!H125-4,"")</f>
        <v>2</v>
      </c>
      <c r="I125" s="1">
        <f>IF(Data!I125&gt;0,4-Data!I125,"")</f>
        <v>2</v>
      </c>
      <c r="J125" s="1">
        <f>IF(Data!J125&gt;0,4-Data!J125,"")</f>
        <v>-3</v>
      </c>
      <c r="K125" s="1">
        <f>IF(Data!K125&gt;0,Data!K125-4,"")</f>
        <v>2</v>
      </c>
      <c r="L125" s="1">
        <f>IF(Data!L125&gt;0,4-Data!L125,"")</f>
        <v>3</v>
      </c>
      <c r="M125" s="1">
        <f>IF(Data!M125&gt;0,Data!M125-4,"")</f>
        <v>3</v>
      </c>
      <c r="N125" s="1">
        <f>IF(Data!N125&gt;0,Data!N125-4,"")</f>
        <v>3</v>
      </c>
      <c r="O125" s="1">
        <f>IF(Data!O125&gt;0,Data!O125-4,"")</f>
        <v>0</v>
      </c>
      <c r="P125" s="1">
        <f>IF(Data!P125&gt;0,Data!P125-4,"")</f>
        <v>3</v>
      </c>
      <c r="Q125" s="1">
        <f>IF(Data!Q125&gt;0,4-Data!Q125,"")</f>
        <v>2</v>
      </c>
      <c r="R125" s="1">
        <f>IF(Data!R125&gt;0,4-Data!R125,"")</f>
        <v>2</v>
      </c>
      <c r="S125" s="1">
        <f>IF(Data!S125&gt;0,4-Data!S125,"")</f>
        <v>3</v>
      </c>
      <c r="T125" s="1">
        <f>IF(Data!T125&gt;0,Data!T125-4,"")</f>
        <v>2</v>
      </c>
      <c r="U125" s="1">
        <f>IF(Data!U125&gt;0,4-Data!U125,"")</f>
        <v>-2</v>
      </c>
      <c r="V125" s="1">
        <f>IF(Data!V125&gt;0,Data!V125-4,"")</f>
        <v>3</v>
      </c>
      <c r="W125" s="1">
        <f>IF(Data!W125&gt;0,4-Data!W125,"")</f>
        <v>3</v>
      </c>
      <c r="X125" s="1">
        <f>IF(Data!X125&gt;0,4-Data!X125,"")</f>
        <v>1</v>
      </c>
      <c r="Y125" s="1">
        <f>IF(Data!Y125&gt;0,4-Data!Y125,"")</f>
        <v>3</v>
      </c>
      <c r="Z125" s="1">
        <f>IF(Data!Z125&gt;0,Data!Z125-4,"")</f>
        <v>-1</v>
      </c>
      <c r="AC125" s="4" t="str">
        <f t="shared" si="16"/>
        <v/>
      </c>
      <c r="AD125" s="4">
        <f t="shared" si="17"/>
        <v>1</v>
      </c>
      <c r="AE125" s="4" t="str">
        <f t="shared" si="18"/>
        <v/>
      </c>
      <c r="AF125" s="4" t="str">
        <f t="shared" si="19"/>
        <v/>
      </c>
      <c r="AG125" s="4" t="str">
        <f t="shared" si="20"/>
        <v/>
      </c>
      <c r="AH125" s="4">
        <f t="shared" si="21"/>
        <v>1</v>
      </c>
      <c r="AI125" s="2">
        <f t="shared" si="22"/>
        <v>2</v>
      </c>
      <c r="AK125" s="2">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7</v>
      </c>
    </row>
    <row r="126" spans="1:37">
      <c r="A126" s="1">
        <f>IF(Data!A126&gt;0,Data!A126-4,"")</f>
        <v>3</v>
      </c>
      <c r="B126" s="1">
        <f>IF(Data!B126&gt;0,Data!B126-4,"")</f>
        <v>3</v>
      </c>
      <c r="C126" s="1">
        <f>IF(Data!C126&gt;0,4-Data!C126,"")</f>
        <v>3</v>
      </c>
      <c r="D126" s="1">
        <f>IF(Data!D126&gt;0,4-Data!D126,"")</f>
        <v>3</v>
      </c>
      <c r="E126" s="1">
        <f>IF(Data!E126&gt;0,4-Data!E126,"")</f>
        <v>3</v>
      </c>
      <c r="F126" s="1">
        <f>IF(Data!F126&gt;0,Data!F126-4,"")</f>
        <v>3</v>
      </c>
      <c r="G126" s="1">
        <f>IF(Data!G126&gt;0,Data!G126-4,"")</f>
        <v>3</v>
      </c>
      <c r="H126" s="1">
        <f>IF(Data!H126&gt;0,Data!H126-4,"")</f>
        <v>-2</v>
      </c>
      <c r="I126" s="1">
        <f>IF(Data!I126&gt;0,4-Data!I126,"")</f>
        <v>3</v>
      </c>
      <c r="J126" s="1">
        <f>IF(Data!J126&gt;0,4-Data!J126,"")</f>
        <v>0</v>
      </c>
      <c r="K126" s="1">
        <f>IF(Data!K126&gt;0,Data!K126-4,"")</f>
        <v>3</v>
      </c>
      <c r="L126" s="1">
        <f>IF(Data!L126&gt;0,4-Data!L126,"")</f>
        <v>3</v>
      </c>
      <c r="M126" s="1">
        <f>IF(Data!M126&gt;0,Data!M126-4,"")</f>
        <v>2</v>
      </c>
      <c r="N126" s="1">
        <f>IF(Data!N126&gt;0,Data!N126-4,"")</f>
        <v>3</v>
      </c>
      <c r="O126" s="1">
        <f>IF(Data!O126&gt;0,Data!O126-4,"")</f>
        <v>0</v>
      </c>
      <c r="P126" s="1">
        <f>IF(Data!P126&gt;0,Data!P126-4,"")</f>
        <v>3</v>
      </c>
      <c r="Q126" s="1">
        <f>IF(Data!Q126&gt;0,4-Data!Q126,"")</f>
        <v>3</v>
      </c>
      <c r="R126" s="1">
        <f>IF(Data!R126&gt;0,4-Data!R126,"")</f>
        <v>3</v>
      </c>
      <c r="S126" s="1">
        <f>IF(Data!S126&gt;0,4-Data!S126,"")</f>
        <v>3</v>
      </c>
      <c r="T126" s="1">
        <f>IF(Data!T126&gt;0,Data!T126-4,"")</f>
        <v>3</v>
      </c>
      <c r="U126" s="1">
        <f>IF(Data!U126&gt;0,4-Data!U126,"")</f>
        <v>2</v>
      </c>
      <c r="V126" s="1">
        <f>IF(Data!V126&gt;0,Data!V126-4,"")</f>
        <v>3</v>
      </c>
      <c r="W126" s="1">
        <f>IF(Data!W126&gt;0,4-Data!W126,"")</f>
        <v>3</v>
      </c>
      <c r="X126" s="1">
        <f>IF(Data!X126&gt;0,4-Data!X126,"")</f>
        <v>3</v>
      </c>
      <c r="Y126" s="1">
        <f>IF(Data!Y126&gt;0,4-Data!Y126,"")</f>
        <v>3</v>
      </c>
      <c r="Z126" s="1">
        <f>IF(Data!Z126&gt;0,Data!Z126-4,"")</f>
        <v>0</v>
      </c>
      <c r="AC126" s="4" t="str">
        <f t="shared" si="16"/>
        <v/>
      </c>
      <c r="AD126" s="4" t="str">
        <f t="shared" si="17"/>
        <v/>
      </c>
      <c r="AE126" s="4" t="str">
        <f t="shared" si="18"/>
        <v/>
      </c>
      <c r="AF126" s="4">
        <f t="shared" si="19"/>
        <v>1</v>
      </c>
      <c r="AG126" s="4" t="str">
        <f t="shared" si="20"/>
        <v/>
      </c>
      <c r="AH126" s="4" t="str">
        <f t="shared" si="21"/>
        <v/>
      </c>
      <c r="AI126" s="2">
        <f t="shared" si="22"/>
        <v>1</v>
      </c>
      <c r="AK126" s="2">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11</v>
      </c>
    </row>
    <row r="127" spans="1:37">
      <c r="A127" s="1">
        <f>IF(Data!A127&gt;0,Data!A127-4,"")</f>
        <v>3</v>
      </c>
      <c r="B127" s="1">
        <f>IF(Data!B127&gt;0,Data!B127-4,"")</f>
        <v>3</v>
      </c>
      <c r="C127" s="1">
        <f>IF(Data!C127&gt;0,4-Data!C127,"")</f>
        <v>2</v>
      </c>
      <c r="D127" s="1">
        <f>IF(Data!D127&gt;0,4-Data!D127,"")</f>
        <v>2</v>
      </c>
      <c r="E127" s="1">
        <f>IF(Data!E127&gt;0,4-Data!E127,"")</f>
        <v>2</v>
      </c>
      <c r="F127" s="1">
        <f>IF(Data!F127&gt;0,Data!F127-4,"")</f>
        <v>1</v>
      </c>
      <c r="G127" s="1">
        <f>IF(Data!G127&gt;0,Data!G127-4,"")</f>
        <v>2</v>
      </c>
      <c r="H127" s="1">
        <f>IF(Data!H127&gt;0,Data!H127-4,"")</f>
        <v>1</v>
      </c>
      <c r="I127" s="1">
        <f>IF(Data!I127&gt;0,4-Data!I127,"")</f>
        <v>2</v>
      </c>
      <c r="J127" s="1">
        <f>IF(Data!J127&gt;0,4-Data!J127,"")</f>
        <v>2</v>
      </c>
      <c r="K127" s="1">
        <f>IF(Data!K127&gt;0,Data!K127-4,"")</f>
        <v>3</v>
      </c>
      <c r="L127" s="1">
        <f>IF(Data!L127&gt;0,4-Data!L127,"")</f>
        <v>3</v>
      </c>
      <c r="M127" s="1">
        <f>IF(Data!M127&gt;0,Data!M127-4,"")</f>
        <v>2</v>
      </c>
      <c r="N127" s="1">
        <f>IF(Data!N127&gt;0,Data!N127-4,"")</f>
        <v>2</v>
      </c>
      <c r="O127" s="1">
        <f>IF(Data!O127&gt;0,Data!O127-4,"")</f>
        <v>2</v>
      </c>
      <c r="P127" s="1">
        <f>IF(Data!P127&gt;0,Data!P127-4,"")</f>
        <v>3</v>
      </c>
      <c r="Q127" s="1">
        <f>IF(Data!Q127&gt;0,4-Data!Q127,"")</f>
        <v>2</v>
      </c>
      <c r="R127" s="1">
        <f>IF(Data!R127&gt;0,4-Data!R127,"")</f>
        <v>0</v>
      </c>
      <c r="S127" s="1">
        <f>IF(Data!S127&gt;0,4-Data!S127,"")</f>
        <v>3</v>
      </c>
      <c r="T127" s="1">
        <f>IF(Data!T127&gt;0,Data!T127-4,"")</f>
        <v>2</v>
      </c>
      <c r="U127" s="1">
        <f>IF(Data!U127&gt;0,4-Data!U127,"")</f>
        <v>1</v>
      </c>
      <c r="V127" s="1">
        <f>IF(Data!V127&gt;0,Data!V127-4,"")</f>
        <v>3</v>
      </c>
      <c r="W127" s="1">
        <f>IF(Data!W127&gt;0,4-Data!W127,"")</f>
        <v>-1</v>
      </c>
      <c r="X127" s="1">
        <f>IF(Data!X127&gt;0,4-Data!X127,"")</f>
        <v>1</v>
      </c>
      <c r="Y127" s="1">
        <f>IF(Data!Y127&gt;0,4-Data!Y127,"")</f>
        <v>2</v>
      </c>
      <c r="Z127" s="1">
        <f>IF(Data!Z127&gt;0,Data!Z127-4,"")</f>
        <v>2</v>
      </c>
      <c r="AC127" s="4" t="str">
        <f t="shared" si="16"/>
        <v/>
      </c>
      <c r="AD127" s="4" t="str">
        <f t="shared" si="17"/>
        <v/>
      </c>
      <c r="AE127" s="4">
        <f t="shared" si="18"/>
        <v>1</v>
      </c>
      <c r="AF127" s="4" t="str">
        <f t="shared" si="19"/>
        <v/>
      </c>
      <c r="AG127" s="4" t="str">
        <f t="shared" si="20"/>
        <v/>
      </c>
      <c r="AH127" s="4" t="str">
        <f t="shared" si="21"/>
        <v/>
      </c>
      <c r="AI127" s="2">
        <f t="shared" si="22"/>
        <v>1</v>
      </c>
      <c r="AK127" s="2">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7</v>
      </c>
    </row>
    <row r="128" spans="1:37">
      <c r="A128" s="1">
        <f>IF(Data!A128&gt;0,Data!A128-4,"")</f>
        <v>1</v>
      </c>
      <c r="B128" s="1">
        <f>IF(Data!B128&gt;0,Data!B128-4,"")</f>
        <v>2</v>
      </c>
      <c r="C128" s="1">
        <f>IF(Data!C128&gt;0,4-Data!C128,"")</f>
        <v>1</v>
      </c>
      <c r="D128" s="1">
        <f>IF(Data!D128&gt;0,4-Data!D128,"")</f>
        <v>1</v>
      </c>
      <c r="E128" s="1">
        <f>IF(Data!E128&gt;0,4-Data!E128,"")</f>
        <v>1</v>
      </c>
      <c r="F128" s="1">
        <f>IF(Data!F128&gt;0,Data!F128-4,"")</f>
        <v>0</v>
      </c>
      <c r="G128" s="1">
        <f>IF(Data!G128&gt;0,Data!G128-4,"")</f>
        <v>0</v>
      </c>
      <c r="H128" s="1">
        <f>IF(Data!H128&gt;0,Data!H128-4,"")</f>
        <v>0</v>
      </c>
      <c r="I128" s="1">
        <f>IF(Data!I128&gt;0,4-Data!I128,"")</f>
        <v>2</v>
      </c>
      <c r="J128" s="1">
        <f>IF(Data!J128&gt;0,4-Data!J128,"")</f>
        <v>1</v>
      </c>
      <c r="K128" s="1">
        <f>IF(Data!K128&gt;0,Data!K128-4,"")</f>
        <v>0</v>
      </c>
      <c r="L128" s="1">
        <f>IF(Data!L128&gt;0,4-Data!L128,"")</f>
        <v>1</v>
      </c>
      <c r="M128" s="1">
        <f>IF(Data!M128&gt;0,Data!M128-4,"")</f>
        <v>1</v>
      </c>
      <c r="N128" s="1">
        <f>IF(Data!N128&gt;0,Data!N128-4,"")</f>
        <v>0</v>
      </c>
      <c r="O128" s="1">
        <f>IF(Data!O128&gt;0,Data!O128-4,"")</f>
        <v>1</v>
      </c>
      <c r="P128" s="1">
        <f>IF(Data!P128&gt;0,Data!P128-4,"")</f>
        <v>1</v>
      </c>
      <c r="Q128" s="1">
        <f>IF(Data!Q128&gt;0,4-Data!Q128,"")</f>
        <v>1</v>
      </c>
      <c r="R128" s="1">
        <f>IF(Data!R128&gt;0,4-Data!R128,"")</f>
        <v>1</v>
      </c>
      <c r="S128" s="1">
        <f>IF(Data!S128&gt;0,4-Data!S128,"")</f>
        <v>-2</v>
      </c>
      <c r="T128" s="1">
        <f>IF(Data!T128&gt;0,Data!T128-4,"")</f>
        <v>2</v>
      </c>
      <c r="U128" s="1">
        <f>IF(Data!U128&gt;0,4-Data!U128,"")</f>
        <v>1</v>
      </c>
      <c r="V128" s="1">
        <f>IF(Data!V128&gt;0,Data!V128-4,"")</f>
        <v>2</v>
      </c>
      <c r="W128" s="1">
        <f>IF(Data!W128&gt;0,4-Data!W128,"")</f>
        <v>1</v>
      </c>
      <c r="X128" s="1">
        <f>IF(Data!X128&gt;0,4-Data!X128,"")</f>
        <v>1</v>
      </c>
      <c r="Y128" s="1">
        <f>IF(Data!Y128&gt;0,4-Data!Y128,"")</f>
        <v>1</v>
      </c>
      <c r="Z128" s="1">
        <f>IF(Data!Z128&gt;0,Data!Z128-4,"")</f>
        <v>2</v>
      </c>
      <c r="AC128" s="4" t="str">
        <f t="shared" si="16"/>
        <v/>
      </c>
      <c r="AD128" s="4" t="str">
        <f t="shared" si="17"/>
        <v/>
      </c>
      <c r="AE128" s="4" t="str">
        <f t="shared" si="18"/>
        <v/>
      </c>
      <c r="AF128" s="4" t="str">
        <f t="shared" si="19"/>
        <v/>
      </c>
      <c r="AG128" s="4" t="str">
        <f t="shared" si="20"/>
        <v/>
      </c>
      <c r="AH128" s="4" t="str">
        <f t="shared" si="21"/>
        <v/>
      </c>
      <c r="AI128" s="2">
        <f t="shared" si="22"/>
        <v>0</v>
      </c>
      <c r="AK128" s="2">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11</v>
      </c>
    </row>
    <row r="129" spans="1:37">
      <c r="A129" s="1">
        <f>IF(Data!A129&gt;0,Data!A129-4,"")</f>
        <v>2</v>
      </c>
      <c r="B129" s="1">
        <f>IF(Data!B129&gt;0,Data!B129-4,"")</f>
        <v>2</v>
      </c>
      <c r="C129" s="1">
        <f>IF(Data!C129&gt;0,4-Data!C129,"")</f>
        <v>0</v>
      </c>
      <c r="D129" s="1">
        <f>IF(Data!D129&gt;0,4-Data!D129,"")</f>
        <v>-1</v>
      </c>
      <c r="E129" s="1">
        <f>IF(Data!E129&gt;0,4-Data!E129,"")</f>
        <v>2</v>
      </c>
      <c r="F129" s="1">
        <f>IF(Data!F129&gt;0,Data!F129-4,"")</f>
        <v>1</v>
      </c>
      <c r="G129" s="1">
        <f>IF(Data!G129&gt;0,Data!G129-4,"")</f>
        <v>1</v>
      </c>
      <c r="H129" s="1">
        <f>IF(Data!H129&gt;0,Data!H129-4,"")</f>
        <v>2</v>
      </c>
      <c r="I129" s="1">
        <f>IF(Data!I129&gt;0,4-Data!I129,"")</f>
        <v>2</v>
      </c>
      <c r="J129" s="1">
        <f>IF(Data!J129&gt;0,4-Data!J129,"")</f>
        <v>1</v>
      </c>
      <c r="K129" s="1">
        <f>IF(Data!K129&gt;0,Data!K129-4,"")</f>
        <v>2</v>
      </c>
      <c r="L129" s="1">
        <f>IF(Data!L129&gt;0,4-Data!L129,"")</f>
        <v>3</v>
      </c>
      <c r="M129" s="1">
        <f>IF(Data!M129&gt;0,Data!M129-4,"")</f>
        <v>1</v>
      </c>
      <c r="N129" s="1">
        <f>IF(Data!N129&gt;0,Data!N129-4,"")</f>
        <v>0</v>
      </c>
      <c r="O129" s="1">
        <f>IF(Data!O129&gt;0,Data!O129-4,"")</f>
        <v>1</v>
      </c>
      <c r="P129" s="1">
        <f>IF(Data!P129&gt;0,Data!P129-4,"")</f>
        <v>1</v>
      </c>
      <c r="Q129" s="1">
        <f>IF(Data!Q129&gt;0,4-Data!Q129,"")</f>
        <v>3</v>
      </c>
      <c r="R129" s="1">
        <f>IF(Data!R129&gt;0,4-Data!R129,"")</f>
        <v>0</v>
      </c>
      <c r="S129" s="1">
        <f>IF(Data!S129&gt;0,4-Data!S129,"")</f>
        <v>2</v>
      </c>
      <c r="T129" s="1">
        <f>IF(Data!T129&gt;0,Data!T129-4,"")</f>
        <v>2</v>
      </c>
      <c r="U129" s="1">
        <f>IF(Data!U129&gt;0,4-Data!U129,"")</f>
        <v>3</v>
      </c>
      <c r="V129" s="1">
        <f>IF(Data!V129&gt;0,Data!V129-4,"")</f>
        <v>3</v>
      </c>
      <c r="W129" s="1">
        <f>IF(Data!W129&gt;0,4-Data!W129,"")</f>
        <v>1</v>
      </c>
      <c r="X129" s="1">
        <f>IF(Data!X129&gt;0,4-Data!X129,"")</f>
        <v>1</v>
      </c>
      <c r="Y129" s="1">
        <f>IF(Data!Y129&gt;0,4-Data!Y129,"")</f>
        <v>0</v>
      </c>
      <c r="Z129" s="1">
        <f>IF(Data!Z129&gt;0,Data!Z129-4,"")</f>
        <v>2</v>
      </c>
      <c r="AC129" s="4" t="str">
        <f t="shared" si="16"/>
        <v/>
      </c>
      <c r="AD129" s="4">
        <f t="shared" si="17"/>
        <v>1</v>
      </c>
      <c r="AE129" s="4" t="str">
        <f t="shared" si="18"/>
        <v/>
      </c>
      <c r="AF129" s="4" t="str">
        <f t="shared" si="19"/>
        <v/>
      </c>
      <c r="AG129" s="4" t="str">
        <f t="shared" si="20"/>
        <v/>
      </c>
      <c r="AH129" s="4" t="str">
        <f t="shared" si="21"/>
        <v/>
      </c>
      <c r="AI129" s="2">
        <f t="shared" si="22"/>
        <v>1</v>
      </c>
      <c r="AK129" s="2">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6</v>
      </c>
    </row>
    <row r="130" spans="1:37">
      <c r="A130" s="1">
        <f>IF(Data!A130&gt;0,Data!A130-4,"")</f>
        <v>1</v>
      </c>
      <c r="B130" s="1">
        <f>IF(Data!B130&gt;0,Data!B130-4,"")</f>
        <v>3</v>
      </c>
      <c r="C130" s="1">
        <f>IF(Data!C130&gt;0,4-Data!C130,"")</f>
        <v>-1</v>
      </c>
      <c r="D130" s="1">
        <f>IF(Data!D130&gt;0,4-Data!D130,"")</f>
        <v>2</v>
      </c>
      <c r="E130" s="1">
        <f>IF(Data!E130&gt;0,4-Data!E130,"")</f>
        <v>3</v>
      </c>
      <c r="F130" s="1">
        <f>IF(Data!F130&gt;0,Data!F130-4,"")</f>
        <v>-1</v>
      </c>
      <c r="G130" s="1">
        <f>IF(Data!G130&gt;0,Data!G130-4,"")</f>
        <v>2</v>
      </c>
      <c r="H130" s="1">
        <f>IF(Data!H130&gt;0,Data!H130-4,"")</f>
        <v>2</v>
      </c>
      <c r="I130" s="1">
        <f>IF(Data!I130&gt;0,4-Data!I130,"")</f>
        <v>1</v>
      </c>
      <c r="J130" s="1">
        <f>IF(Data!J130&gt;0,4-Data!J130,"")</f>
        <v>1</v>
      </c>
      <c r="K130" s="1">
        <f>IF(Data!K130&gt;0,Data!K130-4,"")</f>
        <v>0</v>
      </c>
      <c r="L130" s="1">
        <f>IF(Data!L130&gt;0,4-Data!L130,"")</f>
        <v>1</v>
      </c>
      <c r="M130" s="1">
        <f>IF(Data!M130&gt;0,Data!M130-4,"")</f>
        <v>1</v>
      </c>
      <c r="N130" s="1">
        <f>IF(Data!N130&gt;0,Data!N130-4,"")</f>
        <v>1</v>
      </c>
      <c r="O130" s="1">
        <f>IF(Data!O130&gt;0,Data!O130-4,"")</f>
        <v>-1</v>
      </c>
      <c r="P130" s="1">
        <f>IF(Data!P130&gt;0,Data!P130-4,"")</f>
        <v>0</v>
      </c>
      <c r="Q130" s="1">
        <f>IF(Data!Q130&gt;0,4-Data!Q130,"")</f>
        <v>-1</v>
      </c>
      <c r="R130" s="1">
        <f>IF(Data!R130&gt;0,4-Data!R130,"")</f>
        <v>1</v>
      </c>
      <c r="S130" s="1">
        <f>IF(Data!S130&gt;0,4-Data!S130,"")</f>
        <v>0</v>
      </c>
      <c r="T130" s="1">
        <f>IF(Data!T130&gt;0,Data!T130-4,"")</f>
        <v>2</v>
      </c>
      <c r="U130" s="1">
        <f>IF(Data!U130&gt;0,4-Data!U130,"")</f>
        <v>2</v>
      </c>
      <c r="V130" s="1">
        <f>IF(Data!V130&gt;0,Data!V130-4,"")</f>
        <v>1</v>
      </c>
      <c r="W130" s="1">
        <f>IF(Data!W130&gt;0,4-Data!W130,"")</f>
        <v>2</v>
      </c>
      <c r="X130" s="1">
        <f>IF(Data!X130&gt;0,4-Data!X130,"")</f>
        <v>0</v>
      </c>
      <c r="Y130" s="1">
        <f>IF(Data!Y130&gt;0,4-Data!Y130,"")</f>
        <v>1</v>
      </c>
      <c r="Z130" s="1">
        <f>IF(Data!Z130&gt;0,Data!Z130-4,"")</f>
        <v>-1</v>
      </c>
      <c r="AC130" s="4" t="str">
        <f t="shared" si="16"/>
        <v/>
      </c>
      <c r="AD130" s="4" t="str">
        <f t="shared" si="17"/>
        <v/>
      </c>
      <c r="AE130" s="4" t="str">
        <f t="shared" si="18"/>
        <v/>
      </c>
      <c r="AF130" s="4" t="str">
        <f t="shared" si="19"/>
        <v/>
      </c>
      <c r="AG130" s="4">
        <f t="shared" si="20"/>
        <v>1</v>
      </c>
      <c r="AH130" s="4" t="str">
        <f t="shared" si="21"/>
        <v/>
      </c>
      <c r="AI130" s="2">
        <f t="shared" si="22"/>
        <v>1</v>
      </c>
      <c r="AK130" s="2">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8</v>
      </c>
    </row>
    <row r="131" spans="1:37">
      <c r="A131" s="1">
        <f>IF(Data!A131&gt;0,Data!A131-4,"")</f>
        <v>1</v>
      </c>
      <c r="B131" s="1">
        <f>IF(Data!B131&gt;0,Data!B131-4,"")</f>
        <v>3</v>
      </c>
      <c r="C131" s="1">
        <f>IF(Data!C131&gt;0,4-Data!C131,"")</f>
        <v>1</v>
      </c>
      <c r="D131" s="1">
        <f>IF(Data!D131&gt;0,4-Data!D131,"")</f>
        <v>3</v>
      </c>
      <c r="E131" s="1">
        <f>IF(Data!E131&gt;0,4-Data!E131,"")</f>
        <v>0</v>
      </c>
      <c r="F131" s="1">
        <f>IF(Data!F131&gt;0,Data!F131-4,"")</f>
        <v>1</v>
      </c>
      <c r="G131" s="1">
        <f>IF(Data!G131&gt;0,Data!G131-4,"")</f>
        <v>1</v>
      </c>
      <c r="H131" s="1">
        <f>IF(Data!H131&gt;0,Data!H131-4,"")</f>
        <v>1</v>
      </c>
      <c r="I131" s="1">
        <f>IF(Data!I131&gt;0,4-Data!I131,"")</f>
        <v>1</v>
      </c>
      <c r="J131" s="1">
        <f>IF(Data!J131&gt;0,4-Data!J131,"")</f>
        <v>0</v>
      </c>
      <c r="K131" s="1">
        <f>IF(Data!K131&gt;0,Data!K131-4,"")</f>
        <v>1</v>
      </c>
      <c r="L131" s="1">
        <f>IF(Data!L131&gt;0,4-Data!L131,"")</f>
        <v>3</v>
      </c>
      <c r="M131" s="1">
        <f>IF(Data!M131&gt;0,Data!M131-4,"")</f>
        <v>2</v>
      </c>
      <c r="N131" s="1">
        <f>IF(Data!N131&gt;0,Data!N131-4,"")</f>
        <v>3</v>
      </c>
      <c r="O131" s="1">
        <f>IF(Data!O131&gt;0,Data!O131-4,"")</f>
        <v>0</v>
      </c>
      <c r="P131" s="1">
        <f>IF(Data!P131&gt;0,Data!P131-4,"")</f>
        <v>3</v>
      </c>
      <c r="Q131" s="1">
        <f>IF(Data!Q131&gt;0,4-Data!Q131,"")</f>
        <v>3</v>
      </c>
      <c r="R131" s="1">
        <f>IF(Data!R131&gt;0,4-Data!R131,"")</f>
        <v>0</v>
      </c>
      <c r="S131" s="1">
        <f>IF(Data!S131&gt;0,4-Data!S131,"")</f>
        <v>3</v>
      </c>
      <c r="T131" s="1">
        <f>IF(Data!T131&gt;0,Data!T131-4,"")</f>
        <v>3</v>
      </c>
      <c r="U131" s="1">
        <f>IF(Data!U131&gt;0,4-Data!U131,"")</f>
        <v>3</v>
      </c>
      <c r="V131" s="1">
        <f>IF(Data!V131&gt;0,Data!V131-4,"")</f>
        <v>1</v>
      </c>
      <c r="W131" s="1">
        <f>IF(Data!W131&gt;0,4-Data!W131,"")</f>
        <v>3</v>
      </c>
      <c r="X131" s="1">
        <f>IF(Data!X131&gt;0,4-Data!X131,"")</f>
        <v>1</v>
      </c>
      <c r="Y131" s="1">
        <f>IF(Data!Y131&gt;0,4-Data!Y131,"")</f>
        <v>2</v>
      </c>
      <c r="Z131" s="1">
        <f>IF(Data!Z131&gt;0,Data!Z131-4,"")</f>
        <v>-1</v>
      </c>
      <c r="AC131" s="4" t="str">
        <f t="shared" si="16"/>
        <v/>
      </c>
      <c r="AD131" s="4" t="str">
        <f t="shared" si="17"/>
        <v/>
      </c>
      <c r="AE131" s="4" t="str">
        <f t="shared" si="18"/>
        <v/>
      </c>
      <c r="AF131" s="4" t="str">
        <f t="shared" si="19"/>
        <v/>
      </c>
      <c r="AG131" s="4" t="str">
        <f t="shared" si="20"/>
        <v/>
      </c>
      <c r="AH131" s="4" t="str">
        <f t="shared" si="21"/>
        <v/>
      </c>
      <c r="AI131" s="2">
        <f t="shared" si="22"/>
        <v>0</v>
      </c>
      <c r="AK131" s="2">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6</v>
      </c>
    </row>
    <row r="132" spans="1:37">
      <c r="A132" s="1">
        <f>IF(Data!A132&gt;0,Data!A132-4,"")</f>
        <v>3</v>
      </c>
      <c r="B132" s="1">
        <f>IF(Data!B132&gt;0,Data!B132-4,"")</f>
        <v>3</v>
      </c>
      <c r="C132" s="1">
        <f>IF(Data!C132&gt;0,4-Data!C132,"")</f>
        <v>2</v>
      </c>
      <c r="D132" s="1">
        <f>IF(Data!D132&gt;0,4-Data!D132,"")</f>
        <v>3</v>
      </c>
      <c r="E132" s="1">
        <f>IF(Data!E132&gt;0,4-Data!E132,"")</f>
        <v>3</v>
      </c>
      <c r="F132" s="1">
        <f>IF(Data!F132&gt;0,Data!F132-4,"")</f>
        <v>0</v>
      </c>
      <c r="G132" s="1">
        <f>IF(Data!G132&gt;0,Data!G132-4,"")</f>
        <v>2</v>
      </c>
      <c r="H132" s="1">
        <f>IF(Data!H132&gt;0,Data!H132-4,"")</f>
        <v>0</v>
      </c>
      <c r="I132" s="1">
        <f>IF(Data!I132&gt;0,4-Data!I132,"")</f>
        <v>2</v>
      </c>
      <c r="J132" s="1">
        <f>IF(Data!J132&gt;0,4-Data!J132,"")</f>
        <v>2</v>
      </c>
      <c r="K132" s="1">
        <f>IF(Data!K132&gt;0,Data!K132-4,"")</f>
        <v>0</v>
      </c>
      <c r="L132" s="1">
        <f>IF(Data!L132&gt;0,4-Data!L132,"")</f>
        <v>3</v>
      </c>
      <c r="M132" s="1">
        <f>IF(Data!M132&gt;0,Data!M132-4,"")</f>
        <v>3</v>
      </c>
      <c r="N132" s="1">
        <f>IF(Data!N132&gt;0,Data!N132-4,"")</f>
        <v>3</v>
      </c>
      <c r="O132" s="1">
        <f>IF(Data!O132&gt;0,Data!O132-4,"")</f>
        <v>2</v>
      </c>
      <c r="P132" s="1">
        <f>IF(Data!P132&gt;0,Data!P132-4,"")</f>
        <v>3</v>
      </c>
      <c r="Q132" s="1">
        <f>IF(Data!Q132&gt;0,4-Data!Q132,"")</f>
        <v>3</v>
      </c>
      <c r="R132" s="1">
        <f>IF(Data!R132&gt;0,4-Data!R132,"")</f>
        <v>3</v>
      </c>
      <c r="S132" s="1">
        <f>IF(Data!S132&gt;0,4-Data!S132,"")</f>
        <v>3</v>
      </c>
      <c r="T132" s="1">
        <f>IF(Data!T132&gt;0,Data!T132-4,"")</f>
        <v>3</v>
      </c>
      <c r="U132" s="1">
        <f>IF(Data!U132&gt;0,4-Data!U132,"")</f>
        <v>3</v>
      </c>
      <c r="V132" s="1">
        <f>IF(Data!V132&gt;0,Data!V132-4,"")</f>
        <v>3</v>
      </c>
      <c r="W132" s="1">
        <f>IF(Data!W132&gt;0,4-Data!W132,"")</f>
        <v>3</v>
      </c>
      <c r="X132" s="1">
        <f>IF(Data!X132&gt;0,4-Data!X132,"")</f>
        <v>0</v>
      </c>
      <c r="Y132" s="1">
        <f>IF(Data!Y132&gt;0,4-Data!Y132,"")</f>
        <v>3</v>
      </c>
      <c r="Z132" s="1">
        <f>IF(Data!Z132&gt;0,Data!Z132-4,"")</f>
        <v>0</v>
      </c>
      <c r="AC132" s="4" t="str">
        <f t="shared" si="16"/>
        <v/>
      </c>
      <c r="AD132" s="4" t="str">
        <f t="shared" si="17"/>
        <v/>
      </c>
      <c r="AE132" s="4" t="str">
        <f t="shared" si="18"/>
        <v/>
      </c>
      <c r="AF132" s="4" t="str">
        <f t="shared" si="19"/>
        <v/>
      </c>
      <c r="AG132" s="4" t="str">
        <f t="shared" si="20"/>
        <v/>
      </c>
      <c r="AH132" s="4" t="str">
        <f t="shared" si="21"/>
        <v/>
      </c>
      <c r="AI132" s="2">
        <f t="shared" si="22"/>
        <v>0</v>
      </c>
      <c r="AK132" s="2">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9</v>
      </c>
    </row>
    <row r="133" spans="1:37">
      <c r="A133" s="1">
        <f>IF(Data!A133&gt;0,Data!A133-4,"")</f>
        <v>2</v>
      </c>
      <c r="B133" s="1">
        <f>IF(Data!B133&gt;0,Data!B133-4,"")</f>
        <v>3</v>
      </c>
      <c r="C133" s="1">
        <f>IF(Data!C133&gt;0,4-Data!C133,"")</f>
        <v>-1</v>
      </c>
      <c r="D133" s="1">
        <f>IF(Data!D133&gt;0,4-Data!D133,"")</f>
        <v>2</v>
      </c>
      <c r="E133" s="1">
        <f>IF(Data!E133&gt;0,4-Data!E133,"")</f>
        <v>1</v>
      </c>
      <c r="F133" s="1">
        <f>IF(Data!F133&gt;0,Data!F133-4,"")</f>
        <v>1</v>
      </c>
      <c r="G133" s="1">
        <f>IF(Data!G133&gt;0,Data!G133-4,"")</f>
        <v>0</v>
      </c>
      <c r="H133" s="1">
        <f>IF(Data!H133&gt;0,Data!H133-4,"")</f>
        <v>0</v>
      </c>
      <c r="I133" s="1">
        <f>IF(Data!I133&gt;0,4-Data!I133,"")</f>
        <v>2</v>
      </c>
      <c r="J133" s="1">
        <f>IF(Data!J133&gt;0,4-Data!J133,"")</f>
        <v>1</v>
      </c>
      <c r="K133" s="1">
        <f>IF(Data!K133&gt;0,Data!K133-4,"")</f>
        <v>0</v>
      </c>
      <c r="L133" s="1">
        <f>IF(Data!L133&gt;0,4-Data!L133,"")</f>
        <v>2</v>
      </c>
      <c r="M133" s="1">
        <f>IF(Data!M133&gt;0,Data!M133-4,"")</f>
        <v>2</v>
      </c>
      <c r="N133" s="1">
        <f>IF(Data!N133&gt;0,Data!N133-4,"")</f>
        <v>1</v>
      </c>
      <c r="O133" s="1">
        <f>IF(Data!O133&gt;0,Data!O133-4,"")</f>
        <v>2</v>
      </c>
      <c r="P133" s="1">
        <f>IF(Data!P133&gt;0,Data!P133-4,"")</f>
        <v>1</v>
      </c>
      <c r="Q133" s="1">
        <f>IF(Data!Q133&gt;0,4-Data!Q133,"")</f>
        <v>2</v>
      </c>
      <c r="R133" s="1">
        <f>IF(Data!R133&gt;0,4-Data!R133,"")</f>
        <v>0</v>
      </c>
      <c r="S133" s="1">
        <f>IF(Data!S133&gt;0,4-Data!S133,"")</f>
        <v>2</v>
      </c>
      <c r="T133" s="1">
        <f>IF(Data!T133&gt;0,Data!T133-4,"")</f>
        <v>3</v>
      </c>
      <c r="U133" s="1">
        <f>IF(Data!U133&gt;0,4-Data!U133,"")</f>
        <v>3</v>
      </c>
      <c r="V133" s="1">
        <f>IF(Data!V133&gt;0,Data!V133-4,"")</f>
        <v>3</v>
      </c>
      <c r="W133" s="1">
        <f>IF(Data!W133&gt;0,4-Data!W133,"")</f>
        <v>1</v>
      </c>
      <c r="X133" s="1">
        <f>IF(Data!X133&gt;0,4-Data!X133,"")</f>
        <v>0</v>
      </c>
      <c r="Y133" s="1">
        <f>IF(Data!Y133&gt;0,4-Data!Y133,"")</f>
        <v>0</v>
      </c>
      <c r="Z133" s="1">
        <f>IF(Data!Z133&gt;0,Data!Z133-4,"")</f>
        <v>0</v>
      </c>
      <c r="AC133" s="4" t="str">
        <f t="shared" ref="AC133:AC196" si="23">IF((MAX(A133,L133,N133,P133,X133,Y133)-MIN(A133,L133,N133,P133,X133,Y133))&gt;3,1,"")</f>
        <v/>
      </c>
      <c r="AD133" s="4" t="str">
        <f t="shared" ref="AD133:AD196" si="24">IF((MAX(B133,D133,M133,U133)-MIN(B133,D133,M133,U133))&gt;3,1,"")</f>
        <v/>
      </c>
      <c r="AE133" s="4" t="str">
        <f t="shared" ref="AE133:AE196" si="25">IF((MAX(I133,T133,V133,W133)-MIN(I133,T133,V133,W133))&gt;3,1,"")</f>
        <v/>
      </c>
      <c r="AF133" s="4" t="str">
        <f t="shared" ref="AF133:AF196" si="26">IF((MAX(H133,K133,Q133,S133)-MIN(H133,K133,Q133,S133))&gt;3,1,"")</f>
        <v/>
      </c>
      <c r="AG133" s="4" t="str">
        <f t="shared" ref="AG133:AG196" si="27">IF((MAX(E133,F133,G133,R133)-MIN(E133,F133,G133,R133))&gt;3,1,"")</f>
        <v/>
      </c>
      <c r="AH133" s="4" t="str">
        <f t="shared" ref="AH133:AH196" si="28">IF((MAX(C133,J133,O133,Z133)-MIN(C133,J133,O133,Z133))&gt;3,1,"")</f>
        <v/>
      </c>
      <c r="AI133" s="2">
        <f t="shared" ref="AI133:AI196" si="29">IF(COUNT(A133:Z133)&gt;0,IF(COUNT(AC133,AD133,AE133,AF133,AG133,AH133)&gt;0,SUM(AC133,AD133,AE133,AF133,AG133,AH133),0),"")</f>
        <v>0</v>
      </c>
      <c r="AK133" s="2">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7</v>
      </c>
    </row>
    <row r="134" spans="1:37">
      <c r="A134" s="1">
        <f>IF(Data!A134&gt;0,Data!A134-4,"")</f>
        <v>0</v>
      </c>
      <c r="B134" s="1">
        <f>IF(Data!B134&gt;0,Data!B134-4,"")</f>
        <v>0</v>
      </c>
      <c r="C134" s="1">
        <f>IF(Data!C134&gt;0,4-Data!C134,"")</f>
        <v>2</v>
      </c>
      <c r="D134" s="1">
        <f>IF(Data!D134&gt;0,4-Data!D134,"")</f>
        <v>1</v>
      </c>
      <c r="E134" s="1">
        <f>IF(Data!E134&gt;0,4-Data!E134,"")</f>
        <v>2</v>
      </c>
      <c r="F134" s="1">
        <f>IF(Data!F134&gt;0,Data!F134-4,"")</f>
        <v>0</v>
      </c>
      <c r="G134" s="1">
        <f>IF(Data!G134&gt;0,Data!G134-4,"")</f>
        <v>0</v>
      </c>
      <c r="H134" s="1">
        <f>IF(Data!H134&gt;0,Data!H134-4,"")</f>
        <v>1</v>
      </c>
      <c r="I134" s="1">
        <f>IF(Data!I134&gt;0,4-Data!I134,"")</f>
        <v>1</v>
      </c>
      <c r="J134" s="1">
        <f>IF(Data!J134&gt;0,4-Data!J134,"")</f>
        <v>2</v>
      </c>
      <c r="K134" s="1">
        <f>IF(Data!K134&gt;0,Data!K134-4,"")</f>
        <v>0</v>
      </c>
      <c r="L134" s="1">
        <f>IF(Data!L134&gt;0,4-Data!L134,"")</f>
        <v>1</v>
      </c>
      <c r="M134" s="1">
        <f>IF(Data!M134&gt;0,Data!M134-4,"")</f>
        <v>0</v>
      </c>
      <c r="N134" s="1">
        <f>IF(Data!N134&gt;0,Data!N134-4,"")</f>
        <v>1</v>
      </c>
      <c r="O134" s="1">
        <f>IF(Data!O134&gt;0,Data!O134-4,"")</f>
        <v>1</v>
      </c>
      <c r="P134" s="1">
        <f>IF(Data!P134&gt;0,Data!P134-4,"")</f>
        <v>1</v>
      </c>
      <c r="Q134" s="1">
        <f>IF(Data!Q134&gt;0,4-Data!Q134,"")</f>
        <v>1</v>
      </c>
      <c r="R134" s="1">
        <f>IF(Data!R134&gt;0,4-Data!R134,"")</f>
        <v>1</v>
      </c>
      <c r="S134" s="1">
        <f>IF(Data!S134&gt;0,4-Data!S134,"")</f>
        <v>2</v>
      </c>
      <c r="T134" s="1">
        <f>IF(Data!T134&gt;0,Data!T134-4,"")</f>
        <v>1</v>
      </c>
      <c r="U134" s="1">
        <f>IF(Data!U134&gt;0,4-Data!U134,"")</f>
        <v>1</v>
      </c>
      <c r="V134" s="1">
        <f>IF(Data!V134&gt;0,Data!V134-4,"")</f>
        <v>2</v>
      </c>
      <c r="W134" s="1">
        <f>IF(Data!W134&gt;0,4-Data!W134,"")</f>
        <v>2</v>
      </c>
      <c r="X134" s="1">
        <f>IF(Data!X134&gt;0,4-Data!X134,"")</f>
        <v>0</v>
      </c>
      <c r="Y134" s="1">
        <f>IF(Data!Y134&gt;0,4-Data!Y134,"")</f>
        <v>1</v>
      </c>
      <c r="Z134" s="1">
        <f>IF(Data!Z134&gt;0,Data!Z134-4,"")</f>
        <v>2</v>
      </c>
      <c r="AC134" s="4" t="str">
        <f t="shared" si="23"/>
        <v/>
      </c>
      <c r="AD134" s="4" t="str">
        <f t="shared" si="24"/>
        <v/>
      </c>
      <c r="AE134" s="4" t="str">
        <f t="shared" si="25"/>
        <v/>
      </c>
      <c r="AF134" s="4" t="str">
        <f t="shared" si="26"/>
        <v/>
      </c>
      <c r="AG134" s="4" t="str">
        <f t="shared" si="27"/>
        <v/>
      </c>
      <c r="AH134" s="4" t="str">
        <f t="shared" si="28"/>
        <v/>
      </c>
      <c r="AI134" s="2">
        <f t="shared" si="29"/>
        <v>0</v>
      </c>
      <c r="AK134" s="2">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7</v>
      </c>
    </row>
    <row r="135" spans="1:37">
      <c r="A135" s="1">
        <f>IF(Data!A135&gt;0,Data!A135-4,"")</f>
        <v>3</v>
      </c>
      <c r="B135" s="1">
        <f>IF(Data!B135&gt;0,Data!B135-4,"")</f>
        <v>2</v>
      </c>
      <c r="C135" s="1">
        <f>IF(Data!C135&gt;0,4-Data!C135,"")</f>
        <v>1</v>
      </c>
      <c r="D135" s="1">
        <f>IF(Data!D135&gt;0,4-Data!D135,"")</f>
        <v>2</v>
      </c>
      <c r="E135" s="1">
        <f>IF(Data!E135&gt;0,4-Data!E135,"")</f>
        <v>2</v>
      </c>
      <c r="F135" s="1">
        <f>IF(Data!F135&gt;0,Data!F135-4,"")</f>
        <v>1</v>
      </c>
      <c r="G135" s="1">
        <f>IF(Data!G135&gt;0,Data!G135-4,"")</f>
        <v>2</v>
      </c>
      <c r="H135" s="1">
        <f>IF(Data!H135&gt;0,Data!H135-4,"")</f>
        <v>1</v>
      </c>
      <c r="I135" s="1">
        <f>IF(Data!I135&gt;0,4-Data!I135,"")</f>
        <v>1</v>
      </c>
      <c r="J135" s="1">
        <f>IF(Data!J135&gt;0,4-Data!J135,"")</f>
        <v>2</v>
      </c>
      <c r="K135" s="1">
        <f>IF(Data!K135&gt;0,Data!K135-4,"")</f>
        <v>1</v>
      </c>
      <c r="L135" s="1">
        <f>IF(Data!L135&gt;0,4-Data!L135,"")</f>
        <v>1</v>
      </c>
      <c r="M135" s="1">
        <f>IF(Data!M135&gt;0,Data!M135-4,"")</f>
        <v>0</v>
      </c>
      <c r="N135" s="1">
        <f>IF(Data!N135&gt;0,Data!N135-4,"")</f>
        <v>2</v>
      </c>
      <c r="O135" s="1">
        <f>IF(Data!O135&gt;0,Data!O135-4,"")</f>
        <v>1</v>
      </c>
      <c r="P135" s="1">
        <f>IF(Data!P135&gt;0,Data!P135-4,"")</f>
        <v>2</v>
      </c>
      <c r="Q135" s="1">
        <f>IF(Data!Q135&gt;0,4-Data!Q135,"")</f>
        <v>2</v>
      </c>
      <c r="R135" s="1">
        <f>IF(Data!R135&gt;0,4-Data!R135,"")</f>
        <v>1</v>
      </c>
      <c r="S135" s="1">
        <f>IF(Data!S135&gt;0,4-Data!S135,"")</f>
        <v>2</v>
      </c>
      <c r="T135" s="1">
        <f>IF(Data!T135&gt;0,Data!T135-4,"")</f>
        <v>2</v>
      </c>
      <c r="U135" s="1">
        <f>IF(Data!U135&gt;0,4-Data!U135,"")</f>
        <v>2</v>
      </c>
      <c r="V135" s="1">
        <f>IF(Data!V135&gt;0,Data!V135-4,"")</f>
        <v>2</v>
      </c>
      <c r="W135" s="1">
        <f>IF(Data!W135&gt;0,4-Data!W135,"")</f>
        <v>1</v>
      </c>
      <c r="X135" s="1">
        <f>IF(Data!X135&gt;0,4-Data!X135,"")</f>
        <v>1</v>
      </c>
      <c r="Y135" s="1">
        <f>IF(Data!Y135&gt;0,4-Data!Y135,"")</f>
        <v>1</v>
      </c>
      <c r="Z135" s="1">
        <f>IF(Data!Z135&gt;0,Data!Z135-4,"")</f>
        <v>1</v>
      </c>
      <c r="AC135" s="4" t="str">
        <f t="shared" si="23"/>
        <v/>
      </c>
      <c r="AD135" s="4" t="str">
        <f t="shared" si="24"/>
        <v/>
      </c>
      <c r="AE135" s="4" t="str">
        <f t="shared" si="25"/>
        <v/>
      </c>
      <c r="AF135" s="4" t="str">
        <f t="shared" si="26"/>
        <v/>
      </c>
      <c r="AG135" s="4" t="str">
        <f t="shared" si="27"/>
        <v/>
      </c>
      <c r="AH135" s="4" t="str">
        <f t="shared" si="28"/>
        <v/>
      </c>
      <c r="AI135" s="2">
        <f t="shared" si="29"/>
        <v>0</v>
      </c>
      <c r="AK135" s="2">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7</v>
      </c>
    </row>
    <row r="136" spans="1:37">
      <c r="A136" s="1">
        <f>IF(Data!A136&gt;0,Data!A136-4,"")</f>
        <v>1</v>
      </c>
      <c r="B136" s="1">
        <f>IF(Data!B136&gt;0,Data!B136-4,"")</f>
        <v>1</v>
      </c>
      <c r="C136" s="1">
        <f>IF(Data!C136&gt;0,4-Data!C136,"")</f>
        <v>0</v>
      </c>
      <c r="D136" s="1">
        <f>IF(Data!D136&gt;0,4-Data!D136,"")</f>
        <v>2</v>
      </c>
      <c r="E136" s="1">
        <f>IF(Data!E136&gt;0,4-Data!E136,"")</f>
        <v>1</v>
      </c>
      <c r="F136" s="1">
        <f>IF(Data!F136&gt;0,Data!F136-4,"")</f>
        <v>1</v>
      </c>
      <c r="G136" s="1">
        <f>IF(Data!G136&gt;0,Data!G136-4,"")</f>
        <v>1</v>
      </c>
      <c r="H136" s="1">
        <f>IF(Data!H136&gt;0,Data!H136-4,"")</f>
        <v>1</v>
      </c>
      <c r="I136" s="1">
        <f>IF(Data!I136&gt;0,4-Data!I136,"")</f>
        <v>1</v>
      </c>
      <c r="J136" s="1">
        <f>IF(Data!J136&gt;0,4-Data!J136,"")</f>
        <v>-1</v>
      </c>
      <c r="K136" s="1">
        <f>IF(Data!K136&gt;0,Data!K136-4,"")</f>
        <v>1</v>
      </c>
      <c r="L136" s="1">
        <f>IF(Data!L136&gt;0,4-Data!L136,"")</f>
        <v>1</v>
      </c>
      <c r="M136" s="1">
        <f>IF(Data!M136&gt;0,Data!M136-4,"")</f>
        <v>1</v>
      </c>
      <c r="N136" s="1">
        <f>IF(Data!N136&gt;0,Data!N136-4,"")</f>
        <v>1</v>
      </c>
      <c r="O136" s="1">
        <f>IF(Data!O136&gt;0,Data!O136-4,"")</f>
        <v>-1</v>
      </c>
      <c r="P136" s="1">
        <f>IF(Data!P136&gt;0,Data!P136-4,"")</f>
        <v>1</v>
      </c>
      <c r="Q136" s="1">
        <f>IF(Data!Q136&gt;0,4-Data!Q136,"")</f>
        <v>1</v>
      </c>
      <c r="R136" s="1">
        <f>IF(Data!R136&gt;0,4-Data!R136,"")</f>
        <v>0</v>
      </c>
      <c r="S136" s="1">
        <f>IF(Data!S136&gt;0,4-Data!S136,"")</f>
        <v>2</v>
      </c>
      <c r="T136" s="1">
        <f>IF(Data!T136&gt;0,Data!T136-4,"")</f>
        <v>2</v>
      </c>
      <c r="U136" s="1">
        <f>IF(Data!U136&gt;0,4-Data!U136,"")</f>
        <v>2</v>
      </c>
      <c r="V136" s="1">
        <f>IF(Data!V136&gt;0,Data!V136-4,"")</f>
        <v>-2</v>
      </c>
      <c r="W136" s="1">
        <f>IF(Data!W136&gt;0,4-Data!W136,"")</f>
        <v>2</v>
      </c>
      <c r="X136" s="1">
        <f>IF(Data!X136&gt;0,4-Data!X136,"")</f>
        <v>1</v>
      </c>
      <c r="Y136" s="1">
        <f>IF(Data!Y136&gt;0,4-Data!Y136,"")</f>
        <v>2</v>
      </c>
      <c r="Z136" s="1">
        <f>IF(Data!Z136&gt;0,Data!Z136-4,"")</f>
        <v>0</v>
      </c>
      <c r="AC136" s="4" t="str">
        <f t="shared" si="23"/>
        <v/>
      </c>
      <c r="AD136" s="4" t="str">
        <f t="shared" si="24"/>
        <v/>
      </c>
      <c r="AE136" s="4">
        <f t="shared" si="25"/>
        <v>1</v>
      </c>
      <c r="AF136" s="4" t="str">
        <f t="shared" si="26"/>
        <v/>
      </c>
      <c r="AG136" s="4" t="str">
        <f t="shared" si="27"/>
        <v/>
      </c>
      <c r="AH136" s="4" t="str">
        <f t="shared" si="28"/>
        <v/>
      </c>
      <c r="AI136" s="2">
        <f t="shared" si="29"/>
        <v>1</v>
      </c>
      <c r="AK136" s="2">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10</v>
      </c>
    </row>
    <row r="137" spans="1:37">
      <c r="A137" s="1">
        <f>IF(Data!A137&gt;0,Data!A137-4,"")</f>
        <v>3</v>
      </c>
      <c r="B137" s="1">
        <f>IF(Data!B137&gt;0,Data!B137-4,"")</f>
        <v>3</v>
      </c>
      <c r="C137" s="1">
        <f>IF(Data!C137&gt;0,4-Data!C137,"")</f>
        <v>2</v>
      </c>
      <c r="D137" s="1">
        <f>IF(Data!D137&gt;0,4-Data!D137,"")</f>
        <v>3</v>
      </c>
      <c r="E137" s="1">
        <f>IF(Data!E137&gt;0,4-Data!E137,"")</f>
        <v>0</v>
      </c>
      <c r="F137" s="1">
        <f>IF(Data!F137&gt;0,Data!F137-4,"")</f>
        <v>2</v>
      </c>
      <c r="G137" s="1">
        <f>IF(Data!G137&gt;0,Data!G137-4,"")</f>
        <v>3</v>
      </c>
      <c r="H137" s="1">
        <f>IF(Data!H137&gt;0,Data!H137-4,"")</f>
        <v>1</v>
      </c>
      <c r="I137" s="1">
        <f>IF(Data!I137&gt;0,4-Data!I137,"")</f>
        <v>0</v>
      </c>
      <c r="J137" s="1">
        <f>IF(Data!J137&gt;0,4-Data!J137,"")</f>
        <v>1</v>
      </c>
      <c r="K137" s="1">
        <f>IF(Data!K137&gt;0,Data!K137-4,"")</f>
        <v>0</v>
      </c>
      <c r="L137" s="1">
        <f>IF(Data!L137&gt;0,4-Data!L137,"")</f>
        <v>3</v>
      </c>
      <c r="M137" s="1">
        <f>IF(Data!M137&gt;0,Data!M137-4,"")</f>
        <v>3</v>
      </c>
      <c r="N137" s="1">
        <f>IF(Data!N137&gt;0,Data!N137-4,"")</f>
        <v>3</v>
      </c>
      <c r="O137" s="1">
        <f>IF(Data!O137&gt;0,Data!O137-4,"")</f>
        <v>0</v>
      </c>
      <c r="P137" s="1">
        <f>IF(Data!P137&gt;0,Data!P137-4,"")</f>
        <v>2</v>
      </c>
      <c r="Q137" s="1">
        <f>IF(Data!Q137&gt;0,4-Data!Q137,"")</f>
        <v>2</v>
      </c>
      <c r="R137" s="1">
        <f>IF(Data!R137&gt;0,4-Data!R137,"")</f>
        <v>0</v>
      </c>
      <c r="S137" s="1">
        <f>IF(Data!S137&gt;0,4-Data!S137,"")</f>
        <v>3</v>
      </c>
      <c r="T137" s="1">
        <f>IF(Data!T137&gt;0,Data!T137-4,"")</f>
        <v>3</v>
      </c>
      <c r="U137" s="1">
        <f>IF(Data!U137&gt;0,4-Data!U137,"")</f>
        <v>3</v>
      </c>
      <c r="V137" s="1">
        <f>IF(Data!V137&gt;0,Data!V137-4,"")</f>
        <v>3</v>
      </c>
      <c r="W137" s="1">
        <f>IF(Data!W137&gt;0,4-Data!W137,"")</f>
        <v>2</v>
      </c>
      <c r="X137" s="1">
        <f>IF(Data!X137&gt;0,4-Data!X137,"")</f>
        <v>2</v>
      </c>
      <c r="Y137" s="1">
        <f>IF(Data!Y137&gt;0,4-Data!Y137,"")</f>
        <v>3</v>
      </c>
      <c r="Z137" s="1">
        <f>IF(Data!Z137&gt;0,Data!Z137-4,"")</f>
        <v>1</v>
      </c>
      <c r="AC137" s="4" t="str">
        <f t="shared" si="23"/>
        <v/>
      </c>
      <c r="AD137" s="4" t="str">
        <f t="shared" si="24"/>
        <v/>
      </c>
      <c r="AE137" s="4" t="str">
        <f t="shared" si="25"/>
        <v/>
      </c>
      <c r="AF137" s="4" t="str">
        <f t="shared" si="26"/>
        <v/>
      </c>
      <c r="AG137" s="4" t="str">
        <f t="shared" si="27"/>
        <v/>
      </c>
      <c r="AH137" s="4" t="str">
        <f t="shared" si="28"/>
        <v/>
      </c>
      <c r="AI137" s="2">
        <f t="shared" si="29"/>
        <v>0</v>
      </c>
      <c r="AK137" s="2">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7</v>
      </c>
    </row>
    <row r="138" spans="1:37">
      <c r="A138" s="1">
        <f>IF(Data!A138&gt;0,Data!A138-4,"")</f>
        <v>2</v>
      </c>
      <c r="B138" s="1">
        <f>IF(Data!B138&gt;0,Data!B138-4,"")</f>
        <v>3</v>
      </c>
      <c r="C138" s="1">
        <f>IF(Data!C138&gt;0,4-Data!C138,"")</f>
        <v>2</v>
      </c>
      <c r="D138" s="1">
        <f>IF(Data!D138&gt;0,4-Data!D138,"")</f>
        <v>3</v>
      </c>
      <c r="E138" s="1">
        <f>IF(Data!E138&gt;0,4-Data!E138,"")</f>
        <v>0</v>
      </c>
      <c r="F138" s="1">
        <f>IF(Data!F138&gt;0,Data!F138-4,"")</f>
        <v>2</v>
      </c>
      <c r="G138" s="1">
        <f>IF(Data!G138&gt;0,Data!G138-4,"")</f>
        <v>3</v>
      </c>
      <c r="H138" s="1">
        <f>IF(Data!H138&gt;0,Data!H138-4,"")</f>
        <v>3</v>
      </c>
      <c r="I138" s="1">
        <f>IF(Data!I138&gt;0,4-Data!I138,"")</f>
        <v>3</v>
      </c>
      <c r="J138" s="1">
        <f>IF(Data!J138&gt;0,4-Data!J138,"")</f>
        <v>1</v>
      </c>
      <c r="K138" s="1">
        <f>IF(Data!K138&gt;0,Data!K138-4,"")</f>
        <v>3</v>
      </c>
      <c r="L138" s="1">
        <f>IF(Data!L138&gt;0,4-Data!L138,"")</f>
        <v>3</v>
      </c>
      <c r="M138" s="1">
        <f>IF(Data!M138&gt;0,Data!M138-4,"")</f>
        <v>3</v>
      </c>
      <c r="N138" s="1">
        <f>IF(Data!N138&gt;0,Data!N138-4,"")</f>
        <v>1</v>
      </c>
      <c r="O138" s="1">
        <f>IF(Data!O138&gt;0,Data!O138-4,"")</f>
        <v>-1</v>
      </c>
      <c r="P138" s="1">
        <f>IF(Data!P138&gt;0,Data!P138-4,"")</f>
        <v>3</v>
      </c>
      <c r="Q138" s="1">
        <f>IF(Data!Q138&gt;0,4-Data!Q138,"")</f>
        <v>3</v>
      </c>
      <c r="R138" s="1">
        <f>IF(Data!R138&gt;0,4-Data!R138,"")</f>
        <v>0</v>
      </c>
      <c r="S138" s="1">
        <f>IF(Data!S138&gt;0,4-Data!S138,"")</f>
        <v>2</v>
      </c>
      <c r="T138" s="1">
        <f>IF(Data!T138&gt;0,Data!T138-4,"")</f>
        <v>3</v>
      </c>
      <c r="U138" s="1">
        <f>IF(Data!U138&gt;0,4-Data!U138,"")</f>
        <v>3</v>
      </c>
      <c r="V138" s="1">
        <f>IF(Data!V138&gt;0,Data!V138-4,"")</f>
        <v>3</v>
      </c>
      <c r="W138" s="1">
        <f>IF(Data!W138&gt;0,4-Data!W138,"")</f>
        <v>0</v>
      </c>
      <c r="X138" s="1">
        <f>IF(Data!X138&gt;0,4-Data!X138,"")</f>
        <v>0</v>
      </c>
      <c r="Y138" s="1">
        <f>IF(Data!Y138&gt;0,4-Data!Y138,"")</f>
        <v>3</v>
      </c>
      <c r="Z138" s="1">
        <f>IF(Data!Z138&gt;0,Data!Z138-4,"")</f>
        <v>2</v>
      </c>
      <c r="AC138" s="4" t="str">
        <f t="shared" si="23"/>
        <v/>
      </c>
      <c r="AD138" s="4" t="str">
        <f t="shared" si="24"/>
        <v/>
      </c>
      <c r="AE138" s="4" t="str">
        <f t="shared" si="25"/>
        <v/>
      </c>
      <c r="AF138" s="4" t="str">
        <f t="shared" si="26"/>
        <v/>
      </c>
      <c r="AG138" s="4" t="str">
        <f t="shared" si="27"/>
        <v/>
      </c>
      <c r="AH138" s="4" t="str">
        <f t="shared" si="28"/>
        <v/>
      </c>
      <c r="AI138" s="2">
        <f t="shared" si="29"/>
        <v>0</v>
      </c>
      <c r="AK138" s="2">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8</v>
      </c>
    </row>
    <row r="139" spans="1:37">
      <c r="A139" s="1">
        <f>IF(Data!A139&gt;0,Data!A139-4,"")</f>
        <v>0</v>
      </c>
      <c r="B139" s="1">
        <f>IF(Data!B139&gt;0,Data!B139-4,"")</f>
        <v>0</v>
      </c>
      <c r="C139" s="1">
        <f>IF(Data!C139&gt;0,4-Data!C139,"")</f>
        <v>1</v>
      </c>
      <c r="D139" s="1">
        <f>IF(Data!D139&gt;0,4-Data!D139,"")</f>
        <v>3</v>
      </c>
      <c r="E139" s="1">
        <f>IF(Data!E139&gt;0,4-Data!E139,"")</f>
        <v>2</v>
      </c>
      <c r="F139" s="1">
        <f>IF(Data!F139&gt;0,Data!F139-4,"")</f>
        <v>0</v>
      </c>
      <c r="G139" s="1">
        <f>IF(Data!G139&gt;0,Data!G139-4,"")</f>
        <v>0</v>
      </c>
      <c r="H139" s="1">
        <f>IF(Data!H139&gt;0,Data!H139-4,"")</f>
        <v>0</v>
      </c>
      <c r="I139" s="1">
        <f>IF(Data!I139&gt;0,4-Data!I139,"")</f>
        <v>3</v>
      </c>
      <c r="J139" s="1">
        <f>IF(Data!J139&gt;0,4-Data!J139,"")</f>
        <v>1</v>
      </c>
      <c r="K139" s="1">
        <f>IF(Data!K139&gt;0,Data!K139-4,"")</f>
        <v>1</v>
      </c>
      <c r="L139" s="1">
        <f>IF(Data!L139&gt;0,4-Data!L139,"")</f>
        <v>-2</v>
      </c>
      <c r="M139" s="1">
        <f>IF(Data!M139&gt;0,Data!M139-4,"")</f>
        <v>3</v>
      </c>
      <c r="N139" s="1">
        <f>IF(Data!N139&gt;0,Data!N139-4,"")</f>
        <v>-2</v>
      </c>
      <c r="O139" s="1">
        <f>IF(Data!O139&gt;0,Data!O139-4,"")</f>
        <v>2</v>
      </c>
      <c r="P139" s="1">
        <f>IF(Data!P139&gt;0,Data!P139-4,"")</f>
        <v>-2</v>
      </c>
      <c r="Q139" s="1">
        <f>IF(Data!Q139&gt;0,4-Data!Q139,"")</f>
        <v>3</v>
      </c>
      <c r="R139" s="1">
        <f>IF(Data!R139&gt;0,4-Data!R139,"")</f>
        <v>0</v>
      </c>
      <c r="S139" s="1">
        <f>IF(Data!S139&gt;0,4-Data!S139,"")</f>
        <v>3</v>
      </c>
      <c r="T139" s="1">
        <f>IF(Data!T139&gt;0,Data!T139-4,"")</f>
        <v>2</v>
      </c>
      <c r="U139" s="1">
        <f>IF(Data!U139&gt;0,4-Data!U139,"")</f>
        <v>3</v>
      </c>
      <c r="V139" s="1">
        <f>IF(Data!V139&gt;0,Data!V139-4,"")</f>
        <v>3</v>
      </c>
      <c r="W139" s="1">
        <f>IF(Data!W139&gt;0,4-Data!W139,"")</f>
        <v>0</v>
      </c>
      <c r="X139" s="1">
        <f>IF(Data!X139&gt;0,4-Data!X139,"")</f>
        <v>0</v>
      </c>
      <c r="Y139" s="1">
        <f>IF(Data!Y139&gt;0,4-Data!Y139,"")</f>
        <v>2</v>
      </c>
      <c r="Z139" s="1">
        <f>IF(Data!Z139&gt;0,Data!Z139-4,"")</f>
        <v>2</v>
      </c>
      <c r="AC139" s="4">
        <f t="shared" si="23"/>
        <v>1</v>
      </c>
      <c r="AD139" s="4" t="str">
        <f t="shared" si="24"/>
        <v/>
      </c>
      <c r="AE139" s="4" t="str">
        <f t="shared" si="25"/>
        <v/>
      </c>
      <c r="AF139" s="4" t="str">
        <f t="shared" si="26"/>
        <v/>
      </c>
      <c r="AG139" s="4" t="str">
        <f t="shared" si="27"/>
        <v/>
      </c>
      <c r="AH139" s="4" t="str">
        <f t="shared" si="28"/>
        <v/>
      </c>
      <c r="AI139" s="2">
        <f t="shared" si="29"/>
        <v>1</v>
      </c>
      <c r="AK139" s="2">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8</v>
      </c>
    </row>
    <row r="140" spans="1:37">
      <c r="A140" s="1">
        <f>IF(Data!A140&gt;0,Data!A140-4,"")</f>
        <v>2</v>
      </c>
      <c r="B140" s="1">
        <f>IF(Data!B140&gt;0,Data!B140-4,"")</f>
        <v>3</v>
      </c>
      <c r="C140" s="1">
        <f>IF(Data!C140&gt;0,4-Data!C140,"")</f>
        <v>1</v>
      </c>
      <c r="D140" s="1">
        <f>IF(Data!D140&gt;0,4-Data!D140,"")</f>
        <v>2</v>
      </c>
      <c r="E140" s="1">
        <f>IF(Data!E140&gt;0,4-Data!E140,"")</f>
        <v>1</v>
      </c>
      <c r="F140" s="1">
        <f>IF(Data!F140&gt;0,Data!F140-4,"")</f>
        <v>2</v>
      </c>
      <c r="G140" s="1">
        <f>IF(Data!G140&gt;0,Data!G140-4,"")</f>
        <v>2</v>
      </c>
      <c r="H140" s="1">
        <f>IF(Data!H140&gt;0,Data!H140-4,"")</f>
        <v>0</v>
      </c>
      <c r="I140" s="1">
        <f>IF(Data!I140&gt;0,4-Data!I140,"")</f>
        <v>2</v>
      </c>
      <c r="J140" s="1">
        <f>IF(Data!J140&gt;0,4-Data!J140,"")</f>
        <v>1</v>
      </c>
      <c r="K140" s="1">
        <f>IF(Data!K140&gt;0,Data!K140-4,"")</f>
        <v>1</v>
      </c>
      <c r="L140" s="1">
        <f>IF(Data!L140&gt;0,4-Data!L140,"")</f>
        <v>2</v>
      </c>
      <c r="M140" s="1">
        <f>IF(Data!M140&gt;0,Data!M140-4,"")</f>
        <v>3</v>
      </c>
      <c r="N140" s="1">
        <f>IF(Data!N140&gt;0,Data!N140-4,"")</f>
        <v>2</v>
      </c>
      <c r="O140" s="1">
        <f>IF(Data!O140&gt;0,Data!O140-4,"")</f>
        <v>1</v>
      </c>
      <c r="P140" s="1">
        <f>IF(Data!P140&gt;0,Data!P140-4,"")</f>
        <v>1</v>
      </c>
      <c r="Q140" s="1">
        <f>IF(Data!Q140&gt;0,4-Data!Q140,"")</f>
        <v>2</v>
      </c>
      <c r="R140" s="1">
        <f>IF(Data!R140&gt;0,4-Data!R140,"")</f>
        <v>0</v>
      </c>
      <c r="S140" s="1">
        <f>IF(Data!S140&gt;0,4-Data!S140,"")</f>
        <v>1</v>
      </c>
      <c r="T140" s="1">
        <f>IF(Data!T140&gt;0,Data!T140-4,"")</f>
        <v>1</v>
      </c>
      <c r="U140" s="1">
        <f>IF(Data!U140&gt;0,4-Data!U140,"")</f>
        <v>2</v>
      </c>
      <c r="V140" s="1">
        <f>IF(Data!V140&gt;0,Data!V140-4,"")</f>
        <v>1</v>
      </c>
      <c r="W140" s="1">
        <f>IF(Data!W140&gt;0,4-Data!W140,"")</f>
        <v>2</v>
      </c>
      <c r="X140" s="1">
        <f>IF(Data!X140&gt;0,4-Data!X140,"")</f>
        <v>2</v>
      </c>
      <c r="Y140" s="1">
        <f>IF(Data!Y140&gt;0,4-Data!Y140,"")</f>
        <v>2</v>
      </c>
      <c r="Z140" s="1">
        <f>IF(Data!Z140&gt;0,Data!Z140-4,"")</f>
        <v>0</v>
      </c>
      <c r="AC140" s="4" t="str">
        <f t="shared" si="23"/>
        <v/>
      </c>
      <c r="AD140" s="4" t="str">
        <f t="shared" si="24"/>
        <v/>
      </c>
      <c r="AE140" s="4" t="str">
        <f t="shared" si="25"/>
        <v/>
      </c>
      <c r="AF140" s="4" t="str">
        <f t="shared" si="26"/>
        <v/>
      </c>
      <c r="AG140" s="4" t="str">
        <f t="shared" si="27"/>
        <v/>
      </c>
      <c r="AH140" s="4" t="str">
        <f t="shared" si="28"/>
        <v/>
      </c>
      <c r="AI140" s="2">
        <f t="shared" si="29"/>
        <v>0</v>
      </c>
      <c r="AK140" s="2">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8</v>
      </c>
    </row>
    <row r="141" spans="1:37">
      <c r="A141" s="1">
        <f>IF(Data!A141&gt;0,Data!A141-4,"")</f>
        <v>-2</v>
      </c>
      <c r="B141" s="1">
        <f>IF(Data!B141&gt;0,Data!B141-4,"")</f>
        <v>-1</v>
      </c>
      <c r="C141" s="1">
        <f>IF(Data!C141&gt;0,4-Data!C141,"")</f>
        <v>-2</v>
      </c>
      <c r="D141" s="1">
        <f>IF(Data!D141&gt;0,4-Data!D141,"")</f>
        <v>-3</v>
      </c>
      <c r="E141" s="1">
        <f>IF(Data!E141&gt;0,4-Data!E141,"")</f>
        <v>0</v>
      </c>
      <c r="F141" s="1">
        <f>IF(Data!F141&gt;0,Data!F141-4,"")</f>
        <v>-2</v>
      </c>
      <c r="G141" s="1">
        <f>IF(Data!G141&gt;0,Data!G141-4,"")</f>
        <v>-2</v>
      </c>
      <c r="H141" s="1">
        <f>IF(Data!H141&gt;0,Data!H141-4,"")</f>
        <v>-3</v>
      </c>
      <c r="I141" s="1">
        <f>IF(Data!I141&gt;0,4-Data!I141,"")</f>
        <v>1</v>
      </c>
      <c r="J141" s="1">
        <f>IF(Data!J141&gt;0,4-Data!J141,"")</f>
        <v>2</v>
      </c>
      <c r="K141" s="1">
        <f>IF(Data!K141&gt;0,Data!K141-4,"")</f>
        <v>-2</v>
      </c>
      <c r="L141" s="1">
        <f>IF(Data!L141&gt;0,4-Data!L141,"")</f>
        <v>0</v>
      </c>
      <c r="M141" s="1">
        <f>IF(Data!M141&gt;0,Data!M141-4,"")</f>
        <v>-3</v>
      </c>
      <c r="N141" s="1">
        <f>IF(Data!N141&gt;0,Data!N141-4,"")</f>
        <v>-2</v>
      </c>
      <c r="O141" s="1">
        <f>IF(Data!O141&gt;0,Data!O141-4,"")</f>
        <v>0</v>
      </c>
      <c r="P141" s="1">
        <f>IF(Data!P141&gt;0,Data!P141-4,"")</f>
        <v>-1</v>
      </c>
      <c r="Q141" s="1">
        <f>IF(Data!Q141&gt;0,4-Data!Q141,"")</f>
        <v>1</v>
      </c>
      <c r="R141" s="1">
        <f>IF(Data!R141&gt;0,4-Data!R141,"")</f>
        <v>0</v>
      </c>
      <c r="S141" s="1">
        <f>IF(Data!S141&gt;0,4-Data!S141,"")</f>
        <v>-2</v>
      </c>
      <c r="T141" s="1">
        <f>IF(Data!T141&gt;0,Data!T141-4,"")</f>
        <v>2</v>
      </c>
      <c r="U141" s="1">
        <f>IF(Data!U141&gt;0,4-Data!U141,"")</f>
        <v>-3</v>
      </c>
      <c r="V141" s="1">
        <f>IF(Data!V141&gt;0,Data!V141-4,"")</f>
        <v>1</v>
      </c>
      <c r="W141" s="1">
        <f>IF(Data!W141&gt;0,4-Data!W141,"")</f>
        <v>-2</v>
      </c>
      <c r="X141" s="1">
        <f>IF(Data!X141&gt;0,4-Data!X141,"")</f>
        <v>-2</v>
      </c>
      <c r="Y141" s="1">
        <f>IF(Data!Y141&gt;0,4-Data!Y141,"")</f>
        <v>-2</v>
      </c>
      <c r="Z141" s="1">
        <f>IF(Data!Z141&gt;0,Data!Z141-4,"")</f>
        <v>2</v>
      </c>
      <c r="AC141" s="4" t="str">
        <f t="shared" si="23"/>
        <v/>
      </c>
      <c r="AD141" s="4" t="str">
        <f t="shared" si="24"/>
        <v/>
      </c>
      <c r="AE141" s="4">
        <f t="shared" si="25"/>
        <v>1</v>
      </c>
      <c r="AF141" s="4">
        <f t="shared" si="26"/>
        <v>1</v>
      </c>
      <c r="AG141" s="4" t="str">
        <f t="shared" si="27"/>
        <v/>
      </c>
      <c r="AH141" s="4">
        <f t="shared" si="28"/>
        <v>1</v>
      </c>
      <c r="AI141" s="2">
        <f t="shared" si="29"/>
        <v>3</v>
      </c>
      <c r="AK141" s="2">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7</v>
      </c>
    </row>
    <row r="142" spans="1:37">
      <c r="A142" s="1">
        <f>IF(Data!A142&gt;0,Data!A142-4,"")</f>
        <v>2</v>
      </c>
      <c r="B142" s="1">
        <f>IF(Data!B142&gt;0,Data!B142-4,"")</f>
        <v>2</v>
      </c>
      <c r="C142" s="1">
        <f>IF(Data!C142&gt;0,4-Data!C142,"")</f>
        <v>0</v>
      </c>
      <c r="D142" s="1">
        <f>IF(Data!D142&gt;0,4-Data!D142,"")</f>
        <v>-2</v>
      </c>
      <c r="E142" s="1">
        <f>IF(Data!E142&gt;0,4-Data!E142,"")</f>
        <v>-2</v>
      </c>
      <c r="F142" s="1">
        <f>IF(Data!F142&gt;0,Data!F142-4,"")</f>
        <v>1</v>
      </c>
      <c r="G142" s="1">
        <f>IF(Data!G142&gt;0,Data!G142-4,"")</f>
        <v>1</v>
      </c>
      <c r="H142" s="1">
        <f>IF(Data!H142&gt;0,Data!H142-4,"")</f>
        <v>2</v>
      </c>
      <c r="I142" s="1">
        <f>IF(Data!I142&gt;0,4-Data!I142,"")</f>
        <v>2</v>
      </c>
      <c r="J142" s="1">
        <f>IF(Data!J142&gt;0,4-Data!J142,"")</f>
        <v>0</v>
      </c>
      <c r="K142" s="1">
        <f>IF(Data!K142&gt;0,Data!K142-4,"")</f>
        <v>0</v>
      </c>
      <c r="L142" s="1">
        <f>IF(Data!L142&gt;0,4-Data!L142,"")</f>
        <v>2</v>
      </c>
      <c r="M142" s="1">
        <f>IF(Data!M142&gt;0,Data!M142-4,"")</f>
        <v>2</v>
      </c>
      <c r="N142" s="1">
        <f>IF(Data!N142&gt;0,Data!N142-4,"")</f>
        <v>2</v>
      </c>
      <c r="O142" s="1">
        <f>IF(Data!O142&gt;0,Data!O142-4,"")</f>
        <v>1</v>
      </c>
      <c r="P142" s="1">
        <f>IF(Data!P142&gt;0,Data!P142-4,"")</f>
        <v>2</v>
      </c>
      <c r="Q142" s="1">
        <f>IF(Data!Q142&gt;0,4-Data!Q142,"")</f>
        <v>-2</v>
      </c>
      <c r="R142" s="1">
        <f>IF(Data!R142&gt;0,4-Data!R142,"")</f>
        <v>3</v>
      </c>
      <c r="S142" s="1">
        <f>IF(Data!S142&gt;0,4-Data!S142,"")</f>
        <v>1</v>
      </c>
      <c r="T142" s="1">
        <f>IF(Data!T142&gt;0,Data!T142-4,"")</f>
        <v>2</v>
      </c>
      <c r="U142" s="1">
        <f>IF(Data!U142&gt;0,4-Data!U142,"")</f>
        <v>3</v>
      </c>
      <c r="V142" s="1">
        <f>IF(Data!V142&gt;0,Data!V142-4,"")</f>
        <v>1</v>
      </c>
      <c r="W142" s="1">
        <f>IF(Data!W142&gt;0,4-Data!W142,"")</f>
        <v>1</v>
      </c>
      <c r="X142" s="1">
        <f>IF(Data!X142&gt;0,4-Data!X142,"")</f>
        <v>2</v>
      </c>
      <c r="Y142" s="1">
        <f>IF(Data!Y142&gt;0,4-Data!Y142,"")</f>
        <v>2</v>
      </c>
      <c r="Z142" s="1">
        <f>IF(Data!Z142&gt;0,Data!Z142-4,"")</f>
        <v>0</v>
      </c>
      <c r="AC142" s="4" t="str">
        <f t="shared" si="23"/>
        <v/>
      </c>
      <c r="AD142" s="4">
        <f t="shared" si="24"/>
        <v>1</v>
      </c>
      <c r="AE142" s="4" t="str">
        <f t="shared" si="25"/>
        <v/>
      </c>
      <c r="AF142" s="4">
        <f t="shared" si="26"/>
        <v>1</v>
      </c>
      <c r="AG142" s="4">
        <f t="shared" si="27"/>
        <v>1</v>
      </c>
      <c r="AH142" s="4" t="str">
        <f t="shared" si="28"/>
        <v/>
      </c>
      <c r="AI142" s="2">
        <f t="shared" si="29"/>
        <v>3</v>
      </c>
      <c r="AK142" s="2">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10</v>
      </c>
    </row>
    <row r="143" spans="1:37">
      <c r="A143" s="1">
        <f>IF(Data!A143&gt;0,Data!A143-4,"")</f>
        <v>-1</v>
      </c>
      <c r="B143" s="1">
        <f>IF(Data!B143&gt;0,Data!B143-4,"")</f>
        <v>3</v>
      </c>
      <c r="C143" s="1">
        <f>IF(Data!C143&gt;0,4-Data!C143,"")</f>
        <v>0</v>
      </c>
      <c r="D143" s="1">
        <f>IF(Data!D143&gt;0,4-Data!D143,"")</f>
        <v>3</v>
      </c>
      <c r="E143" s="1">
        <f>IF(Data!E143&gt;0,4-Data!E143,"")</f>
        <v>1</v>
      </c>
      <c r="F143" s="1">
        <f>IF(Data!F143&gt;0,Data!F143-4,"")</f>
        <v>0</v>
      </c>
      <c r="G143" s="1">
        <f>IF(Data!G143&gt;0,Data!G143-4,"")</f>
        <v>0</v>
      </c>
      <c r="H143" s="1">
        <f>IF(Data!H143&gt;0,Data!H143-4,"")</f>
        <v>3</v>
      </c>
      <c r="I143" s="1">
        <f>IF(Data!I143&gt;0,4-Data!I143,"")</f>
        <v>0</v>
      </c>
      <c r="J143" s="1">
        <f>IF(Data!J143&gt;0,4-Data!J143,"")</f>
        <v>0</v>
      </c>
      <c r="K143" s="1">
        <f>IF(Data!K143&gt;0,Data!K143-4,"")</f>
        <v>0</v>
      </c>
      <c r="L143" s="1">
        <f>IF(Data!L143&gt;0,4-Data!L143,"")</f>
        <v>0</v>
      </c>
      <c r="M143" s="1">
        <f>IF(Data!M143&gt;0,Data!M143-4,"")</f>
        <v>3</v>
      </c>
      <c r="N143" s="1">
        <f>IF(Data!N143&gt;0,Data!N143-4,"")</f>
        <v>2</v>
      </c>
      <c r="O143" s="1">
        <f>IF(Data!O143&gt;0,Data!O143-4,"")</f>
        <v>0</v>
      </c>
      <c r="P143" s="1">
        <f>IF(Data!P143&gt;0,Data!P143-4,"")</f>
        <v>0</v>
      </c>
      <c r="Q143" s="1">
        <f>IF(Data!Q143&gt;0,4-Data!Q143,"")</f>
        <v>-2</v>
      </c>
      <c r="R143" s="1">
        <f>IF(Data!R143&gt;0,4-Data!R143,"")</f>
        <v>-3</v>
      </c>
      <c r="S143" s="1">
        <f>IF(Data!S143&gt;0,4-Data!S143,"")</f>
        <v>0</v>
      </c>
      <c r="T143" s="1">
        <f>IF(Data!T143&gt;0,Data!T143-4,"")</f>
        <v>1</v>
      </c>
      <c r="U143" s="1">
        <f>IF(Data!U143&gt;0,4-Data!U143,"")</f>
        <v>3</v>
      </c>
      <c r="V143" s="1">
        <f>IF(Data!V143&gt;0,Data!V143-4,"")</f>
        <v>2</v>
      </c>
      <c r="W143" s="1">
        <f>IF(Data!W143&gt;0,4-Data!W143,"")</f>
        <v>-1</v>
      </c>
      <c r="X143" s="1">
        <f>IF(Data!X143&gt;0,4-Data!X143,"")</f>
        <v>0</v>
      </c>
      <c r="Y143" s="1">
        <f>IF(Data!Y143&gt;0,4-Data!Y143,"")</f>
        <v>0</v>
      </c>
      <c r="Z143" s="1">
        <f>IF(Data!Z143&gt;0,Data!Z143-4,"")</f>
        <v>-1</v>
      </c>
      <c r="AC143" s="4" t="str">
        <f t="shared" si="23"/>
        <v/>
      </c>
      <c r="AD143" s="4" t="str">
        <f t="shared" si="24"/>
        <v/>
      </c>
      <c r="AE143" s="4" t="str">
        <f t="shared" si="25"/>
        <v/>
      </c>
      <c r="AF143" s="4">
        <f t="shared" si="26"/>
        <v>1</v>
      </c>
      <c r="AG143" s="4">
        <f t="shared" si="27"/>
        <v>1</v>
      </c>
      <c r="AH143" s="4" t="str">
        <f t="shared" si="28"/>
        <v/>
      </c>
      <c r="AI143" s="2">
        <f t="shared" si="29"/>
        <v>2</v>
      </c>
      <c r="AK143" s="2">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12</v>
      </c>
    </row>
    <row r="144" spans="1:37">
      <c r="A144" s="1">
        <f>IF(Data!A144&gt;0,Data!A144-4,"")</f>
        <v>3</v>
      </c>
      <c r="B144" s="1">
        <f>IF(Data!B144&gt;0,Data!B144-4,"")</f>
        <v>3</v>
      </c>
      <c r="C144" s="1">
        <f>IF(Data!C144&gt;0,4-Data!C144,"")</f>
        <v>3</v>
      </c>
      <c r="D144" s="1">
        <f>IF(Data!D144&gt;0,4-Data!D144,"")</f>
        <v>2</v>
      </c>
      <c r="E144" s="1">
        <f>IF(Data!E144&gt;0,4-Data!E144,"")</f>
        <v>3</v>
      </c>
      <c r="F144" s="1">
        <f>IF(Data!F144&gt;0,Data!F144-4,"")</f>
        <v>2</v>
      </c>
      <c r="G144" s="1">
        <f>IF(Data!G144&gt;0,Data!G144-4,"")</f>
        <v>2</v>
      </c>
      <c r="H144" s="1">
        <f>IF(Data!H144&gt;0,Data!H144-4,"")</f>
        <v>0</v>
      </c>
      <c r="I144" s="1">
        <f>IF(Data!I144&gt;0,4-Data!I144,"")</f>
        <v>2</v>
      </c>
      <c r="J144" s="1">
        <f>IF(Data!J144&gt;0,4-Data!J144,"")</f>
        <v>2</v>
      </c>
      <c r="K144" s="1">
        <f>IF(Data!K144&gt;0,Data!K144-4,"")</f>
        <v>2</v>
      </c>
      <c r="L144" s="1">
        <f>IF(Data!L144&gt;0,4-Data!L144,"")</f>
        <v>2</v>
      </c>
      <c r="M144" s="1">
        <f>IF(Data!M144&gt;0,Data!M144-4,"")</f>
        <v>2</v>
      </c>
      <c r="N144" s="1">
        <f>IF(Data!N144&gt;0,Data!N144-4,"")</f>
        <v>2</v>
      </c>
      <c r="O144" s="1">
        <f>IF(Data!O144&gt;0,Data!O144-4,"")</f>
        <v>2</v>
      </c>
      <c r="P144" s="1">
        <f>IF(Data!P144&gt;0,Data!P144-4,"")</f>
        <v>2</v>
      </c>
      <c r="Q144" s="1">
        <f>IF(Data!Q144&gt;0,4-Data!Q144,"")</f>
        <v>3</v>
      </c>
      <c r="R144" s="1">
        <f>IF(Data!R144&gt;0,4-Data!R144,"")</f>
        <v>3</v>
      </c>
      <c r="S144" s="1">
        <f>IF(Data!S144&gt;0,4-Data!S144,"")</f>
        <v>2</v>
      </c>
      <c r="T144" s="1">
        <f>IF(Data!T144&gt;0,Data!T144-4,"")</f>
        <v>2</v>
      </c>
      <c r="U144" s="1">
        <f>IF(Data!U144&gt;0,4-Data!U144,"")</f>
        <v>2</v>
      </c>
      <c r="V144" s="1">
        <f>IF(Data!V144&gt;0,Data!V144-4,"")</f>
        <v>3</v>
      </c>
      <c r="W144" s="1">
        <f>IF(Data!W144&gt;0,4-Data!W144,"")</f>
        <v>3</v>
      </c>
      <c r="X144" s="1">
        <f>IF(Data!X144&gt;0,4-Data!X144,"")</f>
        <v>3</v>
      </c>
      <c r="Y144" s="1">
        <f>IF(Data!Y144&gt;0,4-Data!Y144,"")</f>
        <v>3</v>
      </c>
      <c r="Z144" s="1">
        <f>IF(Data!Z144&gt;0,Data!Z144-4,"")</f>
        <v>0</v>
      </c>
      <c r="AC144" s="4" t="str">
        <f t="shared" si="23"/>
        <v/>
      </c>
      <c r="AD144" s="4" t="str">
        <f t="shared" si="24"/>
        <v/>
      </c>
      <c r="AE144" s="4" t="str">
        <f t="shared" si="25"/>
        <v/>
      </c>
      <c r="AF144" s="4" t="str">
        <f t="shared" si="26"/>
        <v/>
      </c>
      <c r="AG144" s="4" t="str">
        <f t="shared" si="27"/>
        <v/>
      </c>
      <c r="AH144" s="4" t="str">
        <f t="shared" si="28"/>
        <v/>
      </c>
      <c r="AI144" s="2">
        <f t="shared" si="29"/>
        <v>0</v>
      </c>
      <c r="AK144" s="2">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8</v>
      </c>
    </row>
    <row r="145" spans="1:37">
      <c r="A145" s="1">
        <f>IF(Data!A145&gt;0,Data!A145-4,"")</f>
        <v>3</v>
      </c>
      <c r="B145" s="1">
        <f>IF(Data!B145&gt;0,Data!B145-4,"")</f>
        <v>3</v>
      </c>
      <c r="C145" s="1">
        <f>IF(Data!C145&gt;0,4-Data!C145,"")</f>
        <v>3</v>
      </c>
      <c r="D145" s="1">
        <f>IF(Data!D145&gt;0,4-Data!D145,"")</f>
        <v>3</v>
      </c>
      <c r="E145" s="1">
        <f>IF(Data!E145&gt;0,4-Data!E145,"")</f>
        <v>3</v>
      </c>
      <c r="F145" s="1">
        <f>IF(Data!F145&gt;0,Data!F145-4,"")</f>
        <v>2</v>
      </c>
      <c r="G145" s="1">
        <f>IF(Data!G145&gt;0,Data!G145-4,"")</f>
        <v>2</v>
      </c>
      <c r="H145" s="1">
        <f>IF(Data!H145&gt;0,Data!H145-4,"")</f>
        <v>0</v>
      </c>
      <c r="I145" s="1">
        <f>IF(Data!I145&gt;0,4-Data!I145,"")</f>
        <v>3</v>
      </c>
      <c r="J145" s="1">
        <f>IF(Data!J145&gt;0,4-Data!J145,"")</f>
        <v>-1</v>
      </c>
      <c r="K145" s="1">
        <f>IF(Data!K145&gt;0,Data!K145-4,"")</f>
        <v>2</v>
      </c>
      <c r="L145" s="1">
        <f>IF(Data!L145&gt;0,4-Data!L145,"")</f>
        <v>2</v>
      </c>
      <c r="M145" s="1">
        <f>IF(Data!M145&gt;0,Data!M145-4,"")</f>
        <v>2</v>
      </c>
      <c r="N145" s="1">
        <f>IF(Data!N145&gt;0,Data!N145-4,"")</f>
        <v>2</v>
      </c>
      <c r="O145" s="1">
        <f>IF(Data!O145&gt;0,Data!O145-4,"")</f>
        <v>1</v>
      </c>
      <c r="P145" s="1">
        <f>IF(Data!P145&gt;0,Data!P145-4,"")</f>
        <v>3</v>
      </c>
      <c r="Q145" s="1">
        <f>IF(Data!Q145&gt;0,4-Data!Q145,"")</f>
        <v>3</v>
      </c>
      <c r="R145" s="1">
        <f>IF(Data!R145&gt;0,4-Data!R145,"")</f>
        <v>2</v>
      </c>
      <c r="S145" s="1">
        <f>IF(Data!S145&gt;0,4-Data!S145,"")</f>
        <v>2</v>
      </c>
      <c r="T145" s="1">
        <f>IF(Data!T145&gt;0,Data!T145-4,"")</f>
        <v>2</v>
      </c>
      <c r="U145" s="1">
        <f>IF(Data!U145&gt;0,4-Data!U145,"")</f>
        <v>3</v>
      </c>
      <c r="V145" s="1">
        <f>IF(Data!V145&gt;0,Data!V145-4,"")</f>
        <v>2</v>
      </c>
      <c r="W145" s="1">
        <f>IF(Data!W145&gt;0,4-Data!W145,"")</f>
        <v>3</v>
      </c>
      <c r="X145" s="1">
        <f>IF(Data!X145&gt;0,4-Data!X145,"")</f>
        <v>3</v>
      </c>
      <c r="Y145" s="1">
        <f>IF(Data!Y145&gt;0,4-Data!Y145,"")</f>
        <v>3</v>
      </c>
      <c r="Z145" s="1">
        <f>IF(Data!Z145&gt;0,Data!Z145-4,"")</f>
        <v>-1</v>
      </c>
      <c r="AC145" s="4" t="str">
        <f t="shared" si="23"/>
        <v/>
      </c>
      <c r="AD145" s="4" t="str">
        <f t="shared" si="24"/>
        <v/>
      </c>
      <c r="AE145" s="4" t="str">
        <f t="shared" si="25"/>
        <v/>
      </c>
      <c r="AF145" s="4" t="str">
        <f t="shared" si="26"/>
        <v/>
      </c>
      <c r="AG145" s="4" t="str">
        <f t="shared" si="27"/>
        <v/>
      </c>
      <c r="AH145" s="4">
        <f t="shared" si="28"/>
        <v>1</v>
      </c>
      <c r="AI145" s="2">
        <f t="shared" si="29"/>
        <v>1</v>
      </c>
      <c r="AK145" s="2">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9</v>
      </c>
    </row>
    <row r="146" spans="1:37">
      <c r="A146" s="1">
        <f>IF(Data!A146&gt;0,Data!A146-4,"")</f>
        <v>2</v>
      </c>
      <c r="B146" s="1">
        <f>IF(Data!B146&gt;0,Data!B146-4,"")</f>
        <v>2</v>
      </c>
      <c r="C146" s="1">
        <f>IF(Data!C146&gt;0,4-Data!C146,"")</f>
        <v>2</v>
      </c>
      <c r="D146" s="1">
        <f>IF(Data!D146&gt;0,4-Data!D146,"")</f>
        <v>3</v>
      </c>
      <c r="E146" s="1">
        <f>IF(Data!E146&gt;0,4-Data!E146,"")</f>
        <v>2</v>
      </c>
      <c r="F146" s="1">
        <f>IF(Data!F146&gt;0,Data!F146-4,"")</f>
        <v>1</v>
      </c>
      <c r="G146" s="1">
        <f>IF(Data!G146&gt;0,Data!G146-4,"")</f>
        <v>3</v>
      </c>
      <c r="H146" s="1">
        <f>IF(Data!H146&gt;0,Data!H146-4,"")</f>
        <v>-1</v>
      </c>
      <c r="I146" s="1">
        <f>IF(Data!I146&gt;0,4-Data!I146,"")</f>
        <v>2</v>
      </c>
      <c r="J146" s="1">
        <f>IF(Data!J146&gt;0,4-Data!J146,"")</f>
        <v>2</v>
      </c>
      <c r="K146" s="1">
        <f>IF(Data!K146&gt;0,Data!K146-4,"")</f>
        <v>1</v>
      </c>
      <c r="L146" s="1">
        <f>IF(Data!L146&gt;0,4-Data!L146,"")</f>
        <v>2</v>
      </c>
      <c r="M146" s="1">
        <f>IF(Data!M146&gt;0,Data!M146-4,"")</f>
        <v>1</v>
      </c>
      <c r="N146" s="1">
        <f>IF(Data!N146&gt;0,Data!N146-4,"")</f>
        <v>2</v>
      </c>
      <c r="O146" s="1">
        <f>IF(Data!O146&gt;0,Data!O146-4,"")</f>
        <v>2</v>
      </c>
      <c r="P146" s="1">
        <f>IF(Data!P146&gt;0,Data!P146-4,"")</f>
        <v>1</v>
      </c>
      <c r="Q146" s="1">
        <f>IF(Data!Q146&gt;0,4-Data!Q146,"")</f>
        <v>2</v>
      </c>
      <c r="R146" s="1">
        <f>IF(Data!R146&gt;0,4-Data!R146,"")</f>
        <v>1</v>
      </c>
      <c r="S146" s="1">
        <f>IF(Data!S146&gt;0,4-Data!S146,"")</f>
        <v>3</v>
      </c>
      <c r="T146" s="1">
        <f>IF(Data!T146&gt;0,Data!T146-4,"")</f>
        <v>2</v>
      </c>
      <c r="U146" s="1">
        <f>IF(Data!U146&gt;0,4-Data!U146,"")</f>
        <v>1</v>
      </c>
      <c r="V146" s="1">
        <f>IF(Data!V146&gt;0,Data!V146-4,"")</f>
        <v>2</v>
      </c>
      <c r="W146" s="1">
        <f>IF(Data!W146&gt;0,4-Data!W146,"")</f>
        <v>2</v>
      </c>
      <c r="X146" s="1">
        <f>IF(Data!X146&gt;0,4-Data!X146,"")</f>
        <v>2</v>
      </c>
      <c r="Y146" s="1">
        <f>IF(Data!Y146&gt;0,4-Data!Y146,"")</f>
        <v>2</v>
      </c>
      <c r="Z146" s="1">
        <f>IF(Data!Z146&gt;0,Data!Z146-4,"")</f>
        <v>2</v>
      </c>
      <c r="AC146" s="4" t="str">
        <f t="shared" si="23"/>
        <v/>
      </c>
      <c r="AD146" s="4" t="str">
        <f t="shared" si="24"/>
        <v/>
      </c>
      <c r="AE146" s="4" t="str">
        <f t="shared" si="25"/>
        <v/>
      </c>
      <c r="AF146" s="4">
        <f t="shared" si="26"/>
        <v>1</v>
      </c>
      <c r="AG146" s="4" t="str">
        <f t="shared" si="27"/>
        <v/>
      </c>
      <c r="AH146" s="4" t="str">
        <f t="shared" si="28"/>
        <v/>
      </c>
      <c r="AI146" s="2">
        <f t="shared" si="29"/>
        <v>1</v>
      </c>
      <c r="AK146" s="2">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9</v>
      </c>
    </row>
    <row r="147" spans="1:37">
      <c r="A147" s="1">
        <f>IF(Data!A147&gt;0,Data!A147-4,"")</f>
        <v>1</v>
      </c>
      <c r="B147" s="1">
        <f>IF(Data!B147&gt;0,Data!B147-4,"")</f>
        <v>-2</v>
      </c>
      <c r="C147" s="1">
        <f>IF(Data!C147&gt;0,4-Data!C147,"")</f>
        <v>1</v>
      </c>
      <c r="D147" s="1">
        <f>IF(Data!D147&gt;0,4-Data!D147,"")</f>
        <v>-1</v>
      </c>
      <c r="E147" s="1">
        <f>IF(Data!E147&gt;0,4-Data!E147,"")</f>
        <v>-1</v>
      </c>
      <c r="F147" s="1">
        <f>IF(Data!F147&gt;0,Data!F147-4,"")</f>
        <v>-2</v>
      </c>
      <c r="G147" s="1">
        <f>IF(Data!G147&gt;0,Data!G147-4,"")</f>
        <v>-2</v>
      </c>
      <c r="H147" s="1">
        <f>IF(Data!H147&gt;0,Data!H147-4,"")</f>
        <v>-2</v>
      </c>
      <c r="I147" s="1">
        <f>IF(Data!I147&gt;0,4-Data!I147,"")</f>
        <v>0</v>
      </c>
      <c r="J147" s="1">
        <f>IF(Data!J147&gt;0,4-Data!J147,"")</f>
        <v>0</v>
      </c>
      <c r="K147" s="1">
        <f>IF(Data!K147&gt;0,Data!K147-4,"")</f>
        <v>-1</v>
      </c>
      <c r="L147" s="1">
        <f>IF(Data!L147&gt;0,4-Data!L147,"")</f>
        <v>-1</v>
      </c>
      <c r="M147" s="1">
        <f>IF(Data!M147&gt;0,Data!M147-4,"")</f>
        <v>-1</v>
      </c>
      <c r="N147" s="1">
        <f>IF(Data!N147&gt;0,Data!N147-4,"")</f>
        <v>-2</v>
      </c>
      <c r="O147" s="1">
        <f>IF(Data!O147&gt;0,Data!O147-4,"")</f>
        <v>-2</v>
      </c>
      <c r="P147" s="1">
        <f>IF(Data!P147&gt;0,Data!P147-4,"")</f>
        <v>-2</v>
      </c>
      <c r="Q147" s="1">
        <f>IF(Data!Q147&gt;0,4-Data!Q147,"")</f>
        <v>0</v>
      </c>
      <c r="R147" s="1">
        <f>IF(Data!R147&gt;0,4-Data!R147,"")</f>
        <v>2</v>
      </c>
      <c r="S147" s="1">
        <f>IF(Data!S147&gt;0,4-Data!S147,"")</f>
        <v>-1</v>
      </c>
      <c r="T147" s="1">
        <f>IF(Data!T147&gt;0,Data!T147-4,"")</f>
        <v>-2</v>
      </c>
      <c r="U147" s="1">
        <f>IF(Data!U147&gt;0,4-Data!U147,"")</f>
        <v>-1</v>
      </c>
      <c r="V147" s="1">
        <f>IF(Data!V147&gt;0,Data!V147-4,"")</f>
        <v>-2</v>
      </c>
      <c r="W147" s="1">
        <f>IF(Data!W147&gt;0,4-Data!W147,"")</f>
        <v>-1</v>
      </c>
      <c r="X147" s="1">
        <f>IF(Data!X147&gt;0,4-Data!X147,"")</f>
        <v>-1</v>
      </c>
      <c r="Y147" s="1">
        <f>IF(Data!Y147&gt;0,4-Data!Y147,"")</f>
        <v>-1</v>
      </c>
      <c r="Z147" s="1">
        <f>IF(Data!Z147&gt;0,Data!Z147-4,"")</f>
        <v>0</v>
      </c>
      <c r="AC147" s="4" t="str">
        <f t="shared" si="23"/>
        <v/>
      </c>
      <c r="AD147" s="4" t="str">
        <f t="shared" si="24"/>
        <v/>
      </c>
      <c r="AE147" s="4" t="str">
        <f t="shared" si="25"/>
        <v/>
      </c>
      <c r="AF147" s="4" t="str">
        <f t="shared" si="26"/>
        <v/>
      </c>
      <c r="AG147" s="4">
        <f t="shared" si="27"/>
        <v>1</v>
      </c>
      <c r="AH147" s="4" t="str">
        <f t="shared" si="28"/>
        <v/>
      </c>
      <c r="AI147" s="2">
        <f t="shared" si="29"/>
        <v>1</v>
      </c>
      <c r="AK147" s="2">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10</v>
      </c>
    </row>
    <row r="148" spans="1:37">
      <c r="A148" s="1">
        <f>IF(Data!A148&gt;0,Data!A148-4,"")</f>
        <v>-2</v>
      </c>
      <c r="B148" s="1">
        <f>IF(Data!B148&gt;0,Data!B148-4,"")</f>
        <v>0</v>
      </c>
      <c r="C148" s="1">
        <f>IF(Data!C148&gt;0,4-Data!C148,"")</f>
        <v>0</v>
      </c>
      <c r="D148" s="1">
        <f>IF(Data!D148&gt;0,4-Data!D148,"")</f>
        <v>-1</v>
      </c>
      <c r="E148" s="1">
        <f>IF(Data!E148&gt;0,4-Data!E148,"")</f>
        <v>1</v>
      </c>
      <c r="F148" s="1">
        <f>IF(Data!F148&gt;0,Data!F148-4,"")</f>
        <v>0</v>
      </c>
      <c r="G148" s="1">
        <f>IF(Data!G148&gt;0,Data!G148-4,"")</f>
        <v>0</v>
      </c>
      <c r="H148" s="1">
        <f>IF(Data!H148&gt;0,Data!H148-4,"")</f>
        <v>-1</v>
      </c>
      <c r="I148" s="1">
        <f>IF(Data!I148&gt;0,4-Data!I148,"")</f>
        <v>1</v>
      </c>
      <c r="J148" s="1">
        <f>IF(Data!J148&gt;0,4-Data!J148,"")</f>
        <v>1</v>
      </c>
      <c r="K148" s="1">
        <f>IF(Data!K148&gt;0,Data!K148-4,"")</f>
        <v>-1</v>
      </c>
      <c r="L148" s="1">
        <f>IF(Data!L148&gt;0,4-Data!L148,"")</f>
        <v>0</v>
      </c>
      <c r="M148" s="1">
        <f>IF(Data!M148&gt;0,Data!M148-4,"")</f>
        <v>-2</v>
      </c>
      <c r="N148" s="1">
        <f>IF(Data!N148&gt;0,Data!N148-4,"")</f>
        <v>-1</v>
      </c>
      <c r="O148" s="1">
        <f>IF(Data!O148&gt;0,Data!O148-4,"")</f>
        <v>1</v>
      </c>
      <c r="P148" s="1">
        <f>IF(Data!P148&gt;0,Data!P148-4,"")</f>
        <v>-1</v>
      </c>
      <c r="Q148" s="1">
        <f>IF(Data!Q148&gt;0,4-Data!Q148,"")</f>
        <v>1</v>
      </c>
      <c r="R148" s="1">
        <f>IF(Data!R148&gt;0,4-Data!R148,"")</f>
        <v>0</v>
      </c>
      <c r="S148" s="1">
        <f>IF(Data!S148&gt;0,4-Data!S148,"")</f>
        <v>-1</v>
      </c>
      <c r="T148" s="1">
        <f>IF(Data!T148&gt;0,Data!T148-4,"")</f>
        <v>-1</v>
      </c>
      <c r="U148" s="1">
        <f>IF(Data!U148&gt;0,4-Data!U148,"")</f>
        <v>-1</v>
      </c>
      <c r="V148" s="1">
        <f>IF(Data!V148&gt;0,Data!V148-4,"")</f>
        <v>1</v>
      </c>
      <c r="W148" s="1">
        <f>IF(Data!W148&gt;0,4-Data!W148,"")</f>
        <v>-2</v>
      </c>
      <c r="X148" s="1">
        <f>IF(Data!X148&gt;0,4-Data!X148,"")</f>
        <v>-1</v>
      </c>
      <c r="Y148" s="1">
        <f>IF(Data!Y148&gt;0,4-Data!Y148,"")</f>
        <v>0</v>
      </c>
      <c r="Z148" s="1">
        <f>IF(Data!Z148&gt;0,Data!Z148-4,"")</f>
        <v>2</v>
      </c>
      <c r="AC148" s="4" t="str">
        <f t="shared" si="23"/>
        <v/>
      </c>
      <c r="AD148" s="4" t="str">
        <f t="shared" si="24"/>
        <v/>
      </c>
      <c r="AE148" s="4" t="str">
        <f t="shared" si="25"/>
        <v/>
      </c>
      <c r="AF148" s="4" t="str">
        <f t="shared" si="26"/>
        <v/>
      </c>
      <c r="AG148" s="4" t="str">
        <f t="shared" si="27"/>
        <v/>
      </c>
      <c r="AH148" s="4" t="str">
        <f t="shared" si="28"/>
        <v/>
      </c>
      <c r="AI148" s="2">
        <f t="shared" si="29"/>
        <v>0</v>
      </c>
      <c r="AK148" s="2">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9</v>
      </c>
    </row>
    <row r="149" spans="1:37">
      <c r="A149" s="1">
        <f>IF(Data!A149&gt;0,Data!A149-4,"")</f>
        <v>1</v>
      </c>
      <c r="B149" s="1">
        <f>IF(Data!B149&gt;0,Data!B149-4,"")</f>
        <v>1</v>
      </c>
      <c r="C149" s="1">
        <f>IF(Data!C149&gt;0,4-Data!C149,"")</f>
        <v>0</v>
      </c>
      <c r="D149" s="1">
        <f>IF(Data!D149&gt;0,4-Data!D149,"")</f>
        <v>2</v>
      </c>
      <c r="E149" s="1">
        <f>IF(Data!E149&gt;0,4-Data!E149,"")</f>
        <v>2</v>
      </c>
      <c r="F149" s="1">
        <f>IF(Data!F149&gt;0,Data!F149-4,"")</f>
        <v>0</v>
      </c>
      <c r="G149" s="1">
        <f>IF(Data!G149&gt;0,Data!G149-4,"")</f>
        <v>1</v>
      </c>
      <c r="H149" s="1">
        <f>IF(Data!H149&gt;0,Data!H149-4,"")</f>
        <v>2</v>
      </c>
      <c r="I149" s="1">
        <f>IF(Data!I149&gt;0,4-Data!I149,"")</f>
        <v>2</v>
      </c>
      <c r="J149" s="1">
        <f>IF(Data!J149&gt;0,4-Data!J149,"")</f>
        <v>2</v>
      </c>
      <c r="K149" s="1">
        <f>IF(Data!K149&gt;0,Data!K149-4,"")</f>
        <v>1</v>
      </c>
      <c r="L149" s="1">
        <f>IF(Data!L149&gt;0,4-Data!L149,"")</f>
        <v>3</v>
      </c>
      <c r="M149" s="1">
        <f>IF(Data!M149&gt;0,Data!M149-4,"")</f>
        <v>2</v>
      </c>
      <c r="N149" s="1">
        <f>IF(Data!N149&gt;0,Data!N149-4,"")</f>
        <v>2</v>
      </c>
      <c r="O149" s="1">
        <f>IF(Data!O149&gt;0,Data!O149-4,"")</f>
        <v>2</v>
      </c>
      <c r="P149" s="1">
        <f>IF(Data!P149&gt;0,Data!P149-4,"")</f>
        <v>2</v>
      </c>
      <c r="Q149" s="1">
        <f>IF(Data!Q149&gt;0,4-Data!Q149,"")</f>
        <v>2</v>
      </c>
      <c r="R149" s="1">
        <f>IF(Data!R149&gt;0,4-Data!R149,"")</f>
        <v>2</v>
      </c>
      <c r="S149" s="1">
        <f>IF(Data!S149&gt;0,4-Data!S149,"")</f>
        <v>2</v>
      </c>
      <c r="T149" s="1">
        <f>IF(Data!T149&gt;0,Data!T149-4,"")</f>
        <v>2</v>
      </c>
      <c r="U149" s="1">
        <f>IF(Data!U149&gt;0,4-Data!U149,"")</f>
        <v>2</v>
      </c>
      <c r="V149" s="1">
        <f>IF(Data!V149&gt;0,Data!V149-4,"")</f>
        <v>1</v>
      </c>
      <c r="W149" s="1">
        <f>IF(Data!W149&gt;0,4-Data!W149,"")</f>
        <v>3</v>
      </c>
      <c r="X149" s="1">
        <f>IF(Data!X149&gt;0,4-Data!X149,"")</f>
        <v>2</v>
      </c>
      <c r="Y149" s="1">
        <f>IF(Data!Y149&gt;0,4-Data!Y149,"")</f>
        <v>3</v>
      </c>
      <c r="Z149" s="1">
        <f>IF(Data!Z149&gt;0,Data!Z149-4,"")</f>
        <v>1</v>
      </c>
      <c r="AC149" s="4" t="str">
        <f t="shared" si="23"/>
        <v/>
      </c>
      <c r="AD149" s="4" t="str">
        <f t="shared" si="24"/>
        <v/>
      </c>
      <c r="AE149" s="4" t="str">
        <f t="shared" si="25"/>
        <v/>
      </c>
      <c r="AF149" s="4" t="str">
        <f t="shared" si="26"/>
        <v/>
      </c>
      <c r="AG149" s="4" t="str">
        <f t="shared" si="27"/>
        <v/>
      </c>
      <c r="AH149" s="4" t="str">
        <f t="shared" si="28"/>
        <v/>
      </c>
      <c r="AI149" s="2">
        <f t="shared" si="29"/>
        <v>0</v>
      </c>
      <c r="AK149" s="2">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9</v>
      </c>
    </row>
    <row r="150" spans="1:37">
      <c r="A150" s="1">
        <f>IF(Data!A150&gt;0,Data!A150-4,"")</f>
        <v>1</v>
      </c>
      <c r="B150" s="1">
        <f>IF(Data!B150&gt;0,Data!B150-4,"")</f>
        <v>3</v>
      </c>
      <c r="C150" s="1">
        <f>IF(Data!C150&gt;0,4-Data!C150,"")</f>
        <v>0</v>
      </c>
      <c r="D150" s="1">
        <f>IF(Data!D150&gt;0,4-Data!D150,"")</f>
        <v>3</v>
      </c>
      <c r="E150" s="1">
        <f>IF(Data!E150&gt;0,4-Data!E150,"")</f>
        <v>3</v>
      </c>
      <c r="F150" s="1">
        <f>IF(Data!F150&gt;0,Data!F150-4,"")</f>
        <v>1</v>
      </c>
      <c r="G150" s="1">
        <f>IF(Data!G150&gt;0,Data!G150-4,"")</f>
        <v>1</v>
      </c>
      <c r="H150" s="1">
        <f>IF(Data!H150&gt;0,Data!H150-4,"")</f>
        <v>2</v>
      </c>
      <c r="I150" s="1">
        <f>IF(Data!I150&gt;0,4-Data!I150,"")</f>
        <v>3</v>
      </c>
      <c r="J150" s="1">
        <f>IF(Data!J150&gt;0,4-Data!J150,"")</f>
        <v>1</v>
      </c>
      <c r="K150" s="1">
        <f>IF(Data!K150&gt;0,Data!K150-4,"")</f>
        <v>1</v>
      </c>
      <c r="L150" s="1">
        <f>IF(Data!L150&gt;0,4-Data!L150,"")</f>
        <v>3</v>
      </c>
      <c r="M150" s="1">
        <f>IF(Data!M150&gt;0,Data!M150-4,"")</f>
        <v>3</v>
      </c>
      <c r="N150" s="1">
        <f>IF(Data!N150&gt;0,Data!N150-4,"")</f>
        <v>3</v>
      </c>
      <c r="O150" s="1">
        <f>IF(Data!O150&gt;0,Data!O150-4,"")</f>
        <v>1</v>
      </c>
      <c r="P150" s="1">
        <f>IF(Data!P150&gt;0,Data!P150-4,"")</f>
        <v>3</v>
      </c>
      <c r="Q150" s="1">
        <f>IF(Data!Q150&gt;0,4-Data!Q150,"")</f>
        <v>3</v>
      </c>
      <c r="R150" s="1">
        <f>IF(Data!R150&gt;0,4-Data!R150,"")</f>
        <v>2</v>
      </c>
      <c r="S150" s="1">
        <f>IF(Data!S150&gt;0,4-Data!S150,"")</f>
        <v>3</v>
      </c>
      <c r="T150" s="1">
        <f>IF(Data!T150&gt;0,Data!T150-4,"")</f>
        <v>3</v>
      </c>
      <c r="U150" s="1">
        <f>IF(Data!U150&gt;0,4-Data!U150,"")</f>
        <v>3</v>
      </c>
      <c r="V150" s="1">
        <f>IF(Data!V150&gt;0,Data!V150-4,"")</f>
        <v>3</v>
      </c>
      <c r="W150" s="1">
        <f>IF(Data!W150&gt;0,4-Data!W150,"")</f>
        <v>3</v>
      </c>
      <c r="X150" s="1">
        <f>IF(Data!X150&gt;0,4-Data!X150,"")</f>
        <v>3</v>
      </c>
      <c r="Y150" s="1">
        <f>IF(Data!Y150&gt;0,4-Data!Y150,"")</f>
        <v>0</v>
      </c>
      <c r="Z150" s="1">
        <f>IF(Data!Z150&gt;0,Data!Z150-4,"")</f>
        <v>0</v>
      </c>
      <c r="AC150" s="4" t="str">
        <f t="shared" si="23"/>
        <v/>
      </c>
      <c r="AD150" s="4" t="str">
        <f t="shared" si="24"/>
        <v/>
      </c>
      <c r="AE150" s="4" t="str">
        <f t="shared" si="25"/>
        <v/>
      </c>
      <c r="AF150" s="4" t="str">
        <f t="shared" si="26"/>
        <v/>
      </c>
      <c r="AG150" s="4" t="str">
        <f t="shared" si="27"/>
        <v/>
      </c>
      <c r="AH150" s="4" t="str">
        <f t="shared" si="28"/>
        <v/>
      </c>
      <c r="AI150" s="2">
        <f t="shared" si="29"/>
        <v>0</v>
      </c>
      <c r="AK150" s="2">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9</v>
      </c>
    </row>
    <row r="151" spans="1:37">
      <c r="A151" s="1">
        <f>IF(Data!A151&gt;0,Data!A151-4,"")</f>
        <v>1</v>
      </c>
      <c r="B151" s="1">
        <f>IF(Data!B151&gt;0,Data!B151-4,"")</f>
        <v>2</v>
      </c>
      <c r="C151" s="1">
        <f>IF(Data!C151&gt;0,4-Data!C151,"")</f>
        <v>1</v>
      </c>
      <c r="D151" s="1">
        <f>IF(Data!D151&gt;0,4-Data!D151,"")</f>
        <v>2</v>
      </c>
      <c r="E151" s="1">
        <f>IF(Data!E151&gt;0,4-Data!E151,"")</f>
        <v>2</v>
      </c>
      <c r="F151" s="1">
        <f>IF(Data!F151&gt;0,Data!F151-4,"")</f>
        <v>2</v>
      </c>
      <c r="G151" s="1">
        <f>IF(Data!G151&gt;0,Data!G151-4,"")</f>
        <v>2</v>
      </c>
      <c r="H151" s="1">
        <f>IF(Data!H151&gt;0,Data!H151-4,"")</f>
        <v>1</v>
      </c>
      <c r="I151" s="1">
        <f>IF(Data!I151&gt;0,4-Data!I151,"")</f>
        <v>1</v>
      </c>
      <c r="J151" s="1">
        <f>IF(Data!J151&gt;0,4-Data!J151,"")</f>
        <v>1</v>
      </c>
      <c r="K151" s="1">
        <f>IF(Data!K151&gt;0,Data!K151-4,"")</f>
        <v>-2</v>
      </c>
      <c r="L151" s="1">
        <f>IF(Data!L151&gt;0,4-Data!L151,"")</f>
        <v>2</v>
      </c>
      <c r="M151" s="1">
        <f>IF(Data!M151&gt;0,Data!M151-4,"")</f>
        <v>1</v>
      </c>
      <c r="N151" s="1">
        <f>IF(Data!N151&gt;0,Data!N151-4,"")</f>
        <v>2</v>
      </c>
      <c r="O151" s="1">
        <f>IF(Data!O151&gt;0,Data!O151-4,"")</f>
        <v>1</v>
      </c>
      <c r="P151" s="1">
        <f>IF(Data!P151&gt;0,Data!P151-4,"")</f>
        <v>2</v>
      </c>
      <c r="Q151" s="1">
        <f>IF(Data!Q151&gt;0,4-Data!Q151,"")</f>
        <v>0</v>
      </c>
      <c r="R151" s="1">
        <f>IF(Data!R151&gt;0,4-Data!R151,"")</f>
        <v>0</v>
      </c>
      <c r="S151" s="1">
        <f>IF(Data!S151&gt;0,4-Data!S151,"")</f>
        <v>2</v>
      </c>
      <c r="T151" s="1">
        <f>IF(Data!T151&gt;0,Data!T151-4,"")</f>
        <v>1</v>
      </c>
      <c r="U151" s="1">
        <f>IF(Data!U151&gt;0,4-Data!U151,"")</f>
        <v>2</v>
      </c>
      <c r="V151" s="1">
        <f>IF(Data!V151&gt;0,Data!V151-4,"")</f>
        <v>2</v>
      </c>
      <c r="W151" s="1">
        <f>IF(Data!W151&gt;0,4-Data!W151,"")</f>
        <v>1</v>
      </c>
      <c r="X151" s="1">
        <f>IF(Data!X151&gt;0,4-Data!X151,"")</f>
        <v>2</v>
      </c>
      <c r="Y151" s="1">
        <f>IF(Data!Y151&gt;0,4-Data!Y151,"")</f>
        <v>2</v>
      </c>
      <c r="Z151" s="1">
        <f>IF(Data!Z151&gt;0,Data!Z151-4,"")</f>
        <v>0</v>
      </c>
      <c r="AC151" s="4" t="str">
        <f t="shared" si="23"/>
        <v/>
      </c>
      <c r="AD151" s="4" t="str">
        <f t="shared" si="24"/>
        <v/>
      </c>
      <c r="AE151" s="4" t="str">
        <f t="shared" si="25"/>
        <v/>
      </c>
      <c r="AF151" s="4">
        <f t="shared" si="26"/>
        <v>1</v>
      </c>
      <c r="AG151" s="4" t="str">
        <f t="shared" si="27"/>
        <v/>
      </c>
      <c r="AH151" s="4" t="str">
        <f t="shared" si="28"/>
        <v/>
      </c>
      <c r="AI151" s="2">
        <f t="shared" si="29"/>
        <v>1</v>
      </c>
      <c r="AK151" s="2">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8</v>
      </c>
    </row>
    <row r="152" spans="1:37">
      <c r="A152" s="1">
        <f>IF(Data!A152&gt;0,Data!A152-4,"")</f>
        <v>0</v>
      </c>
      <c r="B152" s="1">
        <f>IF(Data!B152&gt;0,Data!B152-4,"")</f>
        <v>3</v>
      </c>
      <c r="C152" s="1">
        <f>IF(Data!C152&gt;0,4-Data!C152,"")</f>
        <v>1</v>
      </c>
      <c r="D152" s="1">
        <f>IF(Data!D152&gt;0,4-Data!D152,"")</f>
        <v>3</v>
      </c>
      <c r="E152" s="1">
        <f>IF(Data!E152&gt;0,4-Data!E152,"")</f>
        <v>2</v>
      </c>
      <c r="F152" s="1">
        <f>IF(Data!F152&gt;0,Data!F152-4,"")</f>
        <v>0</v>
      </c>
      <c r="G152" s="1">
        <f>IF(Data!G152&gt;0,Data!G152-4,"")</f>
        <v>0</v>
      </c>
      <c r="H152" s="1">
        <f>IF(Data!H152&gt;0,Data!H152-4,"")</f>
        <v>0</v>
      </c>
      <c r="I152" s="1">
        <f>IF(Data!I152&gt;0,4-Data!I152,"")</f>
        <v>2</v>
      </c>
      <c r="J152" s="1">
        <f>IF(Data!J152&gt;0,4-Data!J152,"")</f>
        <v>0</v>
      </c>
      <c r="K152" s="1">
        <f>IF(Data!K152&gt;0,Data!K152-4,"")</f>
        <v>0</v>
      </c>
      <c r="L152" s="1">
        <f>IF(Data!L152&gt;0,4-Data!L152,"")</f>
        <v>2</v>
      </c>
      <c r="M152" s="1">
        <f>IF(Data!M152&gt;0,Data!M152-4,"")</f>
        <v>2</v>
      </c>
      <c r="N152" s="1">
        <f>IF(Data!N152&gt;0,Data!N152-4,"")</f>
        <v>1</v>
      </c>
      <c r="O152" s="1">
        <f>IF(Data!O152&gt;0,Data!O152-4,"")</f>
        <v>1</v>
      </c>
      <c r="P152" s="1">
        <f>IF(Data!P152&gt;0,Data!P152-4,"")</f>
        <v>2</v>
      </c>
      <c r="Q152" s="1">
        <f>IF(Data!Q152&gt;0,4-Data!Q152,"")</f>
        <v>3</v>
      </c>
      <c r="R152" s="1">
        <f>IF(Data!R152&gt;0,4-Data!R152,"")</f>
        <v>0</v>
      </c>
      <c r="S152" s="1">
        <f>IF(Data!S152&gt;0,4-Data!S152,"")</f>
        <v>2</v>
      </c>
      <c r="T152" s="1">
        <f>IF(Data!T152&gt;0,Data!T152-4,"")</f>
        <v>2</v>
      </c>
      <c r="U152" s="1">
        <f>IF(Data!U152&gt;0,4-Data!U152,"")</f>
        <v>2</v>
      </c>
      <c r="V152" s="1">
        <f>IF(Data!V152&gt;0,Data!V152-4,"")</f>
        <v>2</v>
      </c>
      <c r="W152" s="1">
        <f>IF(Data!W152&gt;0,4-Data!W152,"")</f>
        <v>2</v>
      </c>
      <c r="X152" s="1">
        <f>IF(Data!X152&gt;0,4-Data!X152,"")</f>
        <v>2</v>
      </c>
      <c r="Y152" s="1">
        <f>IF(Data!Y152&gt;0,4-Data!Y152,"")</f>
        <v>2</v>
      </c>
      <c r="Z152" s="1">
        <f>IF(Data!Z152&gt;0,Data!Z152-4,"")</f>
        <v>0</v>
      </c>
      <c r="AC152" s="4" t="str">
        <f t="shared" si="23"/>
        <v/>
      </c>
      <c r="AD152" s="4" t="str">
        <f t="shared" si="24"/>
        <v/>
      </c>
      <c r="AE152" s="4" t="str">
        <f t="shared" si="25"/>
        <v/>
      </c>
      <c r="AF152" s="4" t="str">
        <f t="shared" si="26"/>
        <v/>
      </c>
      <c r="AG152" s="4" t="str">
        <f t="shared" si="27"/>
        <v/>
      </c>
      <c r="AH152" s="4" t="str">
        <f t="shared" si="28"/>
        <v/>
      </c>
      <c r="AI152" s="2">
        <f t="shared" si="29"/>
        <v>0</v>
      </c>
      <c r="AK152" s="2">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8</v>
      </c>
    </row>
    <row r="153" spans="1:37">
      <c r="A153" s="1">
        <f>IF(Data!A153&gt;0,Data!A153-4,"")</f>
        <v>2</v>
      </c>
      <c r="B153" s="1">
        <f>IF(Data!B153&gt;0,Data!B153-4,"")</f>
        <v>2</v>
      </c>
      <c r="C153" s="1">
        <f>IF(Data!C153&gt;0,4-Data!C153,"")</f>
        <v>2</v>
      </c>
      <c r="D153" s="1">
        <f>IF(Data!D153&gt;0,4-Data!D153,"")</f>
        <v>2</v>
      </c>
      <c r="E153" s="1">
        <f>IF(Data!E153&gt;0,4-Data!E153,"")</f>
        <v>3</v>
      </c>
      <c r="F153" s="1">
        <f>IF(Data!F153&gt;0,Data!F153-4,"")</f>
        <v>2</v>
      </c>
      <c r="G153" s="1">
        <f>IF(Data!G153&gt;0,Data!G153-4,"")</f>
        <v>1</v>
      </c>
      <c r="H153" s="1">
        <f>IF(Data!H153&gt;0,Data!H153-4,"")</f>
        <v>1</v>
      </c>
      <c r="I153" s="1">
        <f>IF(Data!I153&gt;0,4-Data!I153,"")</f>
        <v>2</v>
      </c>
      <c r="J153" s="1">
        <f>IF(Data!J153&gt;0,4-Data!J153,"")</f>
        <v>2</v>
      </c>
      <c r="K153" s="1">
        <f>IF(Data!K153&gt;0,Data!K153-4,"")</f>
        <v>2</v>
      </c>
      <c r="L153" s="1">
        <f>IF(Data!L153&gt;0,4-Data!L153,"")</f>
        <v>2</v>
      </c>
      <c r="M153" s="1">
        <f>IF(Data!M153&gt;0,Data!M153-4,"")</f>
        <v>1</v>
      </c>
      <c r="N153" s="1">
        <f>IF(Data!N153&gt;0,Data!N153-4,"")</f>
        <v>2</v>
      </c>
      <c r="O153" s="1">
        <f>IF(Data!O153&gt;0,Data!O153-4,"")</f>
        <v>2</v>
      </c>
      <c r="P153" s="1">
        <f>IF(Data!P153&gt;0,Data!P153-4,"")</f>
        <v>2</v>
      </c>
      <c r="Q153" s="1">
        <f>IF(Data!Q153&gt;0,4-Data!Q153,"")</f>
        <v>2</v>
      </c>
      <c r="R153" s="1">
        <f>IF(Data!R153&gt;0,4-Data!R153,"")</f>
        <v>2</v>
      </c>
      <c r="S153" s="1">
        <f>IF(Data!S153&gt;0,4-Data!S153,"")</f>
        <v>2</v>
      </c>
      <c r="T153" s="1">
        <f>IF(Data!T153&gt;0,Data!T153-4,"")</f>
        <v>2</v>
      </c>
      <c r="U153" s="1">
        <f>IF(Data!U153&gt;0,4-Data!U153,"")</f>
        <v>1</v>
      </c>
      <c r="V153" s="1">
        <f>IF(Data!V153&gt;0,Data!V153-4,"")</f>
        <v>2</v>
      </c>
      <c r="W153" s="1">
        <f>IF(Data!W153&gt;0,4-Data!W153,"")</f>
        <v>3</v>
      </c>
      <c r="X153" s="1">
        <f>IF(Data!X153&gt;0,4-Data!X153,"")</f>
        <v>2</v>
      </c>
      <c r="Y153" s="1">
        <f>IF(Data!Y153&gt;0,4-Data!Y153,"")</f>
        <v>2</v>
      </c>
      <c r="Z153" s="1">
        <f>IF(Data!Z153&gt;0,Data!Z153-4,"")</f>
        <v>2</v>
      </c>
      <c r="AC153" s="4" t="str">
        <f t="shared" si="23"/>
        <v/>
      </c>
      <c r="AD153" s="4" t="str">
        <f t="shared" si="24"/>
        <v/>
      </c>
      <c r="AE153" s="4" t="str">
        <f t="shared" si="25"/>
        <v/>
      </c>
      <c r="AF153" s="4" t="str">
        <f t="shared" si="26"/>
        <v/>
      </c>
      <c r="AG153" s="4" t="str">
        <f t="shared" si="27"/>
        <v/>
      </c>
      <c r="AH153" s="4" t="str">
        <f t="shared" si="28"/>
        <v/>
      </c>
      <c r="AI153" s="2">
        <f t="shared" si="29"/>
        <v>0</v>
      </c>
      <c r="AK153" s="2">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10</v>
      </c>
    </row>
    <row r="154" spans="1:37">
      <c r="A154" s="1">
        <f>IF(Data!A154&gt;0,Data!A154-4,"")</f>
        <v>-1</v>
      </c>
      <c r="B154" s="1">
        <f>IF(Data!B154&gt;0,Data!B154-4,"")</f>
        <v>1</v>
      </c>
      <c r="C154" s="1">
        <f>IF(Data!C154&gt;0,4-Data!C154,"")</f>
        <v>0</v>
      </c>
      <c r="D154" s="1">
        <f>IF(Data!D154&gt;0,4-Data!D154,"")</f>
        <v>-1</v>
      </c>
      <c r="E154" s="1">
        <f>IF(Data!E154&gt;0,4-Data!E154,"")</f>
        <v>-1</v>
      </c>
      <c r="F154" s="1">
        <f>IF(Data!F154&gt;0,Data!F154-4,"")</f>
        <v>-1</v>
      </c>
      <c r="G154" s="1">
        <f>IF(Data!G154&gt;0,Data!G154-4,"")</f>
        <v>-1</v>
      </c>
      <c r="H154" s="1">
        <f>IF(Data!H154&gt;0,Data!H154-4,"")</f>
        <v>-1</v>
      </c>
      <c r="I154" s="1">
        <f>IF(Data!I154&gt;0,4-Data!I154,"")</f>
        <v>-1</v>
      </c>
      <c r="J154" s="1">
        <f>IF(Data!J154&gt;0,4-Data!J154,"")</f>
        <v>-1</v>
      </c>
      <c r="K154" s="1">
        <f>IF(Data!K154&gt;0,Data!K154-4,"")</f>
        <v>-2</v>
      </c>
      <c r="L154" s="1">
        <f>IF(Data!L154&gt;0,4-Data!L154,"")</f>
        <v>2</v>
      </c>
      <c r="M154" s="1">
        <f>IF(Data!M154&gt;0,Data!M154-4,"")</f>
        <v>2</v>
      </c>
      <c r="N154" s="1">
        <f>IF(Data!N154&gt;0,Data!N154-4,"")</f>
        <v>1</v>
      </c>
      <c r="O154" s="1">
        <f>IF(Data!O154&gt;0,Data!O154-4,"")</f>
        <v>0</v>
      </c>
      <c r="P154" s="1">
        <f>IF(Data!P154&gt;0,Data!P154-4,"")</f>
        <v>1</v>
      </c>
      <c r="Q154" s="1">
        <f>IF(Data!Q154&gt;0,4-Data!Q154,"")</f>
        <v>1</v>
      </c>
      <c r="R154" s="1">
        <f>IF(Data!R154&gt;0,4-Data!R154,"")</f>
        <v>1</v>
      </c>
      <c r="S154" s="1">
        <f>IF(Data!S154&gt;0,4-Data!S154,"")</f>
        <v>2</v>
      </c>
      <c r="T154" s="1">
        <f>IF(Data!T154&gt;0,Data!T154-4,"")</f>
        <v>1</v>
      </c>
      <c r="U154" s="1">
        <f>IF(Data!U154&gt;0,4-Data!U154,"")</f>
        <v>2</v>
      </c>
      <c r="V154" s="1">
        <f>IF(Data!V154&gt;0,Data!V154-4,"")</f>
        <v>2</v>
      </c>
      <c r="W154" s="1">
        <f>IF(Data!W154&gt;0,4-Data!W154,"")</f>
        <v>0</v>
      </c>
      <c r="X154" s="1">
        <f>IF(Data!X154&gt;0,4-Data!X154,"")</f>
        <v>2</v>
      </c>
      <c r="Y154" s="1">
        <f>IF(Data!Y154&gt;0,4-Data!Y154,"")</f>
        <v>2</v>
      </c>
      <c r="Z154" s="1">
        <f>IF(Data!Z154&gt;0,Data!Z154-4,"")</f>
        <v>0</v>
      </c>
      <c r="AC154" s="4" t="str">
        <f t="shared" si="23"/>
        <v/>
      </c>
      <c r="AD154" s="4" t="str">
        <f t="shared" si="24"/>
        <v/>
      </c>
      <c r="AE154" s="4" t="str">
        <f t="shared" si="25"/>
        <v/>
      </c>
      <c r="AF154" s="4">
        <f t="shared" si="26"/>
        <v>1</v>
      </c>
      <c r="AG154" s="4" t="str">
        <f t="shared" si="27"/>
        <v/>
      </c>
      <c r="AH154" s="4" t="str">
        <f t="shared" si="28"/>
        <v/>
      </c>
      <c r="AI154" s="2">
        <f t="shared" si="29"/>
        <v>1</v>
      </c>
      <c r="AK154" s="2">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8</v>
      </c>
    </row>
    <row r="155" spans="1:37">
      <c r="A155" s="1">
        <f>IF(Data!A155&gt;0,Data!A155-4,"")</f>
        <v>1</v>
      </c>
      <c r="B155" s="1">
        <f>IF(Data!B155&gt;0,Data!B155-4,"")</f>
        <v>1</v>
      </c>
      <c r="C155" s="1">
        <f>IF(Data!C155&gt;0,4-Data!C155,"")</f>
        <v>2</v>
      </c>
      <c r="D155" s="1">
        <f>IF(Data!D155&gt;0,4-Data!D155,"")</f>
        <v>2</v>
      </c>
      <c r="E155" s="1">
        <f>IF(Data!E155&gt;0,4-Data!E155,"")</f>
        <v>1</v>
      </c>
      <c r="F155" s="1">
        <f>IF(Data!F155&gt;0,Data!F155-4,"")</f>
        <v>1</v>
      </c>
      <c r="G155" s="1">
        <f>IF(Data!G155&gt;0,Data!G155-4,"")</f>
        <v>1</v>
      </c>
      <c r="H155" s="1">
        <f>IF(Data!H155&gt;0,Data!H155-4,"")</f>
        <v>0</v>
      </c>
      <c r="I155" s="1">
        <f>IF(Data!I155&gt;0,4-Data!I155,"")</f>
        <v>2</v>
      </c>
      <c r="J155" s="1">
        <f>IF(Data!J155&gt;0,4-Data!J155,"")</f>
        <v>2</v>
      </c>
      <c r="K155" s="1">
        <f>IF(Data!K155&gt;0,Data!K155-4,"")</f>
        <v>2</v>
      </c>
      <c r="L155" s="1">
        <f>IF(Data!L155&gt;0,4-Data!L155,"")</f>
        <v>2</v>
      </c>
      <c r="M155" s="1">
        <f>IF(Data!M155&gt;0,Data!M155-4,"")</f>
        <v>2</v>
      </c>
      <c r="N155" s="1">
        <f>IF(Data!N155&gt;0,Data!N155-4,"")</f>
        <v>1</v>
      </c>
      <c r="O155" s="1">
        <f>IF(Data!O155&gt;0,Data!O155-4,"")</f>
        <v>2</v>
      </c>
      <c r="P155" s="1">
        <f>IF(Data!P155&gt;0,Data!P155-4,"")</f>
        <v>2</v>
      </c>
      <c r="Q155" s="1">
        <f>IF(Data!Q155&gt;0,4-Data!Q155,"")</f>
        <v>2</v>
      </c>
      <c r="R155" s="1">
        <f>IF(Data!R155&gt;0,4-Data!R155,"")</f>
        <v>0</v>
      </c>
      <c r="S155" s="1">
        <f>IF(Data!S155&gt;0,4-Data!S155,"")</f>
        <v>1</v>
      </c>
      <c r="T155" s="1">
        <f>IF(Data!T155&gt;0,Data!T155-4,"")</f>
        <v>2</v>
      </c>
      <c r="U155" s="1">
        <f>IF(Data!U155&gt;0,4-Data!U155,"")</f>
        <v>1</v>
      </c>
      <c r="V155" s="1">
        <f>IF(Data!V155&gt;0,Data!V155-4,"")</f>
        <v>2</v>
      </c>
      <c r="W155" s="1">
        <f>IF(Data!W155&gt;0,4-Data!W155,"")</f>
        <v>-2</v>
      </c>
      <c r="X155" s="1">
        <f>IF(Data!X155&gt;0,4-Data!X155,"")</f>
        <v>0</v>
      </c>
      <c r="Y155" s="1">
        <f>IF(Data!Y155&gt;0,4-Data!Y155,"")</f>
        <v>0</v>
      </c>
      <c r="Z155" s="1">
        <f>IF(Data!Z155&gt;0,Data!Z155-4,"")</f>
        <v>2</v>
      </c>
      <c r="AC155" s="4" t="str">
        <f t="shared" si="23"/>
        <v/>
      </c>
      <c r="AD155" s="4" t="str">
        <f t="shared" si="24"/>
        <v/>
      </c>
      <c r="AE155" s="4">
        <f t="shared" si="25"/>
        <v>1</v>
      </c>
      <c r="AF155" s="4" t="str">
        <f t="shared" si="26"/>
        <v/>
      </c>
      <c r="AG155" s="4" t="str">
        <f t="shared" si="27"/>
        <v/>
      </c>
      <c r="AH155" s="4" t="str">
        <f t="shared" si="28"/>
        <v/>
      </c>
      <c r="AI155" s="2">
        <f t="shared" si="29"/>
        <v>1</v>
      </c>
      <c r="AK155" s="2">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8</v>
      </c>
    </row>
    <row r="156" spans="1:37">
      <c r="A156" s="1">
        <f>IF(Data!A156&gt;0,Data!A156-4,"")</f>
        <v>0</v>
      </c>
      <c r="B156" s="1">
        <f>IF(Data!B156&gt;0,Data!B156-4,"")</f>
        <v>1</v>
      </c>
      <c r="C156" s="1">
        <f>IF(Data!C156&gt;0,4-Data!C156,"")</f>
        <v>0</v>
      </c>
      <c r="D156" s="1">
        <f>IF(Data!D156&gt;0,4-Data!D156,"")</f>
        <v>0</v>
      </c>
      <c r="E156" s="1">
        <f>IF(Data!E156&gt;0,4-Data!E156,"")</f>
        <v>-2</v>
      </c>
      <c r="F156" s="1">
        <f>IF(Data!F156&gt;0,Data!F156-4,"")</f>
        <v>1</v>
      </c>
      <c r="G156" s="1">
        <f>IF(Data!G156&gt;0,Data!G156-4,"")</f>
        <v>1</v>
      </c>
      <c r="H156" s="1">
        <f>IF(Data!H156&gt;0,Data!H156-4,"")</f>
        <v>0</v>
      </c>
      <c r="I156" s="1">
        <f>IF(Data!I156&gt;0,4-Data!I156,"")</f>
        <v>0</v>
      </c>
      <c r="J156" s="1">
        <f>IF(Data!J156&gt;0,4-Data!J156,"")</f>
        <v>1</v>
      </c>
      <c r="K156" s="1">
        <f>IF(Data!K156&gt;0,Data!K156-4,"")</f>
        <v>1</v>
      </c>
      <c r="L156" s="1">
        <f>IF(Data!L156&gt;0,4-Data!L156,"")</f>
        <v>1</v>
      </c>
      <c r="M156" s="1">
        <f>IF(Data!M156&gt;0,Data!M156-4,"")</f>
        <v>1</v>
      </c>
      <c r="N156" s="1">
        <f>IF(Data!N156&gt;0,Data!N156-4,"")</f>
        <v>0</v>
      </c>
      <c r="O156" s="1">
        <f>IF(Data!O156&gt;0,Data!O156-4,"")</f>
        <v>0</v>
      </c>
      <c r="P156" s="1">
        <f>IF(Data!P156&gt;0,Data!P156-4,"")</f>
        <v>1</v>
      </c>
      <c r="Q156" s="1">
        <f>IF(Data!Q156&gt;0,4-Data!Q156,"")</f>
        <v>0</v>
      </c>
      <c r="R156" s="1">
        <f>IF(Data!R156&gt;0,4-Data!R156,"")</f>
        <v>1</v>
      </c>
      <c r="S156" s="1">
        <f>IF(Data!S156&gt;0,4-Data!S156,"")</f>
        <v>0</v>
      </c>
      <c r="T156" s="1">
        <f>IF(Data!T156&gt;0,Data!T156-4,"")</f>
        <v>1</v>
      </c>
      <c r="U156" s="1">
        <f>IF(Data!U156&gt;0,4-Data!U156,"")</f>
        <v>1</v>
      </c>
      <c r="V156" s="1">
        <f>IF(Data!V156&gt;0,Data!V156-4,"")</f>
        <v>1</v>
      </c>
      <c r="W156" s="1">
        <f>IF(Data!W156&gt;0,4-Data!W156,"")</f>
        <v>1</v>
      </c>
      <c r="X156" s="1">
        <f>IF(Data!X156&gt;0,4-Data!X156,"")</f>
        <v>-1</v>
      </c>
      <c r="Y156" s="1">
        <f>IF(Data!Y156&gt;0,4-Data!Y156,"")</f>
        <v>1</v>
      </c>
      <c r="Z156" s="1">
        <f>IF(Data!Z156&gt;0,Data!Z156-4,"")</f>
        <v>0</v>
      </c>
      <c r="AC156" s="4" t="str">
        <f t="shared" si="23"/>
        <v/>
      </c>
      <c r="AD156" s="4" t="str">
        <f t="shared" si="24"/>
        <v/>
      </c>
      <c r="AE156" s="4" t="str">
        <f t="shared" si="25"/>
        <v/>
      </c>
      <c r="AF156" s="4" t="str">
        <f t="shared" si="26"/>
        <v/>
      </c>
      <c r="AG156" s="4" t="str">
        <f t="shared" si="27"/>
        <v/>
      </c>
      <c r="AH156" s="4" t="str">
        <f t="shared" si="28"/>
        <v/>
      </c>
      <c r="AI156" s="2">
        <f t="shared" si="29"/>
        <v>0</v>
      </c>
      <c r="AK156" s="2">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10</v>
      </c>
    </row>
    <row r="157" spans="1:37">
      <c r="A157" s="1">
        <f>IF(Data!A157&gt;0,Data!A157-4,"")</f>
        <v>-2</v>
      </c>
      <c r="B157" s="1">
        <f>IF(Data!B157&gt;0,Data!B157-4,"")</f>
        <v>2</v>
      </c>
      <c r="C157" s="1">
        <f>IF(Data!C157&gt;0,4-Data!C157,"")</f>
        <v>1</v>
      </c>
      <c r="D157" s="1">
        <f>IF(Data!D157&gt;0,4-Data!D157,"")</f>
        <v>2</v>
      </c>
      <c r="E157" s="1">
        <f>IF(Data!E157&gt;0,4-Data!E157,"")</f>
        <v>2</v>
      </c>
      <c r="F157" s="1">
        <f>IF(Data!F157&gt;0,Data!F157-4,"")</f>
        <v>1</v>
      </c>
      <c r="G157" s="1">
        <f>IF(Data!G157&gt;0,Data!G157-4,"")</f>
        <v>2</v>
      </c>
      <c r="H157" s="1">
        <f>IF(Data!H157&gt;0,Data!H157-4,"")</f>
        <v>0</v>
      </c>
      <c r="I157" s="1">
        <f>IF(Data!I157&gt;0,4-Data!I157,"")</f>
        <v>1</v>
      </c>
      <c r="J157" s="1">
        <f>IF(Data!J157&gt;0,4-Data!J157,"")</f>
        <v>2</v>
      </c>
      <c r="K157" s="1">
        <f>IF(Data!K157&gt;0,Data!K157-4,"")</f>
        <v>1</v>
      </c>
      <c r="L157" s="1">
        <f>IF(Data!L157&gt;0,4-Data!L157,"")</f>
        <v>2</v>
      </c>
      <c r="M157" s="1">
        <f>IF(Data!M157&gt;0,Data!M157-4,"")</f>
        <v>2</v>
      </c>
      <c r="N157" s="1">
        <f>IF(Data!N157&gt;0,Data!N157-4,"")</f>
        <v>2</v>
      </c>
      <c r="O157" s="1">
        <f>IF(Data!O157&gt;0,Data!O157-4,"")</f>
        <v>2</v>
      </c>
      <c r="P157" s="1">
        <f>IF(Data!P157&gt;0,Data!P157-4,"")</f>
        <v>1</v>
      </c>
      <c r="Q157" s="1">
        <f>IF(Data!Q157&gt;0,4-Data!Q157,"")</f>
        <v>1</v>
      </c>
      <c r="R157" s="1">
        <f>IF(Data!R157&gt;0,4-Data!R157,"")</f>
        <v>1</v>
      </c>
      <c r="S157" s="1">
        <f>IF(Data!S157&gt;0,4-Data!S157,"")</f>
        <v>2</v>
      </c>
      <c r="T157" s="1">
        <f>IF(Data!T157&gt;0,Data!T157-4,"")</f>
        <v>2</v>
      </c>
      <c r="U157" s="1">
        <f>IF(Data!U157&gt;0,4-Data!U157,"")</f>
        <v>2</v>
      </c>
      <c r="V157" s="1">
        <f>IF(Data!V157&gt;0,Data!V157-4,"")</f>
        <v>2</v>
      </c>
      <c r="W157" s="1">
        <f>IF(Data!W157&gt;0,4-Data!W157,"")</f>
        <v>1</v>
      </c>
      <c r="X157" s="1">
        <f>IF(Data!X157&gt;0,4-Data!X157,"")</f>
        <v>1</v>
      </c>
      <c r="Y157" s="1">
        <f>IF(Data!Y157&gt;0,4-Data!Y157,"")</f>
        <v>0</v>
      </c>
      <c r="Z157" s="1">
        <f>IF(Data!Z157&gt;0,Data!Z157-4,"")</f>
        <v>2</v>
      </c>
      <c r="AC157" s="4">
        <f t="shared" si="23"/>
        <v>1</v>
      </c>
      <c r="AD157" s="4" t="str">
        <f t="shared" si="24"/>
        <v/>
      </c>
      <c r="AE157" s="4" t="str">
        <f t="shared" si="25"/>
        <v/>
      </c>
      <c r="AF157" s="4" t="str">
        <f t="shared" si="26"/>
        <v/>
      </c>
      <c r="AG157" s="4" t="str">
        <f t="shared" si="27"/>
        <v/>
      </c>
      <c r="AH157" s="4" t="str">
        <f t="shared" si="28"/>
        <v/>
      </c>
      <c r="AI157" s="2">
        <f t="shared" si="29"/>
        <v>1</v>
      </c>
      <c r="AK157" s="2">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8</v>
      </c>
    </row>
    <row r="158" spans="1:37">
      <c r="A158" s="1">
        <f>IF(Data!A158&gt;0,Data!A158-4,"")</f>
        <v>0</v>
      </c>
      <c r="B158" s="1">
        <f>IF(Data!B158&gt;0,Data!B158-4,"")</f>
        <v>1</v>
      </c>
      <c r="C158" s="1">
        <f>IF(Data!C158&gt;0,4-Data!C158,"")</f>
        <v>-1</v>
      </c>
      <c r="D158" s="1">
        <f>IF(Data!D158&gt;0,4-Data!D158,"")</f>
        <v>1</v>
      </c>
      <c r="E158" s="1">
        <f>IF(Data!E158&gt;0,4-Data!E158,"")</f>
        <v>-1</v>
      </c>
      <c r="F158" s="1">
        <f>IF(Data!F158&gt;0,Data!F158-4,"")</f>
        <v>-1</v>
      </c>
      <c r="G158" s="1">
        <f>IF(Data!G158&gt;0,Data!G158-4,"")</f>
        <v>-1</v>
      </c>
      <c r="H158" s="1">
        <f>IF(Data!H158&gt;0,Data!H158-4,"")</f>
        <v>3</v>
      </c>
      <c r="I158" s="1">
        <f>IF(Data!I158&gt;0,4-Data!I158,"")</f>
        <v>0</v>
      </c>
      <c r="J158" s="1">
        <f>IF(Data!J158&gt;0,4-Data!J158,"")</f>
        <v>-1</v>
      </c>
      <c r="K158" s="1">
        <f>IF(Data!K158&gt;0,Data!K158-4,"")</f>
        <v>-1</v>
      </c>
      <c r="L158" s="1">
        <f>IF(Data!L158&gt;0,4-Data!L158,"")</f>
        <v>-1</v>
      </c>
      <c r="M158" s="1">
        <f>IF(Data!M158&gt;0,Data!M158-4,"")</f>
        <v>1</v>
      </c>
      <c r="N158" s="1">
        <f>IF(Data!N158&gt;0,Data!N158-4,"")</f>
        <v>-1</v>
      </c>
      <c r="O158" s="1">
        <f>IF(Data!O158&gt;0,Data!O158-4,"")</f>
        <v>-1</v>
      </c>
      <c r="P158" s="1">
        <f>IF(Data!P158&gt;0,Data!P158-4,"")</f>
        <v>-1</v>
      </c>
      <c r="Q158" s="1">
        <f>IF(Data!Q158&gt;0,4-Data!Q158,"")</f>
        <v>1</v>
      </c>
      <c r="R158" s="1">
        <f>IF(Data!R158&gt;0,4-Data!R158,"")</f>
        <v>-2</v>
      </c>
      <c r="S158" s="1">
        <f>IF(Data!S158&gt;0,4-Data!S158,"")</f>
        <v>0</v>
      </c>
      <c r="T158" s="1">
        <f>IF(Data!T158&gt;0,Data!T158-4,"")</f>
        <v>-3</v>
      </c>
      <c r="U158" s="1">
        <f>IF(Data!U158&gt;0,4-Data!U158,"")</f>
        <v>0</v>
      </c>
      <c r="V158" s="1">
        <f>IF(Data!V158&gt;0,Data!V158-4,"")</f>
        <v>2</v>
      </c>
      <c r="W158" s="1">
        <f>IF(Data!W158&gt;0,4-Data!W158,"")</f>
        <v>-2</v>
      </c>
      <c r="X158" s="1">
        <f>IF(Data!X158&gt;0,4-Data!X158,"")</f>
        <v>-2</v>
      </c>
      <c r="Y158" s="1">
        <f>IF(Data!Y158&gt;0,4-Data!Y158,"")</f>
        <v>-2</v>
      </c>
      <c r="Z158" s="1">
        <f>IF(Data!Z158&gt;0,Data!Z158-4,"")</f>
        <v>-1</v>
      </c>
      <c r="AC158" s="4" t="str">
        <f t="shared" si="23"/>
        <v/>
      </c>
      <c r="AD158" s="4" t="str">
        <f t="shared" si="24"/>
        <v/>
      </c>
      <c r="AE158" s="4">
        <f t="shared" si="25"/>
        <v>1</v>
      </c>
      <c r="AF158" s="4">
        <f t="shared" si="26"/>
        <v>1</v>
      </c>
      <c r="AG158" s="4" t="str">
        <f t="shared" si="27"/>
        <v/>
      </c>
      <c r="AH158" s="4" t="str">
        <f t="shared" si="28"/>
        <v/>
      </c>
      <c r="AI158" s="2">
        <f t="shared" si="29"/>
        <v>2</v>
      </c>
      <c r="AK158" s="2">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9</v>
      </c>
    </row>
    <row r="159" spans="1:37">
      <c r="A159" s="1">
        <f>IF(Data!A159&gt;0,Data!A159-4,"")</f>
        <v>-1</v>
      </c>
      <c r="B159" s="1">
        <f>IF(Data!B159&gt;0,Data!B159-4,"")</f>
        <v>0</v>
      </c>
      <c r="C159" s="1">
        <f>IF(Data!C159&gt;0,4-Data!C159,"")</f>
        <v>-1</v>
      </c>
      <c r="D159" s="1">
        <f>IF(Data!D159&gt;0,4-Data!D159,"")</f>
        <v>-2</v>
      </c>
      <c r="E159" s="1">
        <f>IF(Data!E159&gt;0,4-Data!E159,"")</f>
        <v>-1</v>
      </c>
      <c r="F159" s="1">
        <f>IF(Data!F159&gt;0,Data!F159-4,"")</f>
        <v>-1</v>
      </c>
      <c r="G159" s="1">
        <f>IF(Data!G159&gt;0,Data!G159-4,"")</f>
        <v>-2</v>
      </c>
      <c r="H159" s="1">
        <f>IF(Data!H159&gt;0,Data!H159-4,"")</f>
        <v>-1</v>
      </c>
      <c r="I159" s="1">
        <f>IF(Data!I159&gt;0,4-Data!I159,"")</f>
        <v>-1</v>
      </c>
      <c r="J159" s="1">
        <f>IF(Data!J159&gt;0,4-Data!J159,"")</f>
        <v>0</v>
      </c>
      <c r="K159" s="1">
        <f>IF(Data!K159&gt;0,Data!K159-4,"")</f>
        <v>-1</v>
      </c>
      <c r="L159" s="1">
        <f>IF(Data!L159&gt;0,4-Data!L159,"")</f>
        <v>-2</v>
      </c>
      <c r="M159" s="1">
        <f>IF(Data!M159&gt;0,Data!M159-4,"")</f>
        <v>-1</v>
      </c>
      <c r="N159" s="1">
        <f>IF(Data!N159&gt;0,Data!N159-4,"")</f>
        <v>2</v>
      </c>
      <c r="O159" s="1">
        <f>IF(Data!O159&gt;0,Data!O159-4,"")</f>
        <v>1</v>
      </c>
      <c r="P159" s="1">
        <f>IF(Data!P159&gt;0,Data!P159-4,"")</f>
        <v>1</v>
      </c>
      <c r="Q159" s="1">
        <f>IF(Data!Q159&gt;0,4-Data!Q159,"")</f>
        <v>2</v>
      </c>
      <c r="R159" s="1">
        <f>IF(Data!R159&gt;0,4-Data!R159,"")</f>
        <v>2</v>
      </c>
      <c r="S159" s="1">
        <f>IF(Data!S159&gt;0,4-Data!S159,"")</f>
        <v>2</v>
      </c>
      <c r="T159" s="1">
        <f>IF(Data!T159&gt;0,Data!T159-4,"")</f>
        <v>1</v>
      </c>
      <c r="U159" s="1">
        <f>IF(Data!U159&gt;0,4-Data!U159,"")</f>
        <v>1</v>
      </c>
      <c r="V159" s="1">
        <f>IF(Data!V159&gt;0,Data!V159-4,"")</f>
        <v>2</v>
      </c>
      <c r="W159" s="1">
        <f>IF(Data!W159&gt;0,4-Data!W159,"")</f>
        <v>2</v>
      </c>
      <c r="X159" s="1">
        <f>IF(Data!X159&gt;0,4-Data!X159,"")</f>
        <v>2</v>
      </c>
      <c r="Y159" s="1">
        <f>IF(Data!Y159&gt;0,4-Data!Y159,"")</f>
        <v>1</v>
      </c>
      <c r="Z159" s="1">
        <f>IF(Data!Z159&gt;0,Data!Z159-4,"")</f>
        <v>0</v>
      </c>
      <c r="AC159" s="4">
        <f t="shared" si="23"/>
        <v>1</v>
      </c>
      <c r="AD159" s="4" t="str">
        <f t="shared" si="24"/>
        <v/>
      </c>
      <c r="AE159" s="4" t="str">
        <f t="shared" si="25"/>
        <v/>
      </c>
      <c r="AF159" s="4" t="str">
        <f t="shared" si="26"/>
        <v/>
      </c>
      <c r="AG159" s="4">
        <f t="shared" si="27"/>
        <v>1</v>
      </c>
      <c r="AH159" s="4" t="str">
        <f t="shared" si="28"/>
        <v/>
      </c>
      <c r="AI159" s="2">
        <f t="shared" si="29"/>
        <v>2</v>
      </c>
      <c r="AK159" s="2">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7</v>
      </c>
    </row>
    <row r="160" spans="1:37">
      <c r="A160" s="1">
        <f>IF(Data!A160&gt;0,Data!A160-4,"")</f>
        <v>2</v>
      </c>
      <c r="B160" s="1">
        <f>IF(Data!B160&gt;0,Data!B160-4,"")</f>
        <v>2</v>
      </c>
      <c r="C160" s="1">
        <f>IF(Data!C160&gt;0,4-Data!C160,"")</f>
        <v>-2</v>
      </c>
      <c r="D160" s="1">
        <f>IF(Data!D160&gt;0,4-Data!D160,"")</f>
        <v>3</v>
      </c>
      <c r="E160" s="1">
        <f>IF(Data!E160&gt;0,4-Data!E160,"")</f>
        <v>1</v>
      </c>
      <c r="F160" s="1">
        <f>IF(Data!F160&gt;0,Data!F160-4,"")</f>
        <v>2</v>
      </c>
      <c r="G160" s="1">
        <f>IF(Data!G160&gt;0,Data!G160-4,"")</f>
        <v>2</v>
      </c>
      <c r="H160" s="1">
        <f>IF(Data!H160&gt;0,Data!H160-4,"")</f>
        <v>0</v>
      </c>
      <c r="I160" s="1">
        <f>IF(Data!I160&gt;0,4-Data!I160,"")</f>
        <v>2</v>
      </c>
      <c r="J160" s="1">
        <f>IF(Data!J160&gt;0,4-Data!J160,"")</f>
        <v>2</v>
      </c>
      <c r="K160" s="1">
        <f>IF(Data!K160&gt;0,Data!K160-4,"")</f>
        <v>2</v>
      </c>
      <c r="L160" s="1">
        <f>IF(Data!L160&gt;0,4-Data!L160,"")</f>
        <v>2</v>
      </c>
      <c r="M160" s="1">
        <f>IF(Data!M160&gt;0,Data!M160-4,"")</f>
        <v>2</v>
      </c>
      <c r="N160" s="1">
        <f>IF(Data!N160&gt;0,Data!N160-4,"")</f>
        <v>2</v>
      </c>
      <c r="O160" s="1">
        <f>IF(Data!O160&gt;0,Data!O160-4,"")</f>
        <v>1</v>
      </c>
      <c r="P160" s="1">
        <f>IF(Data!P160&gt;0,Data!P160-4,"")</f>
        <v>2</v>
      </c>
      <c r="Q160" s="1">
        <f>IF(Data!Q160&gt;0,4-Data!Q160,"")</f>
        <v>2</v>
      </c>
      <c r="R160" s="1">
        <f>IF(Data!R160&gt;0,4-Data!R160,"")</f>
        <v>2</v>
      </c>
      <c r="S160" s="1">
        <f>IF(Data!S160&gt;0,4-Data!S160,"")</f>
        <v>2</v>
      </c>
      <c r="T160" s="1">
        <f>IF(Data!T160&gt;0,Data!T160-4,"")</f>
        <v>2</v>
      </c>
      <c r="U160" s="1">
        <f>IF(Data!U160&gt;0,4-Data!U160,"")</f>
        <v>1</v>
      </c>
      <c r="V160" s="1">
        <f>IF(Data!V160&gt;0,Data!V160-4,"")</f>
        <v>2</v>
      </c>
      <c r="W160" s="1">
        <f>IF(Data!W160&gt;0,4-Data!W160,"")</f>
        <v>2</v>
      </c>
      <c r="X160" s="1">
        <f>IF(Data!X160&gt;0,4-Data!X160,"")</f>
        <v>2</v>
      </c>
      <c r="Y160" s="1">
        <f>IF(Data!Y160&gt;0,4-Data!Y160,"")</f>
        <v>2</v>
      </c>
      <c r="Z160" s="1">
        <f>IF(Data!Z160&gt;0,Data!Z160-4,"")</f>
        <v>2</v>
      </c>
      <c r="AC160" s="4" t="str">
        <f t="shared" si="23"/>
        <v/>
      </c>
      <c r="AD160" s="4" t="str">
        <f t="shared" si="24"/>
        <v/>
      </c>
      <c r="AE160" s="4" t="str">
        <f t="shared" si="25"/>
        <v/>
      </c>
      <c r="AF160" s="4" t="str">
        <f t="shared" si="26"/>
        <v/>
      </c>
      <c r="AG160" s="4" t="str">
        <f t="shared" si="27"/>
        <v/>
      </c>
      <c r="AH160" s="4">
        <f t="shared" si="28"/>
        <v>1</v>
      </c>
      <c r="AI160" s="2">
        <f t="shared" si="29"/>
        <v>1</v>
      </c>
      <c r="AK160" s="2">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12</v>
      </c>
    </row>
    <row r="161" spans="1:37">
      <c r="A161" s="1">
        <f>IF(Data!A161&gt;0,Data!A161-4,"")</f>
        <v>2</v>
      </c>
      <c r="B161" s="1">
        <f>IF(Data!B161&gt;0,Data!B161-4,"")</f>
        <v>3</v>
      </c>
      <c r="C161" s="1">
        <f>IF(Data!C161&gt;0,4-Data!C161,"")</f>
        <v>0</v>
      </c>
      <c r="D161" s="1">
        <f>IF(Data!D161&gt;0,4-Data!D161,"")</f>
        <v>3</v>
      </c>
      <c r="E161" s="1">
        <f>IF(Data!E161&gt;0,4-Data!E161,"")</f>
        <v>2</v>
      </c>
      <c r="F161" s="1">
        <f>IF(Data!F161&gt;0,Data!F161-4,"")</f>
        <v>1</v>
      </c>
      <c r="G161" s="1">
        <f>IF(Data!G161&gt;0,Data!G161-4,"")</f>
        <v>1</v>
      </c>
      <c r="H161" s="1">
        <f>IF(Data!H161&gt;0,Data!H161-4,"")</f>
        <v>2</v>
      </c>
      <c r="I161" s="1">
        <f>IF(Data!I161&gt;0,4-Data!I161,"")</f>
        <v>3</v>
      </c>
      <c r="J161" s="1">
        <f>IF(Data!J161&gt;0,4-Data!J161,"")</f>
        <v>-2</v>
      </c>
      <c r="K161" s="1">
        <f>IF(Data!K161&gt;0,Data!K161-4,"")</f>
        <v>3</v>
      </c>
      <c r="L161" s="1">
        <f>IF(Data!L161&gt;0,4-Data!L161,"")</f>
        <v>3</v>
      </c>
      <c r="M161" s="1">
        <f>IF(Data!M161&gt;0,Data!M161-4,"")</f>
        <v>3</v>
      </c>
      <c r="N161" s="1">
        <f>IF(Data!N161&gt;0,Data!N161-4,"")</f>
        <v>3</v>
      </c>
      <c r="O161" s="1">
        <f>IF(Data!O161&gt;0,Data!O161-4,"")</f>
        <v>2</v>
      </c>
      <c r="P161" s="1">
        <f>IF(Data!P161&gt;0,Data!P161-4,"")</f>
        <v>2</v>
      </c>
      <c r="Q161" s="1">
        <f>IF(Data!Q161&gt;0,4-Data!Q161,"")</f>
        <v>3</v>
      </c>
      <c r="R161" s="1">
        <f>IF(Data!R161&gt;0,4-Data!R161,"")</f>
        <v>0</v>
      </c>
      <c r="S161" s="1">
        <f>IF(Data!S161&gt;0,4-Data!S161,"")</f>
        <v>2</v>
      </c>
      <c r="T161" s="1">
        <f>IF(Data!T161&gt;0,Data!T161-4,"")</f>
        <v>2</v>
      </c>
      <c r="U161" s="1">
        <f>IF(Data!U161&gt;0,4-Data!U161,"")</f>
        <v>3</v>
      </c>
      <c r="V161" s="1">
        <f>IF(Data!V161&gt;0,Data!V161-4,"")</f>
        <v>2</v>
      </c>
      <c r="W161" s="1">
        <f>IF(Data!W161&gt;0,4-Data!W161,"")</f>
        <v>2</v>
      </c>
      <c r="X161" s="1">
        <f>IF(Data!X161&gt;0,4-Data!X161,"")</f>
        <v>1</v>
      </c>
      <c r="Y161" s="1">
        <f>IF(Data!Y161&gt;0,4-Data!Y161,"")</f>
        <v>2</v>
      </c>
      <c r="Z161" s="1">
        <f>IF(Data!Z161&gt;0,Data!Z161-4,"")</f>
        <v>0</v>
      </c>
      <c r="AC161" s="4" t="str">
        <f t="shared" si="23"/>
        <v/>
      </c>
      <c r="AD161" s="4" t="str">
        <f t="shared" si="24"/>
        <v/>
      </c>
      <c r="AE161" s="4" t="str">
        <f t="shared" si="25"/>
        <v/>
      </c>
      <c r="AF161" s="4" t="str">
        <f t="shared" si="26"/>
        <v/>
      </c>
      <c r="AG161" s="4" t="str">
        <f t="shared" si="27"/>
        <v/>
      </c>
      <c r="AH161" s="4">
        <f t="shared" si="28"/>
        <v>1</v>
      </c>
      <c r="AI161" s="2">
        <f t="shared" si="29"/>
        <v>1</v>
      </c>
      <c r="AK161" s="2">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7</v>
      </c>
    </row>
    <row r="162" spans="1:37">
      <c r="A162" s="1">
        <f>IF(Data!A162&gt;0,Data!A162-4,"")</f>
        <v>-2</v>
      </c>
      <c r="B162" s="1">
        <f>IF(Data!B162&gt;0,Data!B162-4,"")</f>
        <v>0</v>
      </c>
      <c r="C162" s="1">
        <f>IF(Data!C162&gt;0,4-Data!C162,"")</f>
        <v>-2</v>
      </c>
      <c r="D162" s="1">
        <f>IF(Data!D162&gt;0,4-Data!D162,"")</f>
        <v>-1</v>
      </c>
      <c r="E162" s="1">
        <f>IF(Data!E162&gt;0,4-Data!E162,"")</f>
        <v>0</v>
      </c>
      <c r="F162" s="1">
        <f>IF(Data!F162&gt;0,Data!F162-4,"")</f>
        <v>-2</v>
      </c>
      <c r="G162" s="1">
        <f>IF(Data!G162&gt;0,Data!G162-4,"")</f>
        <v>-2</v>
      </c>
      <c r="H162" s="1">
        <f>IF(Data!H162&gt;0,Data!H162-4,"")</f>
        <v>2</v>
      </c>
      <c r="I162" s="1">
        <f>IF(Data!I162&gt;0,4-Data!I162,"")</f>
        <v>-1</v>
      </c>
      <c r="J162" s="1">
        <f>IF(Data!J162&gt;0,4-Data!J162,"")</f>
        <v>0</v>
      </c>
      <c r="K162" s="1">
        <f>IF(Data!K162&gt;0,Data!K162-4,"")</f>
        <v>-1</v>
      </c>
      <c r="L162" s="1">
        <f>IF(Data!L162&gt;0,4-Data!L162,"")</f>
        <v>-1</v>
      </c>
      <c r="M162" s="1">
        <f>IF(Data!M162&gt;0,Data!M162-4,"")</f>
        <v>-2</v>
      </c>
      <c r="N162" s="1">
        <f>IF(Data!N162&gt;0,Data!N162-4,"")</f>
        <v>-2</v>
      </c>
      <c r="O162" s="1">
        <f>IF(Data!O162&gt;0,Data!O162-4,"")</f>
        <v>-1</v>
      </c>
      <c r="P162" s="1">
        <f>IF(Data!P162&gt;0,Data!P162-4,"")</f>
        <v>0</v>
      </c>
      <c r="Q162" s="1">
        <f>IF(Data!Q162&gt;0,4-Data!Q162,"")</f>
        <v>0</v>
      </c>
      <c r="R162" s="1">
        <f>IF(Data!R162&gt;0,4-Data!R162,"")</f>
        <v>-1</v>
      </c>
      <c r="S162" s="1">
        <f>IF(Data!S162&gt;0,4-Data!S162,"")</f>
        <v>-2</v>
      </c>
      <c r="T162" s="1">
        <f>IF(Data!T162&gt;0,Data!T162-4,"")</f>
        <v>-1</v>
      </c>
      <c r="U162" s="1">
        <f>IF(Data!U162&gt;0,4-Data!U162,"")</f>
        <v>-2</v>
      </c>
      <c r="V162" s="1">
        <f>IF(Data!V162&gt;0,Data!V162-4,"")</f>
        <v>-1</v>
      </c>
      <c r="W162" s="1">
        <f>IF(Data!W162&gt;0,4-Data!W162,"")</f>
        <v>-3</v>
      </c>
      <c r="X162" s="1">
        <f>IF(Data!X162&gt;0,4-Data!X162,"")</f>
        <v>-2</v>
      </c>
      <c r="Y162" s="1">
        <f>IF(Data!Y162&gt;0,4-Data!Y162,"")</f>
        <v>-2</v>
      </c>
      <c r="Z162" s="1">
        <f>IF(Data!Z162&gt;0,Data!Z162-4,"")</f>
        <v>2</v>
      </c>
      <c r="AC162" s="4" t="str">
        <f t="shared" si="23"/>
        <v/>
      </c>
      <c r="AD162" s="4" t="str">
        <f t="shared" si="24"/>
        <v/>
      </c>
      <c r="AE162" s="4" t="str">
        <f t="shared" si="25"/>
        <v/>
      </c>
      <c r="AF162" s="4">
        <f t="shared" si="26"/>
        <v>1</v>
      </c>
      <c r="AG162" s="4" t="str">
        <f t="shared" si="27"/>
        <v/>
      </c>
      <c r="AH162" s="4">
        <f t="shared" si="28"/>
        <v>1</v>
      </c>
      <c r="AI162" s="2">
        <f t="shared" si="29"/>
        <v>2</v>
      </c>
      <c r="AK162" s="2">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7</v>
      </c>
    </row>
    <row r="163" spans="1:37">
      <c r="A163" s="1">
        <f>IF(Data!A163&gt;0,Data!A163-4,"")</f>
        <v>3</v>
      </c>
      <c r="B163" s="1">
        <f>IF(Data!B163&gt;0,Data!B163-4,"")</f>
        <v>3</v>
      </c>
      <c r="C163" s="1">
        <f>IF(Data!C163&gt;0,4-Data!C163,"")</f>
        <v>3</v>
      </c>
      <c r="D163" s="1">
        <f>IF(Data!D163&gt;0,4-Data!D163,"")</f>
        <v>2</v>
      </c>
      <c r="E163" s="1">
        <f>IF(Data!E163&gt;0,4-Data!E163,"")</f>
        <v>3</v>
      </c>
      <c r="F163" s="1">
        <f>IF(Data!F163&gt;0,Data!F163-4,"")</f>
        <v>2</v>
      </c>
      <c r="G163" s="1">
        <f>IF(Data!G163&gt;0,Data!G163-4,"")</f>
        <v>3</v>
      </c>
      <c r="H163" s="1">
        <f>IF(Data!H163&gt;0,Data!H163-4,"")</f>
        <v>2</v>
      </c>
      <c r="I163" s="1">
        <f>IF(Data!I163&gt;0,4-Data!I163,"")</f>
        <v>2</v>
      </c>
      <c r="J163" s="1">
        <f>IF(Data!J163&gt;0,4-Data!J163,"")</f>
        <v>-2</v>
      </c>
      <c r="K163" s="1">
        <f>IF(Data!K163&gt;0,Data!K163-4,"")</f>
        <v>2</v>
      </c>
      <c r="L163" s="1">
        <f>IF(Data!L163&gt;0,4-Data!L163,"")</f>
        <v>3</v>
      </c>
      <c r="M163" s="1">
        <f>IF(Data!M163&gt;0,Data!M163-4,"")</f>
        <v>2</v>
      </c>
      <c r="N163" s="1">
        <f>IF(Data!N163&gt;0,Data!N163-4,"")</f>
        <v>2</v>
      </c>
      <c r="O163" s="1">
        <f>IF(Data!O163&gt;0,Data!O163-4,"")</f>
        <v>-1</v>
      </c>
      <c r="P163" s="1">
        <f>IF(Data!P163&gt;0,Data!P163-4,"")</f>
        <v>2</v>
      </c>
      <c r="Q163" s="1">
        <f>IF(Data!Q163&gt;0,4-Data!Q163,"")</f>
        <v>3</v>
      </c>
      <c r="R163" s="1">
        <f>IF(Data!R163&gt;0,4-Data!R163,"")</f>
        <v>2</v>
      </c>
      <c r="S163" s="1">
        <f>IF(Data!S163&gt;0,4-Data!S163,"")</f>
        <v>2</v>
      </c>
      <c r="T163" s="1">
        <f>IF(Data!T163&gt;0,Data!T163-4,"")</f>
        <v>3</v>
      </c>
      <c r="U163" s="1">
        <f>IF(Data!U163&gt;0,4-Data!U163,"")</f>
        <v>3</v>
      </c>
      <c r="V163" s="1">
        <f>IF(Data!V163&gt;0,Data!V163-4,"")</f>
        <v>2</v>
      </c>
      <c r="W163" s="1">
        <f>IF(Data!W163&gt;0,4-Data!W163,"")</f>
        <v>3</v>
      </c>
      <c r="X163" s="1">
        <f>IF(Data!X163&gt;0,4-Data!X163,"")</f>
        <v>3</v>
      </c>
      <c r="Y163" s="1">
        <f>IF(Data!Y163&gt;0,4-Data!Y163,"")</f>
        <v>3</v>
      </c>
      <c r="Z163" s="1">
        <f>IF(Data!Z163&gt;0,Data!Z163-4,"")</f>
        <v>0</v>
      </c>
      <c r="AC163" s="4" t="str">
        <f t="shared" si="23"/>
        <v/>
      </c>
      <c r="AD163" s="4" t="str">
        <f t="shared" si="24"/>
        <v/>
      </c>
      <c r="AE163" s="4" t="str">
        <f t="shared" si="25"/>
        <v/>
      </c>
      <c r="AF163" s="4" t="str">
        <f t="shared" si="26"/>
        <v/>
      </c>
      <c r="AG163" s="4" t="str">
        <f t="shared" si="27"/>
        <v/>
      </c>
      <c r="AH163" s="4">
        <f t="shared" si="28"/>
        <v>1</v>
      </c>
      <c r="AI163" s="2">
        <f t="shared" si="29"/>
        <v>1</v>
      </c>
      <c r="AK163" s="2">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8</v>
      </c>
    </row>
    <row r="164" spans="1:37">
      <c r="A164" s="1">
        <f>IF(Data!A164&gt;0,Data!A164-4,"")</f>
        <v>2</v>
      </c>
      <c r="B164" s="1">
        <f>IF(Data!B164&gt;0,Data!B164-4,"")</f>
        <v>2</v>
      </c>
      <c r="C164" s="1">
        <f>IF(Data!C164&gt;0,4-Data!C164,"")</f>
        <v>-2</v>
      </c>
      <c r="D164" s="1">
        <f>IF(Data!D164&gt;0,4-Data!D164,"")</f>
        <v>0</v>
      </c>
      <c r="E164" s="1">
        <f>IF(Data!E164&gt;0,4-Data!E164,"")</f>
        <v>1</v>
      </c>
      <c r="F164" s="1">
        <f>IF(Data!F164&gt;0,Data!F164-4,"")</f>
        <v>2</v>
      </c>
      <c r="G164" s="1">
        <f>IF(Data!G164&gt;0,Data!G164-4,"")</f>
        <v>2</v>
      </c>
      <c r="H164" s="1">
        <f>IF(Data!H164&gt;0,Data!H164-4,"")</f>
        <v>0</v>
      </c>
      <c r="I164" s="1">
        <f>IF(Data!I164&gt;0,4-Data!I164,"")</f>
        <v>0</v>
      </c>
      <c r="J164" s="1">
        <f>IF(Data!J164&gt;0,4-Data!J164,"")</f>
        <v>0</v>
      </c>
      <c r="K164" s="1">
        <f>IF(Data!K164&gt;0,Data!K164-4,"")</f>
        <v>0</v>
      </c>
      <c r="L164" s="1">
        <f>IF(Data!L164&gt;0,4-Data!L164,"")</f>
        <v>2</v>
      </c>
      <c r="M164" s="1">
        <f>IF(Data!M164&gt;0,Data!M164-4,"")</f>
        <v>2</v>
      </c>
      <c r="N164" s="1">
        <f>IF(Data!N164&gt;0,Data!N164-4,"")</f>
        <v>2</v>
      </c>
      <c r="O164" s="1">
        <f>IF(Data!O164&gt;0,Data!O164-4,"")</f>
        <v>1</v>
      </c>
      <c r="P164" s="1">
        <f>IF(Data!P164&gt;0,Data!P164-4,"")</f>
        <v>2</v>
      </c>
      <c r="Q164" s="1">
        <f>IF(Data!Q164&gt;0,4-Data!Q164,"")</f>
        <v>1</v>
      </c>
      <c r="R164" s="1">
        <f>IF(Data!R164&gt;0,4-Data!R164,"")</f>
        <v>1</v>
      </c>
      <c r="S164" s="1">
        <f>IF(Data!S164&gt;0,4-Data!S164,"")</f>
        <v>2</v>
      </c>
      <c r="T164" s="1">
        <f>IF(Data!T164&gt;0,Data!T164-4,"")</f>
        <v>1</v>
      </c>
      <c r="U164" s="1">
        <f>IF(Data!U164&gt;0,4-Data!U164,"")</f>
        <v>1</v>
      </c>
      <c r="V164" s="1">
        <f>IF(Data!V164&gt;0,Data!V164-4,"")</f>
        <v>1</v>
      </c>
      <c r="W164" s="1">
        <f>IF(Data!W164&gt;0,4-Data!W164,"")</f>
        <v>1</v>
      </c>
      <c r="X164" s="1">
        <f>IF(Data!X164&gt;0,4-Data!X164,"")</f>
        <v>2</v>
      </c>
      <c r="Y164" s="1">
        <f>IF(Data!Y164&gt;0,4-Data!Y164,"")</f>
        <v>2</v>
      </c>
      <c r="Z164" s="1">
        <f>IF(Data!Z164&gt;0,Data!Z164-4,"")</f>
        <v>-1</v>
      </c>
      <c r="AC164" s="4" t="str">
        <f t="shared" si="23"/>
        <v/>
      </c>
      <c r="AD164" s="4" t="str">
        <f t="shared" si="24"/>
        <v/>
      </c>
      <c r="AE164" s="4" t="str">
        <f t="shared" si="25"/>
        <v/>
      </c>
      <c r="AF164" s="4" t="str">
        <f t="shared" si="26"/>
        <v/>
      </c>
      <c r="AG164" s="4" t="str">
        <f t="shared" si="27"/>
        <v/>
      </c>
      <c r="AH164" s="4" t="str">
        <f t="shared" si="28"/>
        <v/>
      </c>
      <c r="AI164" s="2">
        <f t="shared" si="29"/>
        <v>0</v>
      </c>
      <c r="AK164" s="2">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8</v>
      </c>
    </row>
    <row r="165" spans="1:37">
      <c r="A165" s="1">
        <f>IF(Data!A165&gt;0,Data!A165-4,"")</f>
        <v>3</v>
      </c>
      <c r="B165" s="1">
        <f>IF(Data!B165&gt;0,Data!B165-4,"")</f>
        <v>2</v>
      </c>
      <c r="C165" s="1">
        <f>IF(Data!C165&gt;0,4-Data!C165,"")</f>
        <v>3</v>
      </c>
      <c r="D165" s="1">
        <f>IF(Data!D165&gt;0,4-Data!D165,"")</f>
        <v>2</v>
      </c>
      <c r="E165" s="1">
        <f>IF(Data!E165&gt;0,4-Data!E165,"")</f>
        <v>3</v>
      </c>
      <c r="F165" s="1">
        <f>IF(Data!F165&gt;0,Data!F165-4,"")</f>
        <v>3</v>
      </c>
      <c r="G165" s="1">
        <f>IF(Data!G165&gt;0,Data!G165-4,"")</f>
        <v>3</v>
      </c>
      <c r="H165" s="1">
        <f>IF(Data!H165&gt;0,Data!H165-4,"")</f>
        <v>0</v>
      </c>
      <c r="I165" s="1">
        <f>IF(Data!I165&gt;0,4-Data!I165,"")</f>
        <v>2</v>
      </c>
      <c r="J165" s="1">
        <f>IF(Data!J165&gt;0,4-Data!J165,"")</f>
        <v>3</v>
      </c>
      <c r="K165" s="1">
        <f>IF(Data!K165&gt;0,Data!K165-4,"")</f>
        <v>3</v>
      </c>
      <c r="L165" s="1">
        <f>IF(Data!L165&gt;0,4-Data!L165,"")</f>
        <v>3</v>
      </c>
      <c r="M165" s="1">
        <f>IF(Data!M165&gt;0,Data!M165-4,"")</f>
        <v>2</v>
      </c>
      <c r="N165" s="1">
        <f>IF(Data!N165&gt;0,Data!N165-4,"")</f>
        <v>3</v>
      </c>
      <c r="O165" s="1">
        <f>IF(Data!O165&gt;0,Data!O165-4,"")</f>
        <v>2</v>
      </c>
      <c r="P165" s="1">
        <f>IF(Data!P165&gt;0,Data!P165-4,"")</f>
        <v>3</v>
      </c>
      <c r="Q165" s="1">
        <f>IF(Data!Q165&gt;0,4-Data!Q165,"")</f>
        <v>1</v>
      </c>
      <c r="R165" s="1">
        <f>IF(Data!R165&gt;0,4-Data!R165,"")</f>
        <v>0</v>
      </c>
      <c r="S165" s="1">
        <f>IF(Data!S165&gt;0,4-Data!S165,"")</f>
        <v>3</v>
      </c>
      <c r="T165" s="1">
        <f>IF(Data!T165&gt;0,Data!T165-4,"")</f>
        <v>3</v>
      </c>
      <c r="U165" s="1">
        <f>IF(Data!U165&gt;0,4-Data!U165,"")</f>
        <v>3</v>
      </c>
      <c r="V165" s="1">
        <f>IF(Data!V165&gt;0,Data!V165-4,"")</f>
        <v>3</v>
      </c>
      <c r="W165" s="1">
        <f>IF(Data!W165&gt;0,4-Data!W165,"")</f>
        <v>3</v>
      </c>
      <c r="X165" s="1">
        <f>IF(Data!X165&gt;0,4-Data!X165,"")</f>
        <v>3</v>
      </c>
      <c r="Y165" s="1">
        <f>IF(Data!Y165&gt;0,4-Data!Y165,"")</f>
        <v>3</v>
      </c>
      <c r="Z165" s="1">
        <f>IF(Data!Z165&gt;0,Data!Z165-4,"")</f>
        <v>3</v>
      </c>
      <c r="AC165" s="4" t="str">
        <f t="shared" si="23"/>
        <v/>
      </c>
      <c r="AD165" s="4" t="str">
        <f t="shared" si="24"/>
        <v/>
      </c>
      <c r="AE165" s="4" t="str">
        <f t="shared" si="25"/>
        <v/>
      </c>
      <c r="AF165" s="4" t="str">
        <f t="shared" si="26"/>
        <v/>
      </c>
      <c r="AG165" s="4" t="str">
        <f t="shared" si="27"/>
        <v/>
      </c>
      <c r="AH165" s="4" t="str">
        <f t="shared" si="28"/>
        <v/>
      </c>
      <c r="AI165" s="2">
        <f t="shared" si="29"/>
        <v>0</v>
      </c>
      <c r="AK165" s="2">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9</v>
      </c>
    </row>
    <row r="166" spans="1:37">
      <c r="A166" s="1">
        <f>IF(Data!A166&gt;0,Data!A166-4,"")</f>
        <v>2</v>
      </c>
      <c r="B166" s="1">
        <f>IF(Data!B166&gt;0,Data!B166-4,"")</f>
        <v>1</v>
      </c>
      <c r="C166" s="1">
        <f>IF(Data!C166&gt;0,4-Data!C166,"")</f>
        <v>0</v>
      </c>
      <c r="D166" s="1">
        <f>IF(Data!D166&gt;0,4-Data!D166,"")</f>
        <v>0</v>
      </c>
      <c r="E166" s="1">
        <f>IF(Data!E166&gt;0,4-Data!E166,"")</f>
        <v>0</v>
      </c>
      <c r="F166" s="1">
        <f>IF(Data!F166&gt;0,Data!F166-4,"")</f>
        <v>0</v>
      </c>
      <c r="G166" s="1">
        <f>IF(Data!G166&gt;0,Data!G166-4,"")</f>
        <v>1</v>
      </c>
      <c r="H166" s="1">
        <f>IF(Data!H166&gt;0,Data!H166-4,"")</f>
        <v>2</v>
      </c>
      <c r="I166" s="1">
        <f>IF(Data!I166&gt;0,4-Data!I166,"")</f>
        <v>1</v>
      </c>
      <c r="J166" s="1">
        <f>IF(Data!J166&gt;0,4-Data!J166,"")</f>
        <v>-2</v>
      </c>
      <c r="K166" s="1">
        <f>IF(Data!K166&gt;0,Data!K166-4,"")</f>
        <v>1</v>
      </c>
      <c r="L166" s="1">
        <f>IF(Data!L166&gt;0,4-Data!L166,"")</f>
        <v>2</v>
      </c>
      <c r="M166" s="1">
        <f>IF(Data!M166&gt;0,Data!M166-4,"")</f>
        <v>3</v>
      </c>
      <c r="N166" s="1">
        <f>IF(Data!N166&gt;0,Data!N166-4,"")</f>
        <v>3</v>
      </c>
      <c r="O166" s="1">
        <f>IF(Data!O166&gt;0,Data!O166-4,"")</f>
        <v>0</v>
      </c>
      <c r="P166" s="1">
        <f>IF(Data!P166&gt;0,Data!P166-4,"")</f>
        <v>-3</v>
      </c>
      <c r="Q166" s="1">
        <f>IF(Data!Q166&gt;0,4-Data!Q166,"")</f>
        <v>0</v>
      </c>
      <c r="R166" s="1">
        <f>IF(Data!R166&gt;0,4-Data!R166,"")</f>
        <v>0</v>
      </c>
      <c r="S166" s="1">
        <f>IF(Data!S166&gt;0,4-Data!S166,"")</f>
        <v>0</v>
      </c>
      <c r="T166" s="1">
        <f>IF(Data!T166&gt;0,Data!T166-4,"")</f>
        <v>-1</v>
      </c>
      <c r="U166" s="1">
        <f>IF(Data!U166&gt;0,4-Data!U166,"")</f>
        <v>0</v>
      </c>
      <c r="V166" s="1">
        <f>IF(Data!V166&gt;0,Data!V166-4,"")</f>
        <v>0</v>
      </c>
      <c r="W166" s="1">
        <f>IF(Data!W166&gt;0,4-Data!W166,"")</f>
        <v>0</v>
      </c>
      <c r="X166" s="1">
        <f>IF(Data!X166&gt;0,4-Data!X166,"")</f>
        <v>3</v>
      </c>
      <c r="Y166" s="1">
        <f>IF(Data!Y166&gt;0,4-Data!Y166,"")</f>
        <v>3</v>
      </c>
      <c r="Z166" s="1">
        <f>IF(Data!Z166&gt;0,Data!Z166-4,"")</f>
        <v>0</v>
      </c>
      <c r="AC166" s="4">
        <f t="shared" si="23"/>
        <v>1</v>
      </c>
      <c r="AD166" s="4" t="str">
        <f t="shared" si="24"/>
        <v/>
      </c>
      <c r="AE166" s="4" t="str">
        <f t="shared" si="25"/>
        <v/>
      </c>
      <c r="AF166" s="4" t="str">
        <f t="shared" si="26"/>
        <v/>
      </c>
      <c r="AG166" s="4" t="str">
        <f t="shared" si="27"/>
        <v/>
      </c>
      <c r="AH166" s="4" t="str">
        <f t="shared" si="28"/>
        <v/>
      </c>
      <c r="AI166" s="2">
        <f t="shared" si="29"/>
        <v>1</v>
      </c>
      <c r="AK166" s="2">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12</v>
      </c>
    </row>
    <row r="167" spans="1:37">
      <c r="A167" s="1">
        <f>IF(Data!A167&gt;0,Data!A167-4,"")</f>
        <v>2</v>
      </c>
      <c r="B167" s="1">
        <f>IF(Data!B167&gt;0,Data!B167-4,"")</f>
        <v>-2</v>
      </c>
      <c r="C167" s="1">
        <f>IF(Data!C167&gt;0,4-Data!C167,"")</f>
        <v>-1</v>
      </c>
      <c r="D167" s="1">
        <f>IF(Data!D167&gt;0,4-Data!D167,"")</f>
        <v>-2</v>
      </c>
      <c r="E167" s="1">
        <f>IF(Data!E167&gt;0,4-Data!E167,"")</f>
        <v>-2</v>
      </c>
      <c r="F167" s="1">
        <f>IF(Data!F167&gt;0,Data!F167-4,"")</f>
        <v>-1</v>
      </c>
      <c r="G167" s="1">
        <f>IF(Data!G167&gt;0,Data!G167-4,"")</f>
        <v>-1</v>
      </c>
      <c r="H167" s="1">
        <f>IF(Data!H167&gt;0,Data!H167-4,"")</f>
        <v>-1</v>
      </c>
      <c r="I167" s="1">
        <f>IF(Data!I167&gt;0,4-Data!I167,"")</f>
        <v>-2</v>
      </c>
      <c r="J167" s="1">
        <f>IF(Data!J167&gt;0,4-Data!J167,"")</f>
        <v>-2</v>
      </c>
      <c r="K167" s="1">
        <f>IF(Data!K167&gt;0,Data!K167-4,"")</f>
        <v>-2</v>
      </c>
      <c r="L167" s="1">
        <f>IF(Data!L167&gt;0,4-Data!L167,"")</f>
        <v>-2</v>
      </c>
      <c r="M167" s="1">
        <f>IF(Data!M167&gt;0,Data!M167-4,"")</f>
        <v>-2</v>
      </c>
      <c r="N167" s="1">
        <f>IF(Data!N167&gt;0,Data!N167-4,"")</f>
        <v>-2</v>
      </c>
      <c r="O167" s="1">
        <f>IF(Data!O167&gt;0,Data!O167-4,"")</f>
        <v>-2</v>
      </c>
      <c r="P167" s="1">
        <f>IF(Data!P167&gt;0,Data!P167-4,"")</f>
        <v>-2</v>
      </c>
      <c r="Q167" s="1">
        <f>IF(Data!Q167&gt;0,4-Data!Q167,"")</f>
        <v>-2</v>
      </c>
      <c r="R167" s="1">
        <f>IF(Data!R167&gt;0,4-Data!R167,"")</f>
        <v>-1</v>
      </c>
      <c r="S167" s="1">
        <f>IF(Data!S167&gt;0,4-Data!S167,"")</f>
        <v>-1</v>
      </c>
      <c r="T167" s="1">
        <f>IF(Data!T167&gt;0,Data!T167-4,"")</f>
        <v>-2</v>
      </c>
      <c r="U167" s="1">
        <f>IF(Data!U167&gt;0,4-Data!U167,"")</f>
        <v>-2</v>
      </c>
      <c r="V167" s="1">
        <f>IF(Data!V167&gt;0,Data!V167-4,"")</f>
        <v>-2</v>
      </c>
      <c r="W167" s="1">
        <f>IF(Data!W167&gt;0,4-Data!W167,"")</f>
        <v>-2</v>
      </c>
      <c r="X167" s="1">
        <f>IF(Data!X167&gt;0,4-Data!X167,"")</f>
        <v>-2</v>
      </c>
      <c r="Y167" s="1">
        <f>IF(Data!Y167&gt;0,4-Data!Y167,"")</f>
        <v>-2</v>
      </c>
      <c r="Z167" s="1">
        <f>IF(Data!Z167&gt;0,Data!Z167-4,"")</f>
        <v>-1</v>
      </c>
      <c r="AC167" s="4">
        <f t="shared" si="23"/>
        <v>1</v>
      </c>
      <c r="AD167" s="4" t="str">
        <f t="shared" si="24"/>
        <v/>
      </c>
      <c r="AE167" s="4" t="str">
        <f t="shared" si="25"/>
        <v/>
      </c>
      <c r="AF167" s="4" t="str">
        <f t="shared" si="26"/>
        <v/>
      </c>
      <c r="AG167" s="4" t="str">
        <f t="shared" si="27"/>
        <v/>
      </c>
      <c r="AH167" s="4" t="str">
        <f t="shared" si="28"/>
        <v/>
      </c>
      <c r="AI167" s="2">
        <f t="shared" si="29"/>
        <v>1</v>
      </c>
      <c r="AK167" s="2">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11</v>
      </c>
    </row>
    <row r="168" spans="1:37">
      <c r="A168" s="1">
        <f>IF(Data!A168&gt;0,Data!A168-4,"")</f>
        <v>1</v>
      </c>
      <c r="B168" s="1">
        <f>IF(Data!B168&gt;0,Data!B168-4,"")</f>
        <v>0</v>
      </c>
      <c r="C168" s="1">
        <f>IF(Data!C168&gt;0,4-Data!C168,"")</f>
        <v>0</v>
      </c>
      <c r="D168" s="1">
        <f>IF(Data!D168&gt;0,4-Data!D168,"")</f>
        <v>-1</v>
      </c>
      <c r="E168" s="1">
        <f>IF(Data!E168&gt;0,4-Data!E168,"")</f>
        <v>0</v>
      </c>
      <c r="F168" s="1">
        <f>IF(Data!F168&gt;0,Data!F168-4,"")</f>
        <v>1</v>
      </c>
      <c r="G168" s="1">
        <f>IF(Data!G168&gt;0,Data!G168-4,"")</f>
        <v>1</v>
      </c>
      <c r="H168" s="1">
        <f>IF(Data!H168&gt;0,Data!H168-4,"")</f>
        <v>0</v>
      </c>
      <c r="I168" s="1">
        <f>IF(Data!I168&gt;0,4-Data!I168,"")</f>
        <v>2</v>
      </c>
      <c r="J168" s="1">
        <f>IF(Data!J168&gt;0,4-Data!J168,"")</f>
        <v>2</v>
      </c>
      <c r="K168" s="1">
        <f>IF(Data!K168&gt;0,Data!K168-4,"")</f>
        <v>0</v>
      </c>
      <c r="L168" s="1">
        <f>IF(Data!L168&gt;0,4-Data!L168,"")</f>
        <v>0</v>
      </c>
      <c r="M168" s="1">
        <f>IF(Data!M168&gt;0,Data!M168-4,"")</f>
        <v>1</v>
      </c>
      <c r="N168" s="1">
        <f>IF(Data!N168&gt;0,Data!N168-4,"")</f>
        <v>1</v>
      </c>
      <c r="O168" s="1">
        <f>IF(Data!O168&gt;0,Data!O168-4,"")</f>
        <v>0</v>
      </c>
      <c r="P168" s="1">
        <f>IF(Data!P168&gt;0,Data!P168-4,"")</f>
        <v>0</v>
      </c>
      <c r="Q168" s="1">
        <f>IF(Data!Q168&gt;0,4-Data!Q168,"")</f>
        <v>1</v>
      </c>
      <c r="R168" s="1">
        <f>IF(Data!R168&gt;0,4-Data!R168,"")</f>
        <v>0</v>
      </c>
      <c r="S168" s="1">
        <f>IF(Data!S168&gt;0,4-Data!S168,"")</f>
        <v>2</v>
      </c>
      <c r="T168" s="1">
        <f>IF(Data!T168&gt;0,Data!T168-4,"")</f>
        <v>2</v>
      </c>
      <c r="U168" s="1">
        <f>IF(Data!U168&gt;0,4-Data!U168,"")</f>
        <v>1</v>
      </c>
      <c r="V168" s="1">
        <f>IF(Data!V168&gt;0,Data!V168-4,"")</f>
        <v>2</v>
      </c>
      <c r="W168" s="1">
        <f>IF(Data!W168&gt;0,4-Data!W168,"")</f>
        <v>0</v>
      </c>
      <c r="X168" s="1">
        <f>IF(Data!X168&gt;0,4-Data!X168,"")</f>
        <v>1</v>
      </c>
      <c r="Y168" s="1">
        <f>IF(Data!Y168&gt;0,4-Data!Y168,"")</f>
        <v>1</v>
      </c>
      <c r="Z168" s="1">
        <f>IF(Data!Z168&gt;0,Data!Z168-4,"")</f>
        <v>0</v>
      </c>
      <c r="AC168" s="4" t="str">
        <f t="shared" si="23"/>
        <v/>
      </c>
      <c r="AD168" s="4" t="str">
        <f t="shared" si="24"/>
        <v/>
      </c>
      <c r="AE168" s="4" t="str">
        <f t="shared" si="25"/>
        <v/>
      </c>
      <c r="AF168" s="4" t="str">
        <f t="shared" si="26"/>
        <v/>
      </c>
      <c r="AG168" s="4" t="str">
        <f t="shared" si="27"/>
        <v/>
      </c>
      <c r="AH168" s="4" t="str">
        <f t="shared" si="28"/>
        <v/>
      </c>
      <c r="AI168" s="2">
        <f t="shared" si="29"/>
        <v>0</v>
      </c>
      <c r="AK168" s="2">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11</v>
      </c>
    </row>
    <row r="169" spans="1:37">
      <c r="A169" s="1">
        <f>IF(Data!A169&gt;0,Data!A169-4,"")</f>
        <v>3</v>
      </c>
      <c r="B169" s="1">
        <f>IF(Data!B169&gt;0,Data!B169-4,"")</f>
        <v>3</v>
      </c>
      <c r="C169" s="1">
        <f>IF(Data!C169&gt;0,4-Data!C169,"")</f>
        <v>3</v>
      </c>
      <c r="D169" s="1">
        <f>IF(Data!D169&gt;0,4-Data!D169,"")</f>
        <v>1</v>
      </c>
      <c r="E169" s="1">
        <f>IF(Data!E169&gt;0,4-Data!E169,"")</f>
        <v>1</v>
      </c>
      <c r="F169" s="1">
        <f>IF(Data!F169&gt;0,Data!F169-4,"")</f>
        <v>3</v>
      </c>
      <c r="G169" s="1">
        <f>IF(Data!G169&gt;0,Data!G169-4,"")</f>
        <v>3</v>
      </c>
      <c r="H169" s="1">
        <f>IF(Data!H169&gt;0,Data!H169-4,"")</f>
        <v>1</v>
      </c>
      <c r="I169" s="1">
        <f>IF(Data!I169&gt;0,4-Data!I169,"")</f>
        <v>1</v>
      </c>
      <c r="J169" s="1">
        <f>IF(Data!J169&gt;0,4-Data!J169,"")</f>
        <v>0</v>
      </c>
      <c r="K169" s="1">
        <f>IF(Data!K169&gt;0,Data!K169-4,"")</f>
        <v>0</v>
      </c>
      <c r="L169" s="1">
        <f>IF(Data!L169&gt;0,4-Data!L169,"")</f>
        <v>1</v>
      </c>
      <c r="M169" s="1">
        <f>IF(Data!M169&gt;0,Data!M169-4,"")</f>
        <v>2</v>
      </c>
      <c r="N169" s="1">
        <f>IF(Data!N169&gt;0,Data!N169-4,"")</f>
        <v>1</v>
      </c>
      <c r="O169" s="1">
        <f>IF(Data!O169&gt;0,Data!O169-4,"")</f>
        <v>0</v>
      </c>
      <c r="P169" s="1">
        <f>IF(Data!P169&gt;0,Data!P169-4,"")</f>
        <v>3</v>
      </c>
      <c r="Q169" s="1">
        <f>IF(Data!Q169&gt;0,4-Data!Q169,"")</f>
        <v>3</v>
      </c>
      <c r="R169" s="1">
        <f>IF(Data!R169&gt;0,4-Data!R169,"")</f>
        <v>2</v>
      </c>
      <c r="S169" s="1">
        <f>IF(Data!S169&gt;0,4-Data!S169,"")</f>
        <v>2</v>
      </c>
      <c r="T169" s="1">
        <f>IF(Data!T169&gt;0,Data!T169-4,"")</f>
        <v>2</v>
      </c>
      <c r="U169" s="1">
        <f>IF(Data!U169&gt;0,4-Data!U169,"")</f>
        <v>1</v>
      </c>
      <c r="V169" s="1">
        <f>IF(Data!V169&gt;0,Data!V169-4,"")</f>
        <v>2</v>
      </c>
      <c r="W169" s="1">
        <f>IF(Data!W169&gt;0,4-Data!W169,"")</f>
        <v>1</v>
      </c>
      <c r="X169" s="1">
        <f>IF(Data!X169&gt;0,4-Data!X169,"")</f>
        <v>1</v>
      </c>
      <c r="Y169" s="1">
        <f>IF(Data!Y169&gt;0,4-Data!Y169,"")</f>
        <v>2</v>
      </c>
      <c r="Z169" s="1">
        <f>IF(Data!Z169&gt;0,Data!Z169-4,"")</f>
        <v>1</v>
      </c>
      <c r="AC169" s="4" t="str">
        <f t="shared" si="23"/>
        <v/>
      </c>
      <c r="AD169" s="4" t="str">
        <f t="shared" si="24"/>
        <v/>
      </c>
      <c r="AE169" s="4" t="str">
        <f t="shared" si="25"/>
        <v/>
      </c>
      <c r="AF169" s="4" t="str">
        <f t="shared" si="26"/>
        <v/>
      </c>
      <c r="AG169" s="4" t="str">
        <f t="shared" si="27"/>
        <v/>
      </c>
      <c r="AH169" s="4" t="str">
        <f t="shared" si="28"/>
        <v/>
      </c>
      <c r="AI169" s="2">
        <f t="shared" si="29"/>
        <v>0</v>
      </c>
      <c r="AK169" s="2">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7</v>
      </c>
    </row>
    <row r="170" spans="1:37">
      <c r="A170" s="1">
        <f>IF(Data!A170&gt;0,Data!A170-4,"")</f>
        <v>-3</v>
      </c>
      <c r="B170" s="1">
        <f>IF(Data!B170&gt;0,Data!B170-4,"")</f>
        <v>-3</v>
      </c>
      <c r="C170" s="1">
        <f>IF(Data!C170&gt;0,4-Data!C170,"")</f>
        <v>3</v>
      </c>
      <c r="D170" s="1">
        <f>IF(Data!D170&gt;0,4-Data!D170,"")</f>
        <v>3</v>
      </c>
      <c r="E170" s="1">
        <f>IF(Data!E170&gt;0,4-Data!E170,"")</f>
        <v>3</v>
      </c>
      <c r="F170" s="1">
        <f>IF(Data!F170&gt;0,Data!F170-4,"")</f>
        <v>2</v>
      </c>
      <c r="G170" s="1">
        <f>IF(Data!G170&gt;0,Data!G170-4,"")</f>
        <v>3</v>
      </c>
      <c r="H170" s="1">
        <f>IF(Data!H170&gt;0,Data!H170-4,"")</f>
        <v>-1</v>
      </c>
      <c r="I170" s="1">
        <f>IF(Data!I170&gt;0,4-Data!I170,"")</f>
        <v>3</v>
      </c>
      <c r="J170" s="1">
        <f>IF(Data!J170&gt;0,4-Data!J170,"")</f>
        <v>3</v>
      </c>
      <c r="K170" s="1">
        <f>IF(Data!K170&gt;0,Data!K170-4,"")</f>
        <v>3</v>
      </c>
      <c r="L170" s="1">
        <f>IF(Data!L170&gt;0,4-Data!L170,"")</f>
        <v>3</v>
      </c>
      <c r="M170" s="1">
        <f>IF(Data!M170&gt;0,Data!M170-4,"")</f>
        <v>1</v>
      </c>
      <c r="N170" s="1">
        <f>IF(Data!N170&gt;0,Data!N170-4,"")</f>
        <v>3</v>
      </c>
      <c r="O170" s="1">
        <f>IF(Data!O170&gt;0,Data!O170-4,"")</f>
        <v>3</v>
      </c>
      <c r="P170" s="1">
        <f>IF(Data!P170&gt;0,Data!P170-4,"")</f>
        <v>3</v>
      </c>
      <c r="Q170" s="1">
        <f>IF(Data!Q170&gt;0,4-Data!Q170,"")</f>
        <v>3</v>
      </c>
      <c r="R170" s="1">
        <f>IF(Data!R170&gt;0,4-Data!R170,"")</f>
        <v>2</v>
      </c>
      <c r="S170" s="1">
        <f>IF(Data!S170&gt;0,4-Data!S170,"")</f>
        <v>3</v>
      </c>
      <c r="T170" s="1">
        <f>IF(Data!T170&gt;0,Data!T170-4,"")</f>
        <v>3</v>
      </c>
      <c r="U170" s="1">
        <f>IF(Data!U170&gt;0,4-Data!U170,"")</f>
        <v>3</v>
      </c>
      <c r="V170" s="1">
        <f>IF(Data!V170&gt;0,Data!V170-4,"")</f>
        <v>3</v>
      </c>
      <c r="W170" s="1">
        <f>IF(Data!W170&gt;0,4-Data!W170,"")</f>
        <v>3</v>
      </c>
      <c r="X170" s="1">
        <f>IF(Data!X170&gt;0,4-Data!X170,"")</f>
        <v>3</v>
      </c>
      <c r="Y170" s="1">
        <f>IF(Data!Y170&gt;0,4-Data!Y170,"")</f>
        <v>3</v>
      </c>
      <c r="Z170" s="1">
        <f>IF(Data!Z170&gt;0,Data!Z170-4,"")</f>
        <v>2</v>
      </c>
      <c r="AC170" s="4">
        <f t="shared" si="23"/>
        <v>1</v>
      </c>
      <c r="AD170" s="4">
        <f t="shared" si="24"/>
        <v>1</v>
      </c>
      <c r="AE170" s="4" t="str">
        <f t="shared" si="25"/>
        <v/>
      </c>
      <c r="AF170" s="4">
        <f t="shared" si="26"/>
        <v>1</v>
      </c>
      <c r="AG170" s="4" t="str">
        <f t="shared" si="27"/>
        <v/>
      </c>
      <c r="AH170" s="4" t="str">
        <f t="shared" si="28"/>
        <v/>
      </c>
      <c r="AI170" s="2">
        <f t="shared" si="29"/>
        <v>3</v>
      </c>
      <c r="AK170" s="2">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14</v>
      </c>
    </row>
    <row r="171" spans="1:37">
      <c r="A171" s="1">
        <f>IF(Data!A171&gt;0,Data!A171-4,"")</f>
        <v>-1</v>
      </c>
      <c r="B171" s="1">
        <f>IF(Data!B171&gt;0,Data!B171-4,"")</f>
        <v>3</v>
      </c>
      <c r="C171" s="1">
        <f>IF(Data!C171&gt;0,4-Data!C171,"")</f>
        <v>-1</v>
      </c>
      <c r="D171" s="1">
        <f>IF(Data!D171&gt;0,4-Data!D171,"")</f>
        <v>3</v>
      </c>
      <c r="E171" s="1">
        <f>IF(Data!E171&gt;0,4-Data!E171,"")</f>
        <v>1</v>
      </c>
      <c r="F171" s="1">
        <f>IF(Data!F171&gt;0,Data!F171-4,"")</f>
        <v>0</v>
      </c>
      <c r="G171" s="1">
        <f>IF(Data!G171&gt;0,Data!G171-4,"")</f>
        <v>0</v>
      </c>
      <c r="H171" s="1">
        <f>IF(Data!H171&gt;0,Data!H171-4,"")</f>
        <v>0</v>
      </c>
      <c r="I171" s="1">
        <f>IF(Data!I171&gt;0,4-Data!I171,"")</f>
        <v>-2</v>
      </c>
      <c r="J171" s="1">
        <f>IF(Data!J171&gt;0,4-Data!J171,"")</f>
        <v>0</v>
      </c>
      <c r="K171" s="1">
        <f>IF(Data!K171&gt;0,Data!K171-4,"")</f>
        <v>0</v>
      </c>
      <c r="L171" s="1">
        <f>IF(Data!L171&gt;0,4-Data!L171,"")</f>
        <v>1</v>
      </c>
      <c r="M171" s="1">
        <f>IF(Data!M171&gt;0,Data!M171-4,"")</f>
        <v>-1</v>
      </c>
      <c r="N171" s="1">
        <f>IF(Data!N171&gt;0,Data!N171-4,"")</f>
        <v>0</v>
      </c>
      <c r="O171" s="1">
        <f>IF(Data!O171&gt;0,Data!O171-4,"")</f>
        <v>-3</v>
      </c>
      <c r="P171" s="1">
        <f>IF(Data!P171&gt;0,Data!P171-4,"")</f>
        <v>3</v>
      </c>
      <c r="Q171" s="1">
        <f>IF(Data!Q171&gt;0,4-Data!Q171,"")</f>
        <v>0</v>
      </c>
      <c r="R171" s="1">
        <f>IF(Data!R171&gt;0,4-Data!R171,"")</f>
        <v>1</v>
      </c>
      <c r="S171" s="1">
        <f>IF(Data!S171&gt;0,4-Data!S171,"")</f>
        <v>-1</v>
      </c>
      <c r="T171" s="1">
        <f>IF(Data!T171&gt;0,Data!T171-4,"")</f>
        <v>1</v>
      </c>
      <c r="U171" s="1">
        <f>IF(Data!U171&gt;0,4-Data!U171,"")</f>
        <v>0</v>
      </c>
      <c r="V171" s="1">
        <f>IF(Data!V171&gt;0,Data!V171-4,"")</f>
        <v>1</v>
      </c>
      <c r="W171" s="1">
        <f>IF(Data!W171&gt;0,4-Data!W171,"")</f>
        <v>1</v>
      </c>
      <c r="X171" s="1">
        <f>IF(Data!X171&gt;0,4-Data!X171,"")</f>
        <v>1</v>
      </c>
      <c r="Y171" s="1">
        <f>IF(Data!Y171&gt;0,4-Data!Y171,"")</f>
        <v>0</v>
      </c>
      <c r="Z171" s="1">
        <f>IF(Data!Z171&gt;0,Data!Z171-4,"")</f>
        <v>0</v>
      </c>
      <c r="AC171" s="4">
        <f t="shared" si="23"/>
        <v>1</v>
      </c>
      <c r="AD171" s="4">
        <f t="shared" si="24"/>
        <v>1</v>
      </c>
      <c r="AE171" s="4" t="str">
        <f t="shared" si="25"/>
        <v/>
      </c>
      <c r="AF171" s="4" t="str">
        <f t="shared" si="26"/>
        <v/>
      </c>
      <c r="AG171" s="4" t="str">
        <f t="shared" si="27"/>
        <v/>
      </c>
      <c r="AH171" s="4" t="str">
        <f t="shared" si="28"/>
        <v/>
      </c>
      <c r="AI171" s="2">
        <f t="shared" si="29"/>
        <v>2</v>
      </c>
      <c r="AK171" s="2">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10</v>
      </c>
    </row>
    <row r="172" spans="1:37">
      <c r="A172" s="1">
        <f>IF(Data!A172&gt;0,Data!A172-4,"")</f>
        <v>1</v>
      </c>
      <c r="B172" s="1">
        <f>IF(Data!B172&gt;0,Data!B172-4,"")</f>
        <v>1</v>
      </c>
      <c r="C172" s="1">
        <f>IF(Data!C172&gt;0,4-Data!C172,"")</f>
        <v>1</v>
      </c>
      <c r="D172" s="1">
        <f>IF(Data!D172&gt;0,4-Data!D172,"")</f>
        <v>1</v>
      </c>
      <c r="E172" s="1">
        <f>IF(Data!E172&gt;0,4-Data!E172,"")</f>
        <v>1</v>
      </c>
      <c r="F172" s="1">
        <f>IF(Data!F172&gt;0,Data!F172-4,"")</f>
        <v>1</v>
      </c>
      <c r="G172" s="1">
        <f>IF(Data!G172&gt;0,Data!G172-4,"")</f>
        <v>1</v>
      </c>
      <c r="H172" s="1">
        <f>IF(Data!H172&gt;0,Data!H172-4,"")</f>
        <v>0</v>
      </c>
      <c r="I172" s="1">
        <f>IF(Data!I172&gt;0,4-Data!I172,"")</f>
        <v>1</v>
      </c>
      <c r="J172" s="1">
        <f>IF(Data!J172&gt;0,4-Data!J172,"")</f>
        <v>1</v>
      </c>
      <c r="K172" s="1">
        <f>IF(Data!K172&gt;0,Data!K172-4,"")</f>
        <v>1</v>
      </c>
      <c r="L172" s="1">
        <f>IF(Data!L172&gt;0,4-Data!L172,"")</f>
        <v>0</v>
      </c>
      <c r="M172" s="1">
        <f>IF(Data!M172&gt;0,Data!M172-4,"")</f>
        <v>1</v>
      </c>
      <c r="N172" s="1">
        <f>IF(Data!N172&gt;0,Data!N172-4,"")</f>
        <v>1</v>
      </c>
      <c r="O172" s="1">
        <f>IF(Data!O172&gt;0,Data!O172-4,"")</f>
        <v>1</v>
      </c>
      <c r="P172" s="1">
        <f>IF(Data!P172&gt;0,Data!P172-4,"")</f>
        <v>1</v>
      </c>
      <c r="Q172" s="1">
        <f>IF(Data!Q172&gt;0,4-Data!Q172,"")</f>
        <v>0</v>
      </c>
      <c r="R172" s="1">
        <f>IF(Data!R172&gt;0,4-Data!R172,"")</f>
        <v>0</v>
      </c>
      <c r="S172" s="1">
        <f>IF(Data!S172&gt;0,4-Data!S172,"")</f>
        <v>2</v>
      </c>
      <c r="T172" s="1">
        <f>IF(Data!T172&gt;0,Data!T172-4,"")</f>
        <v>1</v>
      </c>
      <c r="U172" s="1">
        <f>IF(Data!U172&gt;0,4-Data!U172,"")</f>
        <v>1</v>
      </c>
      <c r="V172" s="1">
        <f>IF(Data!V172&gt;0,Data!V172-4,"")</f>
        <v>1</v>
      </c>
      <c r="W172" s="1">
        <f>IF(Data!W172&gt;0,4-Data!W172,"")</f>
        <v>1</v>
      </c>
      <c r="X172" s="1">
        <f>IF(Data!X172&gt;0,4-Data!X172,"")</f>
        <v>0</v>
      </c>
      <c r="Y172" s="1">
        <f>IF(Data!Y172&gt;0,4-Data!Y172,"")</f>
        <v>0</v>
      </c>
      <c r="Z172" s="1">
        <f>IF(Data!Z172&gt;0,Data!Z172-4,"")</f>
        <v>1</v>
      </c>
      <c r="AC172" s="4" t="str">
        <f t="shared" si="23"/>
        <v/>
      </c>
      <c r="AD172" s="4" t="str">
        <f t="shared" si="24"/>
        <v/>
      </c>
      <c r="AE172" s="4" t="str">
        <f t="shared" si="25"/>
        <v/>
      </c>
      <c r="AF172" s="4" t="str">
        <f t="shared" si="26"/>
        <v/>
      </c>
      <c r="AG172" s="4" t="str">
        <f t="shared" si="27"/>
        <v/>
      </c>
      <c r="AH172" s="4" t="str">
        <f t="shared" si="28"/>
        <v/>
      </c>
      <c r="AI172" s="2">
        <f t="shared" si="29"/>
        <v>0</v>
      </c>
      <c r="AK172" s="2">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12</v>
      </c>
    </row>
    <row r="173" spans="1:37">
      <c r="A173" s="1">
        <f>IF(Data!A173&gt;0,Data!A173-4,"")</f>
        <v>2</v>
      </c>
      <c r="B173" s="1">
        <f>IF(Data!B173&gt;0,Data!B173-4,"")</f>
        <v>2</v>
      </c>
      <c r="C173" s="1">
        <f>IF(Data!C173&gt;0,4-Data!C173,"")</f>
        <v>1</v>
      </c>
      <c r="D173" s="1">
        <f>IF(Data!D173&gt;0,4-Data!D173,"")</f>
        <v>2</v>
      </c>
      <c r="E173" s="1">
        <f>IF(Data!E173&gt;0,4-Data!E173,"")</f>
        <v>2</v>
      </c>
      <c r="F173" s="1">
        <f>IF(Data!F173&gt;0,Data!F173-4,"")</f>
        <v>0</v>
      </c>
      <c r="G173" s="1">
        <f>IF(Data!G173&gt;0,Data!G173-4,"")</f>
        <v>2</v>
      </c>
      <c r="H173" s="1">
        <f>IF(Data!H173&gt;0,Data!H173-4,"")</f>
        <v>-1</v>
      </c>
      <c r="I173" s="1">
        <f>IF(Data!I173&gt;0,4-Data!I173,"")</f>
        <v>3</v>
      </c>
      <c r="J173" s="1">
        <f>IF(Data!J173&gt;0,4-Data!J173,"")</f>
        <v>1</v>
      </c>
      <c r="K173" s="1">
        <f>IF(Data!K173&gt;0,Data!K173-4,"")</f>
        <v>2</v>
      </c>
      <c r="L173" s="1">
        <f>IF(Data!L173&gt;0,4-Data!L173,"")</f>
        <v>3</v>
      </c>
      <c r="M173" s="1">
        <f>IF(Data!M173&gt;0,Data!M173-4,"")</f>
        <v>2</v>
      </c>
      <c r="N173" s="1">
        <f>IF(Data!N173&gt;0,Data!N173-4,"")</f>
        <v>1</v>
      </c>
      <c r="O173" s="1">
        <f>IF(Data!O173&gt;0,Data!O173-4,"")</f>
        <v>0</v>
      </c>
      <c r="P173" s="1">
        <f>IF(Data!P173&gt;0,Data!P173-4,"")</f>
        <v>2</v>
      </c>
      <c r="Q173" s="1">
        <f>IF(Data!Q173&gt;0,4-Data!Q173,"")</f>
        <v>3</v>
      </c>
      <c r="R173" s="1">
        <f>IF(Data!R173&gt;0,4-Data!R173,"")</f>
        <v>0</v>
      </c>
      <c r="S173" s="1">
        <f>IF(Data!S173&gt;0,4-Data!S173,"")</f>
        <v>3</v>
      </c>
      <c r="T173" s="1">
        <f>IF(Data!T173&gt;0,Data!T173-4,"")</f>
        <v>3</v>
      </c>
      <c r="U173" s="1">
        <f>IF(Data!U173&gt;0,4-Data!U173,"")</f>
        <v>3</v>
      </c>
      <c r="V173" s="1">
        <f>IF(Data!V173&gt;0,Data!V173-4,"")</f>
        <v>2</v>
      </c>
      <c r="W173" s="1">
        <f>IF(Data!W173&gt;0,4-Data!W173,"")</f>
        <v>3</v>
      </c>
      <c r="X173" s="1">
        <f>IF(Data!X173&gt;0,4-Data!X173,"")</f>
        <v>1</v>
      </c>
      <c r="Y173" s="1">
        <f>IF(Data!Y173&gt;0,4-Data!Y173,"")</f>
        <v>2</v>
      </c>
      <c r="Z173" s="1">
        <f>IF(Data!Z173&gt;0,Data!Z173-4,"")</f>
        <v>1</v>
      </c>
      <c r="AC173" s="4" t="str">
        <f t="shared" si="23"/>
        <v/>
      </c>
      <c r="AD173" s="4" t="str">
        <f t="shared" si="24"/>
        <v/>
      </c>
      <c r="AE173" s="4" t="str">
        <f t="shared" si="25"/>
        <v/>
      </c>
      <c r="AF173" s="4">
        <f t="shared" si="26"/>
        <v>1</v>
      </c>
      <c r="AG173" s="4" t="str">
        <f t="shared" si="27"/>
        <v/>
      </c>
      <c r="AH173" s="4" t="str">
        <f t="shared" si="28"/>
        <v/>
      </c>
      <c r="AI173" s="2">
        <f t="shared" si="29"/>
        <v>1</v>
      </c>
      <c r="AK173" s="2">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7</v>
      </c>
    </row>
    <row r="174" spans="1:37">
      <c r="A174" s="1">
        <f>IF(Data!A174&gt;0,Data!A174-4,"")</f>
        <v>1</v>
      </c>
      <c r="B174" s="1">
        <f>IF(Data!B174&gt;0,Data!B174-4,"")</f>
        <v>3</v>
      </c>
      <c r="C174" s="1">
        <f>IF(Data!C174&gt;0,4-Data!C174,"")</f>
        <v>0</v>
      </c>
      <c r="D174" s="1">
        <f>IF(Data!D174&gt;0,4-Data!D174,"")</f>
        <v>2</v>
      </c>
      <c r="E174" s="1">
        <f>IF(Data!E174&gt;0,4-Data!E174,"")</f>
        <v>0</v>
      </c>
      <c r="F174" s="1">
        <f>IF(Data!F174&gt;0,Data!F174-4,"")</f>
        <v>-1</v>
      </c>
      <c r="G174" s="1">
        <f>IF(Data!G174&gt;0,Data!G174-4,"")</f>
        <v>-1</v>
      </c>
      <c r="H174" s="1">
        <f>IF(Data!H174&gt;0,Data!H174-4,"")</f>
        <v>2</v>
      </c>
      <c r="I174" s="1">
        <f>IF(Data!I174&gt;0,4-Data!I174,"")</f>
        <v>0</v>
      </c>
      <c r="J174" s="1">
        <f>IF(Data!J174&gt;0,4-Data!J174,"")</f>
        <v>-2</v>
      </c>
      <c r="K174" s="1">
        <f>IF(Data!K174&gt;0,Data!K174-4,"")</f>
        <v>0</v>
      </c>
      <c r="L174" s="1">
        <f>IF(Data!L174&gt;0,4-Data!L174,"")</f>
        <v>0</v>
      </c>
      <c r="M174" s="1">
        <f>IF(Data!M174&gt;0,Data!M174-4,"")</f>
        <v>2</v>
      </c>
      <c r="N174" s="1">
        <f>IF(Data!N174&gt;0,Data!N174-4,"")</f>
        <v>2</v>
      </c>
      <c r="O174" s="1">
        <f>IF(Data!O174&gt;0,Data!O174-4,"")</f>
        <v>0</v>
      </c>
      <c r="P174" s="1">
        <f>IF(Data!P174&gt;0,Data!P174-4,"")</f>
        <v>1</v>
      </c>
      <c r="Q174" s="1">
        <f>IF(Data!Q174&gt;0,4-Data!Q174,"")</f>
        <v>2</v>
      </c>
      <c r="R174" s="1">
        <f>IF(Data!R174&gt;0,4-Data!R174,"")</f>
        <v>0</v>
      </c>
      <c r="S174" s="1">
        <f>IF(Data!S174&gt;0,4-Data!S174,"")</f>
        <v>1</v>
      </c>
      <c r="T174" s="1">
        <f>IF(Data!T174&gt;0,Data!T174-4,"")</f>
        <v>0</v>
      </c>
      <c r="U174" s="1">
        <f>IF(Data!U174&gt;0,4-Data!U174,"")</f>
        <v>2</v>
      </c>
      <c r="V174" s="1">
        <f>IF(Data!V174&gt;0,Data!V174-4,"")</f>
        <v>2</v>
      </c>
      <c r="W174" s="1">
        <f>IF(Data!W174&gt;0,4-Data!W174,"")</f>
        <v>-2</v>
      </c>
      <c r="X174" s="1">
        <f>IF(Data!X174&gt;0,4-Data!X174,"")</f>
        <v>0</v>
      </c>
      <c r="Y174" s="1">
        <f>IF(Data!Y174&gt;0,4-Data!Y174,"")</f>
        <v>0</v>
      </c>
      <c r="Z174" s="1">
        <f>IF(Data!Z174&gt;0,Data!Z174-4,"")</f>
        <v>0</v>
      </c>
      <c r="AC174" s="4" t="str">
        <f t="shared" si="23"/>
        <v/>
      </c>
      <c r="AD174" s="4" t="str">
        <f t="shared" si="24"/>
        <v/>
      </c>
      <c r="AE174" s="4">
        <f t="shared" si="25"/>
        <v>1</v>
      </c>
      <c r="AF174" s="4" t="str">
        <f t="shared" si="26"/>
        <v/>
      </c>
      <c r="AG174" s="4" t="str">
        <f t="shared" si="27"/>
        <v/>
      </c>
      <c r="AH174" s="4" t="str">
        <f t="shared" si="28"/>
        <v/>
      </c>
      <c r="AI174" s="2">
        <f t="shared" si="29"/>
        <v>1</v>
      </c>
      <c r="AK174" s="2">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11</v>
      </c>
    </row>
    <row r="175" spans="1:37">
      <c r="A175" s="1">
        <f>IF(Data!A175&gt;0,Data!A175-4,"")</f>
        <v>2</v>
      </c>
      <c r="B175" s="1">
        <f>IF(Data!B175&gt;0,Data!B175-4,"")</f>
        <v>3</v>
      </c>
      <c r="C175" s="1">
        <f>IF(Data!C175&gt;0,4-Data!C175,"")</f>
        <v>2</v>
      </c>
      <c r="D175" s="1">
        <f>IF(Data!D175&gt;0,4-Data!D175,"")</f>
        <v>2</v>
      </c>
      <c r="E175" s="1">
        <f>IF(Data!E175&gt;0,4-Data!E175,"")</f>
        <v>2</v>
      </c>
      <c r="F175" s="1">
        <f>IF(Data!F175&gt;0,Data!F175-4,"")</f>
        <v>0</v>
      </c>
      <c r="G175" s="1">
        <f>IF(Data!G175&gt;0,Data!G175-4,"")</f>
        <v>1</v>
      </c>
      <c r="H175" s="1">
        <f>IF(Data!H175&gt;0,Data!H175-4,"")</f>
        <v>0</v>
      </c>
      <c r="I175" s="1">
        <f>IF(Data!I175&gt;0,4-Data!I175,"")</f>
        <v>2</v>
      </c>
      <c r="J175" s="1">
        <f>IF(Data!J175&gt;0,4-Data!J175,"")</f>
        <v>2</v>
      </c>
      <c r="K175" s="1">
        <f>IF(Data!K175&gt;0,Data!K175-4,"")</f>
        <v>1</v>
      </c>
      <c r="L175" s="1">
        <f>IF(Data!L175&gt;0,4-Data!L175,"")</f>
        <v>1</v>
      </c>
      <c r="M175" s="1">
        <f>IF(Data!M175&gt;0,Data!M175-4,"")</f>
        <v>2</v>
      </c>
      <c r="N175" s="1">
        <f>IF(Data!N175&gt;0,Data!N175-4,"")</f>
        <v>1</v>
      </c>
      <c r="O175" s="1">
        <f>IF(Data!O175&gt;0,Data!O175-4,"")</f>
        <v>2</v>
      </c>
      <c r="P175" s="1">
        <f>IF(Data!P175&gt;0,Data!P175-4,"")</f>
        <v>1</v>
      </c>
      <c r="Q175" s="1">
        <f>IF(Data!Q175&gt;0,4-Data!Q175,"")</f>
        <v>1</v>
      </c>
      <c r="R175" s="1">
        <f>IF(Data!R175&gt;0,4-Data!R175,"")</f>
        <v>0</v>
      </c>
      <c r="S175" s="1">
        <f>IF(Data!S175&gt;0,4-Data!S175,"")</f>
        <v>3</v>
      </c>
      <c r="T175" s="1">
        <f>IF(Data!T175&gt;0,Data!T175-4,"")</f>
        <v>3</v>
      </c>
      <c r="U175" s="1">
        <f>IF(Data!U175&gt;0,4-Data!U175,"")</f>
        <v>2</v>
      </c>
      <c r="V175" s="1">
        <f>IF(Data!V175&gt;0,Data!V175-4,"")</f>
        <v>2</v>
      </c>
      <c r="W175" s="1">
        <f>IF(Data!W175&gt;0,4-Data!W175,"")</f>
        <v>1</v>
      </c>
      <c r="X175" s="1">
        <f>IF(Data!X175&gt;0,4-Data!X175,"")</f>
        <v>1</v>
      </c>
      <c r="Y175" s="1">
        <f>IF(Data!Y175&gt;0,4-Data!Y175,"")</f>
        <v>1</v>
      </c>
      <c r="Z175" s="1">
        <f>IF(Data!Z175&gt;0,Data!Z175-4,"")</f>
        <v>2</v>
      </c>
      <c r="AC175" s="4" t="str">
        <f t="shared" si="23"/>
        <v/>
      </c>
      <c r="AD175" s="4" t="str">
        <f t="shared" si="24"/>
        <v/>
      </c>
      <c r="AE175" s="4" t="str">
        <f t="shared" si="25"/>
        <v/>
      </c>
      <c r="AF175" s="4" t="str">
        <f t="shared" si="26"/>
        <v/>
      </c>
      <c r="AG175" s="4" t="str">
        <f t="shared" si="27"/>
        <v/>
      </c>
      <c r="AH175" s="4" t="str">
        <f t="shared" si="28"/>
        <v/>
      </c>
      <c r="AI175" s="2">
        <f t="shared" si="29"/>
        <v>0</v>
      </c>
      <c r="AK175" s="2">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6</v>
      </c>
    </row>
    <row r="176" spans="1:37">
      <c r="A176" s="1">
        <f>IF(Data!A176&gt;0,Data!A176-4,"")</f>
        <v>0</v>
      </c>
      <c r="B176" s="1">
        <f>IF(Data!B176&gt;0,Data!B176-4,"")</f>
        <v>0</v>
      </c>
      <c r="C176" s="1">
        <f>IF(Data!C176&gt;0,4-Data!C176,"")</f>
        <v>0</v>
      </c>
      <c r="D176" s="1">
        <f>IF(Data!D176&gt;0,4-Data!D176,"")</f>
        <v>2</v>
      </c>
      <c r="E176" s="1">
        <f>IF(Data!E176&gt;0,4-Data!E176,"")</f>
        <v>1</v>
      </c>
      <c r="F176" s="1">
        <f>IF(Data!F176&gt;0,Data!F176-4,"")</f>
        <v>0</v>
      </c>
      <c r="G176" s="1">
        <f>IF(Data!G176&gt;0,Data!G176-4,"")</f>
        <v>0</v>
      </c>
      <c r="H176" s="1">
        <f>IF(Data!H176&gt;0,Data!H176-4,"")</f>
        <v>0</v>
      </c>
      <c r="I176" s="1">
        <f>IF(Data!I176&gt;0,4-Data!I176,"")</f>
        <v>1</v>
      </c>
      <c r="J176" s="1">
        <f>IF(Data!J176&gt;0,4-Data!J176,"")</f>
        <v>1</v>
      </c>
      <c r="K176" s="1">
        <f>IF(Data!K176&gt;0,Data!K176-4,"")</f>
        <v>0</v>
      </c>
      <c r="L176" s="1">
        <f>IF(Data!L176&gt;0,4-Data!L176,"")</f>
        <v>0</v>
      </c>
      <c r="M176" s="1">
        <f>IF(Data!M176&gt;0,Data!M176-4,"")</f>
        <v>1</v>
      </c>
      <c r="N176" s="1">
        <f>IF(Data!N176&gt;0,Data!N176-4,"")</f>
        <v>0</v>
      </c>
      <c r="O176" s="1">
        <f>IF(Data!O176&gt;0,Data!O176-4,"")</f>
        <v>1</v>
      </c>
      <c r="P176" s="1">
        <f>IF(Data!P176&gt;0,Data!P176-4,"")</f>
        <v>1</v>
      </c>
      <c r="Q176" s="1">
        <f>IF(Data!Q176&gt;0,4-Data!Q176,"")</f>
        <v>0</v>
      </c>
      <c r="R176" s="1">
        <f>IF(Data!R176&gt;0,4-Data!R176,"")</f>
        <v>0</v>
      </c>
      <c r="S176" s="1">
        <f>IF(Data!S176&gt;0,4-Data!S176,"")</f>
        <v>2</v>
      </c>
      <c r="T176" s="1">
        <f>IF(Data!T176&gt;0,Data!T176-4,"")</f>
        <v>1</v>
      </c>
      <c r="U176" s="1">
        <f>IF(Data!U176&gt;0,4-Data!U176,"")</f>
        <v>1</v>
      </c>
      <c r="V176" s="1">
        <f>IF(Data!V176&gt;0,Data!V176-4,"")</f>
        <v>1</v>
      </c>
      <c r="W176" s="1">
        <f>IF(Data!W176&gt;0,4-Data!W176,"")</f>
        <v>0</v>
      </c>
      <c r="X176" s="1">
        <f>IF(Data!X176&gt;0,4-Data!X176,"")</f>
        <v>-1</v>
      </c>
      <c r="Y176" s="1">
        <f>IF(Data!Y176&gt;0,4-Data!Y176,"")</f>
        <v>1</v>
      </c>
      <c r="Z176" s="1">
        <f>IF(Data!Z176&gt;0,Data!Z176-4,"")</f>
        <v>1</v>
      </c>
      <c r="AC176" s="4" t="str">
        <f t="shared" si="23"/>
        <v/>
      </c>
      <c r="AD176" s="4" t="str">
        <f t="shared" si="24"/>
        <v/>
      </c>
      <c r="AE176" s="4" t="str">
        <f t="shared" si="25"/>
        <v/>
      </c>
      <c r="AF176" s="4" t="str">
        <f t="shared" si="26"/>
        <v/>
      </c>
      <c r="AG176" s="4" t="str">
        <f t="shared" si="27"/>
        <v/>
      </c>
      <c r="AH176" s="4" t="str">
        <f t="shared" si="28"/>
        <v/>
      </c>
      <c r="AI176" s="2">
        <f t="shared" si="29"/>
        <v>0</v>
      </c>
      <c r="AK176" s="2">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12</v>
      </c>
    </row>
    <row r="177" spans="1:37">
      <c r="A177" s="1">
        <f>IF(Data!A177&gt;0,Data!A177-4,"")</f>
        <v>-2</v>
      </c>
      <c r="B177" s="1">
        <f>IF(Data!B177&gt;0,Data!B177-4,"")</f>
        <v>-2</v>
      </c>
      <c r="C177" s="1">
        <f>IF(Data!C177&gt;0,4-Data!C177,"")</f>
        <v>-3</v>
      </c>
      <c r="D177" s="1">
        <f>IF(Data!D177&gt;0,4-Data!D177,"")</f>
        <v>-1</v>
      </c>
      <c r="E177" s="1">
        <f>IF(Data!E177&gt;0,4-Data!E177,"")</f>
        <v>-1</v>
      </c>
      <c r="F177" s="1">
        <f>IF(Data!F177&gt;0,Data!F177-4,"")</f>
        <v>-2</v>
      </c>
      <c r="G177" s="1">
        <f>IF(Data!G177&gt;0,Data!G177-4,"")</f>
        <v>-2</v>
      </c>
      <c r="H177" s="1">
        <f>IF(Data!H177&gt;0,Data!H177-4,"")</f>
        <v>0</v>
      </c>
      <c r="I177" s="1">
        <f>IF(Data!I177&gt;0,4-Data!I177,"")</f>
        <v>1</v>
      </c>
      <c r="J177" s="1">
        <f>IF(Data!J177&gt;0,4-Data!J177,"")</f>
        <v>-2</v>
      </c>
      <c r="K177" s="1">
        <f>IF(Data!K177&gt;0,Data!K177-4,"")</f>
        <v>-2</v>
      </c>
      <c r="L177" s="1">
        <f>IF(Data!L177&gt;0,4-Data!L177,"")</f>
        <v>-2</v>
      </c>
      <c r="M177" s="1">
        <f>IF(Data!M177&gt;0,Data!M177-4,"")</f>
        <v>0</v>
      </c>
      <c r="N177" s="1">
        <f>IF(Data!N177&gt;0,Data!N177-4,"")</f>
        <v>-3</v>
      </c>
      <c r="O177" s="1">
        <f>IF(Data!O177&gt;0,Data!O177-4,"")</f>
        <v>-2</v>
      </c>
      <c r="P177" s="1">
        <f>IF(Data!P177&gt;0,Data!P177-4,"")</f>
        <v>-2</v>
      </c>
      <c r="Q177" s="1">
        <f>IF(Data!Q177&gt;0,4-Data!Q177,"")</f>
        <v>0</v>
      </c>
      <c r="R177" s="1">
        <f>IF(Data!R177&gt;0,4-Data!R177,"")</f>
        <v>-2</v>
      </c>
      <c r="S177" s="1">
        <f>IF(Data!S177&gt;0,4-Data!S177,"")</f>
        <v>-2</v>
      </c>
      <c r="T177" s="1">
        <f>IF(Data!T177&gt;0,Data!T177-4,"")</f>
        <v>-2</v>
      </c>
      <c r="U177" s="1">
        <f>IF(Data!U177&gt;0,4-Data!U177,"")</f>
        <v>-2</v>
      </c>
      <c r="V177" s="1">
        <f>IF(Data!V177&gt;0,Data!V177-4,"")</f>
        <v>-1</v>
      </c>
      <c r="W177" s="1">
        <f>IF(Data!W177&gt;0,4-Data!W177,"")</f>
        <v>1</v>
      </c>
      <c r="X177" s="1">
        <f>IF(Data!X177&gt;0,4-Data!X177,"")</f>
        <v>-1</v>
      </c>
      <c r="Y177" s="1">
        <f>IF(Data!Y177&gt;0,4-Data!Y177,"")</f>
        <v>-1</v>
      </c>
      <c r="Z177" s="1">
        <f>IF(Data!Z177&gt;0,Data!Z177-4,"")</f>
        <v>-2</v>
      </c>
      <c r="AC177" s="4" t="str">
        <f t="shared" si="23"/>
        <v/>
      </c>
      <c r="AD177" s="4" t="str">
        <f t="shared" si="24"/>
        <v/>
      </c>
      <c r="AE177" s="4" t="str">
        <f t="shared" si="25"/>
        <v/>
      </c>
      <c r="AF177" s="4" t="str">
        <f t="shared" si="26"/>
        <v/>
      </c>
      <c r="AG177" s="4" t="str">
        <f t="shared" si="27"/>
        <v/>
      </c>
      <c r="AH177" s="4" t="str">
        <f t="shared" si="28"/>
        <v/>
      </c>
      <c r="AI177" s="2">
        <f t="shared" si="29"/>
        <v>0</v>
      </c>
      <c r="AK177" s="2">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9</v>
      </c>
    </row>
    <row r="178" spans="1:37">
      <c r="A178" s="1">
        <f>IF(Data!A178&gt;0,Data!A178-4,"")</f>
        <v>2</v>
      </c>
      <c r="B178" s="1">
        <f>IF(Data!B178&gt;0,Data!B178-4,"")</f>
        <v>2</v>
      </c>
      <c r="C178" s="1">
        <f>IF(Data!C178&gt;0,4-Data!C178,"")</f>
        <v>1</v>
      </c>
      <c r="D178" s="1">
        <f>IF(Data!D178&gt;0,4-Data!D178,"")</f>
        <v>2</v>
      </c>
      <c r="E178" s="1">
        <f>IF(Data!E178&gt;0,4-Data!E178,"")</f>
        <v>1</v>
      </c>
      <c r="F178" s="1">
        <f>IF(Data!F178&gt;0,Data!F178-4,"")</f>
        <v>1</v>
      </c>
      <c r="G178" s="1">
        <f>IF(Data!G178&gt;0,Data!G178-4,"")</f>
        <v>2</v>
      </c>
      <c r="H178" s="1">
        <f>IF(Data!H178&gt;0,Data!H178-4,"")</f>
        <v>0</v>
      </c>
      <c r="I178" s="1">
        <f>IF(Data!I178&gt;0,4-Data!I178,"")</f>
        <v>1</v>
      </c>
      <c r="J178" s="1">
        <f>IF(Data!J178&gt;0,4-Data!J178,"")</f>
        <v>1</v>
      </c>
      <c r="K178" s="1">
        <f>IF(Data!K178&gt;0,Data!K178-4,"")</f>
        <v>1</v>
      </c>
      <c r="L178" s="1">
        <f>IF(Data!L178&gt;0,4-Data!L178,"")</f>
        <v>1</v>
      </c>
      <c r="M178" s="1">
        <f>IF(Data!M178&gt;0,Data!M178-4,"")</f>
        <v>2</v>
      </c>
      <c r="N178" s="1">
        <f>IF(Data!N178&gt;0,Data!N178-4,"")</f>
        <v>1</v>
      </c>
      <c r="O178" s="1">
        <f>IF(Data!O178&gt;0,Data!O178-4,"")</f>
        <v>1</v>
      </c>
      <c r="P178" s="1">
        <f>IF(Data!P178&gt;0,Data!P178-4,"")</f>
        <v>1</v>
      </c>
      <c r="Q178" s="1">
        <f>IF(Data!Q178&gt;0,4-Data!Q178,"")</f>
        <v>1</v>
      </c>
      <c r="R178" s="1">
        <f>IF(Data!R178&gt;0,4-Data!R178,"")</f>
        <v>0</v>
      </c>
      <c r="S178" s="1">
        <f>IF(Data!S178&gt;0,4-Data!S178,"")</f>
        <v>2</v>
      </c>
      <c r="T178" s="1">
        <f>IF(Data!T178&gt;0,Data!T178-4,"")</f>
        <v>0</v>
      </c>
      <c r="U178" s="1">
        <f>IF(Data!U178&gt;0,4-Data!U178,"")</f>
        <v>2</v>
      </c>
      <c r="V178" s="1">
        <f>IF(Data!V178&gt;0,Data!V178-4,"")</f>
        <v>1</v>
      </c>
      <c r="W178" s="1">
        <f>IF(Data!W178&gt;0,4-Data!W178,"")</f>
        <v>1</v>
      </c>
      <c r="X178" s="1">
        <f>IF(Data!X178&gt;0,4-Data!X178,"")</f>
        <v>2</v>
      </c>
      <c r="Y178" s="1">
        <f>IF(Data!Y178&gt;0,4-Data!Y178,"")</f>
        <v>3</v>
      </c>
      <c r="Z178" s="1">
        <f>IF(Data!Z178&gt;0,Data!Z178-4,"")</f>
        <v>1</v>
      </c>
      <c r="AC178" s="4" t="str">
        <f t="shared" si="23"/>
        <v/>
      </c>
      <c r="AD178" s="4" t="str">
        <f t="shared" si="24"/>
        <v/>
      </c>
      <c r="AE178" s="4" t="str">
        <f t="shared" si="25"/>
        <v/>
      </c>
      <c r="AF178" s="4" t="str">
        <f t="shared" si="26"/>
        <v/>
      </c>
      <c r="AG178" s="4" t="str">
        <f t="shared" si="27"/>
        <v/>
      </c>
      <c r="AH178" s="4" t="str">
        <f t="shared" si="28"/>
        <v/>
      </c>
      <c r="AI178" s="2">
        <f t="shared" si="29"/>
        <v>0</v>
      </c>
      <c r="AK178" s="2">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7</v>
      </c>
    </row>
    <row r="179" spans="1:37">
      <c r="A179" s="1">
        <f>IF(Data!A179&gt;0,Data!A179-4,"")</f>
        <v>2</v>
      </c>
      <c r="B179" s="1">
        <f>IF(Data!B179&gt;0,Data!B179-4,"")</f>
        <v>1</v>
      </c>
      <c r="C179" s="1">
        <f>IF(Data!C179&gt;0,4-Data!C179,"")</f>
        <v>-1</v>
      </c>
      <c r="D179" s="1">
        <f>IF(Data!D179&gt;0,4-Data!D179,"")</f>
        <v>2</v>
      </c>
      <c r="E179" s="1">
        <f>IF(Data!E179&gt;0,4-Data!E179,"")</f>
        <v>2</v>
      </c>
      <c r="F179" s="1">
        <f>IF(Data!F179&gt;0,Data!F179-4,"")</f>
        <v>2</v>
      </c>
      <c r="G179" s="1">
        <f>IF(Data!G179&gt;0,Data!G179-4,"")</f>
        <v>2</v>
      </c>
      <c r="H179" s="1">
        <f>IF(Data!H179&gt;0,Data!H179-4,"")</f>
        <v>-1</v>
      </c>
      <c r="I179" s="1">
        <f>IF(Data!I179&gt;0,4-Data!I179,"")</f>
        <v>2</v>
      </c>
      <c r="J179" s="1">
        <f>IF(Data!J179&gt;0,4-Data!J179,"")</f>
        <v>2</v>
      </c>
      <c r="K179" s="1">
        <f>IF(Data!K179&gt;0,Data!K179-4,"")</f>
        <v>1</v>
      </c>
      <c r="L179" s="1">
        <f>IF(Data!L179&gt;0,4-Data!L179,"")</f>
        <v>2</v>
      </c>
      <c r="M179" s="1">
        <f>IF(Data!M179&gt;0,Data!M179-4,"")</f>
        <v>2</v>
      </c>
      <c r="N179" s="1">
        <f>IF(Data!N179&gt;0,Data!N179-4,"")</f>
        <v>2</v>
      </c>
      <c r="O179" s="1">
        <f>IF(Data!O179&gt;0,Data!O179-4,"")</f>
        <v>2</v>
      </c>
      <c r="P179" s="1">
        <f>IF(Data!P179&gt;0,Data!P179-4,"")</f>
        <v>2</v>
      </c>
      <c r="Q179" s="1">
        <f>IF(Data!Q179&gt;0,4-Data!Q179,"")</f>
        <v>1</v>
      </c>
      <c r="R179" s="1">
        <f>IF(Data!R179&gt;0,4-Data!R179,"")</f>
        <v>1</v>
      </c>
      <c r="S179" s="1">
        <f>IF(Data!S179&gt;0,4-Data!S179,"")</f>
        <v>2</v>
      </c>
      <c r="T179" s="1">
        <f>IF(Data!T179&gt;0,Data!T179-4,"")</f>
        <v>2</v>
      </c>
      <c r="U179" s="1">
        <f>IF(Data!U179&gt;0,4-Data!U179,"")</f>
        <v>2</v>
      </c>
      <c r="V179" s="1">
        <f>IF(Data!V179&gt;0,Data!V179-4,"")</f>
        <v>2</v>
      </c>
      <c r="W179" s="1">
        <f>IF(Data!W179&gt;0,4-Data!W179,"")</f>
        <v>1</v>
      </c>
      <c r="X179" s="1">
        <f>IF(Data!X179&gt;0,4-Data!X179,"")</f>
        <v>1</v>
      </c>
      <c r="Y179" s="1">
        <f>IF(Data!Y179&gt;0,4-Data!Y179,"")</f>
        <v>2</v>
      </c>
      <c r="Z179" s="1">
        <f>IF(Data!Z179&gt;0,Data!Z179-4,"")</f>
        <v>2</v>
      </c>
      <c r="AC179" s="4" t="str">
        <f t="shared" si="23"/>
        <v/>
      </c>
      <c r="AD179" s="4" t="str">
        <f t="shared" si="24"/>
        <v/>
      </c>
      <c r="AE179" s="4" t="str">
        <f t="shared" si="25"/>
        <v/>
      </c>
      <c r="AF179" s="4" t="str">
        <f t="shared" si="26"/>
        <v/>
      </c>
      <c r="AG179" s="4" t="str">
        <f t="shared" si="27"/>
        <v/>
      </c>
      <c r="AH179" s="4" t="str">
        <f t="shared" si="28"/>
        <v/>
      </c>
      <c r="AI179" s="2">
        <f t="shared" si="29"/>
        <v>0</v>
      </c>
      <c r="AK179" s="2">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10</v>
      </c>
    </row>
    <row r="180" spans="1:37">
      <c r="A180" s="1">
        <f>IF(Data!A180&gt;0,Data!A180-4,"")</f>
        <v>2</v>
      </c>
      <c r="B180" s="1">
        <f>IF(Data!B180&gt;0,Data!B180-4,"")</f>
        <v>3</v>
      </c>
      <c r="C180" s="1">
        <f>IF(Data!C180&gt;0,4-Data!C180,"")</f>
        <v>1</v>
      </c>
      <c r="D180" s="1">
        <f>IF(Data!D180&gt;0,4-Data!D180,"")</f>
        <v>3</v>
      </c>
      <c r="E180" s="1">
        <f>IF(Data!E180&gt;0,4-Data!E180,"")</f>
        <v>3</v>
      </c>
      <c r="F180" s="1">
        <f>IF(Data!F180&gt;0,Data!F180-4,"")</f>
        <v>1</v>
      </c>
      <c r="G180" s="1">
        <f>IF(Data!G180&gt;0,Data!G180-4,"")</f>
        <v>1</v>
      </c>
      <c r="H180" s="1">
        <f>IF(Data!H180&gt;0,Data!H180-4,"")</f>
        <v>0</v>
      </c>
      <c r="I180" s="1">
        <f>IF(Data!I180&gt;0,4-Data!I180,"")</f>
        <v>0</v>
      </c>
      <c r="J180" s="1">
        <f>IF(Data!J180&gt;0,4-Data!J180,"")</f>
        <v>1</v>
      </c>
      <c r="K180" s="1">
        <f>IF(Data!K180&gt;0,Data!K180-4,"")</f>
        <v>0</v>
      </c>
      <c r="L180" s="1">
        <f>IF(Data!L180&gt;0,4-Data!L180,"")</f>
        <v>0</v>
      </c>
      <c r="M180" s="1">
        <f>IF(Data!M180&gt;0,Data!M180-4,"")</f>
        <v>3</v>
      </c>
      <c r="N180" s="1">
        <f>IF(Data!N180&gt;0,Data!N180-4,"")</f>
        <v>1</v>
      </c>
      <c r="O180" s="1">
        <f>IF(Data!O180&gt;0,Data!O180-4,"")</f>
        <v>1</v>
      </c>
      <c r="P180" s="1">
        <f>IF(Data!P180&gt;0,Data!P180-4,"")</f>
        <v>2</v>
      </c>
      <c r="Q180" s="1">
        <f>IF(Data!Q180&gt;0,4-Data!Q180,"")</f>
        <v>0</v>
      </c>
      <c r="R180" s="1">
        <f>IF(Data!R180&gt;0,4-Data!R180,"")</f>
        <v>0</v>
      </c>
      <c r="S180" s="1">
        <f>IF(Data!S180&gt;0,4-Data!S180,"")</f>
        <v>2</v>
      </c>
      <c r="T180" s="1">
        <f>IF(Data!T180&gt;0,Data!T180-4,"")</f>
        <v>1</v>
      </c>
      <c r="U180" s="1">
        <f>IF(Data!U180&gt;0,4-Data!U180,"")</f>
        <v>3</v>
      </c>
      <c r="V180" s="1">
        <f>IF(Data!V180&gt;0,Data!V180-4,"")</f>
        <v>2</v>
      </c>
      <c r="W180" s="1">
        <f>IF(Data!W180&gt;0,4-Data!W180,"")</f>
        <v>0</v>
      </c>
      <c r="X180" s="1">
        <f>IF(Data!X180&gt;0,4-Data!X180,"")</f>
        <v>0</v>
      </c>
      <c r="Y180" s="1">
        <f>IF(Data!Y180&gt;0,4-Data!Y180,"")</f>
        <v>1</v>
      </c>
      <c r="Z180" s="1">
        <f>IF(Data!Z180&gt;0,Data!Z180-4,"")</f>
        <v>1</v>
      </c>
      <c r="AC180" s="4" t="str">
        <f t="shared" si="23"/>
        <v/>
      </c>
      <c r="AD180" s="4" t="str">
        <f t="shared" si="24"/>
        <v/>
      </c>
      <c r="AE180" s="4" t="str">
        <f t="shared" si="25"/>
        <v/>
      </c>
      <c r="AF180" s="4" t="str">
        <f t="shared" si="26"/>
        <v/>
      </c>
      <c r="AG180" s="4" t="str">
        <f t="shared" si="27"/>
        <v/>
      </c>
      <c r="AH180" s="4" t="str">
        <f t="shared" si="28"/>
        <v/>
      </c>
      <c r="AI180" s="2">
        <f t="shared" si="29"/>
        <v>0</v>
      </c>
      <c r="AK180" s="2">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8</v>
      </c>
    </row>
    <row r="181" spans="1:37">
      <c r="A181" s="1">
        <f>IF(Data!A181&gt;0,Data!A181-4,"")</f>
        <v>2</v>
      </c>
      <c r="B181" s="1">
        <f>IF(Data!B181&gt;0,Data!B181-4,"")</f>
        <v>3</v>
      </c>
      <c r="C181" s="1">
        <f>IF(Data!C181&gt;0,4-Data!C181,"")</f>
        <v>2</v>
      </c>
      <c r="D181" s="1">
        <f>IF(Data!D181&gt;0,4-Data!D181,"")</f>
        <v>3</v>
      </c>
      <c r="E181" s="1">
        <f>IF(Data!E181&gt;0,4-Data!E181,"")</f>
        <v>2</v>
      </c>
      <c r="F181" s="1">
        <f>IF(Data!F181&gt;0,Data!F181-4,"")</f>
        <v>1</v>
      </c>
      <c r="G181" s="1">
        <f>IF(Data!G181&gt;0,Data!G181-4,"")</f>
        <v>1</v>
      </c>
      <c r="H181" s="1">
        <f>IF(Data!H181&gt;0,Data!H181-4,"")</f>
        <v>1</v>
      </c>
      <c r="I181" s="1">
        <f>IF(Data!I181&gt;0,4-Data!I181,"")</f>
        <v>-1</v>
      </c>
      <c r="J181" s="1">
        <f>IF(Data!J181&gt;0,4-Data!J181,"")</f>
        <v>0</v>
      </c>
      <c r="K181" s="1">
        <f>IF(Data!K181&gt;0,Data!K181-4,"")</f>
        <v>0</v>
      </c>
      <c r="L181" s="1">
        <f>IF(Data!L181&gt;0,4-Data!L181,"")</f>
        <v>2</v>
      </c>
      <c r="M181" s="1">
        <f>IF(Data!M181&gt;0,Data!M181-4,"")</f>
        <v>0</v>
      </c>
      <c r="N181" s="1">
        <f>IF(Data!N181&gt;0,Data!N181-4,"")</f>
        <v>0</v>
      </c>
      <c r="O181" s="1">
        <f>IF(Data!O181&gt;0,Data!O181-4,"")</f>
        <v>1</v>
      </c>
      <c r="P181" s="1">
        <f>IF(Data!P181&gt;0,Data!P181-4,"")</f>
        <v>-2</v>
      </c>
      <c r="Q181" s="1">
        <f>IF(Data!Q181&gt;0,4-Data!Q181,"")</f>
        <v>1</v>
      </c>
      <c r="R181" s="1">
        <f>IF(Data!R181&gt;0,4-Data!R181,"")</f>
        <v>0</v>
      </c>
      <c r="S181" s="1">
        <f>IF(Data!S181&gt;0,4-Data!S181,"")</f>
        <v>2</v>
      </c>
      <c r="T181" s="1">
        <f>IF(Data!T181&gt;0,Data!T181-4,"")</f>
        <v>2</v>
      </c>
      <c r="U181" s="1">
        <f>IF(Data!U181&gt;0,4-Data!U181,"")</f>
        <v>0</v>
      </c>
      <c r="V181" s="1">
        <f>IF(Data!V181&gt;0,Data!V181-4,"")</f>
        <v>2</v>
      </c>
      <c r="W181" s="1">
        <f>IF(Data!W181&gt;0,4-Data!W181,"")</f>
        <v>-1</v>
      </c>
      <c r="X181" s="1">
        <f>IF(Data!X181&gt;0,4-Data!X181,"")</f>
        <v>0</v>
      </c>
      <c r="Y181" s="1">
        <f>IF(Data!Y181&gt;0,4-Data!Y181,"")</f>
        <v>0</v>
      </c>
      <c r="Z181" s="1">
        <f>IF(Data!Z181&gt;0,Data!Z181-4,"")</f>
        <v>1</v>
      </c>
      <c r="AC181" s="4">
        <f t="shared" si="23"/>
        <v>1</v>
      </c>
      <c r="AD181" s="4" t="str">
        <f t="shared" si="24"/>
        <v/>
      </c>
      <c r="AE181" s="4" t="str">
        <f t="shared" si="25"/>
        <v/>
      </c>
      <c r="AF181" s="4" t="str">
        <f t="shared" si="26"/>
        <v/>
      </c>
      <c r="AG181" s="4" t="str">
        <f t="shared" si="27"/>
        <v/>
      </c>
      <c r="AH181" s="4" t="str">
        <f t="shared" si="28"/>
        <v/>
      </c>
      <c r="AI181" s="2">
        <f t="shared" si="29"/>
        <v>1</v>
      </c>
      <c r="AK181" s="2">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8</v>
      </c>
    </row>
    <row r="182" spans="1:37">
      <c r="A182" s="1">
        <f>IF(Data!A182&gt;0,Data!A182-4,"")</f>
        <v>3</v>
      </c>
      <c r="B182" s="1">
        <f>IF(Data!B182&gt;0,Data!B182-4,"")</f>
        <v>3</v>
      </c>
      <c r="C182" s="1">
        <f>IF(Data!C182&gt;0,4-Data!C182,"")</f>
        <v>0</v>
      </c>
      <c r="D182" s="1">
        <f>IF(Data!D182&gt;0,4-Data!D182,"")</f>
        <v>3</v>
      </c>
      <c r="E182" s="1">
        <f>IF(Data!E182&gt;0,4-Data!E182,"")</f>
        <v>3</v>
      </c>
      <c r="F182" s="1">
        <f>IF(Data!F182&gt;0,Data!F182-4,"")</f>
        <v>1</v>
      </c>
      <c r="G182" s="1">
        <f>IF(Data!G182&gt;0,Data!G182-4,"")</f>
        <v>2</v>
      </c>
      <c r="H182" s="1">
        <f>IF(Data!H182&gt;0,Data!H182-4,"")</f>
        <v>2</v>
      </c>
      <c r="I182" s="1">
        <f>IF(Data!I182&gt;0,4-Data!I182,"")</f>
        <v>3</v>
      </c>
      <c r="J182" s="1">
        <f>IF(Data!J182&gt;0,4-Data!J182,"")</f>
        <v>1</v>
      </c>
      <c r="K182" s="1">
        <f>IF(Data!K182&gt;0,Data!K182-4,"")</f>
        <v>2</v>
      </c>
      <c r="L182" s="1">
        <f>IF(Data!L182&gt;0,4-Data!L182,"")</f>
        <v>3</v>
      </c>
      <c r="M182" s="1">
        <f>IF(Data!M182&gt;0,Data!M182-4,"")</f>
        <v>3</v>
      </c>
      <c r="N182" s="1">
        <f>IF(Data!N182&gt;0,Data!N182-4,"")</f>
        <v>3</v>
      </c>
      <c r="O182" s="1">
        <f>IF(Data!O182&gt;0,Data!O182-4,"")</f>
        <v>1</v>
      </c>
      <c r="P182" s="1">
        <f>IF(Data!P182&gt;0,Data!P182-4,"")</f>
        <v>2</v>
      </c>
      <c r="Q182" s="1">
        <f>IF(Data!Q182&gt;0,4-Data!Q182,"")</f>
        <v>3</v>
      </c>
      <c r="R182" s="1">
        <f>IF(Data!R182&gt;0,4-Data!R182,"")</f>
        <v>2</v>
      </c>
      <c r="S182" s="1">
        <f>IF(Data!S182&gt;0,4-Data!S182,"")</f>
        <v>3</v>
      </c>
      <c r="T182" s="1">
        <f>IF(Data!T182&gt;0,Data!T182-4,"")</f>
        <v>3</v>
      </c>
      <c r="U182" s="1">
        <f>IF(Data!U182&gt;0,4-Data!U182,"")</f>
        <v>3</v>
      </c>
      <c r="V182" s="1">
        <f>IF(Data!V182&gt;0,Data!V182-4,"")</f>
        <v>3</v>
      </c>
      <c r="W182" s="1">
        <f>IF(Data!W182&gt;0,4-Data!W182,"")</f>
        <v>3</v>
      </c>
      <c r="X182" s="1">
        <f>IF(Data!X182&gt;0,4-Data!X182,"")</f>
        <v>1</v>
      </c>
      <c r="Y182" s="1">
        <f>IF(Data!Y182&gt;0,4-Data!Y182,"")</f>
        <v>1</v>
      </c>
      <c r="Z182" s="1">
        <f>IF(Data!Z182&gt;0,Data!Z182-4,"")</f>
        <v>0</v>
      </c>
      <c r="AC182" s="4" t="str">
        <f t="shared" si="23"/>
        <v/>
      </c>
      <c r="AD182" s="4" t="str">
        <f t="shared" si="24"/>
        <v/>
      </c>
      <c r="AE182" s="4" t="str">
        <f t="shared" si="25"/>
        <v/>
      </c>
      <c r="AF182" s="4" t="str">
        <f t="shared" si="26"/>
        <v/>
      </c>
      <c r="AG182" s="4" t="str">
        <f t="shared" si="27"/>
        <v/>
      </c>
      <c r="AH182" s="4" t="str">
        <f t="shared" si="28"/>
        <v/>
      </c>
      <c r="AI182" s="2">
        <f t="shared" si="29"/>
        <v>0</v>
      </c>
      <c r="AK182" s="2">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8</v>
      </c>
    </row>
    <row r="183" spans="1:37">
      <c r="A183" s="1">
        <f>IF(Data!A183&gt;0,Data!A183-4,"")</f>
        <v>2</v>
      </c>
      <c r="B183" s="1">
        <f>IF(Data!B183&gt;0,Data!B183-4,"")</f>
        <v>1</v>
      </c>
      <c r="C183" s="1">
        <f>IF(Data!C183&gt;0,4-Data!C183,"")</f>
        <v>1</v>
      </c>
      <c r="D183" s="1">
        <f>IF(Data!D183&gt;0,4-Data!D183,"")</f>
        <v>1</v>
      </c>
      <c r="E183" s="1">
        <f>IF(Data!E183&gt;0,4-Data!E183,"")</f>
        <v>2</v>
      </c>
      <c r="F183" s="1">
        <f>IF(Data!F183&gt;0,Data!F183-4,"")</f>
        <v>0</v>
      </c>
      <c r="G183" s="1">
        <f>IF(Data!G183&gt;0,Data!G183-4,"")</f>
        <v>1</v>
      </c>
      <c r="H183" s="1">
        <f>IF(Data!H183&gt;0,Data!H183-4,"")</f>
        <v>2</v>
      </c>
      <c r="I183" s="1">
        <f>IF(Data!I183&gt;0,4-Data!I183,"")</f>
        <v>2</v>
      </c>
      <c r="J183" s="1">
        <f>IF(Data!J183&gt;0,4-Data!J183,"")</f>
        <v>1</v>
      </c>
      <c r="K183" s="1">
        <f>IF(Data!K183&gt;0,Data!K183-4,"")</f>
        <v>0</v>
      </c>
      <c r="L183" s="1">
        <f>IF(Data!L183&gt;0,4-Data!L183,"")</f>
        <v>1</v>
      </c>
      <c r="M183" s="1">
        <f>IF(Data!M183&gt;0,Data!M183-4,"")</f>
        <v>0</v>
      </c>
      <c r="N183" s="1">
        <f>IF(Data!N183&gt;0,Data!N183-4,"")</f>
        <v>1</v>
      </c>
      <c r="O183" s="1">
        <f>IF(Data!O183&gt;0,Data!O183-4,"")</f>
        <v>-2</v>
      </c>
      <c r="P183" s="1">
        <f>IF(Data!P183&gt;0,Data!P183-4,"")</f>
        <v>1</v>
      </c>
      <c r="Q183" s="1">
        <f>IF(Data!Q183&gt;0,4-Data!Q183,"")</f>
        <v>0</v>
      </c>
      <c r="R183" s="1">
        <f>IF(Data!R183&gt;0,4-Data!R183,"")</f>
        <v>0</v>
      </c>
      <c r="S183" s="1">
        <f>IF(Data!S183&gt;0,4-Data!S183,"")</f>
        <v>1</v>
      </c>
      <c r="T183" s="1">
        <f>IF(Data!T183&gt;0,Data!T183-4,"")</f>
        <v>1</v>
      </c>
      <c r="U183" s="1">
        <f>IF(Data!U183&gt;0,4-Data!U183,"")</f>
        <v>1</v>
      </c>
      <c r="V183" s="1">
        <f>IF(Data!V183&gt;0,Data!V183-4,"")</f>
        <v>2</v>
      </c>
      <c r="W183" s="1">
        <f>IF(Data!W183&gt;0,4-Data!W183,"")</f>
        <v>-1</v>
      </c>
      <c r="X183" s="1">
        <f>IF(Data!X183&gt;0,4-Data!X183,"")</f>
        <v>-1</v>
      </c>
      <c r="Y183" s="1">
        <f>IF(Data!Y183&gt;0,4-Data!Y183,"")</f>
        <v>-1</v>
      </c>
      <c r="Z183" s="1">
        <f>IF(Data!Z183&gt;0,Data!Z183-4,"")</f>
        <v>0</v>
      </c>
      <c r="AC183" s="4" t="str">
        <f t="shared" si="23"/>
        <v/>
      </c>
      <c r="AD183" s="4" t="str">
        <f t="shared" si="24"/>
        <v/>
      </c>
      <c r="AE183" s="4" t="str">
        <f t="shared" si="25"/>
        <v/>
      </c>
      <c r="AF183" s="4" t="str">
        <f t="shared" si="26"/>
        <v/>
      </c>
      <c r="AG183" s="4" t="str">
        <f t="shared" si="27"/>
        <v/>
      </c>
      <c r="AH183" s="4" t="str">
        <f t="shared" si="28"/>
        <v/>
      </c>
      <c r="AI183" s="2">
        <f t="shared" si="29"/>
        <v>0</v>
      </c>
      <c r="AK183" s="2">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8</v>
      </c>
    </row>
    <row r="184" spans="1:37">
      <c r="A184" s="1">
        <f>IF(Data!A184&gt;0,Data!A184-4,"")</f>
        <v>1</v>
      </c>
      <c r="B184" s="1">
        <f>IF(Data!B184&gt;0,Data!B184-4,"")</f>
        <v>2</v>
      </c>
      <c r="C184" s="1">
        <f>IF(Data!C184&gt;0,4-Data!C184,"")</f>
        <v>0</v>
      </c>
      <c r="D184" s="1">
        <f>IF(Data!D184&gt;0,4-Data!D184,"")</f>
        <v>3</v>
      </c>
      <c r="E184" s="1">
        <f>IF(Data!E184&gt;0,4-Data!E184,"")</f>
        <v>2</v>
      </c>
      <c r="F184" s="1">
        <f>IF(Data!F184&gt;0,Data!F184-4,"")</f>
        <v>0</v>
      </c>
      <c r="G184" s="1">
        <f>IF(Data!G184&gt;0,Data!G184-4,"")</f>
        <v>0</v>
      </c>
      <c r="H184" s="1">
        <f>IF(Data!H184&gt;0,Data!H184-4,"")</f>
        <v>2</v>
      </c>
      <c r="I184" s="1">
        <f>IF(Data!I184&gt;0,4-Data!I184,"")</f>
        <v>1</v>
      </c>
      <c r="J184" s="1">
        <f>IF(Data!J184&gt;0,4-Data!J184,"")</f>
        <v>0</v>
      </c>
      <c r="K184" s="1">
        <f>IF(Data!K184&gt;0,Data!K184-4,"")</f>
        <v>1</v>
      </c>
      <c r="L184" s="1">
        <f>IF(Data!L184&gt;0,4-Data!L184,"")</f>
        <v>2</v>
      </c>
      <c r="M184" s="1">
        <f>IF(Data!M184&gt;0,Data!M184-4,"")</f>
        <v>3</v>
      </c>
      <c r="N184" s="1">
        <f>IF(Data!N184&gt;0,Data!N184-4,"")</f>
        <v>2</v>
      </c>
      <c r="O184" s="1">
        <f>IF(Data!O184&gt;0,Data!O184-4,"")</f>
        <v>0</v>
      </c>
      <c r="P184" s="1">
        <f>IF(Data!P184&gt;0,Data!P184-4,"")</f>
        <v>2</v>
      </c>
      <c r="Q184" s="1">
        <f>IF(Data!Q184&gt;0,4-Data!Q184,"")</f>
        <v>3</v>
      </c>
      <c r="R184" s="1">
        <f>IF(Data!R184&gt;0,4-Data!R184,"")</f>
        <v>0</v>
      </c>
      <c r="S184" s="1">
        <f>IF(Data!S184&gt;0,4-Data!S184,"")</f>
        <v>2</v>
      </c>
      <c r="T184" s="1">
        <f>IF(Data!T184&gt;0,Data!T184-4,"")</f>
        <v>1</v>
      </c>
      <c r="U184" s="1">
        <f>IF(Data!U184&gt;0,4-Data!U184,"")</f>
        <v>1</v>
      </c>
      <c r="V184" s="1">
        <f>IF(Data!V184&gt;0,Data!V184-4,"")</f>
        <v>2</v>
      </c>
      <c r="W184" s="1">
        <f>IF(Data!W184&gt;0,4-Data!W184,"")</f>
        <v>2</v>
      </c>
      <c r="X184" s="1">
        <f>IF(Data!X184&gt;0,4-Data!X184,"")</f>
        <v>0</v>
      </c>
      <c r="Y184" s="1">
        <f>IF(Data!Y184&gt;0,4-Data!Y184,"")</f>
        <v>1</v>
      </c>
      <c r="Z184" s="1">
        <f>IF(Data!Z184&gt;0,Data!Z184-4,"")</f>
        <v>0</v>
      </c>
      <c r="AC184" s="4" t="str">
        <f t="shared" si="23"/>
        <v/>
      </c>
      <c r="AD184" s="4" t="str">
        <f t="shared" si="24"/>
        <v/>
      </c>
      <c r="AE184" s="4" t="str">
        <f t="shared" si="25"/>
        <v/>
      </c>
      <c r="AF184" s="4" t="str">
        <f t="shared" si="26"/>
        <v/>
      </c>
      <c r="AG184" s="4" t="str">
        <f t="shared" si="27"/>
        <v/>
      </c>
      <c r="AH184" s="4" t="str">
        <f t="shared" si="28"/>
        <v/>
      </c>
      <c r="AI184" s="2">
        <f t="shared" si="29"/>
        <v>0</v>
      </c>
      <c r="AK184" s="2">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8</v>
      </c>
    </row>
    <row r="185" spans="1:37">
      <c r="A185" s="1">
        <f>IF(Data!A185&gt;0,Data!A185-4,"")</f>
        <v>3</v>
      </c>
      <c r="B185" s="1">
        <f>IF(Data!B185&gt;0,Data!B185-4,"")</f>
        <v>3</v>
      </c>
      <c r="C185" s="1">
        <f>IF(Data!C185&gt;0,4-Data!C185,"")</f>
        <v>3</v>
      </c>
      <c r="D185" s="1">
        <f>IF(Data!D185&gt;0,4-Data!D185,"")</f>
        <v>3</v>
      </c>
      <c r="E185" s="1">
        <f>IF(Data!E185&gt;0,4-Data!E185,"")</f>
        <v>3</v>
      </c>
      <c r="F185" s="1">
        <f>IF(Data!F185&gt;0,Data!F185-4,"")</f>
        <v>2</v>
      </c>
      <c r="G185" s="1">
        <f>IF(Data!G185&gt;0,Data!G185-4,"")</f>
        <v>2</v>
      </c>
      <c r="H185" s="1">
        <f>IF(Data!H185&gt;0,Data!H185-4,"")</f>
        <v>2</v>
      </c>
      <c r="I185" s="1">
        <f>IF(Data!I185&gt;0,4-Data!I185,"")</f>
        <v>2</v>
      </c>
      <c r="J185" s="1">
        <f>IF(Data!J185&gt;0,4-Data!J185,"")</f>
        <v>2</v>
      </c>
      <c r="K185" s="1">
        <f>IF(Data!K185&gt;0,Data!K185-4,"")</f>
        <v>2</v>
      </c>
      <c r="L185" s="1">
        <f>IF(Data!L185&gt;0,4-Data!L185,"")</f>
        <v>3</v>
      </c>
      <c r="M185" s="1">
        <f>IF(Data!M185&gt;0,Data!M185-4,"")</f>
        <v>3</v>
      </c>
      <c r="N185" s="1">
        <f>IF(Data!N185&gt;0,Data!N185-4,"")</f>
        <v>3</v>
      </c>
      <c r="O185" s="1">
        <f>IF(Data!O185&gt;0,Data!O185-4,"")</f>
        <v>2</v>
      </c>
      <c r="P185" s="1">
        <f>IF(Data!P185&gt;0,Data!P185-4,"")</f>
        <v>3</v>
      </c>
      <c r="Q185" s="1">
        <f>IF(Data!Q185&gt;0,4-Data!Q185,"")</f>
        <v>3</v>
      </c>
      <c r="R185" s="1">
        <f>IF(Data!R185&gt;0,4-Data!R185,"")</f>
        <v>2</v>
      </c>
      <c r="S185" s="1">
        <f>IF(Data!S185&gt;0,4-Data!S185,"")</f>
        <v>2</v>
      </c>
      <c r="T185" s="1">
        <f>IF(Data!T185&gt;0,Data!T185-4,"")</f>
        <v>2</v>
      </c>
      <c r="U185" s="1">
        <f>IF(Data!U185&gt;0,4-Data!U185,"")</f>
        <v>2</v>
      </c>
      <c r="V185" s="1">
        <f>IF(Data!V185&gt;0,Data!V185-4,"")</f>
        <v>2</v>
      </c>
      <c r="W185" s="1">
        <f>IF(Data!W185&gt;0,4-Data!W185,"")</f>
        <v>2</v>
      </c>
      <c r="X185" s="1">
        <f>IF(Data!X185&gt;0,4-Data!X185,"")</f>
        <v>2</v>
      </c>
      <c r="Y185" s="1">
        <f>IF(Data!Y185&gt;0,4-Data!Y185,"")</f>
        <v>2</v>
      </c>
      <c r="Z185" s="1">
        <f>IF(Data!Z185&gt;0,Data!Z185-4,"")</f>
        <v>1</v>
      </c>
      <c r="AC185" s="4" t="str">
        <f t="shared" si="23"/>
        <v/>
      </c>
      <c r="AD185" s="4" t="str">
        <f t="shared" si="24"/>
        <v/>
      </c>
      <c r="AE185" s="4" t="str">
        <f t="shared" si="25"/>
        <v/>
      </c>
      <c r="AF185" s="4" t="str">
        <f t="shared" si="26"/>
        <v/>
      </c>
      <c r="AG185" s="4" t="str">
        <f t="shared" si="27"/>
        <v/>
      </c>
      <c r="AH185" s="4" t="str">
        <f t="shared" si="28"/>
        <v/>
      </c>
      <c r="AI185" s="2">
        <f t="shared" si="29"/>
        <v>0</v>
      </c>
      <c r="AK185" s="2">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8</v>
      </c>
    </row>
    <row r="186" spans="1:37">
      <c r="A186" s="1">
        <f>IF(Data!A186&gt;0,Data!A186-4,"")</f>
        <v>3</v>
      </c>
      <c r="B186" s="1">
        <f>IF(Data!B186&gt;0,Data!B186-4,"")</f>
        <v>3</v>
      </c>
      <c r="C186" s="1">
        <f>IF(Data!C186&gt;0,4-Data!C186,"")</f>
        <v>3</v>
      </c>
      <c r="D186" s="1">
        <f>IF(Data!D186&gt;0,4-Data!D186,"")</f>
        <v>1</v>
      </c>
      <c r="E186" s="1">
        <f>IF(Data!E186&gt;0,4-Data!E186,"")</f>
        <v>0</v>
      </c>
      <c r="F186" s="1">
        <f>IF(Data!F186&gt;0,Data!F186-4,"")</f>
        <v>1</v>
      </c>
      <c r="G186" s="1">
        <f>IF(Data!G186&gt;0,Data!G186-4,"")</f>
        <v>0</v>
      </c>
      <c r="H186" s="1">
        <f>IF(Data!H186&gt;0,Data!H186-4,"")</f>
        <v>3</v>
      </c>
      <c r="I186" s="1">
        <f>IF(Data!I186&gt;0,4-Data!I186,"")</f>
        <v>-1</v>
      </c>
      <c r="J186" s="1">
        <f>IF(Data!J186&gt;0,4-Data!J186,"")</f>
        <v>0</v>
      </c>
      <c r="K186" s="1">
        <f>IF(Data!K186&gt;0,Data!K186-4,"")</f>
        <v>1</v>
      </c>
      <c r="L186" s="1">
        <f>IF(Data!L186&gt;0,4-Data!L186,"")</f>
        <v>3</v>
      </c>
      <c r="M186" s="1">
        <f>IF(Data!M186&gt;0,Data!M186-4,"")</f>
        <v>1</v>
      </c>
      <c r="N186" s="1">
        <f>IF(Data!N186&gt;0,Data!N186-4,"")</f>
        <v>0</v>
      </c>
      <c r="O186" s="1">
        <f>IF(Data!O186&gt;0,Data!O186-4,"")</f>
        <v>0</v>
      </c>
      <c r="P186" s="1">
        <f>IF(Data!P186&gt;0,Data!P186-4,"")</f>
        <v>0</v>
      </c>
      <c r="Q186" s="1">
        <f>IF(Data!Q186&gt;0,4-Data!Q186,"")</f>
        <v>-1</v>
      </c>
      <c r="R186" s="1">
        <f>IF(Data!R186&gt;0,4-Data!R186,"")</f>
        <v>1</v>
      </c>
      <c r="S186" s="1">
        <f>IF(Data!S186&gt;0,4-Data!S186,"")</f>
        <v>1</v>
      </c>
      <c r="T186" s="1">
        <f>IF(Data!T186&gt;0,Data!T186-4,"")</f>
        <v>0</v>
      </c>
      <c r="U186" s="1">
        <f>IF(Data!U186&gt;0,4-Data!U186,"")</f>
        <v>0</v>
      </c>
      <c r="V186" s="1">
        <f>IF(Data!V186&gt;0,Data!V186-4,"")</f>
        <v>0</v>
      </c>
      <c r="W186" s="1">
        <f>IF(Data!W186&gt;0,4-Data!W186,"")</f>
        <v>0</v>
      </c>
      <c r="X186" s="1">
        <f>IF(Data!X186&gt;0,4-Data!X186,"")</f>
        <v>3</v>
      </c>
      <c r="Y186" s="1">
        <f>IF(Data!Y186&gt;0,4-Data!Y186,"")</f>
        <v>3</v>
      </c>
      <c r="Z186" s="1">
        <f>IF(Data!Z186&gt;0,Data!Z186-4,"")</f>
        <v>-3</v>
      </c>
      <c r="AC186" s="4" t="str">
        <f t="shared" si="23"/>
        <v/>
      </c>
      <c r="AD186" s="4" t="str">
        <f t="shared" si="24"/>
        <v/>
      </c>
      <c r="AE186" s="4" t="str">
        <f t="shared" si="25"/>
        <v/>
      </c>
      <c r="AF186" s="4">
        <f t="shared" si="26"/>
        <v>1</v>
      </c>
      <c r="AG186" s="4" t="str">
        <f t="shared" si="27"/>
        <v/>
      </c>
      <c r="AH186" s="4">
        <f t="shared" si="28"/>
        <v>1</v>
      </c>
      <c r="AI186" s="2">
        <f t="shared" si="29"/>
        <v>2</v>
      </c>
      <c r="AK186" s="2">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10</v>
      </c>
    </row>
    <row r="187" spans="1:37">
      <c r="A187" s="1">
        <f>IF(Data!A187&gt;0,Data!A187-4,"")</f>
        <v>2</v>
      </c>
      <c r="B187" s="1">
        <f>IF(Data!B187&gt;0,Data!B187-4,"")</f>
        <v>2</v>
      </c>
      <c r="C187" s="1">
        <f>IF(Data!C187&gt;0,4-Data!C187,"")</f>
        <v>1</v>
      </c>
      <c r="D187" s="1">
        <f>IF(Data!D187&gt;0,4-Data!D187,"")</f>
        <v>3</v>
      </c>
      <c r="E187" s="1">
        <f>IF(Data!E187&gt;0,4-Data!E187,"")</f>
        <v>3</v>
      </c>
      <c r="F187" s="1">
        <f>IF(Data!F187&gt;0,Data!F187-4,"")</f>
        <v>1</v>
      </c>
      <c r="G187" s="1">
        <f>IF(Data!G187&gt;0,Data!G187-4,"")</f>
        <v>2</v>
      </c>
      <c r="H187" s="1">
        <f>IF(Data!H187&gt;0,Data!H187-4,"")</f>
        <v>3</v>
      </c>
      <c r="I187" s="1">
        <f>IF(Data!I187&gt;0,4-Data!I187,"")</f>
        <v>2</v>
      </c>
      <c r="J187" s="1">
        <f>IF(Data!J187&gt;0,4-Data!J187,"")</f>
        <v>-3</v>
      </c>
      <c r="K187" s="1">
        <f>IF(Data!K187&gt;0,Data!K187-4,"")</f>
        <v>0</v>
      </c>
      <c r="L187" s="1">
        <f>IF(Data!L187&gt;0,4-Data!L187,"")</f>
        <v>1</v>
      </c>
      <c r="M187" s="1">
        <f>IF(Data!M187&gt;0,Data!M187-4,"")</f>
        <v>1</v>
      </c>
      <c r="N187" s="1">
        <f>IF(Data!N187&gt;0,Data!N187-4,"")</f>
        <v>1</v>
      </c>
      <c r="O187" s="1">
        <f>IF(Data!O187&gt;0,Data!O187-4,"")</f>
        <v>-2</v>
      </c>
      <c r="P187" s="1">
        <f>IF(Data!P187&gt;0,Data!P187-4,"")</f>
        <v>1</v>
      </c>
      <c r="Q187" s="1">
        <f>IF(Data!Q187&gt;0,4-Data!Q187,"")</f>
        <v>3</v>
      </c>
      <c r="R187" s="1">
        <f>IF(Data!R187&gt;0,4-Data!R187,"")</f>
        <v>1</v>
      </c>
      <c r="S187" s="1">
        <f>IF(Data!S187&gt;0,4-Data!S187,"")</f>
        <v>2</v>
      </c>
      <c r="T187" s="1">
        <f>IF(Data!T187&gt;0,Data!T187-4,"")</f>
        <v>2</v>
      </c>
      <c r="U187" s="1">
        <f>IF(Data!U187&gt;0,4-Data!U187,"")</f>
        <v>3</v>
      </c>
      <c r="V187" s="1">
        <f>IF(Data!V187&gt;0,Data!V187-4,"")</f>
        <v>3</v>
      </c>
      <c r="W187" s="1">
        <f>IF(Data!W187&gt;0,4-Data!W187,"")</f>
        <v>3</v>
      </c>
      <c r="X187" s="1">
        <f>IF(Data!X187&gt;0,4-Data!X187,"")</f>
        <v>1</v>
      </c>
      <c r="Y187" s="1">
        <f>IF(Data!Y187&gt;0,4-Data!Y187,"")</f>
        <v>0</v>
      </c>
      <c r="Z187" s="1">
        <f>IF(Data!Z187&gt;0,Data!Z187-4,"")</f>
        <v>1</v>
      </c>
      <c r="AC187" s="4" t="str">
        <f t="shared" si="23"/>
        <v/>
      </c>
      <c r="AD187" s="4" t="str">
        <f t="shared" si="24"/>
        <v/>
      </c>
      <c r="AE187" s="4" t="str">
        <f t="shared" si="25"/>
        <v/>
      </c>
      <c r="AF187" s="4" t="str">
        <f t="shared" si="26"/>
        <v/>
      </c>
      <c r="AG187" s="4" t="str">
        <f t="shared" si="27"/>
        <v/>
      </c>
      <c r="AH187" s="4">
        <f t="shared" si="28"/>
        <v>1</v>
      </c>
      <c r="AI187" s="2">
        <f t="shared" si="29"/>
        <v>1</v>
      </c>
      <c r="AK187" s="2">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5</v>
      </c>
    </row>
    <row r="188" spans="1:37">
      <c r="A188" s="1">
        <f>IF(Data!A188&gt;0,Data!A188-4,"")</f>
        <v>3</v>
      </c>
      <c r="B188" s="1">
        <f>IF(Data!B188&gt;0,Data!B188-4,"")</f>
        <v>3</v>
      </c>
      <c r="C188" s="1">
        <f>IF(Data!C188&gt;0,4-Data!C188,"")</f>
        <v>2</v>
      </c>
      <c r="D188" s="1">
        <f>IF(Data!D188&gt;0,4-Data!D188,"")</f>
        <v>2</v>
      </c>
      <c r="E188" s="1">
        <f>IF(Data!E188&gt;0,4-Data!E188,"")</f>
        <v>2</v>
      </c>
      <c r="F188" s="1">
        <f>IF(Data!F188&gt;0,Data!F188-4,"")</f>
        <v>2</v>
      </c>
      <c r="G188" s="1">
        <f>IF(Data!G188&gt;0,Data!G188-4,"")</f>
        <v>2</v>
      </c>
      <c r="H188" s="1">
        <f>IF(Data!H188&gt;0,Data!H188-4,"")</f>
        <v>2</v>
      </c>
      <c r="I188" s="1">
        <f>IF(Data!I188&gt;0,4-Data!I188,"")</f>
        <v>2</v>
      </c>
      <c r="J188" s="1">
        <f>IF(Data!J188&gt;0,4-Data!J188,"")</f>
        <v>2</v>
      </c>
      <c r="K188" s="1">
        <f>IF(Data!K188&gt;0,Data!K188-4,"")</f>
        <v>2</v>
      </c>
      <c r="L188" s="1">
        <f>IF(Data!L188&gt;0,4-Data!L188,"")</f>
        <v>2</v>
      </c>
      <c r="M188" s="1">
        <f>IF(Data!M188&gt;0,Data!M188-4,"")</f>
        <v>2</v>
      </c>
      <c r="N188" s="1">
        <f>IF(Data!N188&gt;0,Data!N188-4,"")</f>
        <v>2</v>
      </c>
      <c r="O188" s="1">
        <f>IF(Data!O188&gt;0,Data!O188-4,"")</f>
        <v>2</v>
      </c>
      <c r="P188" s="1">
        <f>IF(Data!P188&gt;0,Data!P188-4,"")</f>
        <v>2</v>
      </c>
      <c r="Q188" s="1">
        <f>IF(Data!Q188&gt;0,4-Data!Q188,"")</f>
        <v>3</v>
      </c>
      <c r="R188" s="1">
        <f>IF(Data!R188&gt;0,4-Data!R188,"")</f>
        <v>2</v>
      </c>
      <c r="S188" s="1">
        <f>IF(Data!S188&gt;0,4-Data!S188,"")</f>
        <v>2</v>
      </c>
      <c r="T188" s="1">
        <f>IF(Data!T188&gt;0,Data!T188-4,"")</f>
        <v>2</v>
      </c>
      <c r="U188" s="1">
        <f>IF(Data!U188&gt;0,4-Data!U188,"")</f>
        <v>2</v>
      </c>
      <c r="V188" s="1">
        <f>IF(Data!V188&gt;0,Data!V188-4,"")</f>
        <v>2</v>
      </c>
      <c r="W188" s="1">
        <f>IF(Data!W188&gt;0,4-Data!W188,"")</f>
        <v>3</v>
      </c>
      <c r="X188" s="1">
        <f>IF(Data!X188&gt;0,4-Data!X188,"")</f>
        <v>2</v>
      </c>
      <c r="Y188" s="1">
        <f>IF(Data!Y188&gt;0,4-Data!Y188,"")</f>
        <v>2</v>
      </c>
      <c r="Z188" s="1">
        <f>IF(Data!Z188&gt;0,Data!Z188-4,"")</f>
        <v>2</v>
      </c>
      <c r="AC188" s="4" t="str">
        <f t="shared" si="23"/>
        <v/>
      </c>
      <c r="AD188" s="4" t="str">
        <f t="shared" si="24"/>
        <v/>
      </c>
      <c r="AE188" s="4" t="str">
        <f t="shared" si="25"/>
        <v/>
      </c>
      <c r="AF188" s="4" t="str">
        <f t="shared" si="26"/>
        <v/>
      </c>
      <c r="AG188" s="4" t="str">
        <f t="shared" si="27"/>
        <v/>
      </c>
      <c r="AH188" s="4" t="str">
        <f t="shared" si="28"/>
        <v/>
      </c>
      <c r="AI188" s="2">
        <f t="shared" si="29"/>
        <v>0</v>
      </c>
      <c r="AK188" s="2">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11</v>
      </c>
    </row>
    <row r="189" spans="1:37">
      <c r="A189" s="1">
        <f>IF(Data!A189&gt;0,Data!A189-4,"")</f>
        <v>2</v>
      </c>
      <c r="B189" s="1">
        <f>IF(Data!B189&gt;0,Data!B189-4,"")</f>
        <v>2</v>
      </c>
      <c r="C189" s="1">
        <f>IF(Data!C189&gt;0,4-Data!C189,"")</f>
        <v>2</v>
      </c>
      <c r="D189" s="1">
        <f>IF(Data!D189&gt;0,4-Data!D189,"")</f>
        <v>2</v>
      </c>
      <c r="E189" s="1">
        <f>IF(Data!E189&gt;0,4-Data!E189,"")</f>
        <v>2</v>
      </c>
      <c r="F189" s="1">
        <f>IF(Data!F189&gt;0,Data!F189-4,"")</f>
        <v>2</v>
      </c>
      <c r="G189" s="1">
        <f>IF(Data!G189&gt;0,Data!G189-4,"")</f>
        <v>2</v>
      </c>
      <c r="H189" s="1">
        <f>IF(Data!H189&gt;0,Data!H189-4,"")</f>
        <v>-1</v>
      </c>
      <c r="I189" s="1">
        <f>IF(Data!I189&gt;0,4-Data!I189,"")</f>
        <v>3</v>
      </c>
      <c r="J189" s="1">
        <f>IF(Data!J189&gt;0,4-Data!J189,"")</f>
        <v>3</v>
      </c>
      <c r="K189" s="1">
        <f>IF(Data!K189&gt;0,Data!K189-4,"")</f>
        <v>2</v>
      </c>
      <c r="L189" s="1">
        <f>IF(Data!L189&gt;0,4-Data!L189,"")</f>
        <v>2</v>
      </c>
      <c r="M189" s="1">
        <f>IF(Data!M189&gt;0,Data!M189-4,"")</f>
        <v>2</v>
      </c>
      <c r="N189" s="1">
        <f>IF(Data!N189&gt;0,Data!N189-4,"")</f>
        <v>2</v>
      </c>
      <c r="O189" s="1">
        <f>IF(Data!O189&gt;0,Data!O189-4,"")</f>
        <v>2</v>
      </c>
      <c r="P189" s="1">
        <f>IF(Data!P189&gt;0,Data!P189-4,"")</f>
        <v>2</v>
      </c>
      <c r="Q189" s="1">
        <f>IF(Data!Q189&gt;0,4-Data!Q189,"")</f>
        <v>2</v>
      </c>
      <c r="R189" s="1">
        <f>IF(Data!R189&gt;0,4-Data!R189,"")</f>
        <v>2</v>
      </c>
      <c r="S189" s="1">
        <f>IF(Data!S189&gt;0,4-Data!S189,"")</f>
        <v>2</v>
      </c>
      <c r="T189" s="1">
        <f>IF(Data!T189&gt;0,Data!T189-4,"")</f>
        <v>2</v>
      </c>
      <c r="U189" s="1">
        <f>IF(Data!U189&gt;0,4-Data!U189,"")</f>
        <v>2</v>
      </c>
      <c r="V189" s="1">
        <f>IF(Data!V189&gt;0,Data!V189-4,"")</f>
        <v>2</v>
      </c>
      <c r="W189" s="1">
        <f>IF(Data!W189&gt;0,4-Data!W189,"")</f>
        <v>2</v>
      </c>
      <c r="X189" s="1">
        <f>IF(Data!X189&gt;0,4-Data!X189,"")</f>
        <v>2</v>
      </c>
      <c r="Y189" s="1">
        <f>IF(Data!Y189&gt;0,4-Data!Y189,"")</f>
        <v>2</v>
      </c>
      <c r="Z189" s="1">
        <f>IF(Data!Z189&gt;0,Data!Z189-4,"")</f>
        <v>2</v>
      </c>
      <c r="AC189" s="4" t="str">
        <f t="shared" si="23"/>
        <v/>
      </c>
      <c r="AD189" s="4" t="str">
        <f t="shared" si="24"/>
        <v/>
      </c>
      <c r="AE189" s="4" t="str">
        <f t="shared" si="25"/>
        <v/>
      </c>
      <c r="AF189" s="4" t="str">
        <f t="shared" si="26"/>
        <v/>
      </c>
      <c r="AG189" s="4" t="str">
        <f t="shared" si="27"/>
        <v/>
      </c>
      <c r="AH189" s="4" t="str">
        <f t="shared" si="28"/>
        <v/>
      </c>
      <c r="AI189" s="2">
        <f t="shared" si="29"/>
        <v>0</v>
      </c>
      <c r="AK189" s="2">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12</v>
      </c>
    </row>
    <row r="190" spans="1:37">
      <c r="A190" s="1">
        <f>IF(Data!A190&gt;0,Data!A190-4,"")</f>
        <v>2</v>
      </c>
      <c r="B190" s="1">
        <f>IF(Data!B190&gt;0,Data!B190-4,"")</f>
        <v>1</v>
      </c>
      <c r="C190" s="1">
        <f>IF(Data!C190&gt;0,4-Data!C190,"")</f>
        <v>1</v>
      </c>
      <c r="D190" s="1">
        <f>IF(Data!D190&gt;0,4-Data!D190,"")</f>
        <v>1</v>
      </c>
      <c r="E190" s="1">
        <f>IF(Data!E190&gt;0,4-Data!E190,"")</f>
        <v>2</v>
      </c>
      <c r="F190" s="1">
        <f>IF(Data!F190&gt;0,Data!F190-4,"")</f>
        <v>2</v>
      </c>
      <c r="G190" s="1">
        <f>IF(Data!G190&gt;0,Data!G190-4,"")</f>
        <v>2</v>
      </c>
      <c r="H190" s="1">
        <f>IF(Data!H190&gt;0,Data!H190-4,"")</f>
        <v>-1</v>
      </c>
      <c r="I190" s="1">
        <f>IF(Data!I190&gt;0,4-Data!I190,"")</f>
        <v>2</v>
      </c>
      <c r="J190" s="1">
        <f>IF(Data!J190&gt;0,4-Data!J190,"")</f>
        <v>0</v>
      </c>
      <c r="K190" s="1">
        <f>IF(Data!K190&gt;0,Data!K190-4,"")</f>
        <v>1</v>
      </c>
      <c r="L190" s="1">
        <f>IF(Data!L190&gt;0,4-Data!L190,"")</f>
        <v>2</v>
      </c>
      <c r="M190" s="1">
        <f>IF(Data!M190&gt;0,Data!M190-4,"")</f>
        <v>2</v>
      </c>
      <c r="N190" s="1">
        <f>IF(Data!N190&gt;0,Data!N190-4,"")</f>
        <v>2</v>
      </c>
      <c r="O190" s="1">
        <f>IF(Data!O190&gt;0,Data!O190-4,"")</f>
        <v>2</v>
      </c>
      <c r="P190" s="1">
        <f>IF(Data!P190&gt;0,Data!P190-4,"")</f>
        <v>2</v>
      </c>
      <c r="Q190" s="1">
        <f>IF(Data!Q190&gt;0,4-Data!Q190,"")</f>
        <v>2</v>
      </c>
      <c r="R190" s="1">
        <f>IF(Data!R190&gt;0,4-Data!R190,"")</f>
        <v>0</v>
      </c>
      <c r="S190" s="1">
        <f>IF(Data!S190&gt;0,4-Data!S190,"")</f>
        <v>3</v>
      </c>
      <c r="T190" s="1">
        <f>IF(Data!T190&gt;0,Data!T190-4,"")</f>
        <v>2</v>
      </c>
      <c r="U190" s="1">
        <f>IF(Data!U190&gt;0,4-Data!U190,"")</f>
        <v>2</v>
      </c>
      <c r="V190" s="1">
        <f>IF(Data!V190&gt;0,Data!V190-4,"")</f>
        <v>2</v>
      </c>
      <c r="W190" s="1">
        <f>IF(Data!W190&gt;0,4-Data!W190,"")</f>
        <v>2</v>
      </c>
      <c r="X190" s="1">
        <f>IF(Data!X190&gt;0,4-Data!X190,"")</f>
        <v>2</v>
      </c>
      <c r="Y190" s="1">
        <f>IF(Data!Y190&gt;0,4-Data!Y190,"")</f>
        <v>2</v>
      </c>
      <c r="Z190" s="1">
        <f>IF(Data!Z190&gt;0,Data!Z190-4,"")</f>
        <v>2</v>
      </c>
      <c r="AC190" s="4" t="str">
        <f t="shared" si="23"/>
        <v/>
      </c>
      <c r="AD190" s="4" t="str">
        <f t="shared" si="24"/>
        <v/>
      </c>
      <c r="AE190" s="4" t="str">
        <f t="shared" si="25"/>
        <v/>
      </c>
      <c r="AF190" s="4">
        <f t="shared" si="26"/>
        <v>1</v>
      </c>
      <c r="AG190" s="4" t="str">
        <f t="shared" si="27"/>
        <v/>
      </c>
      <c r="AH190" s="4" t="str">
        <f t="shared" si="28"/>
        <v/>
      </c>
      <c r="AI190" s="2">
        <f t="shared" si="29"/>
        <v>1</v>
      </c>
      <c r="AK190" s="2">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10</v>
      </c>
    </row>
    <row r="191" spans="1:37">
      <c r="A191" s="1">
        <f>IF(Data!A191&gt;0,Data!A191-4,"")</f>
        <v>1</v>
      </c>
      <c r="B191" s="1">
        <f>IF(Data!B191&gt;0,Data!B191-4,"")</f>
        <v>2</v>
      </c>
      <c r="C191" s="1">
        <f>IF(Data!C191&gt;0,4-Data!C191,"")</f>
        <v>-2</v>
      </c>
      <c r="D191" s="1">
        <f>IF(Data!D191&gt;0,4-Data!D191,"")</f>
        <v>1</v>
      </c>
      <c r="E191" s="1">
        <f>IF(Data!E191&gt;0,4-Data!E191,"")</f>
        <v>2</v>
      </c>
      <c r="F191" s="1">
        <f>IF(Data!F191&gt;0,Data!F191-4,"")</f>
        <v>-1</v>
      </c>
      <c r="G191" s="1">
        <f>IF(Data!G191&gt;0,Data!G191-4,"")</f>
        <v>0</v>
      </c>
      <c r="H191" s="1">
        <f>IF(Data!H191&gt;0,Data!H191-4,"")</f>
        <v>2</v>
      </c>
      <c r="I191" s="1">
        <f>IF(Data!I191&gt;0,4-Data!I191,"")</f>
        <v>2</v>
      </c>
      <c r="J191" s="1">
        <f>IF(Data!J191&gt;0,4-Data!J191,"")</f>
        <v>1</v>
      </c>
      <c r="K191" s="1">
        <f>IF(Data!K191&gt;0,Data!K191-4,"")</f>
        <v>0</v>
      </c>
      <c r="L191" s="1">
        <f>IF(Data!L191&gt;0,4-Data!L191,"")</f>
        <v>1</v>
      </c>
      <c r="M191" s="1">
        <f>IF(Data!M191&gt;0,Data!M191-4,"")</f>
        <v>2</v>
      </c>
      <c r="N191" s="1">
        <f>IF(Data!N191&gt;0,Data!N191-4,"")</f>
        <v>1</v>
      </c>
      <c r="O191" s="1">
        <f>IF(Data!O191&gt;0,Data!O191-4,"")</f>
        <v>1</v>
      </c>
      <c r="P191" s="1">
        <f>IF(Data!P191&gt;0,Data!P191-4,"")</f>
        <v>2</v>
      </c>
      <c r="Q191" s="1">
        <f>IF(Data!Q191&gt;0,4-Data!Q191,"")</f>
        <v>2</v>
      </c>
      <c r="R191" s="1">
        <f>IF(Data!R191&gt;0,4-Data!R191,"")</f>
        <v>1</v>
      </c>
      <c r="S191" s="1">
        <f>IF(Data!S191&gt;0,4-Data!S191,"")</f>
        <v>1</v>
      </c>
      <c r="T191" s="1">
        <f>IF(Data!T191&gt;0,Data!T191-4,"")</f>
        <v>3</v>
      </c>
      <c r="U191" s="1">
        <f>IF(Data!U191&gt;0,4-Data!U191,"")</f>
        <v>2</v>
      </c>
      <c r="V191" s="1">
        <f>IF(Data!V191&gt;0,Data!V191-4,"")</f>
        <v>3</v>
      </c>
      <c r="W191" s="1">
        <f>IF(Data!W191&gt;0,4-Data!W191,"")</f>
        <v>-1</v>
      </c>
      <c r="X191" s="1">
        <f>IF(Data!X191&gt;0,4-Data!X191,"")</f>
        <v>-1</v>
      </c>
      <c r="Y191" s="1">
        <f>IF(Data!Y191&gt;0,4-Data!Y191,"")</f>
        <v>1</v>
      </c>
      <c r="Z191" s="1">
        <f>IF(Data!Z191&gt;0,Data!Z191-4,"")</f>
        <v>2</v>
      </c>
      <c r="AC191" s="4" t="str">
        <f t="shared" si="23"/>
        <v/>
      </c>
      <c r="AD191" s="4" t="str">
        <f t="shared" si="24"/>
        <v/>
      </c>
      <c r="AE191" s="4">
        <f t="shared" si="25"/>
        <v>1</v>
      </c>
      <c r="AF191" s="4" t="str">
        <f t="shared" si="26"/>
        <v/>
      </c>
      <c r="AG191" s="4" t="str">
        <f t="shared" si="27"/>
        <v/>
      </c>
      <c r="AH191" s="4">
        <f t="shared" si="28"/>
        <v>1</v>
      </c>
      <c r="AI191" s="2">
        <f t="shared" si="29"/>
        <v>2</v>
      </c>
      <c r="AK191" s="2">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7</v>
      </c>
    </row>
    <row r="192" spans="1:37">
      <c r="A192" s="1">
        <f>IF(Data!A192&gt;0,Data!A192-4,"")</f>
        <v>2</v>
      </c>
      <c r="B192" s="1">
        <f>IF(Data!B192&gt;0,Data!B192-4,"")</f>
        <v>1</v>
      </c>
      <c r="C192" s="1">
        <f>IF(Data!C192&gt;0,4-Data!C192,"")</f>
        <v>1</v>
      </c>
      <c r="D192" s="1">
        <f>IF(Data!D192&gt;0,4-Data!D192,"")</f>
        <v>2</v>
      </c>
      <c r="E192" s="1">
        <f>IF(Data!E192&gt;0,4-Data!E192,"")</f>
        <v>3</v>
      </c>
      <c r="F192" s="1">
        <f>IF(Data!F192&gt;0,Data!F192-4,"")</f>
        <v>1</v>
      </c>
      <c r="G192" s="1">
        <f>IF(Data!G192&gt;0,Data!G192-4,"")</f>
        <v>1</v>
      </c>
      <c r="H192" s="1">
        <f>IF(Data!H192&gt;0,Data!H192-4,"")</f>
        <v>1</v>
      </c>
      <c r="I192" s="1">
        <f>IF(Data!I192&gt;0,4-Data!I192,"")</f>
        <v>3</v>
      </c>
      <c r="J192" s="1">
        <f>IF(Data!J192&gt;0,4-Data!J192,"")</f>
        <v>2</v>
      </c>
      <c r="K192" s="1">
        <f>IF(Data!K192&gt;0,Data!K192-4,"")</f>
        <v>2</v>
      </c>
      <c r="L192" s="1">
        <f>IF(Data!L192&gt;0,4-Data!L192,"")</f>
        <v>2</v>
      </c>
      <c r="M192" s="1">
        <f>IF(Data!M192&gt;0,Data!M192-4,"")</f>
        <v>2</v>
      </c>
      <c r="N192" s="1">
        <f>IF(Data!N192&gt;0,Data!N192-4,"")</f>
        <v>1</v>
      </c>
      <c r="O192" s="1">
        <f>IF(Data!O192&gt;0,Data!O192-4,"")</f>
        <v>2</v>
      </c>
      <c r="P192" s="1">
        <f>IF(Data!P192&gt;0,Data!P192-4,"")</f>
        <v>2</v>
      </c>
      <c r="Q192" s="1">
        <f>IF(Data!Q192&gt;0,4-Data!Q192,"")</f>
        <v>3</v>
      </c>
      <c r="R192" s="1">
        <f>IF(Data!R192&gt;0,4-Data!R192,"")</f>
        <v>1</v>
      </c>
      <c r="S192" s="1">
        <f>IF(Data!S192&gt;0,4-Data!S192,"")</f>
        <v>3</v>
      </c>
      <c r="T192" s="1">
        <f>IF(Data!T192&gt;0,Data!T192-4,"")</f>
        <v>-1</v>
      </c>
      <c r="U192" s="1">
        <f>IF(Data!U192&gt;0,4-Data!U192,"")</f>
        <v>2</v>
      </c>
      <c r="V192" s="1">
        <f>IF(Data!V192&gt;0,Data!V192-4,"")</f>
        <v>2</v>
      </c>
      <c r="W192" s="1">
        <f>IF(Data!W192&gt;0,4-Data!W192,"")</f>
        <v>1</v>
      </c>
      <c r="X192" s="1">
        <f>IF(Data!X192&gt;0,4-Data!X192,"")</f>
        <v>1</v>
      </c>
      <c r="Y192" s="1">
        <f>IF(Data!Y192&gt;0,4-Data!Y192,"")</f>
        <v>3</v>
      </c>
      <c r="Z192" s="1">
        <f>IF(Data!Z192&gt;0,Data!Z192-4,"")</f>
        <v>1</v>
      </c>
      <c r="AC192" s="4" t="str">
        <f t="shared" si="23"/>
        <v/>
      </c>
      <c r="AD192" s="4" t="str">
        <f t="shared" si="24"/>
        <v/>
      </c>
      <c r="AE192" s="4">
        <f t="shared" si="25"/>
        <v>1</v>
      </c>
      <c r="AF192" s="4" t="str">
        <f t="shared" si="26"/>
        <v/>
      </c>
      <c r="AG192" s="4" t="str">
        <f t="shared" si="27"/>
        <v/>
      </c>
      <c r="AH192" s="4" t="str">
        <f t="shared" si="28"/>
        <v/>
      </c>
      <c r="AI192" s="2">
        <f t="shared" si="29"/>
        <v>1</v>
      </c>
      <c r="AK192" s="2">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6</v>
      </c>
    </row>
    <row r="193" spans="1:37">
      <c r="A193" s="1">
        <f>IF(Data!A193&gt;0,Data!A193-4,"")</f>
        <v>1</v>
      </c>
      <c r="B193" s="1">
        <f>IF(Data!B193&gt;0,Data!B193-4,"")</f>
        <v>1</v>
      </c>
      <c r="C193" s="1">
        <f>IF(Data!C193&gt;0,4-Data!C193,"")</f>
        <v>0</v>
      </c>
      <c r="D193" s="1">
        <f>IF(Data!D193&gt;0,4-Data!D193,"")</f>
        <v>2</v>
      </c>
      <c r="E193" s="1">
        <f>IF(Data!E193&gt;0,4-Data!E193,"")</f>
        <v>2</v>
      </c>
      <c r="F193" s="1">
        <f>IF(Data!F193&gt;0,Data!F193-4,"")</f>
        <v>1</v>
      </c>
      <c r="G193" s="1">
        <f>IF(Data!G193&gt;0,Data!G193-4,"")</f>
        <v>1</v>
      </c>
      <c r="H193" s="1">
        <f>IF(Data!H193&gt;0,Data!H193-4,"")</f>
        <v>-1</v>
      </c>
      <c r="I193" s="1">
        <f>IF(Data!I193&gt;0,4-Data!I193,"")</f>
        <v>1</v>
      </c>
      <c r="J193" s="1">
        <f>IF(Data!J193&gt;0,4-Data!J193,"")</f>
        <v>1</v>
      </c>
      <c r="K193" s="1">
        <f>IF(Data!K193&gt;0,Data!K193-4,"")</f>
        <v>0</v>
      </c>
      <c r="L193" s="1">
        <f>IF(Data!L193&gt;0,4-Data!L193,"")</f>
        <v>0</v>
      </c>
      <c r="M193" s="1">
        <f>IF(Data!M193&gt;0,Data!M193-4,"")</f>
        <v>1</v>
      </c>
      <c r="N193" s="1">
        <f>IF(Data!N193&gt;0,Data!N193-4,"")</f>
        <v>1</v>
      </c>
      <c r="O193" s="1">
        <f>IF(Data!O193&gt;0,Data!O193-4,"")</f>
        <v>2</v>
      </c>
      <c r="P193" s="1">
        <f>IF(Data!P193&gt;0,Data!P193-4,"")</f>
        <v>0</v>
      </c>
      <c r="Q193" s="1">
        <f>IF(Data!Q193&gt;0,4-Data!Q193,"")</f>
        <v>1</v>
      </c>
      <c r="R193" s="1">
        <f>IF(Data!R193&gt;0,4-Data!R193,"")</f>
        <v>0</v>
      </c>
      <c r="S193" s="1">
        <f>IF(Data!S193&gt;0,4-Data!S193,"")</f>
        <v>2</v>
      </c>
      <c r="T193" s="1">
        <f>IF(Data!T193&gt;0,Data!T193-4,"")</f>
        <v>1</v>
      </c>
      <c r="U193" s="1">
        <f>IF(Data!U193&gt;0,4-Data!U193,"")</f>
        <v>2</v>
      </c>
      <c r="V193" s="1">
        <f>IF(Data!V193&gt;0,Data!V193-4,"")</f>
        <v>2</v>
      </c>
      <c r="W193" s="1">
        <f>IF(Data!W193&gt;0,4-Data!W193,"")</f>
        <v>1</v>
      </c>
      <c r="X193" s="1">
        <f>IF(Data!X193&gt;0,4-Data!X193,"")</f>
        <v>1</v>
      </c>
      <c r="Y193" s="1">
        <f>IF(Data!Y193&gt;0,4-Data!Y193,"")</f>
        <v>1</v>
      </c>
      <c r="Z193" s="1">
        <f>IF(Data!Z193&gt;0,Data!Z193-4,"")</f>
        <v>1</v>
      </c>
      <c r="AC193" s="4" t="str">
        <f t="shared" si="23"/>
        <v/>
      </c>
      <c r="AD193" s="4" t="str">
        <f t="shared" si="24"/>
        <v/>
      </c>
      <c r="AE193" s="4" t="str">
        <f t="shared" si="25"/>
        <v/>
      </c>
      <c r="AF193" s="4" t="str">
        <f t="shared" si="26"/>
        <v/>
      </c>
      <c r="AG193" s="4" t="str">
        <f t="shared" si="27"/>
        <v/>
      </c>
      <c r="AH193" s="4" t="str">
        <f t="shared" si="28"/>
        <v/>
      </c>
      <c r="AI193" s="2">
        <f t="shared" si="29"/>
        <v>0</v>
      </c>
      <c r="AK193" s="2">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8</v>
      </c>
    </row>
    <row r="194" spans="1:37">
      <c r="A194" s="1">
        <f>IF(Data!A194&gt;0,Data!A194-4,"")</f>
        <v>2</v>
      </c>
      <c r="B194" s="1">
        <f>IF(Data!B194&gt;0,Data!B194-4,"")</f>
        <v>1</v>
      </c>
      <c r="C194" s="1">
        <f>IF(Data!C194&gt;0,4-Data!C194,"")</f>
        <v>1</v>
      </c>
      <c r="D194" s="1">
        <f>IF(Data!D194&gt;0,4-Data!D194,"")</f>
        <v>0</v>
      </c>
      <c r="E194" s="1">
        <f>IF(Data!E194&gt;0,4-Data!E194,"")</f>
        <v>2</v>
      </c>
      <c r="F194" s="1">
        <f>IF(Data!F194&gt;0,Data!F194-4,"")</f>
        <v>2</v>
      </c>
      <c r="G194" s="1">
        <f>IF(Data!G194&gt;0,Data!G194-4,"")</f>
        <v>2</v>
      </c>
      <c r="H194" s="1">
        <f>IF(Data!H194&gt;0,Data!H194-4,"")</f>
        <v>0</v>
      </c>
      <c r="I194" s="1">
        <f>IF(Data!I194&gt;0,4-Data!I194,"")</f>
        <v>2</v>
      </c>
      <c r="J194" s="1">
        <f>IF(Data!J194&gt;0,4-Data!J194,"")</f>
        <v>2</v>
      </c>
      <c r="K194" s="1">
        <f>IF(Data!K194&gt;0,Data!K194-4,"")</f>
        <v>-1</v>
      </c>
      <c r="L194" s="1">
        <f>IF(Data!L194&gt;0,4-Data!L194,"")</f>
        <v>0</v>
      </c>
      <c r="M194" s="1">
        <f>IF(Data!M194&gt;0,Data!M194-4,"")</f>
        <v>-1</v>
      </c>
      <c r="N194" s="1">
        <f>IF(Data!N194&gt;0,Data!N194-4,"")</f>
        <v>1</v>
      </c>
      <c r="O194" s="1">
        <f>IF(Data!O194&gt;0,Data!O194-4,"")</f>
        <v>1</v>
      </c>
      <c r="P194" s="1">
        <f>IF(Data!P194&gt;0,Data!P194-4,"")</f>
        <v>2</v>
      </c>
      <c r="Q194" s="1">
        <f>IF(Data!Q194&gt;0,4-Data!Q194,"")</f>
        <v>1</v>
      </c>
      <c r="R194" s="1">
        <f>IF(Data!R194&gt;0,4-Data!R194,"")</f>
        <v>0</v>
      </c>
      <c r="S194" s="1">
        <f>IF(Data!S194&gt;0,4-Data!S194,"")</f>
        <v>2</v>
      </c>
      <c r="T194" s="1">
        <f>IF(Data!T194&gt;0,Data!T194-4,"")</f>
        <v>1</v>
      </c>
      <c r="U194" s="1">
        <f>IF(Data!U194&gt;0,4-Data!U194,"")</f>
        <v>1</v>
      </c>
      <c r="V194" s="1">
        <f>IF(Data!V194&gt;0,Data!V194-4,"")</f>
        <v>3</v>
      </c>
      <c r="W194" s="1">
        <f>IF(Data!W194&gt;0,4-Data!W194,"")</f>
        <v>1</v>
      </c>
      <c r="X194" s="1">
        <f>IF(Data!X194&gt;0,4-Data!X194,"")</f>
        <v>0</v>
      </c>
      <c r="Y194" s="1">
        <f>IF(Data!Y194&gt;0,4-Data!Y194,"")</f>
        <v>1</v>
      </c>
      <c r="Z194" s="1">
        <f>IF(Data!Z194&gt;0,Data!Z194-4,"")</f>
        <v>2</v>
      </c>
      <c r="AC194" s="4" t="str">
        <f t="shared" si="23"/>
        <v/>
      </c>
      <c r="AD194" s="4" t="str">
        <f t="shared" si="24"/>
        <v/>
      </c>
      <c r="AE194" s="4" t="str">
        <f t="shared" si="25"/>
        <v/>
      </c>
      <c r="AF194" s="4" t="str">
        <f t="shared" si="26"/>
        <v/>
      </c>
      <c r="AG194" s="4" t="str">
        <f t="shared" si="27"/>
        <v/>
      </c>
      <c r="AH194" s="4" t="str">
        <f t="shared" si="28"/>
        <v/>
      </c>
      <c r="AI194" s="2">
        <f t="shared" si="29"/>
        <v>0</v>
      </c>
      <c r="AK194" s="2">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7</v>
      </c>
    </row>
    <row r="195" spans="1:37">
      <c r="A195" s="1">
        <f>IF(Data!A195&gt;0,Data!A195-4,"")</f>
        <v>3</v>
      </c>
      <c r="B195" s="1">
        <f>IF(Data!B195&gt;0,Data!B195-4,"")</f>
        <v>3</v>
      </c>
      <c r="C195" s="1">
        <f>IF(Data!C195&gt;0,4-Data!C195,"")</f>
        <v>3</v>
      </c>
      <c r="D195" s="1">
        <f>IF(Data!D195&gt;0,4-Data!D195,"")</f>
        <v>3</v>
      </c>
      <c r="E195" s="1">
        <f>IF(Data!E195&gt;0,4-Data!E195,"")</f>
        <v>3</v>
      </c>
      <c r="F195" s="1">
        <f>IF(Data!F195&gt;0,Data!F195-4,"")</f>
        <v>3</v>
      </c>
      <c r="G195" s="1">
        <f>IF(Data!G195&gt;0,Data!G195-4,"")</f>
        <v>3</v>
      </c>
      <c r="H195" s="1">
        <f>IF(Data!H195&gt;0,Data!H195-4,"")</f>
        <v>-3</v>
      </c>
      <c r="I195" s="1">
        <f>IF(Data!I195&gt;0,4-Data!I195,"")</f>
        <v>3</v>
      </c>
      <c r="J195" s="1">
        <f>IF(Data!J195&gt;0,4-Data!J195,"")</f>
        <v>3</v>
      </c>
      <c r="K195" s="1">
        <f>IF(Data!K195&gt;0,Data!K195-4,"")</f>
        <v>3</v>
      </c>
      <c r="L195" s="1">
        <f>IF(Data!L195&gt;0,4-Data!L195,"")</f>
        <v>3</v>
      </c>
      <c r="M195" s="1">
        <f>IF(Data!M195&gt;0,Data!M195-4,"")</f>
        <v>3</v>
      </c>
      <c r="N195" s="1">
        <f>IF(Data!N195&gt;0,Data!N195-4,"")</f>
        <v>3</v>
      </c>
      <c r="O195" s="1">
        <f>IF(Data!O195&gt;0,Data!O195-4,"")</f>
        <v>3</v>
      </c>
      <c r="P195" s="1">
        <f>IF(Data!P195&gt;0,Data!P195-4,"")</f>
        <v>3</v>
      </c>
      <c r="Q195" s="1">
        <f>IF(Data!Q195&gt;0,4-Data!Q195,"")</f>
        <v>3</v>
      </c>
      <c r="R195" s="1">
        <f>IF(Data!R195&gt;0,4-Data!R195,"")</f>
        <v>3</v>
      </c>
      <c r="S195" s="1">
        <f>IF(Data!S195&gt;0,4-Data!S195,"")</f>
        <v>3</v>
      </c>
      <c r="T195" s="1">
        <f>IF(Data!T195&gt;0,Data!T195-4,"")</f>
        <v>3</v>
      </c>
      <c r="U195" s="1">
        <f>IF(Data!U195&gt;0,4-Data!U195,"")</f>
        <v>3</v>
      </c>
      <c r="V195" s="1">
        <f>IF(Data!V195&gt;0,Data!V195-4,"")</f>
        <v>3</v>
      </c>
      <c r="W195" s="1">
        <f>IF(Data!W195&gt;0,4-Data!W195,"")</f>
        <v>3</v>
      </c>
      <c r="X195" s="1">
        <f>IF(Data!X195&gt;0,4-Data!X195,"")</f>
        <v>3</v>
      </c>
      <c r="Y195" s="1">
        <f>IF(Data!Y195&gt;0,4-Data!Y195,"")</f>
        <v>3</v>
      </c>
      <c r="Z195" s="1">
        <f>IF(Data!Z195&gt;0,Data!Z195-4,"")</f>
        <v>3</v>
      </c>
      <c r="AC195" s="4" t="str">
        <f t="shared" si="23"/>
        <v/>
      </c>
      <c r="AD195" s="4" t="str">
        <f t="shared" si="24"/>
        <v/>
      </c>
      <c r="AE195" s="4" t="str">
        <f t="shared" si="25"/>
        <v/>
      </c>
      <c r="AF195" s="4">
        <f t="shared" si="26"/>
        <v>1</v>
      </c>
      <c r="AG195" s="4" t="str">
        <f t="shared" si="27"/>
        <v/>
      </c>
      <c r="AH195" s="4" t="str">
        <f t="shared" si="28"/>
        <v/>
      </c>
      <c r="AI195" s="2">
        <f t="shared" si="29"/>
        <v>1</v>
      </c>
      <c r="AK195" s="2">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14</v>
      </c>
    </row>
    <row r="196" spans="1:37">
      <c r="A196" s="1">
        <f>IF(Data!A196&gt;0,Data!A196-4,"")</f>
        <v>2</v>
      </c>
      <c r="B196" s="1">
        <f>IF(Data!B196&gt;0,Data!B196-4,"")</f>
        <v>1</v>
      </c>
      <c r="C196" s="1">
        <f>IF(Data!C196&gt;0,4-Data!C196,"")</f>
        <v>1</v>
      </c>
      <c r="D196" s="1">
        <f>IF(Data!D196&gt;0,4-Data!D196,"")</f>
        <v>2</v>
      </c>
      <c r="E196" s="1">
        <f>IF(Data!E196&gt;0,4-Data!E196,"")</f>
        <v>1</v>
      </c>
      <c r="F196" s="1">
        <f>IF(Data!F196&gt;0,Data!F196-4,"")</f>
        <v>1</v>
      </c>
      <c r="G196" s="1">
        <f>IF(Data!G196&gt;0,Data!G196-4,"")</f>
        <v>1</v>
      </c>
      <c r="H196" s="1">
        <f>IF(Data!H196&gt;0,Data!H196-4,"")</f>
        <v>2</v>
      </c>
      <c r="I196" s="1">
        <f>IF(Data!I196&gt;0,4-Data!I196,"")</f>
        <v>1</v>
      </c>
      <c r="J196" s="1">
        <f>IF(Data!J196&gt;0,4-Data!J196,"")</f>
        <v>-1</v>
      </c>
      <c r="K196" s="1">
        <f>IF(Data!K196&gt;0,Data!K196-4,"")</f>
        <v>2</v>
      </c>
      <c r="L196" s="1">
        <f>IF(Data!L196&gt;0,4-Data!L196,"")</f>
        <v>2</v>
      </c>
      <c r="M196" s="1">
        <f>IF(Data!M196&gt;0,Data!M196-4,"")</f>
        <v>2</v>
      </c>
      <c r="N196" s="1">
        <f>IF(Data!N196&gt;0,Data!N196-4,"")</f>
        <v>2</v>
      </c>
      <c r="O196" s="1">
        <f>IF(Data!O196&gt;0,Data!O196-4,"")</f>
        <v>-2</v>
      </c>
      <c r="P196" s="1">
        <f>IF(Data!P196&gt;0,Data!P196-4,"")</f>
        <v>2</v>
      </c>
      <c r="Q196" s="1">
        <f>IF(Data!Q196&gt;0,4-Data!Q196,"")</f>
        <v>2</v>
      </c>
      <c r="R196" s="1">
        <f>IF(Data!R196&gt;0,4-Data!R196,"")</f>
        <v>0</v>
      </c>
      <c r="S196" s="1">
        <f>IF(Data!S196&gt;0,4-Data!S196,"")</f>
        <v>2</v>
      </c>
      <c r="T196" s="1">
        <f>IF(Data!T196&gt;0,Data!T196-4,"")</f>
        <v>1</v>
      </c>
      <c r="U196" s="1">
        <f>IF(Data!U196&gt;0,4-Data!U196,"")</f>
        <v>1</v>
      </c>
      <c r="V196" s="1">
        <f>IF(Data!V196&gt;0,Data!V196-4,"")</f>
        <v>2</v>
      </c>
      <c r="W196" s="1">
        <f>IF(Data!W196&gt;0,4-Data!W196,"")</f>
        <v>2</v>
      </c>
      <c r="X196" s="1">
        <f>IF(Data!X196&gt;0,4-Data!X196,"")</f>
        <v>2</v>
      </c>
      <c r="Y196" s="1">
        <f>IF(Data!Y196&gt;0,4-Data!Y196,"")</f>
        <v>1</v>
      </c>
      <c r="Z196" s="1">
        <f>IF(Data!Z196&gt;0,Data!Z196-4,"")</f>
        <v>0</v>
      </c>
      <c r="AC196" s="4" t="str">
        <f t="shared" si="23"/>
        <v/>
      </c>
      <c r="AD196" s="4" t="str">
        <f t="shared" si="24"/>
        <v/>
      </c>
      <c r="AE196" s="4" t="str">
        <f t="shared" si="25"/>
        <v/>
      </c>
      <c r="AF196" s="4" t="str">
        <f t="shared" si="26"/>
        <v/>
      </c>
      <c r="AG196" s="4" t="str">
        <f t="shared" si="27"/>
        <v/>
      </c>
      <c r="AH196" s="4" t="str">
        <f t="shared" si="28"/>
        <v/>
      </c>
      <c r="AI196" s="2">
        <f t="shared" si="29"/>
        <v>0</v>
      </c>
      <c r="AK196" s="2">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7</v>
      </c>
    </row>
    <row r="197" spans="1:37">
      <c r="A197" s="1">
        <f>IF(Data!A197&gt;0,Data!A197-4,"")</f>
        <v>2</v>
      </c>
      <c r="B197" s="1">
        <f>IF(Data!B197&gt;0,Data!B197-4,"")</f>
        <v>1</v>
      </c>
      <c r="C197" s="1">
        <f>IF(Data!C197&gt;0,4-Data!C197,"")</f>
        <v>0</v>
      </c>
      <c r="D197" s="1">
        <f>IF(Data!D197&gt;0,4-Data!D197,"")</f>
        <v>2</v>
      </c>
      <c r="E197" s="1">
        <f>IF(Data!E197&gt;0,4-Data!E197,"")</f>
        <v>3</v>
      </c>
      <c r="F197" s="1">
        <f>IF(Data!F197&gt;0,Data!F197-4,"")</f>
        <v>2</v>
      </c>
      <c r="G197" s="1">
        <f>IF(Data!G197&gt;0,Data!G197-4,"")</f>
        <v>3</v>
      </c>
      <c r="H197" s="1">
        <f>IF(Data!H197&gt;0,Data!H197-4,"")</f>
        <v>-2</v>
      </c>
      <c r="I197" s="1">
        <f>IF(Data!I197&gt;0,4-Data!I197,"")</f>
        <v>3</v>
      </c>
      <c r="J197" s="1">
        <f>IF(Data!J197&gt;0,4-Data!J197,"")</f>
        <v>3</v>
      </c>
      <c r="K197" s="1">
        <f>IF(Data!K197&gt;0,Data!K197-4,"")</f>
        <v>0</v>
      </c>
      <c r="L197" s="1">
        <f>IF(Data!L197&gt;0,4-Data!L197,"")</f>
        <v>-1</v>
      </c>
      <c r="M197" s="1">
        <f>IF(Data!M197&gt;0,Data!M197-4,"")</f>
        <v>2</v>
      </c>
      <c r="N197" s="1">
        <f>IF(Data!N197&gt;0,Data!N197-4,"")</f>
        <v>0</v>
      </c>
      <c r="O197" s="1">
        <f>IF(Data!O197&gt;0,Data!O197-4,"")</f>
        <v>2</v>
      </c>
      <c r="P197" s="1">
        <f>IF(Data!P197&gt;0,Data!P197-4,"")</f>
        <v>2</v>
      </c>
      <c r="Q197" s="1">
        <f>IF(Data!Q197&gt;0,4-Data!Q197,"")</f>
        <v>2</v>
      </c>
      <c r="R197" s="1">
        <f>IF(Data!R197&gt;0,4-Data!R197,"")</f>
        <v>0</v>
      </c>
      <c r="S197" s="1">
        <f>IF(Data!S197&gt;0,4-Data!S197,"")</f>
        <v>3</v>
      </c>
      <c r="T197" s="1">
        <f>IF(Data!T197&gt;0,Data!T197-4,"")</f>
        <v>3</v>
      </c>
      <c r="U197" s="1">
        <f>IF(Data!U197&gt;0,4-Data!U197,"")</f>
        <v>3</v>
      </c>
      <c r="V197" s="1">
        <f>IF(Data!V197&gt;0,Data!V197-4,"")</f>
        <v>3</v>
      </c>
      <c r="W197" s="1">
        <f>IF(Data!W197&gt;0,4-Data!W197,"")</f>
        <v>-1</v>
      </c>
      <c r="X197" s="1">
        <f>IF(Data!X197&gt;0,4-Data!X197,"")</f>
        <v>1</v>
      </c>
      <c r="Y197" s="1">
        <f>IF(Data!Y197&gt;0,4-Data!Y197,"")</f>
        <v>0</v>
      </c>
      <c r="Z197" s="1">
        <f>IF(Data!Z197&gt;0,Data!Z197-4,"")</f>
        <v>2</v>
      </c>
      <c r="AC197" s="4" t="str">
        <f t="shared" ref="AC197:AC260" si="30">IF((MAX(A197,L197,N197,P197,X197,Y197)-MIN(A197,L197,N197,P197,X197,Y197))&gt;3,1,"")</f>
        <v/>
      </c>
      <c r="AD197" s="4" t="str">
        <f t="shared" ref="AD197:AD260" si="31">IF((MAX(B197,D197,M197,U197)-MIN(B197,D197,M197,U197))&gt;3,1,"")</f>
        <v/>
      </c>
      <c r="AE197" s="4">
        <f t="shared" ref="AE197:AE260" si="32">IF((MAX(I197,T197,V197,W197)-MIN(I197,T197,V197,W197))&gt;3,1,"")</f>
        <v>1</v>
      </c>
      <c r="AF197" s="4">
        <f t="shared" ref="AF197:AF260" si="33">IF((MAX(H197,K197,Q197,S197)-MIN(H197,K197,Q197,S197))&gt;3,1,"")</f>
        <v>1</v>
      </c>
      <c r="AG197" s="4" t="str">
        <f t="shared" ref="AG197:AG260" si="34">IF((MAX(E197,F197,G197,R197)-MIN(E197,F197,G197,R197))&gt;3,1,"")</f>
        <v/>
      </c>
      <c r="AH197" s="4" t="str">
        <f t="shared" ref="AH197:AH260" si="35">IF((MAX(C197,J197,O197,Z197)-MIN(C197,J197,O197,Z197))&gt;3,1,"")</f>
        <v/>
      </c>
      <c r="AI197" s="2">
        <f t="shared" ref="AI197:AI260" si="36">IF(COUNT(A197:Z197)&gt;0,IF(COUNT(AC197,AD197,AE197,AF197,AG197,AH197)&gt;0,SUM(AC197,AD197,AE197,AF197,AG197,AH197),0),"")</f>
        <v>2</v>
      </c>
      <c r="AK197" s="2">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6</v>
      </c>
    </row>
    <row r="198" spans="1:37">
      <c r="A198" s="1">
        <f>IF(Data!A198&gt;0,Data!A198-4,"")</f>
        <v>3</v>
      </c>
      <c r="B198" s="1">
        <f>IF(Data!B198&gt;0,Data!B198-4,"")</f>
        <v>3</v>
      </c>
      <c r="C198" s="1">
        <f>IF(Data!C198&gt;0,4-Data!C198,"")</f>
        <v>2</v>
      </c>
      <c r="D198" s="1">
        <f>IF(Data!D198&gt;0,4-Data!D198,"")</f>
        <v>3</v>
      </c>
      <c r="E198" s="1">
        <f>IF(Data!E198&gt;0,4-Data!E198,"")</f>
        <v>3</v>
      </c>
      <c r="F198" s="1">
        <f>IF(Data!F198&gt;0,Data!F198-4,"")</f>
        <v>2</v>
      </c>
      <c r="G198" s="1">
        <f>IF(Data!G198&gt;0,Data!G198-4,"")</f>
        <v>2</v>
      </c>
      <c r="H198" s="1">
        <f>IF(Data!H198&gt;0,Data!H198-4,"")</f>
        <v>0</v>
      </c>
      <c r="I198" s="1">
        <f>IF(Data!I198&gt;0,4-Data!I198,"")</f>
        <v>2</v>
      </c>
      <c r="J198" s="1">
        <f>IF(Data!J198&gt;0,4-Data!J198,"")</f>
        <v>3</v>
      </c>
      <c r="K198" s="1">
        <f>IF(Data!K198&gt;0,Data!K198-4,"")</f>
        <v>2</v>
      </c>
      <c r="L198" s="1">
        <f>IF(Data!L198&gt;0,4-Data!L198,"")</f>
        <v>3</v>
      </c>
      <c r="M198" s="1">
        <f>IF(Data!M198&gt;0,Data!M198-4,"")</f>
        <v>3</v>
      </c>
      <c r="N198" s="1">
        <f>IF(Data!N198&gt;0,Data!N198-4,"")</f>
        <v>3</v>
      </c>
      <c r="O198" s="1">
        <f>IF(Data!O198&gt;0,Data!O198-4,"")</f>
        <v>1</v>
      </c>
      <c r="P198" s="1">
        <f>IF(Data!P198&gt;0,Data!P198-4,"")</f>
        <v>3</v>
      </c>
      <c r="Q198" s="1">
        <f>IF(Data!Q198&gt;0,4-Data!Q198,"")</f>
        <v>3</v>
      </c>
      <c r="R198" s="1">
        <f>IF(Data!R198&gt;0,4-Data!R198,"")</f>
        <v>2</v>
      </c>
      <c r="S198" s="1">
        <f>IF(Data!S198&gt;0,4-Data!S198,"")</f>
        <v>3</v>
      </c>
      <c r="T198" s="1">
        <f>IF(Data!T198&gt;0,Data!T198-4,"")</f>
        <v>3</v>
      </c>
      <c r="U198" s="1">
        <f>IF(Data!U198&gt;0,4-Data!U198,"")</f>
        <v>3</v>
      </c>
      <c r="V198" s="1">
        <f>IF(Data!V198&gt;0,Data!V198-4,"")</f>
        <v>3</v>
      </c>
      <c r="W198" s="1">
        <f>IF(Data!W198&gt;0,4-Data!W198,"")</f>
        <v>3</v>
      </c>
      <c r="X198" s="1">
        <f>IF(Data!X198&gt;0,4-Data!X198,"")</f>
        <v>1</v>
      </c>
      <c r="Y198" s="1">
        <f>IF(Data!Y198&gt;0,4-Data!Y198,"")</f>
        <v>3</v>
      </c>
      <c r="Z198" s="1">
        <f>IF(Data!Z198&gt;0,Data!Z198-4,"")</f>
        <v>3</v>
      </c>
      <c r="AC198" s="4" t="str">
        <f t="shared" si="30"/>
        <v/>
      </c>
      <c r="AD198" s="4" t="str">
        <f t="shared" si="31"/>
        <v/>
      </c>
      <c r="AE198" s="4" t="str">
        <f t="shared" si="32"/>
        <v/>
      </c>
      <c r="AF198" s="4" t="str">
        <f t="shared" si="33"/>
        <v/>
      </c>
      <c r="AG198" s="4" t="str">
        <f t="shared" si="34"/>
        <v/>
      </c>
      <c r="AH198" s="4" t="str">
        <f t="shared" si="35"/>
        <v/>
      </c>
      <c r="AI198" s="2">
        <f t="shared" si="36"/>
        <v>0</v>
      </c>
      <c r="AK198" s="2">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9</v>
      </c>
    </row>
    <row r="199" spans="1:37">
      <c r="A199" s="1">
        <f>IF(Data!A199&gt;0,Data!A199-4,"")</f>
        <v>2</v>
      </c>
      <c r="B199" s="1">
        <f>IF(Data!B199&gt;0,Data!B199-4,"")</f>
        <v>1</v>
      </c>
      <c r="C199" s="1">
        <f>IF(Data!C199&gt;0,4-Data!C199,"")</f>
        <v>1</v>
      </c>
      <c r="D199" s="1">
        <f>IF(Data!D199&gt;0,4-Data!D199,"")</f>
        <v>2</v>
      </c>
      <c r="E199" s="1">
        <f>IF(Data!E199&gt;0,4-Data!E199,"")</f>
        <v>2</v>
      </c>
      <c r="F199" s="1">
        <f>IF(Data!F199&gt;0,Data!F199-4,"")</f>
        <v>2</v>
      </c>
      <c r="G199" s="1">
        <f>IF(Data!G199&gt;0,Data!G199-4,"")</f>
        <v>1</v>
      </c>
      <c r="H199" s="1">
        <f>IF(Data!H199&gt;0,Data!H199-4,"")</f>
        <v>0</v>
      </c>
      <c r="I199" s="1">
        <f>IF(Data!I199&gt;0,4-Data!I199,"")</f>
        <v>2</v>
      </c>
      <c r="J199" s="1">
        <f>IF(Data!J199&gt;0,4-Data!J199,"")</f>
        <v>-1</v>
      </c>
      <c r="K199" s="1">
        <f>IF(Data!K199&gt;0,Data!K199-4,"")</f>
        <v>2</v>
      </c>
      <c r="L199" s="1">
        <f>IF(Data!L199&gt;0,4-Data!L199,"")</f>
        <v>1</v>
      </c>
      <c r="M199" s="1">
        <f>IF(Data!M199&gt;0,Data!M199-4,"")</f>
        <v>2</v>
      </c>
      <c r="N199" s="1">
        <f>IF(Data!N199&gt;0,Data!N199-4,"")</f>
        <v>1</v>
      </c>
      <c r="O199" s="1">
        <f>IF(Data!O199&gt;0,Data!O199-4,"")</f>
        <v>2</v>
      </c>
      <c r="P199" s="1">
        <f>IF(Data!P199&gt;0,Data!P199-4,"")</f>
        <v>2</v>
      </c>
      <c r="Q199" s="1">
        <f>IF(Data!Q199&gt;0,4-Data!Q199,"")</f>
        <v>2</v>
      </c>
      <c r="R199" s="1">
        <f>IF(Data!R199&gt;0,4-Data!R199,"")</f>
        <v>1</v>
      </c>
      <c r="S199" s="1">
        <f>IF(Data!S199&gt;0,4-Data!S199,"")</f>
        <v>2</v>
      </c>
      <c r="T199" s="1">
        <f>IF(Data!T199&gt;0,Data!T199-4,"")</f>
        <v>2</v>
      </c>
      <c r="U199" s="1">
        <f>IF(Data!U199&gt;0,4-Data!U199,"")</f>
        <v>2</v>
      </c>
      <c r="V199" s="1">
        <f>IF(Data!V199&gt;0,Data!V199-4,"")</f>
        <v>1</v>
      </c>
      <c r="W199" s="1">
        <f>IF(Data!W199&gt;0,4-Data!W199,"")</f>
        <v>2</v>
      </c>
      <c r="X199" s="1">
        <f>IF(Data!X199&gt;0,4-Data!X199,"")</f>
        <v>1</v>
      </c>
      <c r="Y199" s="1">
        <f>IF(Data!Y199&gt;0,4-Data!Y199,"")</f>
        <v>0</v>
      </c>
      <c r="Z199" s="1">
        <f>IF(Data!Z199&gt;0,Data!Z199-4,"")</f>
        <v>2</v>
      </c>
      <c r="AC199" s="4" t="str">
        <f t="shared" si="30"/>
        <v/>
      </c>
      <c r="AD199" s="4" t="str">
        <f t="shared" si="31"/>
        <v/>
      </c>
      <c r="AE199" s="4" t="str">
        <f t="shared" si="32"/>
        <v/>
      </c>
      <c r="AF199" s="4" t="str">
        <f t="shared" si="33"/>
        <v/>
      </c>
      <c r="AG199" s="4" t="str">
        <f t="shared" si="34"/>
        <v/>
      </c>
      <c r="AH199" s="4" t="str">
        <f t="shared" si="35"/>
        <v/>
      </c>
      <c r="AI199" s="2">
        <f t="shared" si="36"/>
        <v>0</v>
      </c>
      <c r="AK199" s="2">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8</v>
      </c>
    </row>
    <row r="200" spans="1:37">
      <c r="A200" s="1">
        <f>IF(Data!A200&gt;0,Data!A200-4,"")</f>
        <v>1</v>
      </c>
      <c r="B200" s="1">
        <f>IF(Data!B200&gt;0,Data!B200-4,"")</f>
        <v>2</v>
      </c>
      <c r="C200" s="1">
        <f>IF(Data!C200&gt;0,4-Data!C200,"")</f>
        <v>-1</v>
      </c>
      <c r="D200" s="1">
        <f>IF(Data!D200&gt;0,4-Data!D200,"")</f>
        <v>1</v>
      </c>
      <c r="E200" s="1">
        <f>IF(Data!E200&gt;0,4-Data!E200,"")</f>
        <v>2</v>
      </c>
      <c r="F200" s="1">
        <f>IF(Data!F200&gt;0,Data!F200-4,"")</f>
        <v>0</v>
      </c>
      <c r="G200" s="1">
        <f>IF(Data!G200&gt;0,Data!G200-4,"")</f>
        <v>0</v>
      </c>
      <c r="H200" s="1">
        <f>IF(Data!H200&gt;0,Data!H200-4,"")</f>
        <v>1</v>
      </c>
      <c r="I200" s="1">
        <f>IF(Data!I200&gt;0,4-Data!I200,"")</f>
        <v>-1</v>
      </c>
      <c r="J200" s="1">
        <f>IF(Data!J200&gt;0,4-Data!J200,"")</f>
        <v>-1</v>
      </c>
      <c r="K200" s="1">
        <f>IF(Data!K200&gt;0,Data!K200-4,"")</f>
        <v>-1</v>
      </c>
      <c r="L200" s="1">
        <f>IF(Data!L200&gt;0,4-Data!L200,"")</f>
        <v>0</v>
      </c>
      <c r="M200" s="1">
        <f>IF(Data!M200&gt;0,Data!M200-4,"")</f>
        <v>1</v>
      </c>
      <c r="N200" s="1">
        <f>IF(Data!N200&gt;0,Data!N200-4,"")</f>
        <v>-1</v>
      </c>
      <c r="O200" s="1">
        <f>IF(Data!O200&gt;0,Data!O200-4,"")</f>
        <v>0</v>
      </c>
      <c r="P200" s="1">
        <f>IF(Data!P200&gt;0,Data!P200-4,"")</f>
        <v>0</v>
      </c>
      <c r="Q200" s="1">
        <f>IF(Data!Q200&gt;0,4-Data!Q200,"")</f>
        <v>1</v>
      </c>
      <c r="R200" s="1">
        <f>IF(Data!R200&gt;0,4-Data!R200,"")</f>
        <v>0</v>
      </c>
      <c r="S200" s="1">
        <f>IF(Data!S200&gt;0,4-Data!S200,"")</f>
        <v>2</v>
      </c>
      <c r="T200" s="1">
        <f>IF(Data!T200&gt;0,Data!T200-4,"")</f>
        <v>1</v>
      </c>
      <c r="U200" s="1">
        <f>IF(Data!U200&gt;0,4-Data!U200,"")</f>
        <v>1</v>
      </c>
      <c r="V200" s="1">
        <f>IF(Data!V200&gt;0,Data!V200-4,"")</f>
        <v>2</v>
      </c>
      <c r="W200" s="1">
        <f>IF(Data!W200&gt;0,4-Data!W200,"")</f>
        <v>1</v>
      </c>
      <c r="X200" s="1">
        <f>IF(Data!X200&gt;0,4-Data!X200,"")</f>
        <v>1</v>
      </c>
      <c r="Y200" s="1">
        <f>IF(Data!Y200&gt;0,4-Data!Y200,"")</f>
        <v>0</v>
      </c>
      <c r="Z200" s="1">
        <f>IF(Data!Z200&gt;0,Data!Z200-4,"")</f>
        <v>0</v>
      </c>
      <c r="AC200" s="4" t="str">
        <f t="shared" si="30"/>
        <v/>
      </c>
      <c r="AD200" s="4" t="str">
        <f t="shared" si="31"/>
        <v/>
      </c>
      <c r="AE200" s="4" t="str">
        <f t="shared" si="32"/>
        <v/>
      </c>
      <c r="AF200" s="4" t="str">
        <f t="shared" si="33"/>
        <v/>
      </c>
      <c r="AG200" s="4" t="str">
        <f t="shared" si="34"/>
        <v/>
      </c>
      <c r="AH200" s="4" t="str">
        <f t="shared" si="35"/>
        <v/>
      </c>
      <c r="AI200" s="2">
        <f t="shared" si="36"/>
        <v>0</v>
      </c>
      <c r="AK200" s="2">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8</v>
      </c>
    </row>
    <row r="201" spans="1:37">
      <c r="A201" s="1">
        <f>IF(Data!A201&gt;0,Data!A201-4,"")</f>
        <v>2</v>
      </c>
      <c r="B201" s="1">
        <f>IF(Data!B201&gt;0,Data!B201-4,"")</f>
        <v>3</v>
      </c>
      <c r="C201" s="1">
        <f>IF(Data!C201&gt;0,4-Data!C201,"")</f>
        <v>0</v>
      </c>
      <c r="D201" s="1">
        <f>IF(Data!D201&gt;0,4-Data!D201,"")</f>
        <v>-2</v>
      </c>
      <c r="E201" s="1">
        <f>IF(Data!E201&gt;0,4-Data!E201,"")</f>
        <v>0</v>
      </c>
      <c r="F201" s="1">
        <f>IF(Data!F201&gt;0,Data!F201-4,"")</f>
        <v>0</v>
      </c>
      <c r="G201" s="1">
        <f>IF(Data!G201&gt;0,Data!G201-4,"")</f>
        <v>0</v>
      </c>
      <c r="H201" s="1">
        <f>IF(Data!H201&gt;0,Data!H201-4,"")</f>
        <v>0</v>
      </c>
      <c r="I201" s="1">
        <f>IF(Data!I201&gt;0,4-Data!I201,"")</f>
        <v>0</v>
      </c>
      <c r="J201" s="1">
        <f>IF(Data!J201&gt;0,4-Data!J201,"")</f>
        <v>-1</v>
      </c>
      <c r="K201" s="1">
        <f>IF(Data!K201&gt;0,Data!K201-4,"")</f>
        <v>0</v>
      </c>
      <c r="L201" s="1">
        <f>IF(Data!L201&gt;0,4-Data!L201,"")</f>
        <v>3</v>
      </c>
      <c r="M201" s="1">
        <f>IF(Data!M201&gt;0,Data!M201-4,"")</f>
        <v>3</v>
      </c>
      <c r="N201" s="1">
        <f>IF(Data!N201&gt;0,Data!N201-4,"")</f>
        <v>3</v>
      </c>
      <c r="O201" s="1">
        <f>IF(Data!O201&gt;0,Data!O201-4,"")</f>
        <v>2</v>
      </c>
      <c r="P201" s="1">
        <f>IF(Data!P201&gt;0,Data!P201-4,"")</f>
        <v>3</v>
      </c>
      <c r="Q201" s="1">
        <f>IF(Data!Q201&gt;0,4-Data!Q201,"")</f>
        <v>3</v>
      </c>
      <c r="R201" s="1">
        <f>IF(Data!R201&gt;0,4-Data!R201,"")</f>
        <v>0</v>
      </c>
      <c r="S201" s="1">
        <f>IF(Data!S201&gt;0,4-Data!S201,"")</f>
        <v>3</v>
      </c>
      <c r="T201" s="1">
        <f>IF(Data!T201&gt;0,Data!T201-4,"")</f>
        <v>2</v>
      </c>
      <c r="U201" s="1">
        <f>IF(Data!U201&gt;0,4-Data!U201,"")</f>
        <v>-3</v>
      </c>
      <c r="V201" s="1">
        <f>IF(Data!V201&gt;0,Data!V201-4,"")</f>
        <v>3</v>
      </c>
      <c r="W201" s="1">
        <f>IF(Data!W201&gt;0,4-Data!W201,"")</f>
        <v>-2</v>
      </c>
      <c r="X201" s="1">
        <f>IF(Data!X201&gt;0,4-Data!X201,"")</f>
        <v>-1</v>
      </c>
      <c r="Y201" s="1">
        <f>IF(Data!Y201&gt;0,4-Data!Y201,"")</f>
        <v>0</v>
      </c>
      <c r="Z201" s="1">
        <f>IF(Data!Z201&gt;0,Data!Z201-4,"")</f>
        <v>0</v>
      </c>
      <c r="AC201" s="4">
        <f t="shared" si="30"/>
        <v>1</v>
      </c>
      <c r="AD201" s="4">
        <f t="shared" si="31"/>
        <v>1</v>
      </c>
      <c r="AE201" s="4">
        <f t="shared" si="32"/>
        <v>1</v>
      </c>
      <c r="AF201" s="4" t="str">
        <f t="shared" si="33"/>
        <v/>
      </c>
      <c r="AG201" s="4" t="str">
        <f t="shared" si="34"/>
        <v/>
      </c>
      <c r="AH201" s="4" t="str">
        <f t="shared" si="35"/>
        <v/>
      </c>
      <c r="AI201" s="2">
        <f t="shared" si="36"/>
        <v>3</v>
      </c>
      <c r="AK201" s="2">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10</v>
      </c>
    </row>
    <row r="202" spans="1:37">
      <c r="A202" s="1">
        <f>IF(Data!A202&gt;0,Data!A202-4,"")</f>
        <v>1</v>
      </c>
      <c r="B202" s="1">
        <f>IF(Data!B202&gt;0,Data!B202-4,"")</f>
        <v>2</v>
      </c>
      <c r="C202" s="1">
        <f>IF(Data!C202&gt;0,4-Data!C202,"")</f>
        <v>1</v>
      </c>
      <c r="D202" s="1">
        <f>IF(Data!D202&gt;0,4-Data!D202,"")</f>
        <v>3</v>
      </c>
      <c r="E202" s="1">
        <f>IF(Data!E202&gt;0,4-Data!E202,"")</f>
        <v>1</v>
      </c>
      <c r="F202" s="1">
        <f>IF(Data!F202&gt;0,Data!F202-4,"")</f>
        <v>2</v>
      </c>
      <c r="G202" s="1">
        <f>IF(Data!G202&gt;0,Data!G202-4,"")</f>
        <v>1</v>
      </c>
      <c r="H202" s="1">
        <f>IF(Data!H202&gt;0,Data!H202-4,"")</f>
        <v>2</v>
      </c>
      <c r="I202" s="1">
        <f>IF(Data!I202&gt;0,4-Data!I202,"")</f>
        <v>1</v>
      </c>
      <c r="J202" s="1">
        <f>IF(Data!J202&gt;0,4-Data!J202,"")</f>
        <v>0</v>
      </c>
      <c r="K202" s="1">
        <f>IF(Data!K202&gt;0,Data!K202-4,"")</f>
        <v>1</v>
      </c>
      <c r="L202" s="1">
        <f>IF(Data!L202&gt;0,4-Data!L202,"")</f>
        <v>2</v>
      </c>
      <c r="M202" s="1">
        <f>IF(Data!M202&gt;0,Data!M202-4,"")</f>
        <v>2</v>
      </c>
      <c r="N202" s="1">
        <f>IF(Data!N202&gt;0,Data!N202-4,"")</f>
        <v>2</v>
      </c>
      <c r="O202" s="1">
        <f>IF(Data!O202&gt;0,Data!O202-4,"")</f>
        <v>1</v>
      </c>
      <c r="P202" s="1">
        <f>IF(Data!P202&gt;0,Data!P202-4,"")</f>
        <v>2</v>
      </c>
      <c r="Q202" s="1">
        <f>IF(Data!Q202&gt;0,4-Data!Q202,"")</f>
        <v>1</v>
      </c>
      <c r="R202" s="1">
        <f>IF(Data!R202&gt;0,4-Data!R202,"")</f>
        <v>1</v>
      </c>
      <c r="S202" s="1">
        <f>IF(Data!S202&gt;0,4-Data!S202,"")</f>
        <v>2</v>
      </c>
      <c r="T202" s="1">
        <f>IF(Data!T202&gt;0,Data!T202-4,"")</f>
        <v>2</v>
      </c>
      <c r="U202" s="1">
        <f>IF(Data!U202&gt;0,4-Data!U202,"")</f>
        <v>2</v>
      </c>
      <c r="V202" s="1">
        <f>IF(Data!V202&gt;0,Data!V202-4,"")</f>
        <v>2</v>
      </c>
      <c r="W202" s="1">
        <f>IF(Data!W202&gt;0,4-Data!W202,"")</f>
        <v>0</v>
      </c>
      <c r="X202" s="1">
        <f>IF(Data!X202&gt;0,4-Data!X202,"")</f>
        <v>1</v>
      </c>
      <c r="Y202" s="1">
        <f>IF(Data!Y202&gt;0,4-Data!Y202,"")</f>
        <v>2</v>
      </c>
      <c r="Z202" s="1">
        <f>IF(Data!Z202&gt;0,Data!Z202-4,"")</f>
        <v>-1</v>
      </c>
      <c r="AC202" s="4" t="str">
        <f t="shared" si="30"/>
        <v/>
      </c>
      <c r="AD202" s="4" t="str">
        <f t="shared" si="31"/>
        <v/>
      </c>
      <c r="AE202" s="4" t="str">
        <f t="shared" si="32"/>
        <v/>
      </c>
      <c r="AF202" s="4" t="str">
        <f t="shared" si="33"/>
        <v/>
      </c>
      <c r="AG202" s="4" t="str">
        <f t="shared" si="34"/>
        <v/>
      </c>
      <c r="AH202" s="4" t="str">
        <f t="shared" si="35"/>
        <v/>
      </c>
      <c r="AI202" s="2">
        <f t="shared" si="36"/>
        <v>0</v>
      </c>
      <c r="AK202" s="2">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8</v>
      </c>
    </row>
    <row r="203" spans="1:37">
      <c r="A203" s="1">
        <f>IF(Data!A203&gt;0,Data!A203-4,"")</f>
        <v>2</v>
      </c>
      <c r="B203" s="1">
        <f>IF(Data!B203&gt;0,Data!B203-4,"")</f>
        <v>2</v>
      </c>
      <c r="C203" s="1">
        <f>IF(Data!C203&gt;0,4-Data!C203,"")</f>
        <v>0</v>
      </c>
      <c r="D203" s="1">
        <f>IF(Data!D203&gt;0,4-Data!D203,"")</f>
        <v>-1</v>
      </c>
      <c r="E203" s="1">
        <f>IF(Data!E203&gt;0,4-Data!E203,"")</f>
        <v>-2</v>
      </c>
      <c r="F203" s="1">
        <f>IF(Data!F203&gt;0,Data!F203-4,"")</f>
        <v>2</v>
      </c>
      <c r="G203" s="1">
        <f>IF(Data!G203&gt;0,Data!G203-4,"")</f>
        <v>2</v>
      </c>
      <c r="H203" s="1">
        <f>IF(Data!H203&gt;0,Data!H203-4,"")</f>
        <v>2</v>
      </c>
      <c r="I203" s="1">
        <f>IF(Data!I203&gt;0,4-Data!I203,"")</f>
        <v>1</v>
      </c>
      <c r="J203" s="1">
        <f>IF(Data!J203&gt;0,4-Data!J203,"")</f>
        <v>1</v>
      </c>
      <c r="K203" s="1">
        <f>IF(Data!K203&gt;0,Data!K203-4,"")</f>
        <v>1</v>
      </c>
      <c r="L203" s="1">
        <f>IF(Data!L203&gt;0,4-Data!L203,"")</f>
        <v>2</v>
      </c>
      <c r="M203" s="1">
        <f>IF(Data!M203&gt;0,Data!M203-4,"")</f>
        <v>0</v>
      </c>
      <c r="N203" s="1">
        <f>IF(Data!N203&gt;0,Data!N203-4,"")</f>
        <v>1</v>
      </c>
      <c r="O203" s="1">
        <f>IF(Data!O203&gt;0,Data!O203-4,"")</f>
        <v>2</v>
      </c>
      <c r="P203" s="1">
        <f>IF(Data!P203&gt;0,Data!P203-4,"")</f>
        <v>1</v>
      </c>
      <c r="Q203" s="1">
        <f>IF(Data!Q203&gt;0,4-Data!Q203,"")</f>
        <v>1</v>
      </c>
      <c r="R203" s="1">
        <f>IF(Data!R203&gt;0,4-Data!R203,"")</f>
        <v>0</v>
      </c>
      <c r="S203" s="1">
        <f>IF(Data!S203&gt;0,4-Data!S203,"")</f>
        <v>-2</v>
      </c>
      <c r="T203" s="1">
        <f>IF(Data!T203&gt;0,Data!T203-4,"")</f>
        <v>2</v>
      </c>
      <c r="U203" s="1">
        <f>IF(Data!U203&gt;0,4-Data!U203,"")</f>
        <v>1</v>
      </c>
      <c r="V203" s="1">
        <f>IF(Data!V203&gt;0,Data!V203-4,"")</f>
        <v>2</v>
      </c>
      <c r="W203" s="1">
        <f>IF(Data!W203&gt;0,4-Data!W203,"")</f>
        <v>-2</v>
      </c>
      <c r="X203" s="1">
        <f>IF(Data!X203&gt;0,4-Data!X203,"")</f>
        <v>1</v>
      </c>
      <c r="Y203" s="1">
        <f>IF(Data!Y203&gt;0,4-Data!Y203,"")</f>
        <v>0</v>
      </c>
      <c r="Z203" s="1">
        <f>IF(Data!Z203&gt;0,Data!Z203-4,"")</f>
        <v>2</v>
      </c>
      <c r="AC203" s="4" t="str">
        <f t="shared" si="30"/>
        <v/>
      </c>
      <c r="AD203" s="4" t="str">
        <f t="shared" si="31"/>
        <v/>
      </c>
      <c r="AE203" s="4">
        <f t="shared" si="32"/>
        <v>1</v>
      </c>
      <c r="AF203" s="4">
        <f t="shared" si="33"/>
        <v>1</v>
      </c>
      <c r="AG203" s="4">
        <f t="shared" si="34"/>
        <v>1</v>
      </c>
      <c r="AH203" s="4" t="str">
        <f t="shared" si="35"/>
        <v/>
      </c>
      <c r="AI203" s="2">
        <f t="shared" si="36"/>
        <v>3</v>
      </c>
      <c r="AK203" s="2">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12</v>
      </c>
    </row>
    <row r="204" spans="1:37">
      <c r="A204" s="1">
        <f>IF(Data!A204&gt;0,Data!A204-4,"")</f>
        <v>1</v>
      </c>
      <c r="B204" s="1">
        <f>IF(Data!B204&gt;0,Data!B204-4,"")</f>
        <v>2</v>
      </c>
      <c r="C204" s="1">
        <f>IF(Data!C204&gt;0,4-Data!C204,"")</f>
        <v>0</v>
      </c>
      <c r="D204" s="1">
        <f>IF(Data!D204&gt;0,4-Data!D204,"")</f>
        <v>2</v>
      </c>
      <c r="E204" s="1">
        <f>IF(Data!E204&gt;0,4-Data!E204,"")</f>
        <v>2</v>
      </c>
      <c r="F204" s="1">
        <f>IF(Data!F204&gt;0,Data!F204-4,"")</f>
        <v>0</v>
      </c>
      <c r="G204" s="1">
        <f>IF(Data!G204&gt;0,Data!G204-4,"")</f>
        <v>1</v>
      </c>
      <c r="H204" s="1">
        <f>IF(Data!H204&gt;0,Data!H204-4,"")</f>
        <v>2</v>
      </c>
      <c r="I204" s="1">
        <f>IF(Data!I204&gt;0,4-Data!I204,"")</f>
        <v>2</v>
      </c>
      <c r="J204" s="1">
        <f>IF(Data!J204&gt;0,4-Data!J204,"")</f>
        <v>0</v>
      </c>
      <c r="K204" s="1">
        <f>IF(Data!K204&gt;0,Data!K204-4,"")</f>
        <v>1</v>
      </c>
      <c r="L204" s="1">
        <f>IF(Data!L204&gt;0,4-Data!L204,"")</f>
        <v>2</v>
      </c>
      <c r="M204" s="1">
        <f>IF(Data!M204&gt;0,Data!M204-4,"")</f>
        <v>2</v>
      </c>
      <c r="N204" s="1">
        <f>IF(Data!N204&gt;0,Data!N204-4,"")</f>
        <v>2</v>
      </c>
      <c r="O204" s="1">
        <f>IF(Data!O204&gt;0,Data!O204-4,"")</f>
        <v>0</v>
      </c>
      <c r="P204" s="1">
        <f>IF(Data!P204&gt;0,Data!P204-4,"")</f>
        <v>2</v>
      </c>
      <c r="Q204" s="1">
        <f>IF(Data!Q204&gt;0,4-Data!Q204,"")</f>
        <v>2</v>
      </c>
      <c r="R204" s="1">
        <f>IF(Data!R204&gt;0,4-Data!R204,"")</f>
        <v>1</v>
      </c>
      <c r="S204" s="1">
        <f>IF(Data!S204&gt;0,4-Data!S204,"")</f>
        <v>2</v>
      </c>
      <c r="T204" s="1">
        <f>IF(Data!T204&gt;0,Data!T204-4,"")</f>
        <v>2</v>
      </c>
      <c r="U204" s="1">
        <f>IF(Data!U204&gt;0,4-Data!U204,"")</f>
        <v>1</v>
      </c>
      <c r="V204" s="1">
        <f>IF(Data!V204&gt;0,Data!V204-4,"")</f>
        <v>2</v>
      </c>
      <c r="W204" s="1">
        <f>IF(Data!W204&gt;0,4-Data!W204,"")</f>
        <v>2</v>
      </c>
      <c r="X204" s="1">
        <f>IF(Data!X204&gt;0,4-Data!X204,"")</f>
        <v>0</v>
      </c>
      <c r="Y204" s="1">
        <f>IF(Data!Y204&gt;0,4-Data!Y204,"")</f>
        <v>1</v>
      </c>
      <c r="Z204" s="1">
        <f>IF(Data!Z204&gt;0,Data!Z204-4,"")</f>
        <v>-2</v>
      </c>
      <c r="AC204" s="4" t="str">
        <f t="shared" si="30"/>
        <v/>
      </c>
      <c r="AD204" s="4" t="str">
        <f t="shared" si="31"/>
        <v/>
      </c>
      <c r="AE204" s="4" t="str">
        <f t="shared" si="32"/>
        <v/>
      </c>
      <c r="AF204" s="4" t="str">
        <f t="shared" si="33"/>
        <v/>
      </c>
      <c r="AG204" s="4" t="str">
        <f t="shared" si="34"/>
        <v/>
      </c>
      <c r="AH204" s="4" t="str">
        <f t="shared" si="35"/>
        <v/>
      </c>
      <c r="AI204" s="2">
        <f t="shared" si="36"/>
        <v>0</v>
      </c>
      <c r="AK204" s="2">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8</v>
      </c>
    </row>
    <row r="205" spans="1:37">
      <c r="A205" s="1">
        <f>IF(Data!A205&gt;0,Data!A205-4,"")</f>
        <v>-2</v>
      </c>
      <c r="B205" s="1">
        <f>IF(Data!B205&gt;0,Data!B205-4,"")</f>
        <v>-2</v>
      </c>
      <c r="C205" s="1">
        <f>IF(Data!C205&gt;0,4-Data!C205,"")</f>
        <v>-1</v>
      </c>
      <c r="D205" s="1">
        <f>IF(Data!D205&gt;0,4-Data!D205,"")</f>
        <v>-1</v>
      </c>
      <c r="E205" s="1">
        <f>IF(Data!E205&gt;0,4-Data!E205,"")</f>
        <v>-2</v>
      </c>
      <c r="F205" s="1">
        <f>IF(Data!F205&gt;0,Data!F205-4,"")</f>
        <v>-1</v>
      </c>
      <c r="G205" s="1">
        <f>IF(Data!G205&gt;0,Data!G205-4,"")</f>
        <v>-1</v>
      </c>
      <c r="H205" s="1">
        <f>IF(Data!H205&gt;0,Data!H205-4,"")</f>
        <v>-1</v>
      </c>
      <c r="I205" s="1">
        <f>IF(Data!I205&gt;0,4-Data!I205,"")</f>
        <v>-1</v>
      </c>
      <c r="J205" s="1">
        <f>IF(Data!J205&gt;0,4-Data!J205,"")</f>
        <v>-1</v>
      </c>
      <c r="K205" s="1">
        <f>IF(Data!K205&gt;0,Data!K205-4,"")</f>
        <v>-1</v>
      </c>
      <c r="L205" s="1">
        <f>IF(Data!L205&gt;0,4-Data!L205,"")</f>
        <v>-1</v>
      </c>
      <c r="M205" s="1">
        <f>IF(Data!M205&gt;0,Data!M205-4,"")</f>
        <v>-2</v>
      </c>
      <c r="N205" s="1">
        <f>IF(Data!N205&gt;0,Data!N205-4,"")</f>
        <v>-2</v>
      </c>
      <c r="O205" s="1">
        <f>IF(Data!O205&gt;0,Data!O205-4,"")</f>
        <v>-1</v>
      </c>
      <c r="P205" s="1">
        <f>IF(Data!P205&gt;0,Data!P205-4,"")</f>
        <v>-2</v>
      </c>
      <c r="Q205" s="1">
        <f>IF(Data!Q205&gt;0,4-Data!Q205,"")</f>
        <v>-1</v>
      </c>
      <c r="R205" s="1">
        <f>IF(Data!R205&gt;0,4-Data!R205,"")</f>
        <v>3</v>
      </c>
      <c r="S205" s="1">
        <f>IF(Data!S205&gt;0,4-Data!S205,"")</f>
        <v>-1</v>
      </c>
      <c r="T205" s="1">
        <f>IF(Data!T205&gt;0,Data!T205-4,"")</f>
        <v>-2</v>
      </c>
      <c r="U205" s="1">
        <f>IF(Data!U205&gt;0,4-Data!U205,"")</f>
        <v>2</v>
      </c>
      <c r="V205" s="1">
        <f>IF(Data!V205&gt;0,Data!V205-4,"")</f>
        <v>-2</v>
      </c>
      <c r="W205" s="1">
        <f>IF(Data!W205&gt;0,4-Data!W205,"")</f>
        <v>-1</v>
      </c>
      <c r="X205" s="1">
        <f>IF(Data!X205&gt;0,4-Data!X205,"")</f>
        <v>0</v>
      </c>
      <c r="Y205" s="1">
        <f>IF(Data!Y205&gt;0,4-Data!Y205,"")</f>
        <v>1</v>
      </c>
      <c r="Z205" s="1">
        <f>IF(Data!Z205&gt;0,Data!Z205-4,"")</f>
        <v>-1</v>
      </c>
      <c r="AC205" s="4" t="str">
        <f t="shared" si="30"/>
        <v/>
      </c>
      <c r="AD205" s="4">
        <f t="shared" si="31"/>
        <v>1</v>
      </c>
      <c r="AE205" s="4" t="str">
        <f t="shared" si="32"/>
        <v/>
      </c>
      <c r="AF205" s="4" t="str">
        <f t="shared" si="33"/>
        <v/>
      </c>
      <c r="AG205" s="4">
        <f t="shared" si="34"/>
        <v>1</v>
      </c>
      <c r="AH205" s="4" t="str">
        <f t="shared" si="35"/>
        <v/>
      </c>
      <c r="AI205" s="2">
        <f t="shared" si="36"/>
        <v>2</v>
      </c>
      <c r="AK205" s="2">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8</v>
      </c>
    </row>
    <row r="206" spans="1:37">
      <c r="A206" s="1">
        <f>IF(Data!A206&gt;0,Data!A206-4,"")</f>
        <v>-1</v>
      </c>
      <c r="B206" s="1">
        <f>IF(Data!B206&gt;0,Data!B206-4,"")</f>
        <v>1</v>
      </c>
      <c r="C206" s="1">
        <f>IF(Data!C206&gt;0,4-Data!C206,"")</f>
        <v>2</v>
      </c>
      <c r="D206" s="1">
        <f>IF(Data!D206&gt;0,4-Data!D206,"")</f>
        <v>2</v>
      </c>
      <c r="E206" s="1">
        <f>IF(Data!E206&gt;0,4-Data!E206,"")</f>
        <v>2</v>
      </c>
      <c r="F206" s="1">
        <f>IF(Data!F206&gt;0,Data!F206-4,"")</f>
        <v>1</v>
      </c>
      <c r="G206" s="1">
        <f>IF(Data!G206&gt;0,Data!G206-4,"")</f>
        <v>-1</v>
      </c>
      <c r="H206" s="1">
        <f>IF(Data!H206&gt;0,Data!H206-4,"")</f>
        <v>1</v>
      </c>
      <c r="I206" s="1">
        <f>IF(Data!I206&gt;0,4-Data!I206,"")</f>
        <v>2</v>
      </c>
      <c r="J206" s="1">
        <f>IF(Data!J206&gt;0,4-Data!J206,"")</f>
        <v>0</v>
      </c>
      <c r="K206" s="1">
        <f>IF(Data!K206&gt;0,Data!K206-4,"")</f>
        <v>0</v>
      </c>
      <c r="L206" s="1">
        <f>IF(Data!L206&gt;0,4-Data!L206,"")</f>
        <v>1</v>
      </c>
      <c r="M206" s="1">
        <f>IF(Data!M206&gt;0,Data!M206-4,"")</f>
        <v>1</v>
      </c>
      <c r="N206" s="1">
        <f>IF(Data!N206&gt;0,Data!N206-4,"")</f>
        <v>1</v>
      </c>
      <c r="O206" s="1">
        <f>IF(Data!O206&gt;0,Data!O206-4,"")</f>
        <v>1</v>
      </c>
      <c r="P206" s="1">
        <f>IF(Data!P206&gt;0,Data!P206-4,"")</f>
        <v>1</v>
      </c>
      <c r="Q206" s="1">
        <f>IF(Data!Q206&gt;0,4-Data!Q206,"")</f>
        <v>2</v>
      </c>
      <c r="R206" s="1">
        <f>IF(Data!R206&gt;0,4-Data!R206,"")</f>
        <v>0</v>
      </c>
      <c r="S206" s="1">
        <f>IF(Data!S206&gt;0,4-Data!S206,"")</f>
        <v>2</v>
      </c>
      <c r="T206" s="1">
        <f>IF(Data!T206&gt;0,Data!T206-4,"")</f>
        <v>1</v>
      </c>
      <c r="U206" s="1">
        <f>IF(Data!U206&gt;0,4-Data!U206,"")</f>
        <v>-1</v>
      </c>
      <c r="V206" s="1">
        <f>IF(Data!V206&gt;0,Data!V206-4,"")</f>
        <v>1</v>
      </c>
      <c r="W206" s="1">
        <f>IF(Data!W206&gt;0,4-Data!W206,"")</f>
        <v>1</v>
      </c>
      <c r="X206" s="1">
        <f>IF(Data!X206&gt;0,4-Data!X206,"")</f>
        <v>1</v>
      </c>
      <c r="Y206" s="1">
        <f>IF(Data!Y206&gt;0,4-Data!Y206,"")</f>
        <v>1</v>
      </c>
      <c r="Z206" s="1">
        <f>IF(Data!Z206&gt;0,Data!Z206-4,"")</f>
        <v>1</v>
      </c>
      <c r="AC206" s="4" t="str">
        <f t="shared" si="30"/>
        <v/>
      </c>
      <c r="AD206" s="4" t="str">
        <f t="shared" si="31"/>
        <v/>
      </c>
      <c r="AE206" s="4" t="str">
        <f t="shared" si="32"/>
        <v/>
      </c>
      <c r="AF206" s="4" t="str">
        <f t="shared" si="33"/>
        <v/>
      </c>
      <c r="AG206" s="4" t="str">
        <f t="shared" si="34"/>
        <v/>
      </c>
      <c r="AH206" s="4" t="str">
        <f t="shared" si="35"/>
        <v/>
      </c>
      <c r="AI206" s="2">
        <f t="shared" si="36"/>
        <v>0</v>
      </c>
      <c r="AK206" s="2">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11</v>
      </c>
    </row>
    <row r="207" spans="1:37">
      <c r="A207" s="1">
        <f>IF(Data!A207&gt;0,Data!A207-4,"")</f>
        <v>2</v>
      </c>
      <c r="B207" s="1">
        <f>IF(Data!B207&gt;0,Data!B207-4,"")</f>
        <v>2</v>
      </c>
      <c r="C207" s="1">
        <f>IF(Data!C207&gt;0,4-Data!C207,"")</f>
        <v>0</v>
      </c>
      <c r="D207" s="1">
        <f>IF(Data!D207&gt;0,4-Data!D207,"")</f>
        <v>2</v>
      </c>
      <c r="E207" s="1">
        <f>IF(Data!E207&gt;0,4-Data!E207,"")</f>
        <v>3</v>
      </c>
      <c r="F207" s="1">
        <f>IF(Data!F207&gt;0,Data!F207-4,"")</f>
        <v>0</v>
      </c>
      <c r="G207" s="1">
        <f>IF(Data!G207&gt;0,Data!G207-4,"")</f>
        <v>0</v>
      </c>
      <c r="H207" s="1">
        <f>IF(Data!H207&gt;0,Data!H207-4,"")</f>
        <v>2</v>
      </c>
      <c r="I207" s="1">
        <f>IF(Data!I207&gt;0,4-Data!I207,"")</f>
        <v>2</v>
      </c>
      <c r="J207" s="1">
        <f>IF(Data!J207&gt;0,4-Data!J207,"")</f>
        <v>1</v>
      </c>
      <c r="K207" s="1">
        <f>IF(Data!K207&gt;0,Data!K207-4,"")</f>
        <v>0</v>
      </c>
      <c r="L207" s="1">
        <f>IF(Data!L207&gt;0,4-Data!L207,"")</f>
        <v>3</v>
      </c>
      <c r="M207" s="1">
        <f>IF(Data!M207&gt;0,Data!M207-4,"")</f>
        <v>2</v>
      </c>
      <c r="N207" s="1">
        <f>IF(Data!N207&gt;0,Data!N207-4,"")</f>
        <v>2</v>
      </c>
      <c r="O207" s="1">
        <f>IF(Data!O207&gt;0,Data!O207-4,"")</f>
        <v>1</v>
      </c>
      <c r="P207" s="1">
        <f>IF(Data!P207&gt;0,Data!P207-4,"")</f>
        <v>2</v>
      </c>
      <c r="Q207" s="1">
        <f>IF(Data!Q207&gt;0,4-Data!Q207,"")</f>
        <v>2</v>
      </c>
      <c r="R207" s="1">
        <f>IF(Data!R207&gt;0,4-Data!R207,"")</f>
        <v>0</v>
      </c>
      <c r="S207" s="1">
        <f>IF(Data!S207&gt;0,4-Data!S207,"")</f>
        <v>3</v>
      </c>
      <c r="T207" s="1">
        <f>IF(Data!T207&gt;0,Data!T207-4,"")</f>
        <v>3</v>
      </c>
      <c r="U207" s="1">
        <f>IF(Data!U207&gt;0,4-Data!U207,"")</f>
        <v>2</v>
      </c>
      <c r="V207" s="1">
        <f>IF(Data!V207&gt;0,Data!V207-4,"")</f>
        <v>3</v>
      </c>
      <c r="W207" s="1">
        <f>IF(Data!W207&gt;0,4-Data!W207,"")</f>
        <v>1</v>
      </c>
      <c r="X207" s="1">
        <f>IF(Data!X207&gt;0,4-Data!X207,"")</f>
        <v>0</v>
      </c>
      <c r="Y207" s="1">
        <f>IF(Data!Y207&gt;0,4-Data!Y207,"")</f>
        <v>2</v>
      </c>
      <c r="Z207" s="1">
        <f>IF(Data!Z207&gt;0,Data!Z207-4,"")</f>
        <v>1</v>
      </c>
      <c r="AC207" s="4" t="str">
        <f t="shared" si="30"/>
        <v/>
      </c>
      <c r="AD207" s="4" t="str">
        <f t="shared" si="31"/>
        <v/>
      </c>
      <c r="AE207" s="4" t="str">
        <f t="shared" si="32"/>
        <v/>
      </c>
      <c r="AF207" s="4" t="str">
        <f t="shared" si="33"/>
        <v/>
      </c>
      <c r="AG207" s="4" t="str">
        <f t="shared" si="34"/>
        <v/>
      </c>
      <c r="AH207" s="4" t="str">
        <f t="shared" si="35"/>
        <v/>
      </c>
      <c r="AI207" s="2">
        <f t="shared" si="36"/>
        <v>0</v>
      </c>
      <c r="AK207" s="2">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6</v>
      </c>
    </row>
    <row r="208" spans="1:37">
      <c r="A208" s="1">
        <f>IF(Data!A208&gt;0,Data!A208-4,"")</f>
        <v>2</v>
      </c>
      <c r="B208" s="1">
        <f>IF(Data!B208&gt;0,Data!B208-4,"")</f>
        <v>2</v>
      </c>
      <c r="C208" s="1">
        <f>IF(Data!C208&gt;0,4-Data!C208,"")</f>
        <v>1</v>
      </c>
      <c r="D208" s="1">
        <f>IF(Data!D208&gt;0,4-Data!D208,"")</f>
        <v>2</v>
      </c>
      <c r="E208" s="1">
        <f>IF(Data!E208&gt;0,4-Data!E208,"")</f>
        <v>2</v>
      </c>
      <c r="F208" s="1">
        <f>IF(Data!F208&gt;0,Data!F208-4,"")</f>
        <v>0</v>
      </c>
      <c r="G208" s="1">
        <f>IF(Data!G208&gt;0,Data!G208-4,"")</f>
        <v>0</v>
      </c>
      <c r="H208" s="1">
        <f>IF(Data!H208&gt;0,Data!H208-4,"")</f>
        <v>2</v>
      </c>
      <c r="I208" s="1">
        <f>IF(Data!I208&gt;0,4-Data!I208,"")</f>
        <v>1</v>
      </c>
      <c r="J208" s="1">
        <f>IF(Data!J208&gt;0,4-Data!J208,"")</f>
        <v>0</v>
      </c>
      <c r="K208" s="1">
        <f>IF(Data!K208&gt;0,Data!K208-4,"")</f>
        <v>1</v>
      </c>
      <c r="L208" s="1">
        <f>IF(Data!L208&gt;0,4-Data!L208,"")</f>
        <v>2</v>
      </c>
      <c r="M208" s="1">
        <f>IF(Data!M208&gt;0,Data!M208-4,"")</f>
        <v>2</v>
      </c>
      <c r="N208" s="1">
        <f>IF(Data!N208&gt;0,Data!N208-4,"")</f>
        <v>2</v>
      </c>
      <c r="O208" s="1">
        <f>IF(Data!O208&gt;0,Data!O208-4,"")</f>
        <v>1</v>
      </c>
      <c r="P208" s="1">
        <f>IF(Data!P208&gt;0,Data!P208-4,"")</f>
        <v>0</v>
      </c>
      <c r="Q208" s="1">
        <f>IF(Data!Q208&gt;0,4-Data!Q208,"")</f>
        <v>1</v>
      </c>
      <c r="R208" s="1">
        <f>IF(Data!R208&gt;0,4-Data!R208,"")</f>
        <v>1</v>
      </c>
      <c r="S208" s="1">
        <f>IF(Data!S208&gt;0,4-Data!S208,"")</f>
        <v>2</v>
      </c>
      <c r="T208" s="1">
        <f>IF(Data!T208&gt;0,Data!T208-4,"")</f>
        <v>1</v>
      </c>
      <c r="U208" s="1">
        <f>IF(Data!U208&gt;0,4-Data!U208,"")</f>
        <v>1</v>
      </c>
      <c r="V208" s="1">
        <f>IF(Data!V208&gt;0,Data!V208-4,"")</f>
        <v>2</v>
      </c>
      <c r="W208" s="1">
        <f>IF(Data!W208&gt;0,4-Data!W208,"")</f>
        <v>-1</v>
      </c>
      <c r="X208" s="1">
        <f>IF(Data!X208&gt;0,4-Data!X208,"")</f>
        <v>2</v>
      </c>
      <c r="Y208" s="1">
        <f>IF(Data!Y208&gt;0,4-Data!Y208,"")</f>
        <v>2</v>
      </c>
      <c r="Z208" s="1">
        <f>IF(Data!Z208&gt;0,Data!Z208-4,"")</f>
        <v>0</v>
      </c>
      <c r="AC208" s="4" t="str">
        <f t="shared" si="30"/>
        <v/>
      </c>
      <c r="AD208" s="4" t="str">
        <f t="shared" si="31"/>
        <v/>
      </c>
      <c r="AE208" s="4" t="str">
        <f t="shared" si="32"/>
        <v/>
      </c>
      <c r="AF208" s="4" t="str">
        <f t="shared" si="33"/>
        <v/>
      </c>
      <c r="AG208" s="4" t="str">
        <f t="shared" si="34"/>
        <v/>
      </c>
      <c r="AH208" s="4" t="str">
        <f t="shared" si="35"/>
        <v/>
      </c>
      <c r="AI208" s="2">
        <f t="shared" si="36"/>
        <v>0</v>
      </c>
      <c r="AK208" s="2">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6</v>
      </c>
    </row>
    <row r="209" spans="1:37">
      <c r="A209" s="1">
        <f>IF(Data!A209&gt;0,Data!A209-4,"")</f>
        <v>0</v>
      </c>
      <c r="B209" s="1">
        <f>IF(Data!B209&gt;0,Data!B209-4,"")</f>
        <v>2</v>
      </c>
      <c r="C209" s="1">
        <f>IF(Data!C209&gt;0,4-Data!C209,"")</f>
        <v>-1</v>
      </c>
      <c r="D209" s="1">
        <f>IF(Data!D209&gt;0,4-Data!D209,"")</f>
        <v>-2</v>
      </c>
      <c r="E209" s="1">
        <f>IF(Data!E209&gt;0,4-Data!E209,"")</f>
        <v>-1</v>
      </c>
      <c r="F209" s="1">
        <f>IF(Data!F209&gt;0,Data!F209-4,"")</f>
        <v>0</v>
      </c>
      <c r="G209" s="1">
        <f>IF(Data!G209&gt;0,Data!G209-4,"")</f>
        <v>1</v>
      </c>
      <c r="H209" s="1">
        <f>IF(Data!H209&gt;0,Data!H209-4,"")</f>
        <v>1</v>
      </c>
      <c r="I209" s="1">
        <f>IF(Data!I209&gt;0,4-Data!I209,"")</f>
        <v>-1</v>
      </c>
      <c r="J209" s="1">
        <f>IF(Data!J209&gt;0,4-Data!J209,"")</f>
        <v>0</v>
      </c>
      <c r="K209" s="1">
        <f>IF(Data!K209&gt;0,Data!K209-4,"")</f>
        <v>1</v>
      </c>
      <c r="L209" s="1">
        <f>IF(Data!L209&gt;0,4-Data!L209,"")</f>
        <v>2</v>
      </c>
      <c r="M209" s="1">
        <f>IF(Data!M209&gt;0,Data!M209-4,"")</f>
        <v>2</v>
      </c>
      <c r="N209" s="1">
        <f>IF(Data!N209&gt;0,Data!N209-4,"")</f>
        <v>1</v>
      </c>
      <c r="O209" s="1">
        <f>IF(Data!O209&gt;0,Data!O209-4,"")</f>
        <v>1</v>
      </c>
      <c r="P209" s="1">
        <f>IF(Data!P209&gt;0,Data!P209-4,"")</f>
        <v>1</v>
      </c>
      <c r="Q209" s="1">
        <f>IF(Data!Q209&gt;0,4-Data!Q209,"")</f>
        <v>2</v>
      </c>
      <c r="R209" s="1">
        <f>IF(Data!R209&gt;0,4-Data!R209,"")</f>
        <v>0</v>
      </c>
      <c r="S209" s="1">
        <f>IF(Data!S209&gt;0,4-Data!S209,"")</f>
        <v>2</v>
      </c>
      <c r="T209" s="1">
        <f>IF(Data!T209&gt;0,Data!T209-4,"")</f>
        <v>1</v>
      </c>
      <c r="U209" s="1">
        <f>IF(Data!U209&gt;0,4-Data!U209,"")</f>
        <v>2</v>
      </c>
      <c r="V209" s="1">
        <f>IF(Data!V209&gt;0,Data!V209-4,"")</f>
        <v>1</v>
      </c>
      <c r="W209" s="1">
        <f>IF(Data!W209&gt;0,4-Data!W209,"")</f>
        <v>2</v>
      </c>
      <c r="X209" s="1">
        <f>IF(Data!X209&gt;0,4-Data!X209,"")</f>
        <v>1</v>
      </c>
      <c r="Y209" s="1">
        <f>IF(Data!Y209&gt;0,4-Data!Y209,"")</f>
        <v>2</v>
      </c>
      <c r="Z209" s="1">
        <f>IF(Data!Z209&gt;0,Data!Z209-4,"")</f>
        <v>0</v>
      </c>
      <c r="AC209" s="4" t="str">
        <f t="shared" si="30"/>
        <v/>
      </c>
      <c r="AD209" s="4">
        <f t="shared" si="31"/>
        <v>1</v>
      </c>
      <c r="AE209" s="4" t="str">
        <f t="shared" si="32"/>
        <v/>
      </c>
      <c r="AF209" s="4" t="str">
        <f t="shared" si="33"/>
        <v/>
      </c>
      <c r="AG209" s="4" t="str">
        <f t="shared" si="34"/>
        <v/>
      </c>
      <c r="AH209" s="4" t="str">
        <f t="shared" si="35"/>
        <v/>
      </c>
      <c r="AI209" s="2">
        <f t="shared" si="36"/>
        <v>1</v>
      </c>
      <c r="AK209" s="2">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11</v>
      </c>
    </row>
    <row r="210" spans="1:37">
      <c r="A210" s="1">
        <f>IF(Data!A210&gt;0,Data!A210-4,"")</f>
        <v>2</v>
      </c>
      <c r="B210" s="1">
        <f>IF(Data!B210&gt;0,Data!B210-4,"")</f>
        <v>2</v>
      </c>
      <c r="C210" s="1">
        <f>IF(Data!C210&gt;0,4-Data!C210,"")</f>
        <v>1</v>
      </c>
      <c r="D210" s="1">
        <f>IF(Data!D210&gt;0,4-Data!D210,"")</f>
        <v>2</v>
      </c>
      <c r="E210" s="1">
        <f>IF(Data!E210&gt;0,4-Data!E210,"")</f>
        <v>3</v>
      </c>
      <c r="F210" s="1">
        <f>IF(Data!F210&gt;0,Data!F210-4,"")</f>
        <v>1</v>
      </c>
      <c r="G210" s="1">
        <f>IF(Data!G210&gt;0,Data!G210-4,"")</f>
        <v>1</v>
      </c>
      <c r="H210" s="1">
        <f>IF(Data!H210&gt;0,Data!H210-4,"")</f>
        <v>0</v>
      </c>
      <c r="I210" s="1">
        <f>IF(Data!I210&gt;0,4-Data!I210,"")</f>
        <v>2</v>
      </c>
      <c r="J210" s="1">
        <f>IF(Data!J210&gt;0,4-Data!J210,"")</f>
        <v>2</v>
      </c>
      <c r="K210" s="1">
        <f>IF(Data!K210&gt;0,Data!K210-4,"")</f>
        <v>3</v>
      </c>
      <c r="L210" s="1">
        <f>IF(Data!L210&gt;0,4-Data!L210,"")</f>
        <v>-1</v>
      </c>
      <c r="M210" s="1">
        <f>IF(Data!M210&gt;0,Data!M210-4,"")</f>
        <v>2</v>
      </c>
      <c r="N210" s="1">
        <f>IF(Data!N210&gt;0,Data!N210-4,"")</f>
        <v>1</v>
      </c>
      <c r="O210" s="1">
        <f>IF(Data!O210&gt;0,Data!O210-4,"")</f>
        <v>2</v>
      </c>
      <c r="P210" s="1">
        <f>IF(Data!P210&gt;0,Data!P210-4,"")</f>
        <v>2</v>
      </c>
      <c r="Q210" s="1">
        <f>IF(Data!Q210&gt;0,4-Data!Q210,"")</f>
        <v>-2</v>
      </c>
      <c r="R210" s="1">
        <f>IF(Data!R210&gt;0,4-Data!R210,"")</f>
        <v>-1</v>
      </c>
      <c r="S210" s="1">
        <f>IF(Data!S210&gt;0,4-Data!S210,"")</f>
        <v>2</v>
      </c>
      <c r="T210" s="1">
        <f>IF(Data!T210&gt;0,Data!T210-4,"")</f>
        <v>3</v>
      </c>
      <c r="U210" s="1">
        <f>IF(Data!U210&gt;0,4-Data!U210,"")</f>
        <v>-2</v>
      </c>
      <c r="V210" s="1">
        <f>IF(Data!V210&gt;0,Data!V210-4,"")</f>
        <v>1</v>
      </c>
      <c r="W210" s="1">
        <f>IF(Data!W210&gt;0,4-Data!W210,"")</f>
        <v>2</v>
      </c>
      <c r="X210" s="1">
        <f>IF(Data!X210&gt;0,4-Data!X210,"")</f>
        <v>1</v>
      </c>
      <c r="Y210" s="1">
        <f>IF(Data!Y210&gt;0,4-Data!Y210,"")</f>
        <v>2</v>
      </c>
      <c r="Z210" s="1">
        <f>IF(Data!Z210&gt;0,Data!Z210-4,"")</f>
        <v>2</v>
      </c>
      <c r="AC210" s="4" t="str">
        <f t="shared" si="30"/>
        <v/>
      </c>
      <c r="AD210" s="4">
        <f t="shared" si="31"/>
        <v>1</v>
      </c>
      <c r="AE210" s="4" t="str">
        <f t="shared" si="32"/>
        <v/>
      </c>
      <c r="AF210" s="4">
        <f t="shared" si="33"/>
        <v>1</v>
      </c>
      <c r="AG210" s="4">
        <f t="shared" si="34"/>
        <v>1</v>
      </c>
      <c r="AH210" s="4" t="str">
        <f t="shared" si="35"/>
        <v/>
      </c>
      <c r="AI210" s="2">
        <f t="shared" si="36"/>
        <v>3</v>
      </c>
      <c r="AK210" s="2">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8</v>
      </c>
    </row>
    <row r="211" spans="1:37">
      <c r="A211" s="1">
        <f>IF(Data!A211&gt;0,Data!A211-4,"")</f>
        <v>1</v>
      </c>
      <c r="B211" s="1">
        <f>IF(Data!B211&gt;0,Data!B211-4,"")</f>
        <v>-1</v>
      </c>
      <c r="C211" s="1">
        <f>IF(Data!C211&gt;0,4-Data!C211,"")</f>
        <v>-1</v>
      </c>
      <c r="D211" s="1">
        <f>IF(Data!D211&gt;0,4-Data!D211,"")</f>
        <v>1</v>
      </c>
      <c r="E211" s="1">
        <f>IF(Data!E211&gt;0,4-Data!E211,"")</f>
        <v>0</v>
      </c>
      <c r="F211" s="1">
        <f>IF(Data!F211&gt;0,Data!F211-4,"")</f>
        <v>0</v>
      </c>
      <c r="G211" s="1">
        <f>IF(Data!G211&gt;0,Data!G211-4,"")</f>
        <v>0</v>
      </c>
      <c r="H211" s="1">
        <f>IF(Data!H211&gt;0,Data!H211-4,"")</f>
        <v>-1</v>
      </c>
      <c r="I211" s="1">
        <f>IF(Data!I211&gt;0,4-Data!I211,"")</f>
        <v>-1</v>
      </c>
      <c r="J211" s="1">
        <f>IF(Data!J211&gt;0,4-Data!J211,"")</f>
        <v>-1</v>
      </c>
      <c r="K211" s="1">
        <f>IF(Data!K211&gt;0,Data!K211-4,"")</f>
        <v>-1</v>
      </c>
      <c r="L211" s="1">
        <f>IF(Data!L211&gt;0,4-Data!L211,"")</f>
        <v>0</v>
      </c>
      <c r="M211" s="1">
        <f>IF(Data!M211&gt;0,Data!M211-4,"")</f>
        <v>1</v>
      </c>
      <c r="N211" s="1">
        <f>IF(Data!N211&gt;0,Data!N211-4,"")</f>
        <v>1</v>
      </c>
      <c r="O211" s="1">
        <f>IF(Data!O211&gt;0,Data!O211-4,"")</f>
        <v>-1</v>
      </c>
      <c r="P211" s="1">
        <f>IF(Data!P211&gt;0,Data!P211-4,"")</f>
        <v>0</v>
      </c>
      <c r="Q211" s="1">
        <f>IF(Data!Q211&gt;0,4-Data!Q211,"")</f>
        <v>-1</v>
      </c>
      <c r="R211" s="1">
        <f>IF(Data!R211&gt;0,4-Data!R211,"")</f>
        <v>-1</v>
      </c>
      <c r="S211" s="1">
        <f>IF(Data!S211&gt;0,4-Data!S211,"")</f>
        <v>-1</v>
      </c>
      <c r="T211" s="1">
        <f>IF(Data!T211&gt;0,Data!T211-4,"")</f>
        <v>-1</v>
      </c>
      <c r="U211" s="1">
        <f>IF(Data!U211&gt;0,4-Data!U211,"")</f>
        <v>-1</v>
      </c>
      <c r="V211" s="1">
        <f>IF(Data!V211&gt;0,Data!V211-4,"")</f>
        <v>0</v>
      </c>
      <c r="W211" s="1">
        <f>IF(Data!W211&gt;0,4-Data!W211,"")</f>
        <v>-3</v>
      </c>
      <c r="X211" s="1">
        <f>IF(Data!X211&gt;0,4-Data!X211,"")</f>
        <v>-1</v>
      </c>
      <c r="Y211" s="1">
        <f>IF(Data!Y211&gt;0,4-Data!Y211,"")</f>
        <v>-2</v>
      </c>
      <c r="Z211" s="1">
        <f>IF(Data!Z211&gt;0,Data!Z211-4,"")</f>
        <v>-1</v>
      </c>
      <c r="AC211" s="4" t="str">
        <f t="shared" si="30"/>
        <v/>
      </c>
      <c r="AD211" s="4" t="str">
        <f t="shared" si="31"/>
        <v/>
      </c>
      <c r="AE211" s="4" t="str">
        <f t="shared" si="32"/>
        <v/>
      </c>
      <c r="AF211" s="4" t="str">
        <f t="shared" si="33"/>
        <v/>
      </c>
      <c r="AG211" s="4" t="str">
        <f t="shared" si="34"/>
        <v/>
      </c>
      <c r="AH211" s="4" t="str">
        <f t="shared" si="35"/>
        <v/>
      </c>
      <c r="AI211" s="2">
        <f t="shared" si="36"/>
        <v>0</v>
      </c>
      <c r="AK211" s="2">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11</v>
      </c>
    </row>
    <row r="212" spans="1:37">
      <c r="A212" s="1">
        <f>IF(Data!A212&gt;0,Data!A212-4,"")</f>
        <v>1</v>
      </c>
      <c r="B212" s="1">
        <f>IF(Data!B212&gt;0,Data!B212-4,"")</f>
        <v>1</v>
      </c>
      <c r="C212" s="1">
        <f>IF(Data!C212&gt;0,4-Data!C212,"")</f>
        <v>-2</v>
      </c>
      <c r="D212" s="1">
        <f>IF(Data!D212&gt;0,4-Data!D212,"")</f>
        <v>-1</v>
      </c>
      <c r="E212" s="1">
        <f>IF(Data!E212&gt;0,4-Data!E212,"")</f>
        <v>-1</v>
      </c>
      <c r="F212" s="1">
        <f>IF(Data!F212&gt;0,Data!F212-4,"")</f>
        <v>0</v>
      </c>
      <c r="G212" s="1">
        <f>IF(Data!G212&gt;0,Data!G212-4,"")</f>
        <v>0</v>
      </c>
      <c r="H212" s="1">
        <f>IF(Data!H212&gt;0,Data!H212-4,"")</f>
        <v>0</v>
      </c>
      <c r="I212" s="1">
        <f>IF(Data!I212&gt;0,4-Data!I212,"")</f>
        <v>-1</v>
      </c>
      <c r="J212" s="1">
        <f>IF(Data!J212&gt;0,4-Data!J212,"")</f>
        <v>-1</v>
      </c>
      <c r="K212" s="1">
        <f>IF(Data!K212&gt;0,Data!K212-4,"")</f>
        <v>0</v>
      </c>
      <c r="L212" s="1">
        <f>IF(Data!L212&gt;0,4-Data!L212,"")</f>
        <v>0</v>
      </c>
      <c r="M212" s="1">
        <f>IF(Data!M212&gt;0,Data!M212-4,"")</f>
        <v>0</v>
      </c>
      <c r="N212" s="1">
        <f>IF(Data!N212&gt;0,Data!N212-4,"")</f>
        <v>0</v>
      </c>
      <c r="O212" s="1">
        <f>IF(Data!O212&gt;0,Data!O212-4,"")</f>
        <v>0</v>
      </c>
      <c r="P212" s="1">
        <f>IF(Data!P212&gt;0,Data!P212-4,"")</f>
        <v>-1</v>
      </c>
      <c r="Q212" s="1">
        <f>IF(Data!Q212&gt;0,4-Data!Q212,"")</f>
        <v>-2</v>
      </c>
      <c r="R212" s="1">
        <f>IF(Data!R212&gt;0,4-Data!R212,"")</f>
        <v>0</v>
      </c>
      <c r="S212" s="1">
        <f>IF(Data!S212&gt;0,4-Data!S212,"")</f>
        <v>0</v>
      </c>
      <c r="T212" s="1">
        <f>IF(Data!T212&gt;0,Data!T212-4,"")</f>
        <v>0</v>
      </c>
      <c r="U212" s="1">
        <f>IF(Data!U212&gt;0,4-Data!U212,"")</f>
        <v>1</v>
      </c>
      <c r="V212" s="1">
        <f>IF(Data!V212&gt;0,Data!V212-4,"")</f>
        <v>1</v>
      </c>
      <c r="W212" s="1">
        <f>IF(Data!W212&gt;0,4-Data!W212,"")</f>
        <v>-1</v>
      </c>
      <c r="X212" s="1">
        <f>IF(Data!X212&gt;0,4-Data!X212,"")</f>
        <v>0</v>
      </c>
      <c r="Y212" s="1">
        <f>IF(Data!Y212&gt;0,4-Data!Y212,"")</f>
        <v>0</v>
      </c>
      <c r="Z212" s="1">
        <f>IF(Data!Z212&gt;0,Data!Z212-4,"")</f>
        <v>1</v>
      </c>
      <c r="AC212" s="4" t="str">
        <f t="shared" si="30"/>
        <v/>
      </c>
      <c r="AD212" s="4" t="str">
        <f t="shared" si="31"/>
        <v/>
      </c>
      <c r="AE212" s="4" t="str">
        <f t="shared" si="32"/>
        <v/>
      </c>
      <c r="AF212" s="4" t="str">
        <f t="shared" si="33"/>
        <v/>
      </c>
      <c r="AG212" s="4" t="str">
        <f t="shared" si="34"/>
        <v/>
      </c>
      <c r="AH212" s="4" t="str">
        <f t="shared" si="35"/>
        <v/>
      </c>
      <c r="AI212" s="2">
        <f t="shared" si="36"/>
        <v>0</v>
      </c>
      <c r="AK212" s="2">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13</v>
      </c>
    </row>
    <row r="213" spans="1:37">
      <c r="A213" s="1">
        <f>IF(Data!A213&gt;0,Data!A213-4,"")</f>
        <v>2</v>
      </c>
      <c r="B213" s="1">
        <f>IF(Data!B213&gt;0,Data!B213-4,"")</f>
        <v>2</v>
      </c>
      <c r="C213" s="1">
        <f>IF(Data!C213&gt;0,4-Data!C213,"")</f>
        <v>3</v>
      </c>
      <c r="D213" s="1">
        <f>IF(Data!D213&gt;0,4-Data!D213,"")</f>
        <v>3</v>
      </c>
      <c r="E213" s="1">
        <f>IF(Data!E213&gt;0,4-Data!E213,"")</f>
        <v>3</v>
      </c>
      <c r="F213" s="1">
        <f>IF(Data!F213&gt;0,Data!F213-4,"")</f>
        <v>3</v>
      </c>
      <c r="G213" s="1">
        <f>IF(Data!G213&gt;0,Data!G213-4,"")</f>
        <v>2</v>
      </c>
      <c r="H213" s="1">
        <f>IF(Data!H213&gt;0,Data!H213-4,"")</f>
        <v>-1</v>
      </c>
      <c r="I213" s="1">
        <f>IF(Data!I213&gt;0,4-Data!I213,"")</f>
        <v>2</v>
      </c>
      <c r="J213" s="1">
        <f>IF(Data!J213&gt;0,4-Data!J213,"")</f>
        <v>3</v>
      </c>
      <c r="K213" s="1">
        <f>IF(Data!K213&gt;0,Data!K213-4,"")</f>
        <v>2</v>
      </c>
      <c r="L213" s="1">
        <f>IF(Data!L213&gt;0,4-Data!L213,"")</f>
        <v>3</v>
      </c>
      <c r="M213" s="1">
        <f>IF(Data!M213&gt;0,Data!M213-4,"")</f>
        <v>2</v>
      </c>
      <c r="N213" s="1">
        <f>IF(Data!N213&gt;0,Data!N213-4,"")</f>
        <v>2</v>
      </c>
      <c r="O213" s="1">
        <f>IF(Data!O213&gt;0,Data!O213-4,"")</f>
        <v>2</v>
      </c>
      <c r="P213" s="1">
        <f>IF(Data!P213&gt;0,Data!P213-4,"")</f>
        <v>2</v>
      </c>
      <c r="Q213" s="1">
        <f>IF(Data!Q213&gt;0,4-Data!Q213,"")</f>
        <v>2</v>
      </c>
      <c r="R213" s="1">
        <f>IF(Data!R213&gt;0,4-Data!R213,"")</f>
        <v>3</v>
      </c>
      <c r="S213" s="1">
        <f>IF(Data!S213&gt;0,4-Data!S213,"")</f>
        <v>3</v>
      </c>
      <c r="T213" s="1">
        <f>IF(Data!T213&gt;0,Data!T213-4,"")</f>
        <v>2</v>
      </c>
      <c r="U213" s="1">
        <f>IF(Data!U213&gt;0,4-Data!U213,"")</f>
        <v>3</v>
      </c>
      <c r="V213" s="1">
        <f>IF(Data!V213&gt;0,Data!V213-4,"")</f>
        <v>2</v>
      </c>
      <c r="W213" s="1">
        <f>IF(Data!W213&gt;0,4-Data!W213,"")</f>
        <v>3</v>
      </c>
      <c r="X213" s="1">
        <f>IF(Data!X213&gt;0,4-Data!X213,"")</f>
        <v>3</v>
      </c>
      <c r="Y213" s="1">
        <f>IF(Data!Y213&gt;0,4-Data!Y213,"")</f>
        <v>3</v>
      </c>
      <c r="Z213" s="1">
        <f>IF(Data!Z213&gt;0,Data!Z213-4,"")</f>
        <v>3</v>
      </c>
      <c r="AC213" s="4" t="str">
        <f t="shared" si="30"/>
        <v/>
      </c>
      <c r="AD213" s="4" t="str">
        <f t="shared" si="31"/>
        <v/>
      </c>
      <c r="AE213" s="4" t="str">
        <f t="shared" si="32"/>
        <v/>
      </c>
      <c r="AF213" s="4">
        <f t="shared" si="33"/>
        <v>1</v>
      </c>
      <c r="AG213" s="4" t="str">
        <f t="shared" si="34"/>
        <v/>
      </c>
      <c r="AH213" s="4" t="str">
        <f t="shared" si="35"/>
        <v/>
      </c>
      <c r="AI213" s="2">
        <f t="shared" si="36"/>
        <v>1</v>
      </c>
      <c r="AK213" s="2">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11</v>
      </c>
    </row>
    <row r="214" spans="1:37">
      <c r="A214" s="1">
        <f>IF(Data!A214&gt;0,Data!A214-4,"")</f>
        <v>2</v>
      </c>
      <c r="B214" s="1">
        <f>IF(Data!B214&gt;0,Data!B214-4,"")</f>
        <v>2</v>
      </c>
      <c r="C214" s="1">
        <f>IF(Data!C214&gt;0,4-Data!C214,"")</f>
        <v>0</v>
      </c>
      <c r="D214" s="1">
        <f>IF(Data!D214&gt;0,4-Data!D214,"")</f>
        <v>2</v>
      </c>
      <c r="E214" s="1">
        <f>IF(Data!E214&gt;0,4-Data!E214,"")</f>
        <v>1</v>
      </c>
      <c r="F214" s="1">
        <f>IF(Data!F214&gt;0,Data!F214-4,"")</f>
        <v>1</v>
      </c>
      <c r="G214" s="1">
        <f>IF(Data!G214&gt;0,Data!G214-4,"")</f>
        <v>1</v>
      </c>
      <c r="H214" s="1">
        <f>IF(Data!H214&gt;0,Data!H214-4,"")</f>
        <v>0</v>
      </c>
      <c r="I214" s="1">
        <f>IF(Data!I214&gt;0,4-Data!I214,"")</f>
        <v>2</v>
      </c>
      <c r="J214" s="1">
        <f>IF(Data!J214&gt;0,4-Data!J214,"")</f>
        <v>1</v>
      </c>
      <c r="K214" s="1">
        <f>IF(Data!K214&gt;0,Data!K214-4,"")</f>
        <v>1</v>
      </c>
      <c r="L214" s="1">
        <f>IF(Data!L214&gt;0,4-Data!L214,"")</f>
        <v>2</v>
      </c>
      <c r="M214" s="1">
        <f>IF(Data!M214&gt;0,Data!M214-4,"")</f>
        <v>2</v>
      </c>
      <c r="N214" s="1">
        <f>IF(Data!N214&gt;0,Data!N214-4,"")</f>
        <v>2</v>
      </c>
      <c r="O214" s="1">
        <f>IF(Data!O214&gt;0,Data!O214-4,"")</f>
        <v>1</v>
      </c>
      <c r="P214" s="1">
        <f>IF(Data!P214&gt;0,Data!P214-4,"")</f>
        <v>1</v>
      </c>
      <c r="Q214" s="1">
        <f>IF(Data!Q214&gt;0,4-Data!Q214,"")</f>
        <v>1</v>
      </c>
      <c r="R214" s="1">
        <f>IF(Data!R214&gt;0,4-Data!R214,"")</f>
        <v>1</v>
      </c>
      <c r="S214" s="1">
        <f>IF(Data!S214&gt;0,4-Data!S214,"")</f>
        <v>1</v>
      </c>
      <c r="T214" s="1">
        <f>IF(Data!T214&gt;0,Data!T214-4,"")</f>
        <v>2</v>
      </c>
      <c r="U214" s="1">
        <f>IF(Data!U214&gt;0,4-Data!U214,"")</f>
        <v>1</v>
      </c>
      <c r="V214" s="1">
        <f>IF(Data!V214&gt;0,Data!V214-4,"")</f>
        <v>2</v>
      </c>
      <c r="W214" s="1">
        <f>IF(Data!W214&gt;0,4-Data!W214,"")</f>
        <v>2</v>
      </c>
      <c r="X214" s="1">
        <f>IF(Data!X214&gt;0,4-Data!X214,"")</f>
        <v>1</v>
      </c>
      <c r="Y214" s="1">
        <f>IF(Data!Y214&gt;0,4-Data!Y214,"")</f>
        <v>1</v>
      </c>
      <c r="Z214" s="1">
        <f>IF(Data!Z214&gt;0,Data!Z214-4,"")</f>
        <v>2</v>
      </c>
      <c r="AC214" s="4" t="str">
        <f t="shared" si="30"/>
        <v/>
      </c>
      <c r="AD214" s="4" t="str">
        <f t="shared" si="31"/>
        <v/>
      </c>
      <c r="AE214" s="4" t="str">
        <f t="shared" si="32"/>
        <v/>
      </c>
      <c r="AF214" s="4" t="str">
        <f t="shared" si="33"/>
        <v/>
      </c>
      <c r="AG214" s="4" t="str">
        <f t="shared" si="34"/>
        <v/>
      </c>
      <c r="AH214" s="4" t="str">
        <f t="shared" si="35"/>
        <v/>
      </c>
      <c r="AI214" s="2">
        <f t="shared" si="36"/>
        <v>0</v>
      </c>
      <c r="AK214" s="2">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8</v>
      </c>
    </row>
    <row r="215" spans="1:37">
      <c r="A215" s="1">
        <f>IF(Data!A215&gt;0,Data!A215-4,"")</f>
        <v>-1</v>
      </c>
      <c r="B215" s="1">
        <f>IF(Data!B215&gt;0,Data!B215-4,"")</f>
        <v>2</v>
      </c>
      <c r="C215" s="1">
        <f>IF(Data!C215&gt;0,4-Data!C215,"")</f>
        <v>1</v>
      </c>
      <c r="D215" s="1">
        <f>IF(Data!D215&gt;0,4-Data!D215,"")</f>
        <v>1</v>
      </c>
      <c r="E215" s="1">
        <f>IF(Data!E215&gt;0,4-Data!E215,"")</f>
        <v>1</v>
      </c>
      <c r="F215" s="1">
        <f>IF(Data!F215&gt;0,Data!F215-4,"")</f>
        <v>0</v>
      </c>
      <c r="G215" s="1">
        <f>IF(Data!G215&gt;0,Data!G215-4,"")</f>
        <v>1</v>
      </c>
      <c r="H215" s="1">
        <f>IF(Data!H215&gt;0,Data!H215-4,"")</f>
        <v>1</v>
      </c>
      <c r="I215" s="1">
        <f>IF(Data!I215&gt;0,4-Data!I215,"")</f>
        <v>1</v>
      </c>
      <c r="J215" s="1">
        <f>IF(Data!J215&gt;0,4-Data!J215,"")</f>
        <v>1</v>
      </c>
      <c r="K215" s="1">
        <f>IF(Data!K215&gt;0,Data!K215-4,"")</f>
        <v>2</v>
      </c>
      <c r="L215" s="1">
        <f>IF(Data!L215&gt;0,4-Data!L215,"")</f>
        <v>2</v>
      </c>
      <c r="M215" s="1">
        <f>IF(Data!M215&gt;0,Data!M215-4,"")</f>
        <v>-1</v>
      </c>
      <c r="N215" s="1">
        <f>IF(Data!N215&gt;0,Data!N215-4,"")</f>
        <v>1</v>
      </c>
      <c r="O215" s="1">
        <f>IF(Data!O215&gt;0,Data!O215-4,"")</f>
        <v>0</v>
      </c>
      <c r="P215" s="1">
        <f>IF(Data!P215&gt;0,Data!P215-4,"")</f>
        <v>1</v>
      </c>
      <c r="Q215" s="1">
        <f>IF(Data!Q215&gt;0,4-Data!Q215,"")</f>
        <v>1</v>
      </c>
      <c r="R215" s="1">
        <f>IF(Data!R215&gt;0,4-Data!R215,"")</f>
        <v>0</v>
      </c>
      <c r="S215" s="1">
        <f>IF(Data!S215&gt;0,4-Data!S215,"")</f>
        <v>1</v>
      </c>
      <c r="T215" s="1">
        <f>IF(Data!T215&gt;0,Data!T215-4,"")</f>
        <v>-1</v>
      </c>
      <c r="U215" s="1">
        <f>IF(Data!U215&gt;0,4-Data!U215,"")</f>
        <v>0</v>
      </c>
      <c r="V215" s="1">
        <f>IF(Data!V215&gt;0,Data!V215-4,"")</f>
        <v>-1</v>
      </c>
      <c r="W215" s="1">
        <f>IF(Data!W215&gt;0,4-Data!W215,"")</f>
        <v>1</v>
      </c>
      <c r="X215" s="1">
        <f>IF(Data!X215&gt;0,4-Data!X215,"")</f>
        <v>1</v>
      </c>
      <c r="Y215" s="1">
        <f>IF(Data!Y215&gt;0,4-Data!Y215,"")</f>
        <v>2</v>
      </c>
      <c r="Z215" s="1">
        <f>IF(Data!Z215&gt;0,Data!Z215-4,"")</f>
        <v>-2</v>
      </c>
      <c r="AC215" s="4" t="str">
        <f t="shared" si="30"/>
        <v/>
      </c>
      <c r="AD215" s="4" t="str">
        <f t="shared" si="31"/>
        <v/>
      </c>
      <c r="AE215" s="4" t="str">
        <f t="shared" si="32"/>
        <v/>
      </c>
      <c r="AF215" s="4" t="str">
        <f t="shared" si="33"/>
        <v/>
      </c>
      <c r="AG215" s="4" t="str">
        <f t="shared" si="34"/>
        <v/>
      </c>
      <c r="AH215" s="4" t="str">
        <f t="shared" si="35"/>
        <v/>
      </c>
      <c r="AI215" s="2">
        <f t="shared" si="36"/>
        <v>0</v>
      </c>
      <c r="AK215" s="2">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13</v>
      </c>
    </row>
    <row r="216" spans="1:37">
      <c r="A216" s="1">
        <f>IF(Data!A216&gt;0,Data!A216-4,"")</f>
        <v>2</v>
      </c>
      <c r="B216" s="1">
        <f>IF(Data!B216&gt;0,Data!B216-4,"")</f>
        <v>3</v>
      </c>
      <c r="C216" s="1">
        <f>IF(Data!C216&gt;0,4-Data!C216,"")</f>
        <v>2</v>
      </c>
      <c r="D216" s="1">
        <f>IF(Data!D216&gt;0,4-Data!D216,"")</f>
        <v>3</v>
      </c>
      <c r="E216" s="1">
        <f>IF(Data!E216&gt;0,4-Data!E216,"")</f>
        <v>3</v>
      </c>
      <c r="F216" s="1">
        <f>IF(Data!F216&gt;0,Data!F216-4,"")</f>
        <v>2</v>
      </c>
      <c r="G216" s="1">
        <f>IF(Data!G216&gt;0,Data!G216-4,"")</f>
        <v>2</v>
      </c>
      <c r="H216" s="1">
        <f>IF(Data!H216&gt;0,Data!H216-4,"")</f>
        <v>0</v>
      </c>
      <c r="I216" s="1">
        <f>IF(Data!I216&gt;0,4-Data!I216,"")</f>
        <v>3</v>
      </c>
      <c r="J216" s="1">
        <f>IF(Data!J216&gt;0,4-Data!J216,"")</f>
        <v>2</v>
      </c>
      <c r="K216" s="1">
        <f>IF(Data!K216&gt;0,Data!K216-4,"")</f>
        <v>2</v>
      </c>
      <c r="L216" s="1">
        <f>IF(Data!L216&gt;0,4-Data!L216,"")</f>
        <v>2</v>
      </c>
      <c r="M216" s="1">
        <f>IF(Data!M216&gt;0,Data!M216-4,"")</f>
        <v>2</v>
      </c>
      <c r="N216" s="1">
        <f>IF(Data!N216&gt;0,Data!N216-4,"")</f>
        <v>2</v>
      </c>
      <c r="O216" s="1">
        <f>IF(Data!O216&gt;0,Data!O216-4,"")</f>
        <v>2</v>
      </c>
      <c r="P216" s="1">
        <f>IF(Data!P216&gt;0,Data!P216-4,"")</f>
        <v>2</v>
      </c>
      <c r="Q216" s="1">
        <f>IF(Data!Q216&gt;0,4-Data!Q216,"")</f>
        <v>2</v>
      </c>
      <c r="R216" s="1">
        <f>IF(Data!R216&gt;0,4-Data!R216,"")</f>
        <v>1</v>
      </c>
      <c r="S216" s="1">
        <f>IF(Data!S216&gt;0,4-Data!S216,"")</f>
        <v>2</v>
      </c>
      <c r="T216" s="1">
        <f>IF(Data!T216&gt;0,Data!T216-4,"")</f>
        <v>2</v>
      </c>
      <c r="U216" s="1">
        <f>IF(Data!U216&gt;0,4-Data!U216,"")</f>
        <v>2</v>
      </c>
      <c r="V216" s="1">
        <f>IF(Data!V216&gt;0,Data!V216-4,"")</f>
        <v>2</v>
      </c>
      <c r="W216" s="1">
        <f>IF(Data!W216&gt;0,4-Data!W216,"")</f>
        <v>2</v>
      </c>
      <c r="X216" s="1">
        <f>IF(Data!X216&gt;0,4-Data!X216,"")</f>
        <v>3</v>
      </c>
      <c r="Y216" s="1">
        <f>IF(Data!Y216&gt;0,4-Data!Y216,"")</f>
        <v>2</v>
      </c>
      <c r="Z216" s="1">
        <f>IF(Data!Z216&gt;0,Data!Z216-4,"")</f>
        <v>2</v>
      </c>
      <c r="AC216" s="4" t="str">
        <f t="shared" si="30"/>
        <v/>
      </c>
      <c r="AD216" s="4" t="str">
        <f t="shared" si="31"/>
        <v/>
      </c>
      <c r="AE216" s="4" t="str">
        <f t="shared" si="32"/>
        <v/>
      </c>
      <c r="AF216" s="4" t="str">
        <f t="shared" si="33"/>
        <v/>
      </c>
      <c r="AG216" s="4" t="str">
        <f t="shared" si="34"/>
        <v/>
      </c>
      <c r="AH216" s="4" t="str">
        <f t="shared" si="35"/>
        <v/>
      </c>
      <c r="AI216" s="2">
        <f t="shared" si="36"/>
        <v>0</v>
      </c>
      <c r="AK216" s="2">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11</v>
      </c>
    </row>
    <row r="217" spans="1:37">
      <c r="A217" s="1">
        <f>IF(Data!A217&gt;0,Data!A217-4,"")</f>
        <v>2</v>
      </c>
      <c r="B217" s="1">
        <f>IF(Data!B217&gt;0,Data!B217-4,"")</f>
        <v>2</v>
      </c>
      <c r="C217" s="1">
        <f>IF(Data!C217&gt;0,4-Data!C217,"")</f>
        <v>2</v>
      </c>
      <c r="D217" s="1">
        <f>IF(Data!D217&gt;0,4-Data!D217,"")</f>
        <v>2</v>
      </c>
      <c r="E217" s="1">
        <f>IF(Data!E217&gt;0,4-Data!E217,"")</f>
        <v>2</v>
      </c>
      <c r="F217" s="1">
        <f>IF(Data!F217&gt;0,Data!F217-4,"")</f>
        <v>2</v>
      </c>
      <c r="G217" s="1">
        <f>IF(Data!G217&gt;0,Data!G217-4,"")</f>
        <v>2</v>
      </c>
      <c r="H217" s="1">
        <f>IF(Data!H217&gt;0,Data!H217-4,"")</f>
        <v>-2</v>
      </c>
      <c r="I217" s="1">
        <f>IF(Data!I217&gt;0,4-Data!I217,"")</f>
        <v>2</v>
      </c>
      <c r="J217" s="1">
        <f>IF(Data!J217&gt;0,4-Data!J217,"")</f>
        <v>2</v>
      </c>
      <c r="K217" s="1">
        <f>IF(Data!K217&gt;0,Data!K217-4,"")</f>
        <v>2</v>
      </c>
      <c r="L217" s="1">
        <f>IF(Data!L217&gt;0,4-Data!L217,"")</f>
        <v>2</v>
      </c>
      <c r="M217" s="1">
        <f>IF(Data!M217&gt;0,Data!M217-4,"")</f>
        <v>2</v>
      </c>
      <c r="N217" s="1">
        <f>IF(Data!N217&gt;0,Data!N217-4,"")</f>
        <v>2</v>
      </c>
      <c r="O217" s="1">
        <f>IF(Data!O217&gt;0,Data!O217-4,"")</f>
        <v>2</v>
      </c>
      <c r="P217" s="1">
        <f>IF(Data!P217&gt;0,Data!P217-4,"")</f>
        <v>2</v>
      </c>
      <c r="Q217" s="1">
        <f>IF(Data!Q217&gt;0,4-Data!Q217,"")</f>
        <v>2</v>
      </c>
      <c r="R217" s="1">
        <f>IF(Data!R217&gt;0,4-Data!R217,"")</f>
        <v>2</v>
      </c>
      <c r="S217" s="1">
        <f>IF(Data!S217&gt;0,4-Data!S217,"")</f>
        <v>2</v>
      </c>
      <c r="T217" s="1">
        <f>IF(Data!T217&gt;0,Data!T217-4,"")</f>
        <v>2</v>
      </c>
      <c r="U217" s="1">
        <f>IF(Data!U217&gt;0,4-Data!U217,"")</f>
        <v>1</v>
      </c>
      <c r="V217" s="1">
        <f>IF(Data!V217&gt;0,Data!V217-4,"")</f>
        <v>2</v>
      </c>
      <c r="W217" s="1">
        <f>IF(Data!W217&gt;0,4-Data!W217,"")</f>
        <v>2</v>
      </c>
      <c r="X217" s="1">
        <f>IF(Data!X217&gt;0,4-Data!X217,"")</f>
        <v>2</v>
      </c>
      <c r="Y217" s="1">
        <f>IF(Data!Y217&gt;0,4-Data!Y217,"")</f>
        <v>2</v>
      </c>
      <c r="Z217" s="1">
        <f>IF(Data!Z217&gt;0,Data!Z217-4,"")</f>
        <v>0</v>
      </c>
      <c r="AC217" s="4" t="str">
        <f t="shared" si="30"/>
        <v/>
      </c>
      <c r="AD217" s="4" t="str">
        <f t="shared" si="31"/>
        <v/>
      </c>
      <c r="AE217" s="4" t="str">
        <f t="shared" si="32"/>
        <v/>
      </c>
      <c r="AF217" s="4">
        <f t="shared" si="33"/>
        <v>1</v>
      </c>
      <c r="AG217" s="4" t="str">
        <f t="shared" si="34"/>
        <v/>
      </c>
      <c r="AH217" s="4" t="str">
        <f t="shared" si="35"/>
        <v/>
      </c>
      <c r="AI217" s="2">
        <f t="shared" si="36"/>
        <v>1</v>
      </c>
      <c r="AK217" s="2">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13</v>
      </c>
    </row>
    <row r="218" spans="1:37">
      <c r="A218" s="1">
        <f>IF(Data!A218&gt;0,Data!A218-4,"")</f>
        <v>2</v>
      </c>
      <c r="B218" s="1">
        <f>IF(Data!B218&gt;0,Data!B218-4,"")</f>
        <v>3</v>
      </c>
      <c r="C218" s="1">
        <f>IF(Data!C218&gt;0,4-Data!C218,"")</f>
        <v>2</v>
      </c>
      <c r="D218" s="1">
        <f>IF(Data!D218&gt;0,4-Data!D218,"")</f>
        <v>2</v>
      </c>
      <c r="E218" s="1">
        <f>IF(Data!E218&gt;0,4-Data!E218,"")</f>
        <v>2</v>
      </c>
      <c r="F218" s="1">
        <f>IF(Data!F218&gt;0,Data!F218-4,"")</f>
        <v>2</v>
      </c>
      <c r="G218" s="1">
        <f>IF(Data!G218&gt;0,Data!G218-4,"")</f>
        <v>2</v>
      </c>
      <c r="H218" s="1">
        <f>IF(Data!H218&gt;0,Data!H218-4,"")</f>
        <v>0</v>
      </c>
      <c r="I218" s="1">
        <f>IF(Data!I218&gt;0,4-Data!I218,"")</f>
        <v>2</v>
      </c>
      <c r="J218" s="1">
        <f>IF(Data!J218&gt;0,4-Data!J218,"")</f>
        <v>2</v>
      </c>
      <c r="K218" s="1">
        <f>IF(Data!K218&gt;0,Data!K218-4,"")</f>
        <v>2</v>
      </c>
      <c r="L218" s="1">
        <f>IF(Data!L218&gt;0,4-Data!L218,"")</f>
        <v>3</v>
      </c>
      <c r="M218" s="1">
        <f>IF(Data!M218&gt;0,Data!M218-4,"")</f>
        <v>2</v>
      </c>
      <c r="N218" s="1">
        <f>IF(Data!N218&gt;0,Data!N218-4,"")</f>
        <v>2</v>
      </c>
      <c r="O218" s="1">
        <f>IF(Data!O218&gt;0,Data!O218-4,"")</f>
        <v>2</v>
      </c>
      <c r="P218" s="1">
        <f>IF(Data!P218&gt;0,Data!P218-4,"")</f>
        <v>2</v>
      </c>
      <c r="Q218" s="1">
        <f>IF(Data!Q218&gt;0,4-Data!Q218,"")</f>
        <v>2</v>
      </c>
      <c r="R218" s="1">
        <f>IF(Data!R218&gt;0,4-Data!R218,"")</f>
        <v>2</v>
      </c>
      <c r="S218" s="1">
        <f>IF(Data!S218&gt;0,4-Data!S218,"")</f>
        <v>2</v>
      </c>
      <c r="T218" s="1">
        <f>IF(Data!T218&gt;0,Data!T218-4,"")</f>
        <v>2</v>
      </c>
      <c r="U218" s="1">
        <f>IF(Data!U218&gt;0,4-Data!U218,"")</f>
        <v>2</v>
      </c>
      <c r="V218" s="1">
        <f>IF(Data!V218&gt;0,Data!V218-4,"")</f>
        <v>2</v>
      </c>
      <c r="W218" s="1">
        <f>IF(Data!W218&gt;0,4-Data!W218,"")</f>
        <v>0</v>
      </c>
      <c r="X218" s="1">
        <f>IF(Data!X218&gt;0,4-Data!X218,"")</f>
        <v>2</v>
      </c>
      <c r="Y218" s="1">
        <f>IF(Data!Y218&gt;0,4-Data!Y218,"")</f>
        <v>2</v>
      </c>
      <c r="Z218" s="1">
        <f>IF(Data!Z218&gt;0,Data!Z218-4,"")</f>
        <v>2</v>
      </c>
      <c r="AC218" s="4" t="str">
        <f t="shared" si="30"/>
        <v/>
      </c>
      <c r="AD218" s="4" t="str">
        <f t="shared" si="31"/>
        <v/>
      </c>
      <c r="AE218" s="4" t="str">
        <f t="shared" si="32"/>
        <v/>
      </c>
      <c r="AF218" s="4" t="str">
        <f t="shared" si="33"/>
        <v/>
      </c>
      <c r="AG218" s="4" t="str">
        <f t="shared" si="34"/>
        <v/>
      </c>
      <c r="AH218" s="4" t="str">
        <f t="shared" si="35"/>
        <v/>
      </c>
      <c r="AI218" s="2">
        <f t="shared" si="36"/>
        <v>0</v>
      </c>
      <c r="AK218" s="2">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11</v>
      </c>
    </row>
    <row r="219" spans="1:37">
      <c r="A219" s="1">
        <f>IF(Data!A219&gt;0,Data!A219-4,"")</f>
        <v>1</v>
      </c>
      <c r="B219" s="1">
        <f>IF(Data!B219&gt;0,Data!B219-4,"")</f>
        <v>2</v>
      </c>
      <c r="C219" s="1">
        <f>IF(Data!C219&gt;0,4-Data!C219,"")</f>
        <v>2</v>
      </c>
      <c r="D219" s="1">
        <f>IF(Data!D219&gt;0,4-Data!D219,"")</f>
        <v>2</v>
      </c>
      <c r="E219" s="1">
        <f>IF(Data!E219&gt;0,4-Data!E219,"")</f>
        <v>2</v>
      </c>
      <c r="F219" s="1">
        <f>IF(Data!F219&gt;0,Data!F219-4,"")</f>
        <v>1</v>
      </c>
      <c r="G219" s="1">
        <f>IF(Data!G219&gt;0,Data!G219-4,"")</f>
        <v>2</v>
      </c>
      <c r="H219" s="1">
        <f>IF(Data!H219&gt;0,Data!H219-4,"")</f>
        <v>-1</v>
      </c>
      <c r="I219" s="1">
        <f>IF(Data!I219&gt;0,4-Data!I219,"")</f>
        <v>1</v>
      </c>
      <c r="J219" s="1">
        <f>IF(Data!J219&gt;0,4-Data!J219,"")</f>
        <v>2</v>
      </c>
      <c r="K219" s="1">
        <f>IF(Data!K219&gt;0,Data!K219-4,"")</f>
        <v>0</v>
      </c>
      <c r="L219" s="1">
        <f>IF(Data!L219&gt;0,4-Data!L219,"")</f>
        <v>1</v>
      </c>
      <c r="M219" s="1">
        <f>IF(Data!M219&gt;0,Data!M219-4,"")</f>
        <v>-2</v>
      </c>
      <c r="N219" s="1">
        <f>IF(Data!N219&gt;0,Data!N219-4,"")</f>
        <v>1</v>
      </c>
      <c r="O219" s="1">
        <f>IF(Data!O219&gt;0,Data!O219-4,"")</f>
        <v>3</v>
      </c>
      <c r="P219" s="1">
        <f>IF(Data!P219&gt;0,Data!P219-4,"")</f>
        <v>1</v>
      </c>
      <c r="Q219" s="1">
        <f>IF(Data!Q219&gt;0,4-Data!Q219,"")</f>
        <v>1</v>
      </c>
      <c r="R219" s="1">
        <f>IF(Data!R219&gt;0,4-Data!R219,"")</f>
        <v>2</v>
      </c>
      <c r="S219" s="1">
        <f>IF(Data!S219&gt;0,4-Data!S219,"")</f>
        <v>2</v>
      </c>
      <c r="T219" s="1">
        <f>IF(Data!T219&gt;0,Data!T219-4,"")</f>
        <v>2</v>
      </c>
      <c r="U219" s="1">
        <f>IF(Data!U219&gt;0,4-Data!U219,"")</f>
        <v>2</v>
      </c>
      <c r="V219" s="1">
        <f>IF(Data!V219&gt;0,Data!V219-4,"")</f>
        <v>2</v>
      </c>
      <c r="W219" s="1">
        <f>IF(Data!W219&gt;0,4-Data!W219,"")</f>
        <v>1</v>
      </c>
      <c r="X219" s="1">
        <f>IF(Data!X219&gt;0,4-Data!X219,"")</f>
        <v>1</v>
      </c>
      <c r="Y219" s="1">
        <f>IF(Data!Y219&gt;0,4-Data!Y219,"")</f>
        <v>1</v>
      </c>
      <c r="Z219" s="1">
        <f>IF(Data!Z219&gt;0,Data!Z219-4,"")</f>
        <v>3</v>
      </c>
      <c r="AC219" s="4" t="str">
        <f t="shared" si="30"/>
        <v/>
      </c>
      <c r="AD219" s="4">
        <f t="shared" si="31"/>
        <v>1</v>
      </c>
      <c r="AE219" s="4" t="str">
        <f t="shared" si="32"/>
        <v/>
      </c>
      <c r="AF219" s="4" t="str">
        <f t="shared" si="33"/>
        <v/>
      </c>
      <c r="AG219" s="4" t="str">
        <f t="shared" si="34"/>
        <v/>
      </c>
      <c r="AH219" s="4" t="str">
        <f t="shared" si="35"/>
        <v/>
      </c>
      <c r="AI219" s="2">
        <f t="shared" si="36"/>
        <v>1</v>
      </c>
      <c r="AK219" s="2">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8</v>
      </c>
    </row>
    <row r="220" spans="1:37">
      <c r="A220" s="1">
        <f>IF(Data!A220&gt;0,Data!A220-4,"")</f>
        <v>3</v>
      </c>
      <c r="B220" s="1">
        <f>IF(Data!B220&gt;0,Data!B220-4,"")</f>
        <v>2</v>
      </c>
      <c r="C220" s="1">
        <f>IF(Data!C220&gt;0,4-Data!C220,"")</f>
        <v>2</v>
      </c>
      <c r="D220" s="1">
        <f>IF(Data!D220&gt;0,4-Data!D220,"")</f>
        <v>2</v>
      </c>
      <c r="E220" s="1">
        <f>IF(Data!E220&gt;0,4-Data!E220,"")</f>
        <v>2</v>
      </c>
      <c r="F220" s="1">
        <f>IF(Data!F220&gt;0,Data!F220-4,"")</f>
        <v>2</v>
      </c>
      <c r="G220" s="1">
        <f>IF(Data!G220&gt;0,Data!G220-4,"")</f>
        <v>2</v>
      </c>
      <c r="H220" s="1">
        <f>IF(Data!H220&gt;0,Data!H220-4,"")</f>
        <v>-1</v>
      </c>
      <c r="I220" s="1">
        <f>IF(Data!I220&gt;0,4-Data!I220,"")</f>
        <v>2</v>
      </c>
      <c r="J220" s="1">
        <f>IF(Data!J220&gt;0,4-Data!J220,"")</f>
        <v>2</v>
      </c>
      <c r="K220" s="1">
        <f>IF(Data!K220&gt;0,Data!K220-4,"")</f>
        <v>1</v>
      </c>
      <c r="L220" s="1">
        <f>IF(Data!L220&gt;0,4-Data!L220,"")</f>
        <v>2</v>
      </c>
      <c r="M220" s="1">
        <f>IF(Data!M220&gt;0,Data!M220-4,"")</f>
        <v>1</v>
      </c>
      <c r="N220" s="1">
        <f>IF(Data!N220&gt;0,Data!N220-4,"")</f>
        <v>2</v>
      </c>
      <c r="O220" s="1">
        <f>IF(Data!O220&gt;0,Data!O220-4,"")</f>
        <v>2</v>
      </c>
      <c r="P220" s="1">
        <f>IF(Data!P220&gt;0,Data!P220-4,"")</f>
        <v>2</v>
      </c>
      <c r="Q220" s="1">
        <f>IF(Data!Q220&gt;0,4-Data!Q220,"")</f>
        <v>3</v>
      </c>
      <c r="R220" s="1">
        <f>IF(Data!R220&gt;0,4-Data!R220,"")</f>
        <v>1</v>
      </c>
      <c r="S220" s="1">
        <f>IF(Data!S220&gt;0,4-Data!S220,"")</f>
        <v>2</v>
      </c>
      <c r="T220" s="1">
        <f>IF(Data!T220&gt;0,Data!T220-4,"")</f>
        <v>2</v>
      </c>
      <c r="U220" s="1">
        <f>IF(Data!U220&gt;0,4-Data!U220,"")</f>
        <v>2</v>
      </c>
      <c r="V220" s="1">
        <f>IF(Data!V220&gt;0,Data!V220-4,"")</f>
        <v>2</v>
      </c>
      <c r="W220" s="1">
        <f>IF(Data!W220&gt;0,4-Data!W220,"")</f>
        <v>3</v>
      </c>
      <c r="X220" s="1">
        <f>IF(Data!X220&gt;0,4-Data!X220,"")</f>
        <v>1</v>
      </c>
      <c r="Y220" s="1">
        <f>IF(Data!Y220&gt;0,4-Data!Y220,"")</f>
        <v>2</v>
      </c>
      <c r="Z220" s="1">
        <f>IF(Data!Z220&gt;0,Data!Z220-4,"")</f>
        <v>2</v>
      </c>
      <c r="AC220" s="4" t="str">
        <f t="shared" si="30"/>
        <v/>
      </c>
      <c r="AD220" s="4" t="str">
        <f t="shared" si="31"/>
        <v/>
      </c>
      <c r="AE220" s="4" t="str">
        <f t="shared" si="32"/>
        <v/>
      </c>
      <c r="AF220" s="4">
        <f t="shared" si="33"/>
        <v>1</v>
      </c>
      <c r="AG220" s="4" t="str">
        <f t="shared" si="34"/>
        <v/>
      </c>
      <c r="AH220" s="4" t="str">
        <f t="shared" si="35"/>
        <v/>
      </c>
      <c r="AI220" s="2">
        <f t="shared" si="36"/>
        <v>1</v>
      </c>
      <c r="AK220" s="2">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9</v>
      </c>
    </row>
    <row r="221" spans="1:37">
      <c r="A221" s="1">
        <f>IF(Data!A221&gt;0,Data!A221-4,"")</f>
        <v>1</v>
      </c>
      <c r="B221" s="1">
        <f>IF(Data!B221&gt;0,Data!B221-4,"")</f>
        <v>3</v>
      </c>
      <c r="C221" s="1">
        <f>IF(Data!C221&gt;0,4-Data!C221,"")</f>
        <v>0</v>
      </c>
      <c r="D221" s="1">
        <f>IF(Data!D221&gt;0,4-Data!D221,"")</f>
        <v>3</v>
      </c>
      <c r="E221" s="1">
        <f>IF(Data!E221&gt;0,4-Data!E221,"")</f>
        <v>2</v>
      </c>
      <c r="F221" s="1">
        <f>IF(Data!F221&gt;0,Data!F221-4,"")</f>
        <v>-1</v>
      </c>
      <c r="G221" s="1">
        <f>IF(Data!G221&gt;0,Data!G221-4,"")</f>
        <v>1</v>
      </c>
      <c r="H221" s="1">
        <f>IF(Data!H221&gt;0,Data!H221-4,"")</f>
        <v>2</v>
      </c>
      <c r="I221" s="1">
        <f>IF(Data!I221&gt;0,4-Data!I221,"")</f>
        <v>3</v>
      </c>
      <c r="J221" s="1">
        <f>IF(Data!J221&gt;0,4-Data!J221,"")</f>
        <v>0</v>
      </c>
      <c r="K221" s="1">
        <f>IF(Data!K221&gt;0,Data!K221-4,"")</f>
        <v>2</v>
      </c>
      <c r="L221" s="1">
        <f>IF(Data!L221&gt;0,4-Data!L221,"")</f>
        <v>3</v>
      </c>
      <c r="M221" s="1">
        <f>IF(Data!M221&gt;0,Data!M221-4,"")</f>
        <v>2</v>
      </c>
      <c r="N221" s="1">
        <f>IF(Data!N221&gt;0,Data!N221-4,"")</f>
        <v>2</v>
      </c>
      <c r="O221" s="1">
        <f>IF(Data!O221&gt;0,Data!O221-4,"")</f>
        <v>-3</v>
      </c>
      <c r="P221" s="1">
        <f>IF(Data!P221&gt;0,Data!P221-4,"")</f>
        <v>2</v>
      </c>
      <c r="Q221" s="1">
        <f>IF(Data!Q221&gt;0,4-Data!Q221,"")</f>
        <v>2</v>
      </c>
      <c r="R221" s="1">
        <f>IF(Data!R221&gt;0,4-Data!R221,"")</f>
        <v>1</v>
      </c>
      <c r="S221" s="1">
        <f>IF(Data!S221&gt;0,4-Data!S221,"")</f>
        <v>3</v>
      </c>
      <c r="T221" s="1">
        <f>IF(Data!T221&gt;0,Data!T221-4,"")</f>
        <v>3</v>
      </c>
      <c r="U221" s="1">
        <f>IF(Data!U221&gt;0,4-Data!U221,"")</f>
        <v>2</v>
      </c>
      <c r="V221" s="1">
        <f>IF(Data!V221&gt;0,Data!V221-4,"")</f>
        <v>3</v>
      </c>
      <c r="W221" s="1">
        <f>IF(Data!W221&gt;0,4-Data!W221,"")</f>
        <v>1</v>
      </c>
      <c r="X221" s="1">
        <f>IF(Data!X221&gt;0,4-Data!X221,"")</f>
        <v>-1</v>
      </c>
      <c r="Y221" s="1">
        <f>IF(Data!Y221&gt;0,4-Data!Y221,"")</f>
        <v>1</v>
      </c>
      <c r="Z221" s="1">
        <f>IF(Data!Z221&gt;0,Data!Z221-4,"")</f>
        <v>0</v>
      </c>
      <c r="AC221" s="4">
        <f t="shared" si="30"/>
        <v>1</v>
      </c>
      <c r="AD221" s="4" t="str">
        <f t="shared" si="31"/>
        <v/>
      </c>
      <c r="AE221" s="4" t="str">
        <f t="shared" si="32"/>
        <v/>
      </c>
      <c r="AF221" s="4" t="str">
        <f t="shared" si="33"/>
        <v/>
      </c>
      <c r="AG221" s="4" t="str">
        <f t="shared" si="34"/>
        <v/>
      </c>
      <c r="AH221" s="4" t="str">
        <f t="shared" si="35"/>
        <v/>
      </c>
      <c r="AI221" s="2">
        <f t="shared" si="36"/>
        <v>1</v>
      </c>
      <c r="AK221" s="2">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5</v>
      </c>
    </row>
    <row r="222" spans="1:37">
      <c r="A222" s="1">
        <f>IF(Data!A222&gt;0,Data!A222-4,"")</f>
        <v>3</v>
      </c>
      <c r="B222" s="1">
        <f>IF(Data!B222&gt;0,Data!B222-4,"")</f>
        <v>3</v>
      </c>
      <c r="C222" s="1">
        <f>IF(Data!C222&gt;0,4-Data!C222,"")</f>
        <v>0</v>
      </c>
      <c r="D222" s="1">
        <f>IF(Data!D222&gt;0,4-Data!D222,"")</f>
        <v>1</v>
      </c>
      <c r="E222" s="1">
        <f>IF(Data!E222&gt;0,4-Data!E222,"")</f>
        <v>3</v>
      </c>
      <c r="F222" s="1">
        <f>IF(Data!F222&gt;0,Data!F222-4,"")</f>
        <v>2</v>
      </c>
      <c r="G222" s="1">
        <f>IF(Data!G222&gt;0,Data!G222-4,"")</f>
        <v>2</v>
      </c>
      <c r="H222" s="1">
        <f>IF(Data!H222&gt;0,Data!H222-4,"")</f>
        <v>2</v>
      </c>
      <c r="I222" s="1">
        <f>IF(Data!I222&gt;0,4-Data!I222,"")</f>
        <v>2</v>
      </c>
      <c r="J222" s="1">
        <f>IF(Data!J222&gt;0,4-Data!J222,"")</f>
        <v>2</v>
      </c>
      <c r="K222" s="1">
        <f>IF(Data!K222&gt;0,Data!K222-4,"")</f>
        <v>3</v>
      </c>
      <c r="L222" s="1">
        <f>IF(Data!L222&gt;0,4-Data!L222,"")</f>
        <v>3</v>
      </c>
      <c r="M222" s="1">
        <f>IF(Data!M222&gt;0,Data!M222-4,"")</f>
        <v>2</v>
      </c>
      <c r="N222" s="1">
        <f>IF(Data!N222&gt;0,Data!N222-4,"")</f>
        <v>3</v>
      </c>
      <c r="O222" s="1">
        <f>IF(Data!O222&gt;0,Data!O222-4,"")</f>
        <v>2</v>
      </c>
      <c r="P222" s="1">
        <f>IF(Data!P222&gt;0,Data!P222-4,"")</f>
        <v>3</v>
      </c>
      <c r="Q222" s="1">
        <f>IF(Data!Q222&gt;0,4-Data!Q222,"")</f>
        <v>3</v>
      </c>
      <c r="R222" s="1">
        <f>IF(Data!R222&gt;0,4-Data!R222,"")</f>
        <v>2</v>
      </c>
      <c r="S222" s="1">
        <f>IF(Data!S222&gt;0,4-Data!S222,"")</f>
        <v>3</v>
      </c>
      <c r="T222" s="1">
        <f>IF(Data!T222&gt;0,Data!T222-4,"")</f>
        <v>3</v>
      </c>
      <c r="U222" s="1">
        <f>IF(Data!U222&gt;0,4-Data!U222,"")</f>
        <v>3</v>
      </c>
      <c r="V222" s="1">
        <f>IF(Data!V222&gt;0,Data!V222-4,"")</f>
        <v>3</v>
      </c>
      <c r="W222" s="1">
        <f>IF(Data!W222&gt;0,4-Data!W222,"")</f>
        <v>2</v>
      </c>
      <c r="X222" s="1">
        <f>IF(Data!X222&gt;0,4-Data!X222,"")</f>
        <v>2</v>
      </c>
      <c r="Y222" s="1">
        <f>IF(Data!Y222&gt;0,4-Data!Y222,"")</f>
        <v>3</v>
      </c>
      <c r="Z222" s="1">
        <f>IF(Data!Z222&gt;0,Data!Z222-4,"")</f>
        <v>1</v>
      </c>
      <c r="AC222" s="4" t="str">
        <f t="shared" si="30"/>
        <v/>
      </c>
      <c r="AD222" s="4" t="str">
        <f t="shared" si="31"/>
        <v/>
      </c>
      <c r="AE222" s="4" t="str">
        <f t="shared" si="32"/>
        <v/>
      </c>
      <c r="AF222" s="4" t="str">
        <f t="shared" si="33"/>
        <v/>
      </c>
      <c r="AG222" s="4" t="str">
        <f t="shared" si="34"/>
        <v/>
      </c>
      <c r="AH222" s="4" t="str">
        <f t="shared" si="35"/>
        <v/>
      </c>
      <c r="AI222" s="2">
        <f t="shared" si="36"/>
        <v>0</v>
      </c>
      <c r="AK222" s="2">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7</v>
      </c>
    </row>
    <row r="223" spans="1:37">
      <c r="A223" s="1">
        <f>IF(Data!A223&gt;0,Data!A223-4,"")</f>
        <v>3</v>
      </c>
      <c r="B223" s="1">
        <f>IF(Data!B223&gt;0,Data!B223-4,"")</f>
        <v>-3</v>
      </c>
      <c r="C223" s="1">
        <f>IF(Data!C223&gt;0,4-Data!C223,"")</f>
        <v>-1</v>
      </c>
      <c r="D223" s="1">
        <f>IF(Data!D223&gt;0,4-Data!D223,"")</f>
        <v>-1</v>
      </c>
      <c r="E223" s="1">
        <f>IF(Data!E223&gt;0,4-Data!E223,"")</f>
        <v>-2</v>
      </c>
      <c r="F223" s="1">
        <f>IF(Data!F223&gt;0,Data!F223-4,"")</f>
        <v>-2</v>
      </c>
      <c r="G223" s="1">
        <f>IF(Data!G223&gt;0,Data!G223-4,"")</f>
        <v>-2</v>
      </c>
      <c r="H223" s="1">
        <f>IF(Data!H223&gt;0,Data!H223-4,"")</f>
        <v>0</v>
      </c>
      <c r="I223" s="1">
        <f>IF(Data!I223&gt;0,4-Data!I223,"")</f>
        <v>-1</v>
      </c>
      <c r="J223" s="1">
        <f>IF(Data!J223&gt;0,4-Data!J223,"")</f>
        <v>-1</v>
      </c>
      <c r="K223" s="1">
        <f>IF(Data!K223&gt;0,Data!K223-4,"")</f>
        <v>-1</v>
      </c>
      <c r="L223" s="1">
        <f>IF(Data!L223&gt;0,4-Data!L223,"")</f>
        <v>-1</v>
      </c>
      <c r="M223" s="1">
        <f>IF(Data!M223&gt;0,Data!M223-4,"")</f>
        <v>-2</v>
      </c>
      <c r="N223" s="1">
        <f>IF(Data!N223&gt;0,Data!N223-4,"")</f>
        <v>-2</v>
      </c>
      <c r="O223" s="1">
        <f>IF(Data!O223&gt;0,Data!O223-4,"")</f>
        <v>2</v>
      </c>
      <c r="P223" s="1">
        <f>IF(Data!P223&gt;0,Data!P223-4,"")</f>
        <v>-2</v>
      </c>
      <c r="Q223" s="1">
        <f>IF(Data!Q223&gt;0,4-Data!Q223,"")</f>
        <v>-1</v>
      </c>
      <c r="R223" s="1">
        <f>IF(Data!R223&gt;0,4-Data!R223,"")</f>
        <v>0</v>
      </c>
      <c r="S223" s="1">
        <f>IF(Data!S223&gt;0,4-Data!S223,"")</f>
        <v>-2</v>
      </c>
      <c r="T223" s="1">
        <f>IF(Data!T223&gt;0,Data!T223-4,"")</f>
        <v>-2</v>
      </c>
      <c r="U223" s="1">
        <f>IF(Data!U223&gt;0,4-Data!U223,"")</f>
        <v>-1</v>
      </c>
      <c r="V223" s="1">
        <f>IF(Data!V223&gt;0,Data!V223-4,"")</f>
        <v>0</v>
      </c>
      <c r="W223" s="1">
        <f>IF(Data!W223&gt;0,4-Data!W223,"")</f>
        <v>-1</v>
      </c>
      <c r="X223" s="1">
        <f>IF(Data!X223&gt;0,4-Data!X223,"")</f>
        <v>1</v>
      </c>
      <c r="Y223" s="1">
        <f>IF(Data!Y223&gt;0,4-Data!Y223,"")</f>
        <v>0</v>
      </c>
      <c r="Z223" s="1">
        <f>IF(Data!Z223&gt;0,Data!Z223-4,"")</f>
        <v>-2</v>
      </c>
      <c r="AC223" s="4">
        <f t="shared" si="30"/>
        <v>1</v>
      </c>
      <c r="AD223" s="4" t="str">
        <f t="shared" si="31"/>
        <v/>
      </c>
      <c r="AE223" s="4" t="str">
        <f t="shared" si="32"/>
        <v/>
      </c>
      <c r="AF223" s="4" t="str">
        <f t="shared" si="33"/>
        <v/>
      </c>
      <c r="AG223" s="4" t="str">
        <f t="shared" si="34"/>
        <v/>
      </c>
      <c r="AH223" s="4">
        <f t="shared" si="35"/>
        <v>1</v>
      </c>
      <c r="AI223" s="2">
        <f t="shared" si="36"/>
        <v>2</v>
      </c>
      <c r="AK223" s="2">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8</v>
      </c>
    </row>
    <row r="224" spans="1:37">
      <c r="A224" s="1">
        <f>IF(Data!A224&gt;0,Data!A224-4,"")</f>
        <v>3</v>
      </c>
      <c r="B224" s="1">
        <f>IF(Data!B224&gt;0,Data!B224-4,"")</f>
        <v>3</v>
      </c>
      <c r="C224" s="1">
        <f>IF(Data!C224&gt;0,4-Data!C224,"")</f>
        <v>3</v>
      </c>
      <c r="D224" s="1">
        <f>IF(Data!D224&gt;0,4-Data!D224,"")</f>
        <v>3</v>
      </c>
      <c r="E224" s="1">
        <f>IF(Data!E224&gt;0,4-Data!E224,"")</f>
        <v>3</v>
      </c>
      <c r="F224" s="1">
        <f>IF(Data!F224&gt;0,Data!F224-4,"")</f>
        <v>3</v>
      </c>
      <c r="G224" s="1">
        <f>IF(Data!G224&gt;0,Data!G224-4,"")</f>
        <v>3</v>
      </c>
      <c r="H224" s="1">
        <f>IF(Data!H224&gt;0,Data!H224-4,"")</f>
        <v>3</v>
      </c>
      <c r="I224" s="1">
        <f>IF(Data!I224&gt;0,4-Data!I224,"")</f>
        <v>3</v>
      </c>
      <c r="J224" s="1">
        <f>IF(Data!J224&gt;0,4-Data!J224,"")</f>
        <v>0</v>
      </c>
      <c r="K224" s="1">
        <f>IF(Data!K224&gt;0,Data!K224-4,"")</f>
        <v>0</v>
      </c>
      <c r="L224" s="1">
        <f>IF(Data!L224&gt;0,4-Data!L224,"")</f>
        <v>3</v>
      </c>
      <c r="M224" s="1">
        <f>IF(Data!M224&gt;0,Data!M224-4,"")</f>
        <v>3</v>
      </c>
      <c r="N224" s="1">
        <f>IF(Data!N224&gt;0,Data!N224-4,"")</f>
        <v>3</v>
      </c>
      <c r="O224" s="1">
        <f>IF(Data!O224&gt;0,Data!O224-4,"")</f>
        <v>-3</v>
      </c>
      <c r="P224" s="1">
        <f>IF(Data!P224&gt;0,Data!P224-4,"")</f>
        <v>3</v>
      </c>
      <c r="Q224" s="1">
        <f>IF(Data!Q224&gt;0,4-Data!Q224,"")</f>
        <v>3</v>
      </c>
      <c r="R224" s="1">
        <f>IF(Data!R224&gt;0,4-Data!R224,"")</f>
        <v>2</v>
      </c>
      <c r="S224" s="1">
        <f>IF(Data!S224&gt;0,4-Data!S224,"")</f>
        <v>2</v>
      </c>
      <c r="T224" s="1">
        <f>IF(Data!T224&gt;0,Data!T224-4,"")</f>
        <v>2</v>
      </c>
      <c r="U224" s="1">
        <f>IF(Data!U224&gt;0,4-Data!U224,"")</f>
        <v>3</v>
      </c>
      <c r="V224" s="1">
        <f>IF(Data!V224&gt;0,Data!V224-4,"")</f>
        <v>3</v>
      </c>
      <c r="W224" s="1">
        <f>IF(Data!W224&gt;0,4-Data!W224,"")</f>
        <v>3</v>
      </c>
      <c r="X224" s="1">
        <f>IF(Data!X224&gt;0,4-Data!X224,"")</f>
        <v>3</v>
      </c>
      <c r="Y224" s="1">
        <f>IF(Data!Y224&gt;0,4-Data!Y224,"")</f>
        <v>3</v>
      </c>
      <c r="Z224" s="1">
        <f>IF(Data!Z224&gt;0,Data!Z224-4,"")</f>
        <v>-3</v>
      </c>
      <c r="AC224" s="4" t="str">
        <f t="shared" si="30"/>
        <v/>
      </c>
      <c r="AD224" s="4" t="str">
        <f t="shared" si="31"/>
        <v/>
      </c>
      <c r="AE224" s="4" t="str">
        <f t="shared" si="32"/>
        <v/>
      </c>
      <c r="AF224" s="4" t="str">
        <f t="shared" si="33"/>
        <v/>
      </c>
      <c r="AG224" s="4" t="str">
        <f t="shared" si="34"/>
        <v/>
      </c>
      <c r="AH224" s="4">
        <f t="shared" si="35"/>
        <v>1</v>
      </c>
      <c r="AI224" s="2">
        <f t="shared" si="36"/>
        <v>1</v>
      </c>
      <c r="AK224" s="2">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12</v>
      </c>
    </row>
    <row r="225" spans="1:37">
      <c r="A225" s="1">
        <f>IF(Data!A225&gt;0,Data!A225-4,"")</f>
        <v>1</v>
      </c>
      <c r="B225" s="1">
        <f>IF(Data!B225&gt;0,Data!B225-4,"")</f>
        <v>1</v>
      </c>
      <c r="C225" s="1">
        <f>IF(Data!C225&gt;0,4-Data!C225,"")</f>
        <v>1</v>
      </c>
      <c r="D225" s="1">
        <f>IF(Data!D225&gt;0,4-Data!D225,"")</f>
        <v>2</v>
      </c>
      <c r="E225" s="1">
        <f>IF(Data!E225&gt;0,4-Data!E225,"")</f>
        <v>3</v>
      </c>
      <c r="F225" s="1">
        <f>IF(Data!F225&gt;0,Data!F225-4,"")</f>
        <v>1</v>
      </c>
      <c r="G225" s="1">
        <f>IF(Data!G225&gt;0,Data!G225-4,"")</f>
        <v>1</v>
      </c>
      <c r="H225" s="1">
        <f>IF(Data!H225&gt;0,Data!H225-4,"")</f>
        <v>2</v>
      </c>
      <c r="I225" s="1">
        <f>IF(Data!I225&gt;0,4-Data!I225,"")</f>
        <v>1</v>
      </c>
      <c r="J225" s="1">
        <f>IF(Data!J225&gt;0,4-Data!J225,"")</f>
        <v>0</v>
      </c>
      <c r="K225" s="1">
        <f>IF(Data!K225&gt;0,Data!K225-4,"")</f>
        <v>2</v>
      </c>
      <c r="L225" s="1">
        <f>IF(Data!L225&gt;0,4-Data!L225,"")</f>
        <v>2</v>
      </c>
      <c r="M225" s="1">
        <f>IF(Data!M225&gt;0,Data!M225-4,"")</f>
        <v>1</v>
      </c>
      <c r="N225" s="1">
        <f>IF(Data!N225&gt;0,Data!N225-4,"")</f>
        <v>2</v>
      </c>
      <c r="O225" s="1">
        <f>IF(Data!O225&gt;0,Data!O225-4,"")</f>
        <v>2</v>
      </c>
      <c r="P225" s="1">
        <f>IF(Data!P225&gt;0,Data!P225-4,"")</f>
        <v>2</v>
      </c>
      <c r="Q225" s="1">
        <f>IF(Data!Q225&gt;0,4-Data!Q225,"")</f>
        <v>2</v>
      </c>
      <c r="R225" s="1">
        <f>IF(Data!R225&gt;0,4-Data!R225,"")</f>
        <v>1</v>
      </c>
      <c r="S225" s="1">
        <f>IF(Data!S225&gt;0,4-Data!S225,"")</f>
        <v>1</v>
      </c>
      <c r="T225" s="1">
        <f>IF(Data!T225&gt;0,Data!T225-4,"")</f>
        <v>1</v>
      </c>
      <c r="U225" s="1">
        <f>IF(Data!U225&gt;0,4-Data!U225,"")</f>
        <v>1</v>
      </c>
      <c r="V225" s="1">
        <f>IF(Data!V225&gt;0,Data!V225-4,"")</f>
        <v>2</v>
      </c>
      <c r="W225" s="1">
        <f>IF(Data!W225&gt;0,4-Data!W225,"")</f>
        <v>2</v>
      </c>
      <c r="X225" s="1">
        <f>IF(Data!X225&gt;0,4-Data!X225,"")</f>
        <v>2</v>
      </c>
      <c r="Y225" s="1">
        <f>IF(Data!Y225&gt;0,4-Data!Y225,"")</f>
        <v>2</v>
      </c>
      <c r="Z225" s="1">
        <f>IF(Data!Z225&gt;0,Data!Z225-4,"")</f>
        <v>2</v>
      </c>
      <c r="AC225" s="4" t="str">
        <f t="shared" si="30"/>
        <v/>
      </c>
      <c r="AD225" s="4" t="str">
        <f t="shared" si="31"/>
        <v/>
      </c>
      <c r="AE225" s="4" t="str">
        <f t="shared" si="32"/>
        <v/>
      </c>
      <c r="AF225" s="4" t="str">
        <f t="shared" si="33"/>
        <v/>
      </c>
      <c r="AG225" s="4" t="str">
        <f t="shared" si="34"/>
        <v/>
      </c>
      <c r="AH225" s="4" t="str">
        <f t="shared" si="35"/>
        <v/>
      </c>
      <c r="AI225" s="2">
        <f t="shared" si="36"/>
        <v>0</v>
      </c>
      <c r="AK225" s="2">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7</v>
      </c>
    </row>
    <row r="226" spans="1:37">
      <c r="A226" s="1">
        <f>IF(Data!A226&gt;0,Data!A226-4,"")</f>
        <v>2</v>
      </c>
      <c r="B226" s="1">
        <f>IF(Data!B226&gt;0,Data!B226-4,"")</f>
        <v>3</v>
      </c>
      <c r="C226" s="1">
        <f>IF(Data!C226&gt;0,4-Data!C226,"")</f>
        <v>0</v>
      </c>
      <c r="D226" s="1">
        <f>IF(Data!D226&gt;0,4-Data!D226,"")</f>
        <v>2</v>
      </c>
      <c r="E226" s="1">
        <f>IF(Data!E226&gt;0,4-Data!E226,"")</f>
        <v>2</v>
      </c>
      <c r="F226" s="1">
        <f>IF(Data!F226&gt;0,Data!F226-4,"")</f>
        <v>0</v>
      </c>
      <c r="G226" s="1">
        <f>IF(Data!G226&gt;0,Data!G226-4,"")</f>
        <v>2</v>
      </c>
      <c r="H226" s="1">
        <f>IF(Data!H226&gt;0,Data!H226-4,"")</f>
        <v>2</v>
      </c>
      <c r="I226" s="1">
        <f>IF(Data!I226&gt;0,4-Data!I226,"")</f>
        <v>3</v>
      </c>
      <c r="J226" s="1">
        <f>IF(Data!J226&gt;0,4-Data!J226,"")</f>
        <v>-2</v>
      </c>
      <c r="K226" s="1">
        <f>IF(Data!K226&gt;0,Data!K226-4,"")</f>
        <v>0</v>
      </c>
      <c r="L226" s="1">
        <f>IF(Data!L226&gt;0,4-Data!L226,"")</f>
        <v>1</v>
      </c>
      <c r="M226" s="1">
        <f>IF(Data!M226&gt;0,Data!M226-4,"")</f>
        <v>2</v>
      </c>
      <c r="N226" s="1">
        <f>IF(Data!N226&gt;0,Data!N226-4,"")</f>
        <v>2</v>
      </c>
      <c r="O226" s="1">
        <f>IF(Data!O226&gt;0,Data!O226-4,"")</f>
        <v>2</v>
      </c>
      <c r="P226" s="1">
        <f>IF(Data!P226&gt;0,Data!P226-4,"")</f>
        <v>0</v>
      </c>
      <c r="Q226" s="1">
        <f>IF(Data!Q226&gt;0,4-Data!Q226,"")</f>
        <v>1</v>
      </c>
      <c r="R226" s="1">
        <f>IF(Data!R226&gt;0,4-Data!R226,"")</f>
        <v>0</v>
      </c>
      <c r="S226" s="1">
        <f>IF(Data!S226&gt;0,4-Data!S226,"")</f>
        <v>3</v>
      </c>
      <c r="T226" s="1">
        <f>IF(Data!T226&gt;0,Data!T226-4,"")</f>
        <v>3</v>
      </c>
      <c r="U226" s="1">
        <f>IF(Data!U226&gt;0,4-Data!U226,"")</f>
        <v>2</v>
      </c>
      <c r="V226" s="1">
        <f>IF(Data!V226&gt;0,Data!V226-4,"")</f>
        <v>2</v>
      </c>
      <c r="W226" s="1">
        <f>IF(Data!W226&gt;0,4-Data!W226,"")</f>
        <v>2</v>
      </c>
      <c r="X226" s="1">
        <f>IF(Data!X226&gt;0,4-Data!X226,"")</f>
        <v>2</v>
      </c>
      <c r="Y226" s="1">
        <f>IF(Data!Y226&gt;0,4-Data!Y226,"")</f>
        <v>0</v>
      </c>
      <c r="Z226" s="1">
        <f>IF(Data!Z226&gt;0,Data!Z226-4,"")</f>
        <v>0</v>
      </c>
      <c r="AC226" s="4" t="str">
        <f t="shared" si="30"/>
        <v/>
      </c>
      <c r="AD226" s="4" t="str">
        <f t="shared" si="31"/>
        <v/>
      </c>
      <c r="AE226" s="4" t="str">
        <f t="shared" si="32"/>
        <v/>
      </c>
      <c r="AF226" s="4" t="str">
        <f t="shared" si="33"/>
        <v/>
      </c>
      <c r="AG226" s="4" t="str">
        <f t="shared" si="34"/>
        <v/>
      </c>
      <c r="AH226" s="4">
        <f t="shared" si="35"/>
        <v>1</v>
      </c>
      <c r="AI226" s="2">
        <f t="shared" si="36"/>
        <v>1</v>
      </c>
      <c r="AK226" s="2">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8</v>
      </c>
    </row>
    <row r="227" spans="1:37">
      <c r="A227" s="1">
        <f>IF(Data!A227&gt;0,Data!A227-4,"")</f>
        <v>-1</v>
      </c>
      <c r="B227" s="1">
        <f>IF(Data!B227&gt;0,Data!B227-4,"")</f>
        <v>-2</v>
      </c>
      <c r="C227" s="1">
        <f>IF(Data!C227&gt;0,4-Data!C227,"")</f>
        <v>-2</v>
      </c>
      <c r="D227" s="1">
        <f>IF(Data!D227&gt;0,4-Data!D227,"")</f>
        <v>1</v>
      </c>
      <c r="E227" s="1">
        <f>IF(Data!E227&gt;0,4-Data!E227,"")</f>
        <v>-2</v>
      </c>
      <c r="F227" s="1">
        <f>IF(Data!F227&gt;0,Data!F227-4,"")</f>
        <v>-3</v>
      </c>
      <c r="G227" s="1">
        <f>IF(Data!G227&gt;0,Data!G227-4,"")</f>
        <v>-3</v>
      </c>
      <c r="H227" s="1">
        <f>IF(Data!H227&gt;0,Data!H227-4,"")</f>
        <v>-2</v>
      </c>
      <c r="I227" s="1">
        <f>IF(Data!I227&gt;0,4-Data!I227,"")</f>
        <v>2</v>
      </c>
      <c r="J227" s="1">
        <f>IF(Data!J227&gt;0,4-Data!J227,"")</f>
        <v>-1</v>
      </c>
      <c r="K227" s="1">
        <f>IF(Data!K227&gt;0,Data!K227-4,"")</f>
        <v>0</v>
      </c>
      <c r="L227" s="1">
        <f>IF(Data!L227&gt;0,4-Data!L227,"")</f>
        <v>0</v>
      </c>
      <c r="M227" s="1">
        <f>IF(Data!M227&gt;0,Data!M227-4,"")</f>
        <v>0</v>
      </c>
      <c r="N227" s="1">
        <f>IF(Data!N227&gt;0,Data!N227-4,"")</f>
        <v>-3</v>
      </c>
      <c r="O227" s="1">
        <f>IF(Data!O227&gt;0,Data!O227-4,"")</f>
        <v>-2</v>
      </c>
      <c r="P227" s="1">
        <f>IF(Data!P227&gt;0,Data!P227-4,"")</f>
        <v>-2</v>
      </c>
      <c r="Q227" s="1">
        <f>IF(Data!Q227&gt;0,4-Data!Q227,"")</f>
        <v>3</v>
      </c>
      <c r="R227" s="1">
        <f>IF(Data!R227&gt;0,4-Data!R227,"")</f>
        <v>-2</v>
      </c>
      <c r="S227" s="1">
        <f>IF(Data!S227&gt;0,4-Data!S227,"")</f>
        <v>-2</v>
      </c>
      <c r="T227" s="1">
        <f>IF(Data!T227&gt;0,Data!T227-4,"")</f>
        <v>-1</v>
      </c>
      <c r="U227" s="1">
        <f>IF(Data!U227&gt;0,4-Data!U227,"")</f>
        <v>-2</v>
      </c>
      <c r="V227" s="1">
        <f>IF(Data!V227&gt;0,Data!V227-4,"")</f>
        <v>-2</v>
      </c>
      <c r="W227" s="1">
        <f>IF(Data!W227&gt;0,4-Data!W227,"")</f>
        <v>-2</v>
      </c>
      <c r="X227" s="1">
        <f>IF(Data!X227&gt;0,4-Data!X227,"")</f>
        <v>-2</v>
      </c>
      <c r="Y227" s="1">
        <f>IF(Data!Y227&gt;0,4-Data!Y227,"")</f>
        <v>-2</v>
      </c>
      <c r="Z227" s="1">
        <f>IF(Data!Z227&gt;0,Data!Z227-4,"")</f>
        <v>0</v>
      </c>
      <c r="AC227" s="4" t="str">
        <f t="shared" si="30"/>
        <v/>
      </c>
      <c r="AD227" s="4" t="str">
        <f t="shared" si="31"/>
        <v/>
      </c>
      <c r="AE227" s="4">
        <f t="shared" si="32"/>
        <v>1</v>
      </c>
      <c r="AF227" s="4">
        <f t="shared" si="33"/>
        <v>1</v>
      </c>
      <c r="AG227" s="4" t="str">
        <f t="shared" si="34"/>
        <v/>
      </c>
      <c r="AH227" s="4" t="str">
        <f t="shared" si="35"/>
        <v/>
      </c>
      <c r="AI227" s="2">
        <f t="shared" si="36"/>
        <v>2</v>
      </c>
      <c r="AK227" s="2">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8</v>
      </c>
    </row>
    <row r="228" spans="1:37">
      <c r="A228" s="1">
        <f>IF(Data!A228&gt;0,Data!A228-4,"")</f>
        <v>3</v>
      </c>
      <c r="B228" s="1">
        <f>IF(Data!B228&gt;0,Data!B228-4,"")</f>
        <v>3</v>
      </c>
      <c r="C228" s="1">
        <f>IF(Data!C228&gt;0,4-Data!C228,"")</f>
        <v>3</v>
      </c>
      <c r="D228" s="1">
        <f>IF(Data!D228&gt;0,4-Data!D228,"")</f>
        <v>3</v>
      </c>
      <c r="E228" s="1">
        <f>IF(Data!E228&gt;0,4-Data!E228,"")</f>
        <v>3</v>
      </c>
      <c r="F228" s="1">
        <f>IF(Data!F228&gt;0,Data!F228-4,"")</f>
        <v>3</v>
      </c>
      <c r="G228" s="1">
        <f>IF(Data!G228&gt;0,Data!G228-4,"")</f>
        <v>3</v>
      </c>
      <c r="H228" s="1">
        <f>IF(Data!H228&gt;0,Data!H228-4,"")</f>
        <v>0</v>
      </c>
      <c r="I228" s="1">
        <f>IF(Data!I228&gt;0,4-Data!I228,"")</f>
        <v>2</v>
      </c>
      <c r="J228" s="1">
        <f>IF(Data!J228&gt;0,4-Data!J228,"")</f>
        <v>2</v>
      </c>
      <c r="K228" s="1">
        <f>IF(Data!K228&gt;0,Data!K228-4,"")</f>
        <v>-3</v>
      </c>
      <c r="L228" s="1">
        <f>IF(Data!L228&gt;0,4-Data!L228,"")</f>
        <v>3</v>
      </c>
      <c r="M228" s="1">
        <f>IF(Data!M228&gt;0,Data!M228-4,"")</f>
        <v>3</v>
      </c>
      <c r="N228" s="1">
        <f>IF(Data!N228&gt;0,Data!N228-4,"")</f>
        <v>3</v>
      </c>
      <c r="O228" s="1">
        <f>IF(Data!O228&gt;0,Data!O228-4,"")</f>
        <v>3</v>
      </c>
      <c r="P228" s="1">
        <f>IF(Data!P228&gt;0,Data!P228-4,"")</f>
        <v>3</v>
      </c>
      <c r="Q228" s="1">
        <f>IF(Data!Q228&gt;0,4-Data!Q228,"")</f>
        <v>3</v>
      </c>
      <c r="R228" s="1">
        <f>IF(Data!R228&gt;0,4-Data!R228,"")</f>
        <v>3</v>
      </c>
      <c r="S228" s="1">
        <f>IF(Data!S228&gt;0,4-Data!S228,"")</f>
        <v>3</v>
      </c>
      <c r="T228" s="1">
        <f>IF(Data!T228&gt;0,Data!T228-4,"")</f>
        <v>3</v>
      </c>
      <c r="U228" s="1">
        <f>IF(Data!U228&gt;0,4-Data!U228,"")</f>
        <v>3</v>
      </c>
      <c r="V228" s="1">
        <f>IF(Data!V228&gt;0,Data!V228-4,"")</f>
        <v>2</v>
      </c>
      <c r="W228" s="1">
        <f>IF(Data!W228&gt;0,4-Data!W228,"")</f>
        <v>2</v>
      </c>
      <c r="X228" s="1">
        <f>IF(Data!X228&gt;0,4-Data!X228,"")</f>
        <v>3</v>
      </c>
      <c r="Y228" s="1">
        <f>IF(Data!Y228&gt;0,4-Data!Y228,"")</f>
        <v>3</v>
      </c>
      <c r="Z228" s="1">
        <f>IF(Data!Z228&gt;0,Data!Z228-4,"")</f>
        <v>-3</v>
      </c>
      <c r="AC228" s="4" t="str">
        <f t="shared" si="30"/>
        <v/>
      </c>
      <c r="AD228" s="4" t="str">
        <f t="shared" si="31"/>
        <v/>
      </c>
      <c r="AE228" s="4" t="str">
        <f t="shared" si="32"/>
        <v/>
      </c>
      <c r="AF228" s="4">
        <f t="shared" si="33"/>
        <v>1</v>
      </c>
      <c r="AG228" s="4" t="str">
        <f t="shared" si="34"/>
        <v/>
      </c>
      <c r="AH228" s="4">
        <f t="shared" si="35"/>
        <v>1</v>
      </c>
      <c r="AI228" s="2">
        <f t="shared" si="36"/>
        <v>2</v>
      </c>
      <c r="AK228" s="2">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12</v>
      </c>
    </row>
    <row r="229" spans="1:37">
      <c r="A229" s="1">
        <f>IF(Data!A229&gt;0,Data!A229-4,"")</f>
        <v>2</v>
      </c>
      <c r="B229" s="1">
        <f>IF(Data!B229&gt;0,Data!B229-4,"")</f>
        <v>3</v>
      </c>
      <c r="C229" s="1">
        <f>IF(Data!C229&gt;0,4-Data!C229,"")</f>
        <v>1</v>
      </c>
      <c r="D229" s="1">
        <f>IF(Data!D229&gt;0,4-Data!D229,"")</f>
        <v>3</v>
      </c>
      <c r="E229" s="1">
        <f>IF(Data!E229&gt;0,4-Data!E229,"")</f>
        <v>3</v>
      </c>
      <c r="F229" s="1">
        <f>IF(Data!F229&gt;0,Data!F229-4,"")</f>
        <v>2</v>
      </c>
      <c r="G229" s="1">
        <f>IF(Data!G229&gt;0,Data!G229-4,"")</f>
        <v>2</v>
      </c>
      <c r="H229" s="1">
        <f>IF(Data!H229&gt;0,Data!H229-4,"")</f>
        <v>0</v>
      </c>
      <c r="I229" s="1">
        <f>IF(Data!I229&gt;0,4-Data!I229,"")</f>
        <v>1</v>
      </c>
      <c r="J229" s="1">
        <f>IF(Data!J229&gt;0,4-Data!J229,"")</f>
        <v>1</v>
      </c>
      <c r="K229" s="1">
        <f>IF(Data!K229&gt;0,Data!K229-4,"")</f>
        <v>1</v>
      </c>
      <c r="L229" s="1">
        <f>IF(Data!L229&gt;0,4-Data!L229,"")</f>
        <v>2</v>
      </c>
      <c r="M229" s="1">
        <f>IF(Data!M229&gt;0,Data!M229-4,"")</f>
        <v>3</v>
      </c>
      <c r="N229" s="1">
        <f>IF(Data!N229&gt;0,Data!N229-4,"")</f>
        <v>1</v>
      </c>
      <c r="O229" s="1">
        <f>IF(Data!O229&gt;0,Data!O229-4,"")</f>
        <v>1</v>
      </c>
      <c r="P229" s="1">
        <f>IF(Data!P229&gt;0,Data!P229-4,"")</f>
        <v>2</v>
      </c>
      <c r="Q229" s="1">
        <f>IF(Data!Q229&gt;0,4-Data!Q229,"")</f>
        <v>2</v>
      </c>
      <c r="R229" s="1">
        <f>IF(Data!R229&gt;0,4-Data!R229,"")</f>
        <v>1</v>
      </c>
      <c r="S229" s="1">
        <f>IF(Data!S229&gt;0,4-Data!S229,"")</f>
        <v>1</v>
      </c>
      <c r="T229" s="1">
        <f>IF(Data!T229&gt;0,Data!T229-4,"")</f>
        <v>1</v>
      </c>
      <c r="U229" s="1">
        <f>IF(Data!U229&gt;0,4-Data!U229,"")</f>
        <v>1</v>
      </c>
      <c r="V229" s="1">
        <f>IF(Data!V229&gt;0,Data!V229-4,"")</f>
        <v>1</v>
      </c>
      <c r="W229" s="1">
        <f>IF(Data!W229&gt;0,4-Data!W229,"")</f>
        <v>1</v>
      </c>
      <c r="X229" s="1">
        <f>IF(Data!X229&gt;0,4-Data!X229,"")</f>
        <v>1</v>
      </c>
      <c r="Y229" s="1">
        <f>IF(Data!Y229&gt;0,4-Data!Y229,"")</f>
        <v>1</v>
      </c>
      <c r="Z229" s="1">
        <f>IF(Data!Z229&gt;0,Data!Z229-4,"")</f>
        <v>1</v>
      </c>
      <c r="AC229" s="4" t="str">
        <f t="shared" si="30"/>
        <v/>
      </c>
      <c r="AD229" s="4" t="str">
        <f t="shared" si="31"/>
        <v/>
      </c>
      <c r="AE229" s="4" t="str">
        <f t="shared" si="32"/>
        <v/>
      </c>
      <c r="AF229" s="4" t="str">
        <f t="shared" si="33"/>
        <v/>
      </c>
      <c r="AG229" s="4" t="str">
        <f t="shared" si="34"/>
        <v/>
      </c>
      <c r="AH229" s="4" t="str">
        <f t="shared" si="35"/>
        <v/>
      </c>
      <c r="AI229" s="2">
        <f t="shared" si="36"/>
        <v>0</v>
      </c>
      <c r="AK229" s="2">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9</v>
      </c>
    </row>
    <row r="230" spans="1:37">
      <c r="A230" s="1">
        <f>IF(Data!A230&gt;0,Data!A230-4,"")</f>
        <v>3</v>
      </c>
      <c r="B230" s="1">
        <f>IF(Data!B230&gt;0,Data!B230-4,"")</f>
        <v>3</v>
      </c>
      <c r="C230" s="1">
        <f>IF(Data!C230&gt;0,4-Data!C230,"")</f>
        <v>3</v>
      </c>
      <c r="D230" s="1">
        <f>IF(Data!D230&gt;0,4-Data!D230,"")</f>
        <v>3</v>
      </c>
      <c r="E230" s="1">
        <f>IF(Data!E230&gt;0,4-Data!E230,"")</f>
        <v>3</v>
      </c>
      <c r="F230" s="1">
        <f>IF(Data!F230&gt;0,Data!F230-4,"")</f>
        <v>0</v>
      </c>
      <c r="G230" s="1">
        <f>IF(Data!G230&gt;0,Data!G230-4,"")</f>
        <v>3</v>
      </c>
      <c r="H230" s="1">
        <f>IF(Data!H230&gt;0,Data!H230-4,"")</f>
        <v>0</v>
      </c>
      <c r="I230" s="1">
        <f>IF(Data!I230&gt;0,4-Data!I230,"")</f>
        <v>0</v>
      </c>
      <c r="J230" s="1">
        <f>IF(Data!J230&gt;0,4-Data!J230,"")</f>
        <v>2</v>
      </c>
      <c r="K230" s="1">
        <f>IF(Data!K230&gt;0,Data!K230-4,"")</f>
        <v>2</v>
      </c>
      <c r="L230" s="1">
        <f>IF(Data!L230&gt;0,4-Data!L230,"")</f>
        <v>3</v>
      </c>
      <c r="M230" s="1">
        <f>IF(Data!M230&gt;0,Data!M230-4,"")</f>
        <v>3</v>
      </c>
      <c r="N230" s="1">
        <f>IF(Data!N230&gt;0,Data!N230-4,"")</f>
        <v>3</v>
      </c>
      <c r="O230" s="1">
        <f>IF(Data!O230&gt;0,Data!O230-4,"")</f>
        <v>2</v>
      </c>
      <c r="P230" s="1">
        <f>IF(Data!P230&gt;0,Data!P230-4,"")</f>
        <v>3</v>
      </c>
      <c r="Q230" s="1">
        <f>IF(Data!Q230&gt;0,4-Data!Q230,"")</f>
        <v>3</v>
      </c>
      <c r="R230" s="1">
        <f>IF(Data!R230&gt;0,4-Data!R230,"")</f>
        <v>0</v>
      </c>
      <c r="S230" s="1">
        <f>IF(Data!S230&gt;0,4-Data!S230,"")</f>
        <v>3</v>
      </c>
      <c r="T230" s="1">
        <f>IF(Data!T230&gt;0,Data!T230-4,"")</f>
        <v>2</v>
      </c>
      <c r="U230" s="1">
        <f>IF(Data!U230&gt;0,4-Data!U230,"")</f>
        <v>3</v>
      </c>
      <c r="V230" s="1">
        <f>IF(Data!V230&gt;0,Data!V230-4,"")</f>
        <v>3</v>
      </c>
      <c r="W230" s="1">
        <f>IF(Data!W230&gt;0,4-Data!W230,"")</f>
        <v>3</v>
      </c>
      <c r="X230" s="1">
        <f>IF(Data!X230&gt;0,4-Data!X230,"")</f>
        <v>3</v>
      </c>
      <c r="Y230" s="1">
        <f>IF(Data!Y230&gt;0,4-Data!Y230,"")</f>
        <v>3</v>
      </c>
      <c r="Z230" s="1">
        <f>IF(Data!Z230&gt;0,Data!Z230-4,"")</f>
        <v>3</v>
      </c>
      <c r="AC230" s="4" t="str">
        <f t="shared" si="30"/>
        <v/>
      </c>
      <c r="AD230" s="4" t="str">
        <f t="shared" si="31"/>
        <v/>
      </c>
      <c r="AE230" s="4" t="str">
        <f t="shared" si="32"/>
        <v/>
      </c>
      <c r="AF230" s="4" t="str">
        <f t="shared" si="33"/>
        <v/>
      </c>
      <c r="AG230" s="4" t="str">
        <f t="shared" si="34"/>
        <v/>
      </c>
      <c r="AH230" s="4" t="str">
        <f t="shared" si="35"/>
        <v/>
      </c>
      <c r="AI230" s="2">
        <f t="shared" si="36"/>
        <v>0</v>
      </c>
      <c r="AK230" s="2">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10</v>
      </c>
    </row>
    <row r="231" spans="1:37">
      <c r="A231" s="1">
        <f>IF(Data!A231&gt;0,Data!A231-4,"")</f>
        <v>3</v>
      </c>
      <c r="B231" s="1">
        <f>IF(Data!B231&gt;0,Data!B231-4,"")</f>
        <v>3</v>
      </c>
      <c r="C231" s="1">
        <f>IF(Data!C231&gt;0,4-Data!C231,"")</f>
        <v>3</v>
      </c>
      <c r="D231" s="1">
        <f>IF(Data!D231&gt;0,4-Data!D231,"")</f>
        <v>3</v>
      </c>
      <c r="E231" s="1">
        <f>IF(Data!E231&gt;0,4-Data!E231,"")</f>
        <v>3</v>
      </c>
      <c r="F231" s="1">
        <f>IF(Data!F231&gt;0,Data!F231-4,"")</f>
        <v>1</v>
      </c>
      <c r="G231" s="1">
        <f>IF(Data!G231&gt;0,Data!G231-4,"")</f>
        <v>3</v>
      </c>
      <c r="H231" s="1">
        <f>IF(Data!H231&gt;0,Data!H231-4,"")</f>
        <v>3</v>
      </c>
      <c r="I231" s="1">
        <f>IF(Data!I231&gt;0,4-Data!I231,"")</f>
        <v>3</v>
      </c>
      <c r="J231" s="1">
        <f>IF(Data!J231&gt;0,4-Data!J231,"")</f>
        <v>3</v>
      </c>
      <c r="K231" s="1">
        <f>IF(Data!K231&gt;0,Data!K231-4,"")</f>
        <v>3</v>
      </c>
      <c r="L231" s="1">
        <f>IF(Data!L231&gt;0,4-Data!L231,"")</f>
        <v>3</v>
      </c>
      <c r="M231" s="1">
        <f>IF(Data!M231&gt;0,Data!M231-4,"")</f>
        <v>3</v>
      </c>
      <c r="N231" s="1">
        <f>IF(Data!N231&gt;0,Data!N231-4,"")</f>
        <v>3</v>
      </c>
      <c r="O231" s="1">
        <f>IF(Data!O231&gt;0,Data!O231-4,"")</f>
        <v>3</v>
      </c>
      <c r="P231" s="1">
        <f>IF(Data!P231&gt;0,Data!P231-4,"")</f>
        <v>3</v>
      </c>
      <c r="Q231" s="1">
        <f>IF(Data!Q231&gt;0,4-Data!Q231,"")</f>
        <v>3</v>
      </c>
      <c r="R231" s="1">
        <f>IF(Data!R231&gt;0,4-Data!R231,"")</f>
        <v>1</v>
      </c>
      <c r="S231" s="1">
        <f>IF(Data!S231&gt;0,4-Data!S231,"")</f>
        <v>3</v>
      </c>
      <c r="T231" s="1">
        <f>IF(Data!T231&gt;0,Data!T231-4,"")</f>
        <v>3</v>
      </c>
      <c r="U231" s="1">
        <f>IF(Data!U231&gt;0,4-Data!U231,"")</f>
        <v>3</v>
      </c>
      <c r="V231" s="1">
        <f>IF(Data!V231&gt;0,Data!V231-4,"")</f>
        <v>3</v>
      </c>
      <c r="W231" s="1">
        <f>IF(Data!W231&gt;0,4-Data!W231,"")</f>
        <v>3</v>
      </c>
      <c r="X231" s="1">
        <f>IF(Data!X231&gt;0,4-Data!X231,"")</f>
        <v>2</v>
      </c>
      <c r="Y231" s="1">
        <f>IF(Data!Y231&gt;0,4-Data!Y231,"")</f>
        <v>3</v>
      </c>
      <c r="Z231" s="1">
        <f>IF(Data!Z231&gt;0,Data!Z231-4,"")</f>
        <v>2</v>
      </c>
      <c r="AC231" s="4" t="str">
        <f t="shared" si="30"/>
        <v/>
      </c>
      <c r="AD231" s="4" t="str">
        <f t="shared" si="31"/>
        <v/>
      </c>
      <c r="AE231" s="4" t="str">
        <f t="shared" si="32"/>
        <v/>
      </c>
      <c r="AF231" s="4" t="str">
        <f t="shared" si="33"/>
        <v/>
      </c>
      <c r="AG231" s="4" t="str">
        <f t="shared" si="34"/>
        <v/>
      </c>
      <c r="AH231" s="4" t="str">
        <f t="shared" si="35"/>
        <v/>
      </c>
      <c r="AI231" s="2">
        <f t="shared" si="36"/>
        <v>0</v>
      </c>
      <c r="AK231" s="2">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11</v>
      </c>
    </row>
    <row r="232" spans="1:37">
      <c r="A232" s="1">
        <f>IF(Data!A232&gt;0,Data!A232-4,"")</f>
        <v>1</v>
      </c>
      <c r="B232" s="1">
        <f>IF(Data!B232&gt;0,Data!B232-4,"")</f>
        <v>0</v>
      </c>
      <c r="C232" s="1">
        <f>IF(Data!C232&gt;0,4-Data!C232,"")</f>
        <v>-1</v>
      </c>
      <c r="D232" s="1">
        <f>IF(Data!D232&gt;0,4-Data!D232,"")</f>
        <v>-1</v>
      </c>
      <c r="E232" s="1">
        <f>IF(Data!E232&gt;0,4-Data!E232,"")</f>
        <v>-1</v>
      </c>
      <c r="F232" s="1">
        <f>IF(Data!F232&gt;0,Data!F232-4,"")</f>
        <v>0</v>
      </c>
      <c r="G232" s="1">
        <f>IF(Data!G232&gt;0,Data!G232-4,"")</f>
        <v>0</v>
      </c>
      <c r="H232" s="1">
        <f>IF(Data!H232&gt;0,Data!H232-4,"")</f>
        <v>1</v>
      </c>
      <c r="I232" s="1">
        <f>IF(Data!I232&gt;0,4-Data!I232,"")</f>
        <v>-1</v>
      </c>
      <c r="J232" s="1">
        <f>IF(Data!J232&gt;0,4-Data!J232,"")</f>
        <v>0</v>
      </c>
      <c r="K232" s="1">
        <f>IF(Data!K232&gt;0,Data!K232-4,"")</f>
        <v>0</v>
      </c>
      <c r="L232" s="1">
        <f>IF(Data!L232&gt;0,4-Data!L232,"")</f>
        <v>-1</v>
      </c>
      <c r="M232" s="1">
        <f>IF(Data!M232&gt;0,Data!M232-4,"")</f>
        <v>1</v>
      </c>
      <c r="N232" s="1">
        <f>IF(Data!N232&gt;0,Data!N232-4,"")</f>
        <v>1</v>
      </c>
      <c r="O232" s="1">
        <f>IF(Data!O232&gt;0,Data!O232-4,"")</f>
        <v>1</v>
      </c>
      <c r="P232" s="1">
        <f>IF(Data!P232&gt;0,Data!P232-4,"")</f>
        <v>1</v>
      </c>
      <c r="Q232" s="1">
        <f>IF(Data!Q232&gt;0,4-Data!Q232,"")</f>
        <v>0</v>
      </c>
      <c r="R232" s="1">
        <f>IF(Data!R232&gt;0,4-Data!R232,"")</f>
        <v>0</v>
      </c>
      <c r="S232" s="1">
        <f>IF(Data!S232&gt;0,4-Data!S232,"")</f>
        <v>1</v>
      </c>
      <c r="T232" s="1">
        <f>IF(Data!T232&gt;0,Data!T232-4,"")</f>
        <v>-2</v>
      </c>
      <c r="U232" s="1">
        <f>IF(Data!U232&gt;0,4-Data!U232,"")</f>
        <v>1</v>
      </c>
      <c r="V232" s="1">
        <f>IF(Data!V232&gt;0,Data!V232-4,"")</f>
        <v>0</v>
      </c>
      <c r="W232" s="1">
        <f>IF(Data!W232&gt;0,4-Data!W232,"")</f>
        <v>0</v>
      </c>
      <c r="X232" s="1">
        <f>IF(Data!X232&gt;0,4-Data!X232,"")</f>
        <v>-1</v>
      </c>
      <c r="Y232" s="1">
        <f>IF(Data!Y232&gt;0,4-Data!Y232,"")</f>
        <v>-1</v>
      </c>
      <c r="Z232" s="1">
        <f>IF(Data!Z232&gt;0,Data!Z232-4,"")</f>
        <v>1</v>
      </c>
      <c r="AC232" s="4" t="str">
        <f t="shared" si="30"/>
        <v/>
      </c>
      <c r="AD232" s="4" t="str">
        <f t="shared" si="31"/>
        <v/>
      </c>
      <c r="AE232" s="4" t="str">
        <f t="shared" si="32"/>
        <v/>
      </c>
      <c r="AF232" s="4" t="str">
        <f t="shared" si="33"/>
        <v/>
      </c>
      <c r="AG232" s="4" t="str">
        <f t="shared" si="34"/>
        <v/>
      </c>
      <c r="AH232" s="4" t="str">
        <f t="shared" si="35"/>
        <v/>
      </c>
      <c r="AI232" s="2">
        <f t="shared" si="36"/>
        <v>0</v>
      </c>
      <c r="AK232" s="2">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14</v>
      </c>
    </row>
    <row r="233" spans="1:37">
      <c r="A233" s="1">
        <f>IF(Data!A233&gt;0,Data!A233-4,"")</f>
        <v>3</v>
      </c>
      <c r="B233" s="1">
        <f>IF(Data!B233&gt;0,Data!B233-4,"")</f>
        <v>3</v>
      </c>
      <c r="C233" s="1">
        <f>IF(Data!C233&gt;0,4-Data!C233,"")</f>
        <v>1</v>
      </c>
      <c r="D233" s="1">
        <f>IF(Data!D233&gt;0,4-Data!D233,"")</f>
        <v>3</v>
      </c>
      <c r="E233" s="1">
        <f>IF(Data!E233&gt;0,4-Data!E233,"")</f>
        <v>2</v>
      </c>
      <c r="F233" s="1">
        <f>IF(Data!F233&gt;0,Data!F233-4,"")</f>
        <v>1</v>
      </c>
      <c r="G233" s="1">
        <f>IF(Data!G233&gt;0,Data!G233-4,"")</f>
        <v>2</v>
      </c>
      <c r="H233" s="1">
        <f>IF(Data!H233&gt;0,Data!H233-4,"")</f>
        <v>1</v>
      </c>
      <c r="I233" s="1">
        <f>IF(Data!I233&gt;0,4-Data!I233,"")</f>
        <v>1</v>
      </c>
      <c r="J233" s="1">
        <f>IF(Data!J233&gt;0,4-Data!J233,"")</f>
        <v>0</v>
      </c>
      <c r="K233" s="1">
        <f>IF(Data!K233&gt;0,Data!K233-4,"")</f>
        <v>2</v>
      </c>
      <c r="L233" s="1">
        <f>IF(Data!L233&gt;0,4-Data!L233,"")</f>
        <v>3</v>
      </c>
      <c r="M233" s="1">
        <f>IF(Data!M233&gt;0,Data!M233-4,"")</f>
        <v>2</v>
      </c>
      <c r="N233" s="1">
        <f>IF(Data!N233&gt;0,Data!N233-4,"")</f>
        <v>2</v>
      </c>
      <c r="O233" s="1">
        <f>IF(Data!O233&gt;0,Data!O233-4,"")</f>
        <v>2</v>
      </c>
      <c r="P233" s="1">
        <f>IF(Data!P233&gt;0,Data!P233-4,"")</f>
        <v>2</v>
      </c>
      <c r="Q233" s="1">
        <f>IF(Data!Q233&gt;0,4-Data!Q233,"")</f>
        <v>2</v>
      </c>
      <c r="R233" s="1">
        <f>IF(Data!R233&gt;0,4-Data!R233,"")</f>
        <v>1</v>
      </c>
      <c r="S233" s="1">
        <f>IF(Data!S233&gt;0,4-Data!S233,"")</f>
        <v>3</v>
      </c>
      <c r="T233" s="1">
        <f>IF(Data!T233&gt;0,Data!T233-4,"")</f>
        <v>3</v>
      </c>
      <c r="U233" s="1">
        <f>IF(Data!U233&gt;0,4-Data!U233,"")</f>
        <v>2</v>
      </c>
      <c r="V233" s="1">
        <f>IF(Data!V233&gt;0,Data!V233-4,"")</f>
        <v>2</v>
      </c>
      <c r="W233" s="1">
        <f>IF(Data!W233&gt;0,4-Data!W233,"")</f>
        <v>1</v>
      </c>
      <c r="X233" s="1">
        <f>IF(Data!X233&gt;0,4-Data!X233,"")</f>
        <v>0</v>
      </c>
      <c r="Y233" s="1">
        <f>IF(Data!Y233&gt;0,4-Data!Y233,"")</f>
        <v>2</v>
      </c>
      <c r="Z233" s="1">
        <f>IF(Data!Z233&gt;0,Data!Z233-4,"")</f>
        <v>2</v>
      </c>
      <c r="AC233" s="4" t="str">
        <f t="shared" si="30"/>
        <v/>
      </c>
      <c r="AD233" s="4" t="str">
        <f t="shared" si="31"/>
        <v/>
      </c>
      <c r="AE233" s="4" t="str">
        <f t="shared" si="32"/>
        <v/>
      </c>
      <c r="AF233" s="4" t="str">
        <f t="shared" si="33"/>
        <v/>
      </c>
      <c r="AG233" s="4" t="str">
        <f t="shared" si="34"/>
        <v/>
      </c>
      <c r="AH233" s="4" t="str">
        <f t="shared" si="35"/>
        <v/>
      </c>
      <c r="AI233" s="2">
        <f t="shared" si="36"/>
        <v>0</v>
      </c>
      <c r="AK233" s="2">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8</v>
      </c>
    </row>
    <row r="234" spans="1:37">
      <c r="A234" s="1">
        <f>IF(Data!A234&gt;0,Data!A234-4,"")</f>
        <v>1</v>
      </c>
      <c r="B234" s="1">
        <f>IF(Data!B234&gt;0,Data!B234-4,"")</f>
        <v>2</v>
      </c>
      <c r="C234" s="1">
        <f>IF(Data!C234&gt;0,4-Data!C234,"")</f>
        <v>0</v>
      </c>
      <c r="D234" s="1">
        <f>IF(Data!D234&gt;0,4-Data!D234,"")</f>
        <v>-1</v>
      </c>
      <c r="E234" s="1">
        <f>IF(Data!E234&gt;0,4-Data!E234,"")</f>
        <v>-2</v>
      </c>
      <c r="F234" s="1">
        <f>IF(Data!F234&gt;0,Data!F234-4,"")</f>
        <v>1</v>
      </c>
      <c r="G234" s="1">
        <f>IF(Data!G234&gt;0,Data!G234-4,"")</f>
        <v>1</v>
      </c>
      <c r="H234" s="1">
        <f>IF(Data!H234&gt;0,Data!H234-4,"")</f>
        <v>-1</v>
      </c>
      <c r="I234" s="1">
        <f>IF(Data!I234&gt;0,4-Data!I234,"")</f>
        <v>1</v>
      </c>
      <c r="J234" s="1">
        <f>IF(Data!J234&gt;0,4-Data!J234,"")</f>
        <v>-1</v>
      </c>
      <c r="K234" s="1">
        <f>IF(Data!K234&gt;0,Data!K234-4,"")</f>
        <v>1</v>
      </c>
      <c r="L234" s="1">
        <f>IF(Data!L234&gt;0,4-Data!L234,"")</f>
        <v>-1</v>
      </c>
      <c r="M234" s="1">
        <f>IF(Data!M234&gt;0,Data!M234-4,"")</f>
        <v>-1</v>
      </c>
      <c r="N234" s="1">
        <f>IF(Data!N234&gt;0,Data!N234-4,"")</f>
        <v>1</v>
      </c>
      <c r="O234" s="1">
        <f>IF(Data!O234&gt;0,Data!O234-4,"")</f>
        <v>0</v>
      </c>
      <c r="P234" s="1">
        <f>IF(Data!P234&gt;0,Data!P234-4,"")</f>
        <v>-1</v>
      </c>
      <c r="Q234" s="1">
        <f>IF(Data!Q234&gt;0,4-Data!Q234,"")</f>
        <v>1</v>
      </c>
      <c r="R234" s="1">
        <f>IF(Data!R234&gt;0,4-Data!R234,"")</f>
        <v>-1</v>
      </c>
      <c r="S234" s="1">
        <f>IF(Data!S234&gt;0,4-Data!S234,"")</f>
        <v>1</v>
      </c>
      <c r="T234" s="1">
        <f>IF(Data!T234&gt;0,Data!T234-4,"")</f>
        <v>2</v>
      </c>
      <c r="U234" s="1">
        <f>IF(Data!U234&gt;0,4-Data!U234,"")</f>
        <v>2</v>
      </c>
      <c r="V234" s="1">
        <f>IF(Data!V234&gt;0,Data!V234-4,"")</f>
        <v>2</v>
      </c>
      <c r="W234" s="1">
        <f>IF(Data!W234&gt;0,4-Data!W234,"")</f>
        <v>2</v>
      </c>
      <c r="X234" s="1">
        <f>IF(Data!X234&gt;0,4-Data!X234,"")</f>
        <v>0</v>
      </c>
      <c r="Y234" s="1">
        <f>IF(Data!Y234&gt;0,4-Data!Y234,"")</f>
        <v>2</v>
      </c>
      <c r="Z234" s="1">
        <f>IF(Data!Z234&gt;0,Data!Z234-4,"")</f>
        <v>1</v>
      </c>
      <c r="AC234" s="4" t="str">
        <f t="shared" si="30"/>
        <v/>
      </c>
      <c r="AD234" s="4" t="str">
        <f t="shared" si="31"/>
        <v/>
      </c>
      <c r="AE234" s="4" t="str">
        <f t="shared" si="32"/>
        <v/>
      </c>
      <c r="AF234" s="4" t="str">
        <f t="shared" si="33"/>
        <v/>
      </c>
      <c r="AG234" s="4" t="str">
        <f t="shared" si="34"/>
        <v/>
      </c>
      <c r="AH234" s="4" t="str">
        <f t="shared" si="35"/>
        <v/>
      </c>
      <c r="AI234" s="2">
        <f t="shared" si="36"/>
        <v>0</v>
      </c>
      <c r="AK234" s="2">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10</v>
      </c>
    </row>
    <row r="235" spans="1:37">
      <c r="A235" s="1">
        <f>IF(Data!A235&gt;0,Data!A235-4,"")</f>
        <v>2</v>
      </c>
      <c r="B235" s="1">
        <f>IF(Data!B235&gt;0,Data!B235-4,"")</f>
        <v>2</v>
      </c>
      <c r="C235" s="1">
        <f>IF(Data!C235&gt;0,4-Data!C235,"")</f>
        <v>-3</v>
      </c>
      <c r="D235" s="1">
        <f>IF(Data!D235&gt;0,4-Data!D235,"")</f>
        <v>-1</v>
      </c>
      <c r="E235" s="1">
        <f>IF(Data!E235&gt;0,4-Data!E235,"")</f>
        <v>-1</v>
      </c>
      <c r="F235" s="1">
        <f>IF(Data!F235&gt;0,Data!F235-4,"")</f>
        <v>1</v>
      </c>
      <c r="G235" s="1">
        <f>IF(Data!G235&gt;0,Data!G235-4,"")</f>
        <v>2</v>
      </c>
      <c r="H235" s="1">
        <f>IF(Data!H235&gt;0,Data!H235-4,"")</f>
        <v>0</v>
      </c>
      <c r="I235" s="1">
        <f>IF(Data!I235&gt;0,4-Data!I235,"")</f>
        <v>-1</v>
      </c>
      <c r="J235" s="1">
        <f>IF(Data!J235&gt;0,4-Data!J235,"")</f>
        <v>-1</v>
      </c>
      <c r="K235" s="1">
        <f>IF(Data!K235&gt;0,Data!K235-4,"")</f>
        <v>1</v>
      </c>
      <c r="L235" s="1">
        <f>IF(Data!L235&gt;0,4-Data!L235,"")</f>
        <v>-2</v>
      </c>
      <c r="M235" s="1">
        <f>IF(Data!M235&gt;0,Data!M235-4,"")</f>
        <v>1</v>
      </c>
      <c r="N235" s="1">
        <f>IF(Data!N235&gt;0,Data!N235-4,"")</f>
        <v>1</v>
      </c>
      <c r="O235" s="1">
        <f>IF(Data!O235&gt;0,Data!O235-4,"")</f>
        <v>2</v>
      </c>
      <c r="P235" s="1">
        <f>IF(Data!P235&gt;0,Data!P235-4,"")</f>
        <v>1</v>
      </c>
      <c r="Q235" s="1">
        <f>IF(Data!Q235&gt;0,4-Data!Q235,"")</f>
        <v>-1</v>
      </c>
      <c r="R235" s="1">
        <f>IF(Data!R235&gt;0,4-Data!R235,"")</f>
        <v>-2</v>
      </c>
      <c r="S235" s="1">
        <f>IF(Data!S235&gt;0,4-Data!S235,"")</f>
        <v>-1</v>
      </c>
      <c r="T235" s="1">
        <f>IF(Data!T235&gt;0,Data!T235-4,"")</f>
        <v>1</v>
      </c>
      <c r="U235" s="1">
        <f>IF(Data!U235&gt;0,4-Data!U235,"")</f>
        <v>-1</v>
      </c>
      <c r="V235" s="1">
        <f>IF(Data!V235&gt;0,Data!V235-4,"")</f>
        <v>2</v>
      </c>
      <c r="W235" s="1">
        <f>IF(Data!W235&gt;0,4-Data!W235,"")</f>
        <v>-1</v>
      </c>
      <c r="X235" s="1">
        <f>IF(Data!X235&gt;0,4-Data!X235,"")</f>
        <v>-1</v>
      </c>
      <c r="Y235" s="1">
        <f>IF(Data!Y235&gt;0,4-Data!Y235,"")</f>
        <v>-2</v>
      </c>
      <c r="Z235" s="1">
        <f>IF(Data!Z235&gt;0,Data!Z235-4,"")</f>
        <v>2</v>
      </c>
      <c r="AC235" s="4">
        <f t="shared" si="30"/>
        <v>1</v>
      </c>
      <c r="AD235" s="4" t="str">
        <f t="shared" si="31"/>
        <v/>
      </c>
      <c r="AE235" s="4" t="str">
        <f t="shared" si="32"/>
        <v/>
      </c>
      <c r="AF235" s="4" t="str">
        <f t="shared" si="33"/>
        <v/>
      </c>
      <c r="AG235" s="4">
        <f t="shared" si="34"/>
        <v>1</v>
      </c>
      <c r="AH235" s="4">
        <f t="shared" si="35"/>
        <v>1</v>
      </c>
      <c r="AI235" s="2">
        <f t="shared" si="36"/>
        <v>3</v>
      </c>
      <c r="AK235" s="2">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15</v>
      </c>
    </row>
    <row r="236" spans="1:37">
      <c r="A236" s="1">
        <f>IF(Data!A236&gt;0,Data!A236-4,"")</f>
        <v>-2</v>
      </c>
      <c r="B236" s="1">
        <f>IF(Data!B236&gt;0,Data!B236-4,"")</f>
        <v>3</v>
      </c>
      <c r="C236" s="1">
        <f>IF(Data!C236&gt;0,4-Data!C236,"")</f>
        <v>0</v>
      </c>
      <c r="D236" s="1">
        <f>IF(Data!D236&gt;0,4-Data!D236,"")</f>
        <v>3</v>
      </c>
      <c r="E236" s="1">
        <f>IF(Data!E236&gt;0,4-Data!E236,"")</f>
        <v>3</v>
      </c>
      <c r="F236" s="1">
        <f>IF(Data!F236&gt;0,Data!F236-4,"")</f>
        <v>0</v>
      </c>
      <c r="G236" s="1">
        <f>IF(Data!G236&gt;0,Data!G236-4,"")</f>
        <v>0</v>
      </c>
      <c r="H236" s="1">
        <f>IF(Data!H236&gt;0,Data!H236-4,"")</f>
        <v>3</v>
      </c>
      <c r="I236" s="1">
        <f>IF(Data!I236&gt;0,4-Data!I236,"")</f>
        <v>3</v>
      </c>
      <c r="J236" s="1">
        <f>IF(Data!J236&gt;0,4-Data!J236,"")</f>
        <v>-1</v>
      </c>
      <c r="K236" s="1">
        <f>IF(Data!K236&gt;0,Data!K236-4,"")</f>
        <v>0</v>
      </c>
      <c r="L236" s="1">
        <f>IF(Data!L236&gt;0,4-Data!L236,"")</f>
        <v>2</v>
      </c>
      <c r="M236" s="1">
        <f>IF(Data!M236&gt;0,Data!M236-4,"")</f>
        <v>3</v>
      </c>
      <c r="N236" s="1">
        <f>IF(Data!N236&gt;0,Data!N236-4,"")</f>
        <v>1</v>
      </c>
      <c r="O236" s="1">
        <f>IF(Data!O236&gt;0,Data!O236-4,"")</f>
        <v>-2</v>
      </c>
      <c r="P236" s="1">
        <f>IF(Data!P236&gt;0,Data!P236-4,"")</f>
        <v>1</v>
      </c>
      <c r="Q236" s="1">
        <f>IF(Data!Q236&gt;0,4-Data!Q236,"")</f>
        <v>2</v>
      </c>
      <c r="R236" s="1">
        <f>IF(Data!R236&gt;0,4-Data!R236,"")</f>
        <v>0</v>
      </c>
      <c r="S236" s="1">
        <f>IF(Data!S236&gt;0,4-Data!S236,"")</f>
        <v>2</v>
      </c>
      <c r="T236" s="1">
        <f>IF(Data!T236&gt;0,Data!T236-4,"")</f>
        <v>3</v>
      </c>
      <c r="U236" s="1">
        <f>IF(Data!U236&gt;0,4-Data!U236,"")</f>
        <v>2</v>
      </c>
      <c r="V236" s="1">
        <f>IF(Data!V236&gt;0,Data!V236-4,"")</f>
        <v>3</v>
      </c>
      <c r="W236" s="1">
        <f>IF(Data!W236&gt;0,4-Data!W236,"")</f>
        <v>2</v>
      </c>
      <c r="X236" s="1">
        <f>IF(Data!X236&gt;0,4-Data!X236,"")</f>
        <v>0</v>
      </c>
      <c r="Y236" s="1">
        <f>IF(Data!Y236&gt;0,4-Data!Y236,"")</f>
        <v>0</v>
      </c>
      <c r="Z236" s="1">
        <f>IF(Data!Z236&gt;0,Data!Z236-4,"")</f>
        <v>1</v>
      </c>
      <c r="AC236" s="4">
        <f t="shared" si="30"/>
        <v>1</v>
      </c>
      <c r="AD236" s="4" t="str">
        <f t="shared" si="31"/>
        <v/>
      </c>
      <c r="AE236" s="4" t="str">
        <f t="shared" si="32"/>
        <v/>
      </c>
      <c r="AF236" s="4" t="str">
        <f t="shared" si="33"/>
        <v/>
      </c>
      <c r="AG236" s="4" t="str">
        <f t="shared" si="34"/>
        <v/>
      </c>
      <c r="AH236" s="4" t="str">
        <f t="shared" si="35"/>
        <v/>
      </c>
      <c r="AI236" s="2">
        <f t="shared" si="36"/>
        <v>1</v>
      </c>
      <c r="AK236" s="2">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7</v>
      </c>
    </row>
    <row r="237" spans="1:37">
      <c r="A237" s="1">
        <f>IF(Data!A237&gt;0,Data!A237-4,"")</f>
        <v>2</v>
      </c>
      <c r="B237" s="1">
        <f>IF(Data!B237&gt;0,Data!B237-4,"")</f>
        <v>2</v>
      </c>
      <c r="C237" s="1">
        <f>IF(Data!C237&gt;0,4-Data!C237,"")</f>
        <v>2</v>
      </c>
      <c r="D237" s="1">
        <f>IF(Data!D237&gt;0,4-Data!D237,"")</f>
        <v>2</v>
      </c>
      <c r="E237" s="1">
        <f>IF(Data!E237&gt;0,4-Data!E237,"")</f>
        <v>2</v>
      </c>
      <c r="F237" s="1">
        <f>IF(Data!F237&gt;0,Data!F237-4,"")</f>
        <v>1</v>
      </c>
      <c r="G237" s="1">
        <f>IF(Data!G237&gt;0,Data!G237-4,"")</f>
        <v>2</v>
      </c>
      <c r="H237" s="1">
        <f>IF(Data!H237&gt;0,Data!H237-4,"")</f>
        <v>1</v>
      </c>
      <c r="I237" s="1">
        <f>IF(Data!I237&gt;0,4-Data!I237,"")</f>
        <v>1</v>
      </c>
      <c r="J237" s="1">
        <f>IF(Data!J237&gt;0,4-Data!J237,"")</f>
        <v>2</v>
      </c>
      <c r="K237" s="1">
        <f>IF(Data!K237&gt;0,Data!K237-4,"")</f>
        <v>2</v>
      </c>
      <c r="L237" s="1">
        <f>IF(Data!L237&gt;0,4-Data!L237,"")</f>
        <v>2</v>
      </c>
      <c r="M237" s="1">
        <f>IF(Data!M237&gt;0,Data!M237-4,"")</f>
        <v>2</v>
      </c>
      <c r="N237" s="1">
        <f>IF(Data!N237&gt;0,Data!N237-4,"")</f>
        <v>2</v>
      </c>
      <c r="O237" s="1">
        <f>IF(Data!O237&gt;0,Data!O237-4,"")</f>
        <v>2</v>
      </c>
      <c r="P237" s="1">
        <f>IF(Data!P237&gt;0,Data!P237-4,"")</f>
        <v>2</v>
      </c>
      <c r="Q237" s="1">
        <f>IF(Data!Q237&gt;0,4-Data!Q237,"")</f>
        <v>0</v>
      </c>
      <c r="R237" s="1">
        <f>IF(Data!R237&gt;0,4-Data!R237,"")</f>
        <v>2</v>
      </c>
      <c r="S237" s="1">
        <f>IF(Data!S237&gt;0,4-Data!S237,"")</f>
        <v>2</v>
      </c>
      <c r="T237" s="1">
        <f>IF(Data!T237&gt;0,Data!T237-4,"")</f>
        <v>2</v>
      </c>
      <c r="U237" s="1">
        <f>IF(Data!U237&gt;0,4-Data!U237,"")</f>
        <v>2</v>
      </c>
      <c r="V237" s="1">
        <f>IF(Data!V237&gt;0,Data!V237-4,"")</f>
        <v>2</v>
      </c>
      <c r="W237" s="1">
        <f>IF(Data!W237&gt;0,4-Data!W237,"")</f>
        <v>2</v>
      </c>
      <c r="X237" s="1">
        <f>IF(Data!X237&gt;0,4-Data!X237,"")</f>
        <v>1</v>
      </c>
      <c r="Y237" s="1">
        <f>IF(Data!Y237&gt;0,4-Data!Y237,"")</f>
        <v>2</v>
      </c>
      <c r="Z237" s="1">
        <f>IF(Data!Z237&gt;0,Data!Z237-4,"")</f>
        <v>2</v>
      </c>
      <c r="AC237" s="4" t="str">
        <f t="shared" si="30"/>
        <v/>
      </c>
      <c r="AD237" s="4" t="str">
        <f t="shared" si="31"/>
        <v/>
      </c>
      <c r="AE237" s="4" t="str">
        <f t="shared" si="32"/>
        <v/>
      </c>
      <c r="AF237" s="4" t="str">
        <f t="shared" si="33"/>
        <v/>
      </c>
      <c r="AG237" s="4" t="str">
        <f t="shared" si="34"/>
        <v/>
      </c>
      <c r="AH237" s="4" t="str">
        <f t="shared" si="35"/>
        <v/>
      </c>
      <c r="AI237" s="2">
        <f t="shared" si="36"/>
        <v>0</v>
      </c>
      <c r="AK237" s="2">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11</v>
      </c>
    </row>
    <row r="238" spans="1:37">
      <c r="A238" s="1">
        <f>IF(Data!A238&gt;0,Data!A238-4,"")</f>
        <v>2</v>
      </c>
      <c r="B238" s="1">
        <f>IF(Data!B238&gt;0,Data!B238-4,"")</f>
        <v>3</v>
      </c>
      <c r="C238" s="1">
        <f>IF(Data!C238&gt;0,4-Data!C238,"")</f>
        <v>2</v>
      </c>
      <c r="D238" s="1">
        <f>IF(Data!D238&gt;0,4-Data!D238,"")</f>
        <v>2</v>
      </c>
      <c r="E238" s="1">
        <f>IF(Data!E238&gt;0,4-Data!E238,"")</f>
        <v>3</v>
      </c>
      <c r="F238" s="1">
        <f>IF(Data!F238&gt;0,Data!F238-4,"")</f>
        <v>2</v>
      </c>
      <c r="G238" s="1">
        <f>IF(Data!G238&gt;0,Data!G238-4,"")</f>
        <v>2</v>
      </c>
      <c r="H238" s="1">
        <f>IF(Data!H238&gt;0,Data!H238-4,"")</f>
        <v>0</v>
      </c>
      <c r="I238" s="1">
        <f>IF(Data!I238&gt;0,4-Data!I238,"")</f>
        <v>1</v>
      </c>
      <c r="J238" s="1">
        <f>IF(Data!J238&gt;0,4-Data!J238,"")</f>
        <v>-1</v>
      </c>
      <c r="K238" s="1">
        <f>IF(Data!K238&gt;0,Data!K238-4,"")</f>
        <v>2</v>
      </c>
      <c r="L238" s="1">
        <f>IF(Data!L238&gt;0,4-Data!L238,"")</f>
        <v>2</v>
      </c>
      <c r="M238" s="1">
        <f>IF(Data!M238&gt;0,Data!M238-4,"")</f>
        <v>2</v>
      </c>
      <c r="N238" s="1">
        <f>IF(Data!N238&gt;0,Data!N238-4,"")</f>
        <v>2</v>
      </c>
      <c r="O238" s="1">
        <f>IF(Data!O238&gt;0,Data!O238-4,"")</f>
        <v>2</v>
      </c>
      <c r="P238" s="1">
        <f>IF(Data!P238&gt;0,Data!P238-4,"")</f>
        <v>3</v>
      </c>
      <c r="Q238" s="1">
        <f>IF(Data!Q238&gt;0,4-Data!Q238,"")</f>
        <v>2</v>
      </c>
      <c r="R238" s="1">
        <f>IF(Data!R238&gt;0,4-Data!R238,"")</f>
        <v>3</v>
      </c>
      <c r="S238" s="1">
        <f>IF(Data!S238&gt;0,4-Data!S238,"")</f>
        <v>2</v>
      </c>
      <c r="T238" s="1">
        <f>IF(Data!T238&gt;0,Data!T238-4,"")</f>
        <v>3</v>
      </c>
      <c r="U238" s="1">
        <f>IF(Data!U238&gt;0,4-Data!U238,"")</f>
        <v>2</v>
      </c>
      <c r="V238" s="1">
        <f>IF(Data!V238&gt;0,Data!V238-4,"")</f>
        <v>3</v>
      </c>
      <c r="W238" s="1">
        <f>IF(Data!W238&gt;0,4-Data!W238,"")</f>
        <v>3</v>
      </c>
      <c r="X238" s="1">
        <f>IF(Data!X238&gt;0,4-Data!X238,"")</f>
        <v>3</v>
      </c>
      <c r="Y238" s="1">
        <f>IF(Data!Y238&gt;0,4-Data!Y238,"")</f>
        <v>2</v>
      </c>
      <c r="Z238" s="1">
        <f>IF(Data!Z238&gt;0,Data!Z238-4,"")</f>
        <v>2</v>
      </c>
      <c r="AC238" s="4" t="str">
        <f t="shared" si="30"/>
        <v/>
      </c>
      <c r="AD238" s="4" t="str">
        <f t="shared" si="31"/>
        <v/>
      </c>
      <c r="AE238" s="4" t="str">
        <f t="shared" si="32"/>
        <v/>
      </c>
      <c r="AF238" s="4" t="str">
        <f t="shared" si="33"/>
        <v/>
      </c>
      <c r="AG238" s="4" t="str">
        <f t="shared" si="34"/>
        <v/>
      </c>
      <c r="AH238" s="4" t="str">
        <f t="shared" si="35"/>
        <v/>
      </c>
      <c r="AI238" s="2">
        <f t="shared" si="36"/>
        <v>0</v>
      </c>
      <c r="AK238" s="2">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8</v>
      </c>
    </row>
    <row r="239" spans="1:37">
      <c r="A239" s="1">
        <f>IF(Data!A239&gt;0,Data!A239-4,"")</f>
        <v>2</v>
      </c>
      <c r="B239" s="1">
        <f>IF(Data!B239&gt;0,Data!B239-4,"")</f>
        <v>3</v>
      </c>
      <c r="C239" s="1">
        <f>IF(Data!C239&gt;0,4-Data!C239,"")</f>
        <v>0</v>
      </c>
      <c r="D239" s="1">
        <f>IF(Data!D239&gt;0,4-Data!D239,"")</f>
        <v>2</v>
      </c>
      <c r="E239" s="1">
        <f>IF(Data!E239&gt;0,4-Data!E239,"")</f>
        <v>2</v>
      </c>
      <c r="F239" s="1">
        <f>IF(Data!F239&gt;0,Data!F239-4,"")</f>
        <v>0</v>
      </c>
      <c r="G239" s="1">
        <f>IF(Data!G239&gt;0,Data!G239-4,"")</f>
        <v>1</v>
      </c>
      <c r="H239" s="1">
        <f>IF(Data!H239&gt;0,Data!H239-4,"")</f>
        <v>0</v>
      </c>
      <c r="I239" s="1">
        <f>IF(Data!I239&gt;0,4-Data!I239,"")</f>
        <v>2</v>
      </c>
      <c r="J239" s="1">
        <f>IF(Data!J239&gt;0,4-Data!J239,"")</f>
        <v>1</v>
      </c>
      <c r="K239" s="1">
        <f>IF(Data!K239&gt;0,Data!K239-4,"")</f>
        <v>0</v>
      </c>
      <c r="L239" s="1">
        <f>IF(Data!L239&gt;0,4-Data!L239,"")</f>
        <v>3</v>
      </c>
      <c r="M239" s="1">
        <f>IF(Data!M239&gt;0,Data!M239-4,"")</f>
        <v>2</v>
      </c>
      <c r="N239" s="1">
        <f>IF(Data!N239&gt;0,Data!N239-4,"")</f>
        <v>1</v>
      </c>
      <c r="O239" s="1">
        <f>IF(Data!O239&gt;0,Data!O239-4,"")</f>
        <v>0</v>
      </c>
      <c r="P239" s="1">
        <f>IF(Data!P239&gt;0,Data!P239-4,"")</f>
        <v>2</v>
      </c>
      <c r="Q239" s="1">
        <f>IF(Data!Q239&gt;0,4-Data!Q239,"")</f>
        <v>3</v>
      </c>
      <c r="R239" s="1">
        <f>IF(Data!R239&gt;0,4-Data!R239,"")</f>
        <v>1</v>
      </c>
      <c r="S239" s="1">
        <f>IF(Data!S239&gt;0,4-Data!S239,"")</f>
        <v>2</v>
      </c>
      <c r="T239" s="1">
        <f>IF(Data!T239&gt;0,Data!T239-4,"")</f>
        <v>2</v>
      </c>
      <c r="U239" s="1">
        <f>IF(Data!U239&gt;0,4-Data!U239,"")</f>
        <v>3</v>
      </c>
      <c r="V239" s="1">
        <f>IF(Data!V239&gt;0,Data!V239-4,"")</f>
        <v>3</v>
      </c>
      <c r="W239" s="1">
        <f>IF(Data!W239&gt;0,4-Data!W239,"")</f>
        <v>2</v>
      </c>
      <c r="X239" s="1">
        <f>IF(Data!X239&gt;0,4-Data!X239,"")</f>
        <v>3</v>
      </c>
      <c r="Y239" s="1">
        <f>IF(Data!Y239&gt;0,4-Data!Y239,"")</f>
        <v>3</v>
      </c>
      <c r="Z239" s="1">
        <f>IF(Data!Z239&gt;0,Data!Z239-4,"")</f>
        <v>1</v>
      </c>
      <c r="AC239" s="4" t="str">
        <f t="shared" si="30"/>
        <v/>
      </c>
      <c r="AD239" s="4" t="str">
        <f t="shared" si="31"/>
        <v/>
      </c>
      <c r="AE239" s="4" t="str">
        <f t="shared" si="32"/>
        <v/>
      </c>
      <c r="AF239" s="4" t="str">
        <f t="shared" si="33"/>
        <v/>
      </c>
      <c r="AG239" s="4" t="str">
        <f t="shared" si="34"/>
        <v/>
      </c>
      <c r="AH239" s="4" t="str">
        <f t="shared" si="35"/>
        <v/>
      </c>
      <c r="AI239" s="2">
        <f t="shared" si="36"/>
        <v>0</v>
      </c>
      <c r="AK239" s="2">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5</v>
      </c>
    </row>
    <row r="240" spans="1:37">
      <c r="A240" s="1">
        <f>IF(Data!A240&gt;0,Data!A240-4,"")</f>
        <v>0</v>
      </c>
      <c r="B240" s="1">
        <f>IF(Data!B240&gt;0,Data!B240-4,"")</f>
        <v>1</v>
      </c>
      <c r="C240" s="1">
        <f>IF(Data!C240&gt;0,4-Data!C240,"")</f>
        <v>0</v>
      </c>
      <c r="D240" s="1">
        <f>IF(Data!D240&gt;0,4-Data!D240,"")</f>
        <v>2</v>
      </c>
      <c r="E240" s="1">
        <f>IF(Data!E240&gt;0,4-Data!E240,"")</f>
        <v>1</v>
      </c>
      <c r="F240" s="1">
        <f>IF(Data!F240&gt;0,Data!F240-4,"")</f>
        <v>0</v>
      </c>
      <c r="G240" s="1">
        <f>IF(Data!G240&gt;0,Data!G240-4,"")</f>
        <v>-1</v>
      </c>
      <c r="H240" s="1">
        <f>IF(Data!H240&gt;0,Data!H240-4,"")</f>
        <v>1</v>
      </c>
      <c r="I240" s="1">
        <f>IF(Data!I240&gt;0,4-Data!I240,"")</f>
        <v>1</v>
      </c>
      <c r="J240" s="1">
        <f>IF(Data!J240&gt;0,4-Data!J240,"")</f>
        <v>1</v>
      </c>
      <c r="K240" s="1">
        <f>IF(Data!K240&gt;0,Data!K240-4,"")</f>
        <v>0</v>
      </c>
      <c r="L240" s="1">
        <f>IF(Data!L240&gt;0,4-Data!L240,"")</f>
        <v>1</v>
      </c>
      <c r="M240" s="1">
        <f>IF(Data!M240&gt;0,Data!M240-4,"")</f>
        <v>1</v>
      </c>
      <c r="N240" s="1">
        <f>IF(Data!N240&gt;0,Data!N240-4,"")</f>
        <v>1</v>
      </c>
      <c r="O240" s="1">
        <f>IF(Data!O240&gt;0,Data!O240-4,"")</f>
        <v>1</v>
      </c>
      <c r="P240" s="1">
        <f>IF(Data!P240&gt;0,Data!P240-4,"")</f>
        <v>1</v>
      </c>
      <c r="Q240" s="1">
        <f>IF(Data!Q240&gt;0,4-Data!Q240,"")</f>
        <v>2</v>
      </c>
      <c r="R240" s="1">
        <f>IF(Data!R240&gt;0,4-Data!R240,"")</f>
        <v>-1</v>
      </c>
      <c r="S240" s="1">
        <f>IF(Data!S240&gt;0,4-Data!S240,"")</f>
        <v>1</v>
      </c>
      <c r="T240" s="1">
        <f>IF(Data!T240&gt;0,Data!T240-4,"")</f>
        <v>2</v>
      </c>
      <c r="U240" s="1">
        <f>IF(Data!U240&gt;0,4-Data!U240,"")</f>
        <v>-1</v>
      </c>
      <c r="V240" s="1">
        <f>IF(Data!V240&gt;0,Data!V240-4,"")</f>
        <v>2</v>
      </c>
      <c r="W240" s="1">
        <f>IF(Data!W240&gt;0,4-Data!W240,"")</f>
        <v>-1</v>
      </c>
      <c r="X240" s="1">
        <f>IF(Data!X240&gt;0,4-Data!X240,"")</f>
        <v>1</v>
      </c>
      <c r="Y240" s="1">
        <f>IF(Data!Y240&gt;0,4-Data!Y240,"")</f>
        <v>1</v>
      </c>
      <c r="Z240" s="1">
        <f>IF(Data!Z240&gt;0,Data!Z240-4,"")</f>
        <v>1</v>
      </c>
      <c r="AC240" s="4" t="str">
        <f t="shared" si="30"/>
        <v/>
      </c>
      <c r="AD240" s="4" t="str">
        <f t="shared" si="31"/>
        <v/>
      </c>
      <c r="AE240" s="4" t="str">
        <f t="shared" si="32"/>
        <v/>
      </c>
      <c r="AF240" s="4" t="str">
        <f t="shared" si="33"/>
        <v/>
      </c>
      <c r="AG240" s="4" t="str">
        <f t="shared" si="34"/>
        <v/>
      </c>
      <c r="AH240" s="4" t="str">
        <f t="shared" si="35"/>
        <v/>
      </c>
      <c r="AI240" s="2">
        <f t="shared" si="36"/>
        <v>0</v>
      </c>
      <c r="AK240" s="2">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10</v>
      </c>
    </row>
    <row r="241" spans="1:37">
      <c r="A241" s="1">
        <f>IF(Data!A241&gt;0,Data!A241-4,"")</f>
        <v>1</v>
      </c>
      <c r="B241" s="1">
        <f>IF(Data!B241&gt;0,Data!B241-4,"")</f>
        <v>2</v>
      </c>
      <c r="C241" s="1">
        <f>IF(Data!C241&gt;0,4-Data!C241,"")</f>
        <v>0</v>
      </c>
      <c r="D241" s="1">
        <f>IF(Data!D241&gt;0,4-Data!D241,"")</f>
        <v>0</v>
      </c>
      <c r="E241" s="1">
        <f>IF(Data!E241&gt;0,4-Data!E241,"")</f>
        <v>-1</v>
      </c>
      <c r="F241" s="1">
        <f>IF(Data!F241&gt;0,Data!F241-4,"")</f>
        <v>-1</v>
      </c>
      <c r="G241" s="1">
        <f>IF(Data!G241&gt;0,Data!G241-4,"")</f>
        <v>-1</v>
      </c>
      <c r="H241" s="1">
        <f>IF(Data!H241&gt;0,Data!H241-4,"")</f>
        <v>2</v>
      </c>
      <c r="I241" s="1">
        <f>IF(Data!I241&gt;0,4-Data!I241,"")</f>
        <v>-1</v>
      </c>
      <c r="J241" s="1">
        <f>IF(Data!J241&gt;0,4-Data!J241,"")</f>
        <v>-1</v>
      </c>
      <c r="K241" s="1">
        <f>IF(Data!K241&gt;0,Data!K241-4,"")</f>
        <v>0</v>
      </c>
      <c r="L241" s="1">
        <f>IF(Data!L241&gt;0,4-Data!L241,"")</f>
        <v>-1</v>
      </c>
      <c r="M241" s="1">
        <f>IF(Data!M241&gt;0,Data!M241-4,"")</f>
        <v>0</v>
      </c>
      <c r="N241" s="1">
        <f>IF(Data!N241&gt;0,Data!N241-4,"")</f>
        <v>-1</v>
      </c>
      <c r="O241" s="1">
        <f>IF(Data!O241&gt;0,Data!O241-4,"")</f>
        <v>0</v>
      </c>
      <c r="P241" s="1">
        <f>IF(Data!P241&gt;0,Data!P241-4,"")</f>
        <v>0</v>
      </c>
      <c r="Q241" s="1">
        <f>IF(Data!Q241&gt;0,4-Data!Q241,"")</f>
        <v>-1</v>
      </c>
      <c r="R241" s="1">
        <f>IF(Data!R241&gt;0,4-Data!R241,"")</f>
        <v>-1</v>
      </c>
      <c r="S241" s="1">
        <f>IF(Data!S241&gt;0,4-Data!S241,"")</f>
        <v>0</v>
      </c>
      <c r="T241" s="1">
        <f>IF(Data!T241&gt;0,Data!T241-4,"")</f>
        <v>-1</v>
      </c>
      <c r="U241" s="1">
        <f>IF(Data!U241&gt;0,4-Data!U241,"")</f>
        <v>0</v>
      </c>
      <c r="V241" s="1">
        <f>IF(Data!V241&gt;0,Data!V241-4,"")</f>
        <v>0</v>
      </c>
      <c r="W241" s="1">
        <f>IF(Data!W241&gt;0,4-Data!W241,"")</f>
        <v>-1</v>
      </c>
      <c r="X241" s="1">
        <f>IF(Data!X241&gt;0,4-Data!X241,"")</f>
        <v>-1</v>
      </c>
      <c r="Y241" s="1">
        <f>IF(Data!Y241&gt;0,4-Data!Y241,"")</f>
        <v>-1</v>
      </c>
      <c r="Z241" s="1">
        <f>IF(Data!Z241&gt;0,Data!Z241-4,"")</f>
        <v>1</v>
      </c>
      <c r="AC241" s="4" t="str">
        <f t="shared" si="30"/>
        <v/>
      </c>
      <c r="AD241" s="4" t="str">
        <f t="shared" si="31"/>
        <v/>
      </c>
      <c r="AE241" s="4" t="str">
        <f t="shared" si="32"/>
        <v/>
      </c>
      <c r="AF241" s="4" t="str">
        <f t="shared" si="33"/>
        <v/>
      </c>
      <c r="AG241" s="4" t="str">
        <f t="shared" si="34"/>
        <v/>
      </c>
      <c r="AH241" s="4" t="str">
        <f t="shared" si="35"/>
        <v/>
      </c>
      <c r="AI241" s="2">
        <f t="shared" si="36"/>
        <v>0</v>
      </c>
      <c r="AK241" s="2">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11</v>
      </c>
    </row>
    <row r="242" spans="1:37">
      <c r="A242" s="1">
        <f>IF(Data!A242&gt;0,Data!A242-4,"")</f>
        <v>1</v>
      </c>
      <c r="B242" s="1">
        <f>IF(Data!B242&gt;0,Data!B242-4,"")</f>
        <v>2</v>
      </c>
      <c r="C242" s="1">
        <f>IF(Data!C242&gt;0,4-Data!C242,"")</f>
        <v>-1</v>
      </c>
      <c r="D242" s="1">
        <f>IF(Data!D242&gt;0,4-Data!D242,"")</f>
        <v>-2</v>
      </c>
      <c r="E242" s="1">
        <f>IF(Data!E242&gt;0,4-Data!E242,"")</f>
        <v>-2</v>
      </c>
      <c r="F242" s="1">
        <f>IF(Data!F242&gt;0,Data!F242-4,"")</f>
        <v>0</v>
      </c>
      <c r="G242" s="1">
        <f>IF(Data!G242&gt;0,Data!G242-4,"")</f>
        <v>0</v>
      </c>
      <c r="H242" s="1">
        <f>IF(Data!H242&gt;0,Data!H242-4,"")</f>
        <v>0</v>
      </c>
      <c r="I242" s="1">
        <f>IF(Data!I242&gt;0,4-Data!I242,"")</f>
        <v>2</v>
      </c>
      <c r="J242" s="1">
        <f>IF(Data!J242&gt;0,4-Data!J242,"")</f>
        <v>1</v>
      </c>
      <c r="K242" s="1">
        <f>IF(Data!K242&gt;0,Data!K242-4,"")</f>
        <v>1</v>
      </c>
      <c r="L242" s="1">
        <f>IF(Data!L242&gt;0,4-Data!L242,"")</f>
        <v>2</v>
      </c>
      <c r="M242" s="1">
        <f>IF(Data!M242&gt;0,Data!M242-4,"")</f>
        <v>2</v>
      </c>
      <c r="N242" s="1">
        <f>IF(Data!N242&gt;0,Data!N242-4,"")</f>
        <v>1</v>
      </c>
      <c r="O242" s="1">
        <f>IF(Data!O242&gt;0,Data!O242-4,"")</f>
        <v>1</v>
      </c>
      <c r="P242" s="1">
        <f>IF(Data!P242&gt;0,Data!P242-4,"")</f>
        <v>2</v>
      </c>
      <c r="Q242" s="1">
        <f>IF(Data!Q242&gt;0,4-Data!Q242,"")</f>
        <v>2</v>
      </c>
      <c r="R242" s="1">
        <f>IF(Data!R242&gt;0,4-Data!R242,"")</f>
        <v>1</v>
      </c>
      <c r="S242" s="1">
        <f>IF(Data!S242&gt;0,4-Data!S242,"")</f>
        <v>2</v>
      </c>
      <c r="T242" s="1">
        <f>IF(Data!T242&gt;0,Data!T242-4,"")</f>
        <v>2</v>
      </c>
      <c r="U242" s="1">
        <f>IF(Data!U242&gt;0,4-Data!U242,"")</f>
        <v>3</v>
      </c>
      <c r="V242" s="1">
        <f>IF(Data!V242&gt;0,Data!V242-4,"")</f>
        <v>3</v>
      </c>
      <c r="W242" s="1">
        <f>IF(Data!W242&gt;0,4-Data!W242,"")</f>
        <v>3</v>
      </c>
      <c r="X242" s="1">
        <f>IF(Data!X242&gt;0,4-Data!X242,"")</f>
        <v>2</v>
      </c>
      <c r="Y242" s="1">
        <f>IF(Data!Y242&gt;0,4-Data!Y242,"")</f>
        <v>2</v>
      </c>
      <c r="Z242" s="1">
        <f>IF(Data!Z242&gt;0,Data!Z242-4,"")</f>
        <v>0</v>
      </c>
      <c r="AC242" s="4" t="str">
        <f t="shared" si="30"/>
        <v/>
      </c>
      <c r="AD242" s="4">
        <f t="shared" si="31"/>
        <v>1</v>
      </c>
      <c r="AE242" s="4" t="str">
        <f t="shared" si="32"/>
        <v/>
      </c>
      <c r="AF242" s="4" t="str">
        <f t="shared" si="33"/>
        <v/>
      </c>
      <c r="AG242" s="4" t="str">
        <f t="shared" si="34"/>
        <v/>
      </c>
      <c r="AH242" s="4" t="str">
        <f t="shared" si="35"/>
        <v/>
      </c>
      <c r="AI242" s="2">
        <f t="shared" si="36"/>
        <v>1</v>
      </c>
      <c r="AK242" s="2">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6</v>
      </c>
    </row>
    <row r="243" spans="1:37">
      <c r="A243" s="1">
        <f>IF(Data!A243&gt;0,Data!A243-4,"")</f>
        <v>2</v>
      </c>
      <c r="B243" s="1">
        <f>IF(Data!B243&gt;0,Data!B243-4,"")</f>
        <v>3</v>
      </c>
      <c r="C243" s="1">
        <f>IF(Data!C243&gt;0,4-Data!C243,"")</f>
        <v>-3</v>
      </c>
      <c r="D243" s="1">
        <f>IF(Data!D243&gt;0,4-Data!D243,"")</f>
        <v>2</v>
      </c>
      <c r="E243" s="1">
        <f>IF(Data!E243&gt;0,4-Data!E243,"")</f>
        <v>1</v>
      </c>
      <c r="F243" s="1">
        <f>IF(Data!F243&gt;0,Data!F243-4,"")</f>
        <v>0</v>
      </c>
      <c r="G243" s="1">
        <f>IF(Data!G243&gt;0,Data!G243-4,"")</f>
        <v>1</v>
      </c>
      <c r="H243" s="1">
        <f>IF(Data!H243&gt;0,Data!H243-4,"")</f>
        <v>-1</v>
      </c>
      <c r="I243" s="1">
        <f>IF(Data!I243&gt;0,4-Data!I243,"")</f>
        <v>3</v>
      </c>
      <c r="J243" s="1">
        <f>IF(Data!J243&gt;0,4-Data!J243,"")</f>
        <v>-1</v>
      </c>
      <c r="K243" s="1">
        <f>IF(Data!K243&gt;0,Data!K243-4,"")</f>
        <v>3</v>
      </c>
      <c r="L243" s="1">
        <f>IF(Data!L243&gt;0,4-Data!L243,"")</f>
        <v>3</v>
      </c>
      <c r="M243" s="1">
        <f>IF(Data!M243&gt;0,Data!M243-4,"")</f>
        <v>-1</v>
      </c>
      <c r="N243" s="1">
        <f>IF(Data!N243&gt;0,Data!N243-4,"")</f>
        <v>2</v>
      </c>
      <c r="O243" s="1">
        <f>IF(Data!O243&gt;0,Data!O243-4,"")</f>
        <v>1</v>
      </c>
      <c r="P243" s="1">
        <f>IF(Data!P243&gt;0,Data!P243-4,"")</f>
        <v>0</v>
      </c>
      <c r="Q243" s="1">
        <f>IF(Data!Q243&gt;0,4-Data!Q243,"")</f>
        <v>3</v>
      </c>
      <c r="R243" s="1">
        <f>IF(Data!R243&gt;0,4-Data!R243,"")</f>
        <v>2</v>
      </c>
      <c r="S243" s="1">
        <f>IF(Data!S243&gt;0,4-Data!S243,"")</f>
        <v>3</v>
      </c>
      <c r="T243" s="1">
        <f>IF(Data!T243&gt;0,Data!T243-4,"")</f>
        <v>2</v>
      </c>
      <c r="U243" s="1">
        <f>IF(Data!U243&gt;0,4-Data!U243,"")</f>
        <v>3</v>
      </c>
      <c r="V243" s="1">
        <f>IF(Data!V243&gt;0,Data!V243-4,"")</f>
        <v>0</v>
      </c>
      <c r="W243" s="1">
        <f>IF(Data!W243&gt;0,4-Data!W243,"")</f>
        <v>3</v>
      </c>
      <c r="X243" s="1">
        <f>IF(Data!X243&gt;0,4-Data!X243,"")</f>
        <v>3</v>
      </c>
      <c r="Y243" s="1">
        <f>IF(Data!Y243&gt;0,4-Data!Y243,"")</f>
        <v>-1</v>
      </c>
      <c r="Z243" s="1">
        <f>IF(Data!Z243&gt;0,Data!Z243-4,"")</f>
        <v>2</v>
      </c>
      <c r="AC243" s="4">
        <f t="shared" si="30"/>
        <v>1</v>
      </c>
      <c r="AD243" s="4">
        <f t="shared" si="31"/>
        <v>1</v>
      </c>
      <c r="AE243" s="4" t="str">
        <f t="shared" si="32"/>
        <v/>
      </c>
      <c r="AF243" s="4">
        <f t="shared" si="33"/>
        <v>1</v>
      </c>
      <c r="AG243" s="4" t="str">
        <f t="shared" si="34"/>
        <v/>
      </c>
      <c r="AH243" s="4">
        <f t="shared" si="35"/>
        <v>1</v>
      </c>
      <c r="AI243" s="2">
        <f t="shared" si="36"/>
        <v>4</v>
      </c>
      <c r="AK243" s="2">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7</v>
      </c>
    </row>
    <row r="244" spans="1:37">
      <c r="A244" s="1">
        <f>IF(Data!A244&gt;0,Data!A244-4,"")</f>
        <v>1</v>
      </c>
      <c r="B244" s="1">
        <f>IF(Data!B244&gt;0,Data!B244-4,"")</f>
        <v>1</v>
      </c>
      <c r="C244" s="1">
        <f>IF(Data!C244&gt;0,4-Data!C244,"")</f>
        <v>1</v>
      </c>
      <c r="D244" s="1">
        <f>IF(Data!D244&gt;0,4-Data!D244,"")</f>
        <v>3</v>
      </c>
      <c r="E244" s="1">
        <f>IF(Data!E244&gt;0,4-Data!E244,"")</f>
        <v>2</v>
      </c>
      <c r="F244" s="1">
        <f>IF(Data!F244&gt;0,Data!F244-4,"")</f>
        <v>0</v>
      </c>
      <c r="G244" s="1">
        <f>IF(Data!G244&gt;0,Data!G244-4,"")</f>
        <v>1</v>
      </c>
      <c r="H244" s="1">
        <f>IF(Data!H244&gt;0,Data!H244-4,"")</f>
        <v>1</v>
      </c>
      <c r="I244" s="1">
        <f>IF(Data!I244&gt;0,4-Data!I244,"")</f>
        <v>1</v>
      </c>
      <c r="J244" s="1">
        <f>IF(Data!J244&gt;0,4-Data!J244,"")</f>
        <v>2</v>
      </c>
      <c r="K244" s="1">
        <f>IF(Data!K244&gt;0,Data!K244-4,"")</f>
        <v>3</v>
      </c>
      <c r="L244" s="1">
        <f>IF(Data!L244&gt;0,4-Data!L244,"")</f>
        <v>2</v>
      </c>
      <c r="M244" s="1">
        <f>IF(Data!M244&gt;0,Data!M244-4,"")</f>
        <v>2</v>
      </c>
      <c r="N244" s="1">
        <f>IF(Data!N244&gt;0,Data!N244-4,"")</f>
        <v>2</v>
      </c>
      <c r="O244" s="1">
        <f>IF(Data!O244&gt;0,Data!O244-4,"")</f>
        <v>1</v>
      </c>
      <c r="P244" s="1">
        <f>IF(Data!P244&gt;0,Data!P244-4,"")</f>
        <v>1</v>
      </c>
      <c r="Q244" s="1">
        <f>IF(Data!Q244&gt;0,4-Data!Q244,"")</f>
        <v>1</v>
      </c>
      <c r="R244" s="1">
        <f>IF(Data!R244&gt;0,4-Data!R244,"")</f>
        <v>1</v>
      </c>
      <c r="S244" s="1">
        <f>IF(Data!S244&gt;0,4-Data!S244,"")</f>
        <v>1</v>
      </c>
      <c r="T244" s="1">
        <f>IF(Data!T244&gt;0,Data!T244-4,"")</f>
        <v>2</v>
      </c>
      <c r="U244" s="1">
        <f>IF(Data!U244&gt;0,4-Data!U244,"")</f>
        <v>2</v>
      </c>
      <c r="V244" s="1">
        <f>IF(Data!V244&gt;0,Data!V244-4,"")</f>
        <v>2</v>
      </c>
      <c r="W244" s="1">
        <f>IF(Data!W244&gt;0,4-Data!W244,"")</f>
        <v>2</v>
      </c>
      <c r="X244" s="1">
        <f>IF(Data!X244&gt;0,4-Data!X244,"")</f>
        <v>3</v>
      </c>
      <c r="Y244" s="1">
        <f>IF(Data!Y244&gt;0,4-Data!Y244,"")</f>
        <v>2</v>
      </c>
      <c r="Z244" s="1">
        <f>IF(Data!Z244&gt;0,Data!Z244-4,"")</f>
        <v>2</v>
      </c>
      <c r="AC244" s="4" t="str">
        <f t="shared" si="30"/>
        <v/>
      </c>
      <c r="AD244" s="4" t="str">
        <f t="shared" si="31"/>
        <v/>
      </c>
      <c r="AE244" s="4" t="str">
        <f t="shared" si="32"/>
        <v/>
      </c>
      <c r="AF244" s="4" t="str">
        <f t="shared" si="33"/>
        <v/>
      </c>
      <c r="AG244" s="4" t="str">
        <f t="shared" si="34"/>
        <v/>
      </c>
      <c r="AH244" s="4" t="str">
        <f t="shared" si="35"/>
        <v/>
      </c>
      <c r="AI244" s="2">
        <f t="shared" si="36"/>
        <v>0</v>
      </c>
      <c r="AK244" s="2">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6</v>
      </c>
    </row>
    <row r="245" spans="1:37">
      <c r="A245" s="1">
        <f>IF(Data!A245&gt;0,Data!A245-4,"")</f>
        <v>1</v>
      </c>
      <c r="B245" s="1">
        <f>IF(Data!B245&gt;0,Data!B245-4,"")</f>
        <v>1</v>
      </c>
      <c r="C245" s="1">
        <f>IF(Data!C245&gt;0,4-Data!C245,"")</f>
        <v>0</v>
      </c>
      <c r="D245" s="1">
        <f>IF(Data!D245&gt;0,4-Data!D245,"")</f>
        <v>2</v>
      </c>
      <c r="E245" s="1">
        <f>IF(Data!E245&gt;0,4-Data!E245,"")</f>
        <v>0</v>
      </c>
      <c r="F245" s="1">
        <f>IF(Data!F245&gt;0,Data!F245-4,"")</f>
        <v>0</v>
      </c>
      <c r="G245" s="1">
        <f>IF(Data!G245&gt;0,Data!G245-4,"")</f>
        <v>1</v>
      </c>
      <c r="H245" s="1">
        <f>IF(Data!H245&gt;0,Data!H245-4,"")</f>
        <v>1</v>
      </c>
      <c r="I245" s="1">
        <f>IF(Data!I245&gt;0,4-Data!I245,"")</f>
        <v>2</v>
      </c>
      <c r="J245" s="1">
        <f>IF(Data!J245&gt;0,4-Data!J245,"")</f>
        <v>1</v>
      </c>
      <c r="K245" s="1">
        <f>IF(Data!K245&gt;0,Data!K245-4,"")</f>
        <v>1</v>
      </c>
      <c r="L245" s="1">
        <f>IF(Data!L245&gt;0,4-Data!L245,"")</f>
        <v>-2</v>
      </c>
      <c r="M245" s="1">
        <f>IF(Data!M245&gt;0,Data!M245-4,"")</f>
        <v>3</v>
      </c>
      <c r="N245" s="1">
        <f>IF(Data!N245&gt;0,Data!N245-4,"")</f>
        <v>-2</v>
      </c>
      <c r="O245" s="1">
        <f>IF(Data!O245&gt;0,Data!O245-4,"")</f>
        <v>-1</v>
      </c>
      <c r="P245" s="1">
        <f>IF(Data!P245&gt;0,Data!P245-4,"")</f>
        <v>-1</v>
      </c>
      <c r="Q245" s="1">
        <f>IF(Data!Q245&gt;0,4-Data!Q245,"")</f>
        <v>2</v>
      </c>
      <c r="R245" s="1">
        <f>IF(Data!R245&gt;0,4-Data!R245,"")</f>
        <v>0</v>
      </c>
      <c r="S245" s="1">
        <f>IF(Data!S245&gt;0,4-Data!S245,"")</f>
        <v>1</v>
      </c>
      <c r="T245" s="1">
        <f>IF(Data!T245&gt;0,Data!T245-4,"")</f>
        <v>2</v>
      </c>
      <c r="U245" s="1">
        <f>IF(Data!U245&gt;0,4-Data!U245,"")</f>
        <v>2</v>
      </c>
      <c r="V245" s="1">
        <f>IF(Data!V245&gt;0,Data!V245-4,"")</f>
        <v>1</v>
      </c>
      <c r="W245" s="1">
        <f>IF(Data!W245&gt;0,4-Data!W245,"")</f>
        <v>-1</v>
      </c>
      <c r="X245" s="1">
        <f>IF(Data!X245&gt;0,4-Data!X245,"")</f>
        <v>1</v>
      </c>
      <c r="Y245" s="1">
        <f>IF(Data!Y245&gt;0,4-Data!Y245,"")</f>
        <v>0</v>
      </c>
      <c r="Z245" s="1">
        <f>IF(Data!Z245&gt;0,Data!Z245-4,"")</f>
        <v>-2</v>
      </c>
      <c r="AC245" s="4" t="str">
        <f t="shared" si="30"/>
        <v/>
      </c>
      <c r="AD245" s="4" t="str">
        <f t="shared" si="31"/>
        <v/>
      </c>
      <c r="AE245" s="4" t="str">
        <f t="shared" si="32"/>
        <v/>
      </c>
      <c r="AF245" s="4" t="str">
        <f t="shared" si="33"/>
        <v/>
      </c>
      <c r="AG245" s="4" t="str">
        <f t="shared" si="34"/>
        <v/>
      </c>
      <c r="AH245" s="4" t="str">
        <f t="shared" si="35"/>
        <v/>
      </c>
      <c r="AI245" s="2">
        <f t="shared" si="36"/>
        <v>0</v>
      </c>
      <c r="AK245" s="2">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7</v>
      </c>
    </row>
    <row r="246" spans="1:37">
      <c r="A246" s="1">
        <f>IF(Data!A246&gt;0,Data!A246-4,"")</f>
        <v>3</v>
      </c>
      <c r="B246" s="1">
        <f>IF(Data!B246&gt;0,Data!B246-4,"")</f>
        <v>-1</v>
      </c>
      <c r="C246" s="1">
        <f>IF(Data!C246&gt;0,4-Data!C246,"")</f>
        <v>2</v>
      </c>
      <c r="D246" s="1">
        <f>IF(Data!D246&gt;0,4-Data!D246,"")</f>
        <v>-1</v>
      </c>
      <c r="E246" s="1">
        <f>IF(Data!E246&gt;0,4-Data!E246,"")</f>
        <v>1</v>
      </c>
      <c r="F246" s="1">
        <f>IF(Data!F246&gt;0,Data!F246-4,"")</f>
        <v>1</v>
      </c>
      <c r="G246" s="1">
        <f>IF(Data!G246&gt;0,Data!G246-4,"")</f>
        <v>1</v>
      </c>
      <c r="H246" s="1">
        <f>IF(Data!H246&gt;0,Data!H246-4,"")</f>
        <v>0</v>
      </c>
      <c r="I246" s="1">
        <f>IF(Data!I246&gt;0,4-Data!I246,"")</f>
        <v>2</v>
      </c>
      <c r="J246" s="1">
        <f>IF(Data!J246&gt;0,4-Data!J246,"")</f>
        <v>0</v>
      </c>
      <c r="K246" s="1">
        <f>IF(Data!K246&gt;0,Data!K246-4,"")</f>
        <v>0</v>
      </c>
      <c r="L246" s="1">
        <f>IF(Data!L246&gt;0,4-Data!L246,"")</f>
        <v>2</v>
      </c>
      <c r="M246" s="1">
        <f>IF(Data!M246&gt;0,Data!M246-4,"")</f>
        <v>-1</v>
      </c>
      <c r="N246" s="1">
        <f>IF(Data!N246&gt;0,Data!N246-4,"")</f>
        <v>1</v>
      </c>
      <c r="O246" s="1">
        <f>IF(Data!O246&gt;0,Data!O246-4,"")</f>
        <v>0</v>
      </c>
      <c r="P246" s="1">
        <f>IF(Data!P246&gt;0,Data!P246-4,"")</f>
        <v>1</v>
      </c>
      <c r="Q246" s="1">
        <f>IF(Data!Q246&gt;0,4-Data!Q246,"")</f>
        <v>2</v>
      </c>
      <c r="R246" s="1">
        <f>IF(Data!R246&gt;0,4-Data!R246,"")</f>
        <v>0</v>
      </c>
      <c r="S246" s="1">
        <f>IF(Data!S246&gt;0,4-Data!S246,"")</f>
        <v>2</v>
      </c>
      <c r="T246" s="1">
        <f>IF(Data!T246&gt;0,Data!T246-4,"")</f>
        <v>2</v>
      </c>
      <c r="U246" s="1">
        <f>IF(Data!U246&gt;0,4-Data!U246,"")</f>
        <v>-1</v>
      </c>
      <c r="V246" s="1">
        <f>IF(Data!V246&gt;0,Data!V246-4,"")</f>
        <v>2</v>
      </c>
      <c r="W246" s="1">
        <f>IF(Data!W246&gt;0,4-Data!W246,"")</f>
        <v>2</v>
      </c>
      <c r="X246" s="1">
        <f>IF(Data!X246&gt;0,4-Data!X246,"")</f>
        <v>2</v>
      </c>
      <c r="Y246" s="1">
        <f>IF(Data!Y246&gt;0,4-Data!Y246,"")</f>
        <v>2</v>
      </c>
      <c r="Z246" s="1">
        <f>IF(Data!Z246&gt;0,Data!Z246-4,"")</f>
        <v>0</v>
      </c>
      <c r="AC246" s="4" t="str">
        <f t="shared" si="30"/>
        <v/>
      </c>
      <c r="AD246" s="4" t="str">
        <f t="shared" si="31"/>
        <v/>
      </c>
      <c r="AE246" s="4" t="str">
        <f t="shared" si="32"/>
        <v/>
      </c>
      <c r="AF246" s="4" t="str">
        <f t="shared" si="33"/>
        <v/>
      </c>
      <c r="AG246" s="4" t="str">
        <f t="shared" si="34"/>
        <v/>
      </c>
      <c r="AH246" s="4" t="str">
        <f t="shared" si="35"/>
        <v/>
      </c>
      <c r="AI246" s="2">
        <f t="shared" si="36"/>
        <v>0</v>
      </c>
      <c r="AK246" s="2">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8</v>
      </c>
    </row>
    <row r="247" spans="1:37">
      <c r="A247" s="1">
        <f>IF(Data!A247&gt;0,Data!A247-4,"")</f>
        <v>2</v>
      </c>
      <c r="B247" s="1">
        <f>IF(Data!B247&gt;0,Data!B247-4,"")</f>
        <v>2</v>
      </c>
      <c r="C247" s="1">
        <f>IF(Data!C247&gt;0,4-Data!C247,"")</f>
        <v>-3</v>
      </c>
      <c r="D247" s="1">
        <f>IF(Data!D247&gt;0,4-Data!D247,"")</f>
        <v>2</v>
      </c>
      <c r="E247" s="1">
        <f>IF(Data!E247&gt;0,4-Data!E247,"")</f>
        <v>2</v>
      </c>
      <c r="F247" s="1">
        <f>IF(Data!F247&gt;0,Data!F247-4,"")</f>
        <v>-2</v>
      </c>
      <c r="G247" s="1">
        <f>IF(Data!G247&gt;0,Data!G247-4,"")</f>
        <v>-2</v>
      </c>
      <c r="H247" s="1">
        <f>IF(Data!H247&gt;0,Data!H247-4,"")</f>
        <v>3</v>
      </c>
      <c r="I247" s="1">
        <f>IF(Data!I247&gt;0,4-Data!I247,"")</f>
        <v>2</v>
      </c>
      <c r="J247" s="1">
        <f>IF(Data!J247&gt;0,4-Data!J247,"")</f>
        <v>0</v>
      </c>
      <c r="K247" s="1">
        <f>IF(Data!K247&gt;0,Data!K247-4,"")</f>
        <v>2</v>
      </c>
      <c r="L247" s="1">
        <f>IF(Data!L247&gt;0,4-Data!L247,"")</f>
        <v>2</v>
      </c>
      <c r="M247" s="1">
        <f>IF(Data!M247&gt;0,Data!M247-4,"")</f>
        <v>2</v>
      </c>
      <c r="N247" s="1">
        <f>IF(Data!N247&gt;0,Data!N247-4,"")</f>
        <v>-2</v>
      </c>
      <c r="O247" s="1">
        <f>IF(Data!O247&gt;0,Data!O247-4,"")</f>
        <v>-2</v>
      </c>
      <c r="P247" s="1">
        <f>IF(Data!P247&gt;0,Data!P247-4,"")</f>
        <v>1</v>
      </c>
      <c r="Q247" s="1">
        <f>IF(Data!Q247&gt;0,4-Data!Q247,"")</f>
        <v>3</v>
      </c>
      <c r="R247" s="1">
        <f>IF(Data!R247&gt;0,4-Data!R247,"")</f>
        <v>-2</v>
      </c>
      <c r="S247" s="1">
        <f>IF(Data!S247&gt;0,4-Data!S247,"")</f>
        <v>-2</v>
      </c>
      <c r="T247" s="1">
        <f>IF(Data!T247&gt;0,Data!T247-4,"")</f>
        <v>2</v>
      </c>
      <c r="U247" s="1">
        <f>IF(Data!U247&gt;0,4-Data!U247,"")</f>
        <v>2</v>
      </c>
      <c r="V247" s="1">
        <f>IF(Data!V247&gt;0,Data!V247-4,"")</f>
        <v>2</v>
      </c>
      <c r="W247" s="1">
        <f>IF(Data!W247&gt;0,4-Data!W247,"")</f>
        <v>2</v>
      </c>
      <c r="X247" s="1">
        <f>IF(Data!X247&gt;0,4-Data!X247,"")</f>
        <v>-1</v>
      </c>
      <c r="Y247" s="1">
        <f>IF(Data!Y247&gt;0,4-Data!Y247,"")</f>
        <v>-1</v>
      </c>
      <c r="Z247" s="1">
        <f>IF(Data!Z247&gt;0,Data!Z247-4,"")</f>
        <v>-3</v>
      </c>
      <c r="AC247" s="4">
        <f t="shared" si="30"/>
        <v>1</v>
      </c>
      <c r="AD247" s="4" t="str">
        <f t="shared" si="31"/>
        <v/>
      </c>
      <c r="AE247" s="4" t="str">
        <f t="shared" si="32"/>
        <v/>
      </c>
      <c r="AF247" s="4">
        <f t="shared" si="33"/>
        <v>1</v>
      </c>
      <c r="AG247" s="4">
        <f t="shared" si="34"/>
        <v>1</v>
      </c>
      <c r="AH247" s="4" t="str">
        <f t="shared" si="35"/>
        <v/>
      </c>
      <c r="AI247" s="2">
        <f t="shared" si="36"/>
        <v>3</v>
      </c>
      <c r="AK247" s="2">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10</v>
      </c>
    </row>
    <row r="248" spans="1:37">
      <c r="A248" s="1">
        <f>IF(Data!A248&gt;0,Data!A248-4,"")</f>
        <v>1</v>
      </c>
      <c r="B248" s="1">
        <f>IF(Data!B248&gt;0,Data!B248-4,"")</f>
        <v>3</v>
      </c>
      <c r="C248" s="1">
        <f>IF(Data!C248&gt;0,4-Data!C248,"")</f>
        <v>0</v>
      </c>
      <c r="D248" s="1">
        <f>IF(Data!D248&gt;0,4-Data!D248,"")</f>
        <v>3</v>
      </c>
      <c r="E248" s="1">
        <f>IF(Data!E248&gt;0,4-Data!E248,"")</f>
        <v>2</v>
      </c>
      <c r="F248" s="1">
        <f>IF(Data!F248&gt;0,Data!F248-4,"")</f>
        <v>0</v>
      </c>
      <c r="G248" s="1">
        <f>IF(Data!G248&gt;0,Data!G248-4,"")</f>
        <v>1</v>
      </c>
      <c r="H248" s="1">
        <f>IF(Data!H248&gt;0,Data!H248-4,"")</f>
        <v>2</v>
      </c>
      <c r="I248" s="1">
        <f>IF(Data!I248&gt;0,4-Data!I248,"")</f>
        <v>3</v>
      </c>
      <c r="J248" s="1">
        <f>IF(Data!J248&gt;0,4-Data!J248,"")</f>
        <v>2</v>
      </c>
      <c r="K248" s="1">
        <f>IF(Data!K248&gt;0,Data!K248-4,"")</f>
        <v>0</v>
      </c>
      <c r="L248" s="1">
        <f>IF(Data!L248&gt;0,4-Data!L248,"")</f>
        <v>2</v>
      </c>
      <c r="M248" s="1">
        <f>IF(Data!M248&gt;0,Data!M248-4,"")</f>
        <v>3</v>
      </c>
      <c r="N248" s="1">
        <f>IF(Data!N248&gt;0,Data!N248-4,"")</f>
        <v>1</v>
      </c>
      <c r="O248" s="1">
        <f>IF(Data!O248&gt;0,Data!O248-4,"")</f>
        <v>0</v>
      </c>
      <c r="P248" s="1">
        <f>IF(Data!P248&gt;0,Data!P248-4,"")</f>
        <v>1</v>
      </c>
      <c r="Q248" s="1">
        <f>IF(Data!Q248&gt;0,4-Data!Q248,"")</f>
        <v>3</v>
      </c>
      <c r="R248" s="1">
        <f>IF(Data!R248&gt;0,4-Data!R248,"")</f>
        <v>1</v>
      </c>
      <c r="S248" s="1">
        <f>IF(Data!S248&gt;0,4-Data!S248,"")</f>
        <v>2</v>
      </c>
      <c r="T248" s="1">
        <f>IF(Data!T248&gt;0,Data!T248-4,"")</f>
        <v>3</v>
      </c>
      <c r="U248" s="1">
        <f>IF(Data!U248&gt;0,4-Data!U248,"")</f>
        <v>3</v>
      </c>
      <c r="V248" s="1">
        <f>IF(Data!V248&gt;0,Data!V248-4,"")</f>
        <v>3</v>
      </c>
      <c r="W248" s="1">
        <f>IF(Data!W248&gt;0,4-Data!W248,"")</f>
        <v>3</v>
      </c>
      <c r="X248" s="1">
        <f>IF(Data!X248&gt;0,4-Data!X248,"")</f>
        <v>0</v>
      </c>
      <c r="Y248" s="1">
        <f>IF(Data!Y248&gt;0,4-Data!Y248,"")</f>
        <v>0</v>
      </c>
      <c r="Z248" s="1">
        <f>IF(Data!Z248&gt;0,Data!Z248-4,"")</f>
        <v>1</v>
      </c>
      <c r="AC248" s="4" t="str">
        <f t="shared" si="30"/>
        <v/>
      </c>
      <c r="AD248" s="4" t="str">
        <f t="shared" si="31"/>
        <v/>
      </c>
      <c r="AE248" s="4" t="str">
        <f t="shared" si="32"/>
        <v/>
      </c>
      <c r="AF248" s="4" t="str">
        <f t="shared" si="33"/>
        <v/>
      </c>
      <c r="AG248" s="4" t="str">
        <f t="shared" si="34"/>
        <v/>
      </c>
      <c r="AH248" s="4" t="str">
        <f t="shared" si="35"/>
        <v/>
      </c>
      <c r="AI248" s="2">
        <f t="shared" si="36"/>
        <v>0</v>
      </c>
      <c r="AK248" s="2">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6</v>
      </c>
    </row>
    <row r="249" spans="1:37">
      <c r="A249" s="1">
        <f>IF(Data!A249&gt;0,Data!A249-4,"")</f>
        <v>-2</v>
      </c>
      <c r="B249" s="1">
        <f>IF(Data!B249&gt;0,Data!B249-4,"")</f>
        <v>1</v>
      </c>
      <c r="C249" s="1">
        <f>IF(Data!C249&gt;0,4-Data!C249,"")</f>
        <v>0</v>
      </c>
      <c r="D249" s="1">
        <f>IF(Data!D249&gt;0,4-Data!D249,"")</f>
        <v>1</v>
      </c>
      <c r="E249" s="1">
        <f>IF(Data!E249&gt;0,4-Data!E249,"")</f>
        <v>1</v>
      </c>
      <c r="F249" s="1">
        <f>IF(Data!F249&gt;0,Data!F249-4,"")</f>
        <v>1</v>
      </c>
      <c r="G249" s="1">
        <f>IF(Data!G249&gt;0,Data!G249-4,"")</f>
        <v>0</v>
      </c>
      <c r="H249" s="1">
        <f>IF(Data!H249&gt;0,Data!H249-4,"")</f>
        <v>2</v>
      </c>
      <c r="I249" s="1">
        <f>IF(Data!I249&gt;0,4-Data!I249,"")</f>
        <v>0</v>
      </c>
      <c r="J249" s="1">
        <f>IF(Data!J249&gt;0,4-Data!J249,"")</f>
        <v>1</v>
      </c>
      <c r="K249" s="1">
        <f>IF(Data!K249&gt;0,Data!K249-4,"")</f>
        <v>0</v>
      </c>
      <c r="L249" s="1">
        <f>IF(Data!L249&gt;0,4-Data!L249,"")</f>
        <v>1</v>
      </c>
      <c r="M249" s="1">
        <f>IF(Data!M249&gt;0,Data!M249-4,"")</f>
        <v>1</v>
      </c>
      <c r="N249" s="1">
        <f>IF(Data!N249&gt;0,Data!N249-4,"")</f>
        <v>1</v>
      </c>
      <c r="O249" s="1">
        <f>IF(Data!O249&gt;0,Data!O249-4,"")</f>
        <v>1</v>
      </c>
      <c r="P249" s="1">
        <f>IF(Data!P249&gt;0,Data!P249-4,"")</f>
        <v>1</v>
      </c>
      <c r="Q249" s="1">
        <f>IF(Data!Q249&gt;0,4-Data!Q249,"")</f>
        <v>0</v>
      </c>
      <c r="R249" s="1">
        <f>IF(Data!R249&gt;0,4-Data!R249,"")</f>
        <v>0</v>
      </c>
      <c r="S249" s="1">
        <f>IF(Data!S249&gt;0,4-Data!S249,"")</f>
        <v>2</v>
      </c>
      <c r="T249" s="1">
        <f>IF(Data!T249&gt;0,Data!T249-4,"")</f>
        <v>1</v>
      </c>
      <c r="U249" s="1">
        <f>IF(Data!U249&gt;0,4-Data!U249,"")</f>
        <v>0</v>
      </c>
      <c r="V249" s="1">
        <f>IF(Data!V249&gt;0,Data!V249-4,"")</f>
        <v>1</v>
      </c>
      <c r="W249" s="1">
        <f>IF(Data!W249&gt;0,4-Data!W249,"")</f>
        <v>-1</v>
      </c>
      <c r="X249" s="1">
        <f>IF(Data!X249&gt;0,4-Data!X249,"")</f>
        <v>-1</v>
      </c>
      <c r="Y249" s="1">
        <f>IF(Data!Y249&gt;0,4-Data!Y249,"")</f>
        <v>0</v>
      </c>
      <c r="Z249" s="1">
        <f>IF(Data!Z249&gt;0,Data!Z249-4,"")</f>
        <v>1</v>
      </c>
      <c r="AC249" s="4" t="str">
        <f t="shared" si="30"/>
        <v/>
      </c>
      <c r="AD249" s="4" t="str">
        <f t="shared" si="31"/>
        <v/>
      </c>
      <c r="AE249" s="4" t="str">
        <f t="shared" si="32"/>
        <v/>
      </c>
      <c r="AF249" s="4" t="str">
        <f t="shared" si="33"/>
        <v/>
      </c>
      <c r="AG249" s="4" t="str">
        <f t="shared" si="34"/>
        <v/>
      </c>
      <c r="AH249" s="4" t="str">
        <f t="shared" si="35"/>
        <v/>
      </c>
      <c r="AI249" s="2">
        <f t="shared" si="36"/>
        <v>0</v>
      </c>
      <c r="AK249" s="2">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11</v>
      </c>
    </row>
    <row r="250" spans="1:37">
      <c r="A250" s="1">
        <f>IF(Data!A250&gt;0,Data!A250-4,"")</f>
        <v>1</v>
      </c>
      <c r="B250" s="1">
        <f>IF(Data!B250&gt;0,Data!B250-4,"")</f>
        <v>2</v>
      </c>
      <c r="C250" s="1">
        <f>IF(Data!C250&gt;0,4-Data!C250,"")</f>
        <v>0</v>
      </c>
      <c r="D250" s="1">
        <f>IF(Data!D250&gt;0,4-Data!D250,"")</f>
        <v>2</v>
      </c>
      <c r="E250" s="1">
        <f>IF(Data!E250&gt;0,4-Data!E250,"")</f>
        <v>2</v>
      </c>
      <c r="F250" s="1">
        <f>IF(Data!F250&gt;0,Data!F250-4,"")</f>
        <v>0</v>
      </c>
      <c r="G250" s="1">
        <f>IF(Data!G250&gt;0,Data!G250-4,"")</f>
        <v>2</v>
      </c>
      <c r="H250" s="1">
        <f>IF(Data!H250&gt;0,Data!H250-4,"")</f>
        <v>2</v>
      </c>
      <c r="I250" s="1">
        <f>IF(Data!I250&gt;0,4-Data!I250,"")</f>
        <v>2</v>
      </c>
      <c r="J250" s="1">
        <f>IF(Data!J250&gt;0,4-Data!J250,"")</f>
        <v>1</v>
      </c>
      <c r="K250" s="1">
        <f>IF(Data!K250&gt;0,Data!K250-4,"")</f>
        <v>0</v>
      </c>
      <c r="L250" s="1">
        <f>IF(Data!L250&gt;0,4-Data!L250,"")</f>
        <v>2</v>
      </c>
      <c r="M250" s="1">
        <f>IF(Data!M250&gt;0,Data!M250-4,"")</f>
        <v>3</v>
      </c>
      <c r="N250" s="1">
        <f>IF(Data!N250&gt;0,Data!N250-4,"")</f>
        <v>1</v>
      </c>
      <c r="O250" s="1">
        <f>IF(Data!O250&gt;0,Data!O250-4,"")</f>
        <v>-2</v>
      </c>
      <c r="P250" s="1">
        <f>IF(Data!P250&gt;0,Data!P250-4,"")</f>
        <v>0</v>
      </c>
      <c r="Q250" s="1">
        <f>IF(Data!Q250&gt;0,4-Data!Q250,"")</f>
        <v>-3</v>
      </c>
      <c r="R250" s="1">
        <f>IF(Data!R250&gt;0,4-Data!R250,"")</f>
        <v>-2</v>
      </c>
      <c r="S250" s="1">
        <f>IF(Data!S250&gt;0,4-Data!S250,"")</f>
        <v>0</v>
      </c>
      <c r="T250" s="1">
        <f>IF(Data!T250&gt;0,Data!T250-4,"")</f>
        <v>1</v>
      </c>
      <c r="U250" s="1">
        <f>IF(Data!U250&gt;0,4-Data!U250,"")</f>
        <v>1</v>
      </c>
      <c r="V250" s="1">
        <f>IF(Data!V250&gt;0,Data!V250-4,"")</f>
        <v>1</v>
      </c>
      <c r="W250" s="1">
        <f>IF(Data!W250&gt;0,4-Data!W250,"")</f>
        <v>-1</v>
      </c>
      <c r="X250" s="1">
        <f>IF(Data!X250&gt;0,4-Data!X250,"")</f>
        <v>1</v>
      </c>
      <c r="Y250" s="1">
        <f>IF(Data!Y250&gt;0,4-Data!Y250,"")</f>
        <v>1</v>
      </c>
      <c r="Z250" s="1">
        <f>IF(Data!Z250&gt;0,Data!Z250-4,"")</f>
        <v>0</v>
      </c>
      <c r="AC250" s="4" t="str">
        <f t="shared" si="30"/>
        <v/>
      </c>
      <c r="AD250" s="4" t="str">
        <f t="shared" si="31"/>
        <v/>
      </c>
      <c r="AE250" s="4" t="str">
        <f t="shared" si="32"/>
        <v/>
      </c>
      <c r="AF250" s="4">
        <f t="shared" si="33"/>
        <v>1</v>
      </c>
      <c r="AG250" s="4">
        <f t="shared" si="34"/>
        <v>1</v>
      </c>
      <c r="AH250" s="4" t="str">
        <f t="shared" si="35"/>
        <v/>
      </c>
      <c r="AI250" s="2">
        <f t="shared" si="36"/>
        <v>2</v>
      </c>
      <c r="AK250" s="2">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6</v>
      </c>
    </row>
    <row r="251" spans="1:37">
      <c r="A251" s="1">
        <f>IF(Data!A251&gt;0,Data!A251-4,"")</f>
        <v>0</v>
      </c>
      <c r="B251" s="1">
        <f>IF(Data!B251&gt;0,Data!B251-4,"")</f>
        <v>1</v>
      </c>
      <c r="C251" s="1">
        <f>IF(Data!C251&gt;0,4-Data!C251,"")</f>
        <v>-1</v>
      </c>
      <c r="D251" s="1">
        <f>IF(Data!D251&gt;0,4-Data!D251,"")</f>
        <v>0</v>
      </c>
      <c r="E251" s="1">
        <f>IF(Data!E251&gt;0,4-Data!E251,"")</f>
        <v>0</v>
      </c>
      <c r="F251" s="1">
        <f>IF(Data!F251&gt;0,Data!F251-4,"")</f>
        <v>1</v>
      </c>
      <c r="G251" s="1">
        <f>IF(Data!G251&gt;0,Data!G251-4,"")</f>
        <v>0</v>
      </c>
      <c r="H251" s="1">
        <f>IF(Data!H251&gt;0,Data!H251-4,"")</f>
        <v>-1</v>
      </c>
      <c r="I251" s="1">
        <f>IF(Data!I251&gt;0,4-Data!I251,"")</f>
        <v>-1</v>
      </c>
      <c r="J251" s="1">
        <f>IF(Data!J251&gt;0,4-Data!J251,"")</f>
        <v>0</v>
      </c>
      <c r="K251" s="1">
        <f>IF(Data!K251&gt;0,Data!K251-4,"")</f>
        <v>1</v>
      </c>
      <c r="L251" s="1">
        <f>IF(Data!L251&gt;0,4-Data!L251,"")</f>
        <v>0</v>
      </c>
      <c r="M251" s="1">
        <f>IF(Data!M251&gt;0,Data!M251-4,"")</f>
        <v>1</v>
      </c>
      <c r="N251" s="1">
        <f>IF(Data!N251&gt;0,Data!N251-4,"")</f>
        <v>2</v>
      </c>
      <c r="O251" s="1">
        <f>IF(Data!O251&gt;0,Data!O251-4,"")</f>
        <v>1</v>
      </c>
      <c r="P251" s="1">
        <f>IF(Data!P251&gt;0,Data!P251-4,"")</f>
        <v>0</v>
      </c>
      <c r="Q251" s="1">
        <f>IF(Data!Q251&gt;0,4-Data!Q251,"")</f>
        <v>-2</v>
      </c>
      <c r="R251" s="1">
        <f>IF(Data!R251&gt;0,4-Data!R251,"")</f>
        <v>0</v>
      </c>
      <c r="S251" s="1">
        <f>IF(Data!S251&gt;0,4-Data!S251,"")</f>
        <v>0</v>
      </c>
      <c r="T251" s="1">
        <f>IF(Data!T251&gt;0,Data!T251-4,"")</f>
        <v>0</v>
      </c>
      <c r="U251" s="1">
        <f>IF(Data!U251&gt;0,4-Data!U251,"")</f>
        <v>1</v>
      </c>
      <c r="V251" s="1">
        <f>IF(Data!V251&gt;0,Data!V251-4,"")</f>
        <v>1</v>
      </c>
      <c r="W251" s="1">
        <f>IF(Data!W251&gt;0,4-Data!W251,"")</f>
        <v>0</v>
      </c>
      <c r="X251" s="1">
        <f>IF(Data!X251&gt;0,4-Data!X251,"")</f>
        <v>1</v>
      </c>
      <c r="Y251" s="1">
        <f>IF(Data!Y251&gt;0,4-Data!Y251,"")</f>
        <v>1</v>
      </c>
      <c r="Z251" s="1">
        <f>IF(Data!Z251&gt;0,Data!Z251-4,"")</f>
        <v>-1</v>
      </c>
      <c r="AC251" s="4" t="str">
        <f t="shared" si="30"/>
        <v/>
      </c>
      <c r="AD251" s="4" t="str">
        <f t="shared" si="31"/>
        <v/>
      </c>
      <c r="AE251" s="4" t="str">
        <f t="shared" si="32"/>
        <v/>
      </c>
      <c r="AF251" s="4" t="str">
        <f t="shared" si="33"/>
        <v/>
      </c>
      <c r="AG251" s="4" t="str">
        <f t="shared" si="34"/>
        <v/>
      </c>
      <c r="AH251" s="4" t="str">
        <f t="shared" si="35"/>
        <v/>
      </c>
      <c r="AI251" s="2">
        <f t="shared" si="36"/>
        <v>0</v>
      </c>
      <c r="AK251" s="2">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11</v>
      </c>
    </row>
    <row r="252" spans="1:37">
      <c r="A252" s="1">
        <f>IF(Data!A252&gt;0,Data!A252-4,"")</f>
        <v>3</v>
      </c>
      <c r="B252" s="1">
        <f>IF(Data!B252&gt;0,Data!B252-4,"")</f>
        <v>2</v>
      </c>
      <c r="C252" s="1">
        <f>IF(Data!C252&gt;0,4-Data!C252,"")</f>
        <v>2</v>
      </c>
      <c r="D252" s="1">
        <f>IF(Data!D252&gt;0,4-Data!D252,"")</f>
        <v>3</v>
      </c>
      <c r="E252" s="1">
        <f>IF(Data!E252&gt;0,4-Data!E252,"")</f>
        <v>3</v>
      </c>
      <c r="F252" s="1">
        <f>IF(Data!F252&gt;0,Data!F252-4,"")</f>
        <v>3</v>
      </c>
      <c r="G252" s="1">
        <f>IF(Data!G252&gt;0,Data!G252-4,"")</f>
        <v>3</v>
      </c>
      <c r="H252" s="1">
        <f>IF(Data!H252&gt;0,Data!H252-4,"")</f>
        <v>1</v>
      </c>
      <c r="I252" s="1">
        <f>IF(Data!I252&gt;0,4-Data!I252,"")</f>
        <v>3</v>
      </c>
      <c r="J252" s="1">
        <f>IF(Data!J252&gt;0,4-Data!J252,"")</f>
        <v>1</v>
      </c>
      <c r="K252" s="1">
        <f>IF(Data!K252&gt;0,Data!K252-4,"")</f>
        <v>3</v>
      </c>
      <c r="L252" s="1">
        <f>IF(Data!L252&gt;0,4-Data!L252,"")</f>
        <v>3</v>
      </c>
      <c r="M252" s="1">
        <f>IF(Data!M252&gt;0,Data!M252-4,"")</f>
        <v>3</v>
      </c>
      <c r="N252" s="1">
        <f>IF(Data!N252&gt;0,Data!N252-4,"")</f>
        <v>3</v>
      </c>
      <c r="O252" s="1">
        <f>IF(Data!O252&gt;0,Data!O252-4,"")</f>
        <v>1</v>
      </c>
      <c r="P252" s="1">
        <f>IF(Data!P252&gt;0,Data!P252-4,"")</f>
        <v>3</v>
      </c>
      <c r="Q252" s="1">
        <f>IF(Data!Q252&gt;0,4-Data!Q252,"")</f>
        <v>3</v>
      </c>
      <c r="R252" s="1">
        <f>IF(Data!R252&gt;0,4-Data!R252,"")</f>
        <v>2</v>
      </c>
      <c r="S252" s="1">
        <f>IF(Data!S252&gt;0,4-Data!S252,"")</f>
        <v>3</v>
      </c>
      <c r="T252" s="1">
        <f>IF(Data!T252&gt;0,Data!T252-4,"")</f>
        <v>3</v>
      </c>
      <c r="U252" s="1">
        <f>IF(Data!U252&gt;0,4-Data!U252,"")</f>
        <v>3</v>
      </c>
      <c r="V252" s="1">
        <f>IF(Data!V252&gt;0,Data!V252-4,"")</f>
        <v>3</v>
      </c>
      <c r="W252" s="1">
        <f>IF(Data!W252&gt;0,4-Data!W252,"")</f>
        <v>3</v>
      </c>
      <c r="X252" s="1">
        <f>IF(Data!X252&gt;0,4-Data!X252,"")</f>
        <v>3</v>
      </c>
      <c r="Y252" s="1">
        <f>IF(Data!Y252&gt;0,4-Data!Y252,"")</f>
        <v>3</v>
      </c>
      <c r="Z252" s="1">
        <f>IF(Data!Z252&gt;0,Data!Z252-4,"")</f>
        <v>-1</v>
      </c>
      <c r="AC252" s="4" t="str">
        <f t="shared" si="30"/>
        <v/>
      </c>
      <c r="AD252" s="4" t="str">
        <f t="shared" si="31"/>
        <v/>
      </c>
      <c r="AE252" s="4" t="str">
        <f t="shared" si="32"/>
        <v/>
      </c>
      <c r="AF252" s="4" t="str">
        <f t="shared" si="33"/>
        <v/>
      </c>
      <c r="AG252" s="4" t="str">
        <f t="shared" si="34"/>
        <v/>
      </c>
      <c r="AH252" s="4" t="str">
        <f t="shared" si="35"/>
        <v/>
      </c>
      <c r="AI252" s="2">
        <f t="shared" si="36"/>
        <v>0</v>
      </c>
      <c r="AK252" s="2">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10</v>
      </c>
    </row>
    <row r="253" spans="1:37">
      <c r="A253" s="1">
        <f>IF(Data!A253&gt;0,Data!A253-4,"")</f>
        <v>1</v>
      </c>
      <c r="B253" s="1">
        <f>IF(Data!B253&gt;0,Data!B253-4,"")</f>
        <v>1</v>
      </c>
      <c r="C253" s="1">
        <f>IF(Data!C253&gt;0,4-Data!C253,"")</f>
        <v>-1</v>
      </c>
      <c r="D253" s="1">
        <f>IF(Data!D253&gt;0,4-Data!D253,"")</f>
        <v>2</v>
      </c>
      <c r="E253" s="1">
        <f>IF(Data!E253&gt;0,4-Data!E253,"")</f>
        <v>1</v>
      </c>
      <c r="F253" s="1">
        <f>IF(Data!F253&gt;0,Data!F253-4,"")</f>
        <v>0</v>
      </c>
      <c r="G253" s="1">
        <f>IF(Data!G253&gt;0,Data!G253-4,"")</f>
        <v>1</v>
      </c>
      <c r="H253" s="1">
        <f>IF(Data!H253&gt;0,Data!H253-4,"")</f>
        <v>1</v>
      </c>
      <c r="I253" s="1">
        <f>IF(Data!I253&gt;0,4-Data!I253,"")</f>
        <v>2</v>
      </c>
      <c r="J253" s="1">
        <f>IF(Data!J253&gt;0,4-Data!J253,"")</f>
        <v>1</v>
      </c>
      <c r="K253" s="1">
        <f>IF(Data!K253&gt;0,Data!K253-4,"")</f>
        <v>1</v>
      </c>
      <c r="L253" s="1">
        <f>IF(Data!L253&gt;0,4-Data!L253,"")</f>
        <v>2</v>
      </c>
      <c r="M253" s="1">
        <f>IF(Data!M253&gt;0,Data!M253-4,"")</f>
        <v>1</v>
      </c>
      <c r="N253" s="1">
        <f>IF(Data!N253&gt;0,Data!N253-4,"")</f>
        <v>-1</v>
      </c>
      <c r="O253" s="1">
        <f>IF(Data!O253&gt;0,Data!O253-4,"")</f>
        <v>-1</v>
      </c>
      <c r="P253" s="1">
        <f>IF(Data!P253&gt;0,Data!P253-4,"")</f>
        <v>1</v>
      </c>
      <c r="Q253" s="1">
        <f>IF(Data!Q253&gt;0,4-Data!Q253,"")</f>
        <v>-2</v>
      </c>
      <c r="R253" s="1">
        <f>IF(Data!R253&gt;0,4-Data!R253,"")</f>
        <v>-1</v>
      </c>
      <c r="S253" s="1">
        <f>IF(Data!S253&gt;0,4-Data!S253,"")</f>
        <v>-2</v>
      </c>
      <c r="T253" s="1">
        <f>IF(Data!T253&gt;0,Data!T253-4,"")</f>
        <v>1</v>
      </c>
      <c r="U253" s="1">
        <f>IF(Data!U253&gt;0,4-Data!U253,"")</f>
        <v>-1</v>
      </c>
      <c r="V253" s="1">
        <f>IF(Data!V253&gt;0,Data!V253-4,"")</f>
        <v>2</v>
      </c>
      <c r="W253" s="1">
        <f>IF(Data!W253&gt;0,4-Data!W253,"")</f>
        <v>-1</v>
      </c>
      <c r="X253" s="1">
        <f>IF(Data!X253&gt;0,4-Data!X253,"")</f>
        <v>1</v>
      </c>
      <c r="Y253" s="1">
        <f>IF(Data!Y253&gt;0,4-Data!Y253,"")</f>
        <v>0</v>
      </c>
      <c r="Z253" s="1">
        <f>IF(Data!Z253&gt;0,Data!Z253-4,"")</f>
        <v>1</v>
      </c>
      <c r="AC253" s="4" t="str">
        <f t="shared" si="30"/>
        <v/>
      </c>
      <c r="AD253" s="4" t="str">
        <f t="shared" si="31"/>
        <v/>
      </c>
      <c r="AE253" s="4" t="str">
        <f t="shared" si="32"/>
        <v/>
      </c>
      <c r="AF253" s="4" t="str">
        <f t="shared" si="33"/>
        <v/>
      </c>
      <c r="AG253" s="4" t="str">
        <f t="shared" si="34"/>
        <v/>
      </c>
      <c r="AH253" s="4" t="str">
        <f t="shared" si="35"/>
        <v/>
      </c>
      <c r="AI253" s="2">
        <f t="shared" si="36"/>
        <v>0</v>
      </c>
      <c r="AK253" s="2">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13</v>
      </c>
    </row>
    <row r="254" spans="1:37">
      <c r="A254" s="1">
        <f>IF(Data!A254&gt;0,Data!A254-4,"")</f>
        <v>2</v>
      </c>
      <c r="B254" s="1">
        <f>IF(Data!B254&gt;0,Data!B254-4,"")</f>
        <v>3</v>
      </c>
      <c r="C254" s="1">
        <f>IF(Data!C254&gt;0,4-Data!C254,"")</f>
        <v>2</v>
      </c>
      <c r="D254" s="1">
        <f>IF(Data!D254&gt;0,4-Data!D254,"")</f>
        <v>3</v>
      </c>
      <c r="E254" s="1">
        <f>IF(Data!E254&gt;0,4-Data!E254,"")</f>
        <v>3</v>
      </c>
      <c r="F254" s="1">
        <f>IF(Data!F254&gt;0,Data!F254-4,"")</f>
        <v>2</v>
      </c>
      <c r="G254" s="1">
        <f>IF(Data!G254&gt;0,Data!G254-4,"")</f>
        <v>2</v>
      </c>
      <c r="H254" s="1">
        <f>IF(Data!H254&gt;0,Data!H254-4,"")</f>
        <v>0</v>
      </c>
      <c r="I254" s="1">
        <f>IF(Data!I254&gt;0,4-Data!I254,"")</f>
        <v>2</v>
      </c>
      <c r="J254" s="1">
        <f>IF(Data!J254&gt;0,4-Data!J254,"")</f>
        <v>3</v>
      </c>
      <c r="K254" s="1">
        <f>IF(Data!K254&gt;0,Data!K254-4,"")</f>
        <v>1</v>
      </c>
      <c r="L254" s="1">
        <f>IF(Data!L254&gt;0,4-Data!L254,"")</f>
        <v>2</v>
      </c>
      <c r="M254" s="1">
        <f>IF(Data!M254&gt;0,Data!M254-4,"")</f>
        <v>1</v>
      </c>
      <c r="N254" s="1">
        <f>IF(Data!N254&gt;0,Data!N254-4,"")</f>
        <v>2</v>
      </c>
      <c r="O254" s="1">
        <f>IF(Data!O254&gt;0,Data!O254-4,"")</f>
        <v>3</v>
      </c>
      <c r="P254" s="1">
        <f>IF(Data!P254&gt;0,Data!P254-4,"")</f>
        <v>2</v>
      </c>
      <c r="Q254" s="1">
        <f>IF(Data!Q254&gt;0,4-Data!Q254,"")</f>
        <v>3</v>
      </c>
      <c r="R254" s="1">
        <f>IF(Data!R254&gt;0,4-Data!R254,"")</f>
        <v>1</v>
      </c>
      <c r="S254" s="1">
        <f>IF(Data!S254&gt;0,4-Data!S254,"")</f>
        <v>3</v>
      </c>
      <c r="T254" s="1">
        <f>IF(Data!T254&gt;0,Data!T254-4,"")</f>
        <v>2</v>
      </c>
      <c r="U254" s="1">
        <f>IF(Data!U254&gt;0,4-Data!U254,"")</f>
        <v>3</v>
      </c>
      <c r="V254" s="1">
        <f>IF(Data!V254&gt;0,Data!V254-4,"")</f>
        <v>2</v>
      </c>
      <c r="W254" s="1">
        <f>IF(Data!W254&gt;0,4-Data!W254,"")</f>
        <v>3</v>
      </c>
      <c r="X254" s="1">
        <f>IF(Data!X254&gt;0,4-Data!X254,"")</f>
        <v>2</v>
      </c>
      <c r="Y254" s="1">
        <f>IF(Data!Y254&gt;0,4-Data!Y254,"")</f>
        <v>2</v>
      </c>
      <c r="Z254" s="1">
        <f>IF(Data!Z254&gt;0,Data!Z254-4,"")</f>
        <v>3</v>
      </c>
      <c r="AC254" s="4" t="str">
        <f t="shared" si="30"/>
        <v/>
      </c>
      <c r="AD254" s="4" t="str">
        <f t="shared" si="31"/>
        <v/>
      </c>
      <c r="AE254" s="4" t="str">
        <f t="shared" si="32"/>
        <v/>
      </c>
      <c r="AF254" s="4" t="str">
        <f t="shared" si="33"/>
        <v/>
      </c>
      <c r="AG254" s="4" t="str">
        <f t="shared" si="34"/>
        <v/>
      </c>
      <c r="AH254" s="4" t="str">
        <f t="shared" si="35"/>
        <v/>
      </c>
      <c r="AI254" s="2">
        <f t="shared" si="36"/>
        <v>0</v>
      </c>
      <c r="AK254" s="2">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7</v>
      </c>
    </row>
    <row r="255" spans="1:37">
      <c r="A255" s="1">
        <f>IF(Data!A255&gt;0,Data!A255-4,"")</f>
        <v>2</v>
      </c>
      <c r="B255" s="1">
        <f>IF(Data!B255&gt;0,Data!B255-4,"")</f>
        <v>2</v>
      </c>
      <c r="C255" s="1">
        <f>IF(Data!C255&gt;0,4-Data!C255,"")</f>
        <v>1</v>
      </c>
      <c r="D255" s="1">
        <f>IF(Data!D255&gt;0,4-Data!D255,"")</f>
        <v>2</v>
      </c>
      <c r="E255" s="1">
        <f>IF(Data!E255&gt;0,4-Data!E255,"")</f>
        <v>2</v>
      </c>
      <c r="F255" s="1">
        <f>IF(Data!F255&gt;0,Data!F255-4,"")</f>
        <v>1</v>
      </c>
      <c r="G255" s="1">
        <f>IF(Data!G255&gt;0,Data!G255-4,"")</f>
        <v>2</v>
      </c>
      <c r="H255" s="1">
        <f>IF(Data!H255&gt;0,Data!H255-4,"")</f>
        <v>0</v>
      </c>
      <c r="I255" s="1">
        <f>IF(Data!I255&gt;0,4-Data!I255,"")</f>
        <v>1</v>
      </c>
      <c r="J255" s="1">
        <f>IF(Data!J255&gt;0,4-Data!J255,"")</f>
        <v>1</v>
      </c>
      <c r="K255" s="1">
        <f>IF(Data!K255&gt;0,Data!K255-4,"")</f>
        <v>2</v>
      </c>
      <c r="L255" s="1">
        <f>IF(Data!L255&gt;0,4-Data!L255,"")</f>
        <v>1</v>
      </c>
      <c r="M255" s="1">
        <f>IF(Data!M255&gt;0,Data!M255-4,"")</f>
        <v>0</v>
      </c>
      <c r="N255" s="1">
        <f>IF(Data!N255&gt;0,Data!N255-4,"")</f>
        <v>1</v>
      </c>
      <c r="O255" s="1">
        <f>IF(Data!O255&gt;0,Data!O255-4,"")</f>
        <v>1</v>
      </c>
      <c r="P255" s="1">
        <f>IF(Data!P255&gt;0,Data!P255-4,"")</f>
        <v>2</v>
      </c>
      <c r="Q255" s="1">
        <f>IF(Data!Q255&gt;0,4-Data!Q255,"")</f>
        <v>2</v>
      </c>
      <c r="R255" s="1">
        <f>IF(Data!R255&gt;0,4-Data!R255,"")</f>
        <v>0</v>
      </c>
      <c r="S255" s="1">
        <f>IF(Data!S255&gt;0,4-Data!S255,"")</f>
        <v>2</v>
      </c>
      <c r="T255" s="1">
        <f>IF(Data!T255&gt;0,Data!T255-4,"")</f>
        <v>2</v>
      </c>
      <c r="U255" s="1">
        <f>IF(Data!U255&gt;0,4-Data!U255,"")</f>
        <v>2</v>
      </c>
      <c r="V255" s="1">
        <f>IF(Data!V255&gt;0,Data!V255-4,"")</f>
        <v>3</v>
      </c>
      <c r="W255" s="1">
        <f>IF(Data!W255&gt;0,4-Data!W255,"")</f>
        <v>0</v>
      </c>
      <c r="X255" s="1">
        <f>IF(Data!X255&gt;0,4-Data!X255,"")</f>
        <v>0</v>
      </c>
      <c r="Y255" s="1">
        <f>IF(Data!Y255&gt;0,4-Data!Y255,"")</f>
        <v>1</v>
      </c>
      <c r="Z255" s="1">
        <f>IF(Data!Z255&gt;0,Data!Z255-4,"")</f>
        <v>1</v>
      </c>
      <c r="AC255" s="4" t="str">
        <f t="shared" si="30"/>
        <v/>
      </c>
      <c r="AD255" s="4" t="str">
        <f t="shared" si="31"/>
        <v/>
      </c>
      <c r="AE255" s="4" t="str">
        <f t="shared" si="32"/>
        <v/>
      </c>
      <c r="AF255" s="4" t="str">
        <f t="shared" si="33"/>
        <v/>
      </c>
      <c r="AG255" s="4" t="str">
        <f t="shared" si="34"/>
        <v/>
      </c>
      <c r="AH255" s="4" t="str">
        <f t="shared" si="35"/>
        <v/>
      </c>
      <c r="AI255" s="2">
        <f t="shared" si="36"/>
        <v>0</v>
      </c>
      <c r="AK255" s="2">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6</v>
      </c>
    </row>
    <row r="256" spans="1:37">
      <c r="A256" s="1">
        <f>IF(Data!A256&gt;0,Data!A256-4,"")</f>
        <v>2</v>
      </c>
      <c r="B256" s="1">
        <f>IF(Data!B256&gt;0,Data!B256-4,"")</f>
        <v>2</v>
      </c>
      <c r="C256" s="1">
        <f>IF(Data!C256&gt;0,4-Data!C256,"")</f>
        <v>-1</v>
      </c>
      <c r="D256" s="1">
        <f>IF(Data!D256&gt;0,4-Data!D256,"")</f>
        <v>-1</v>
      </c>
      <c r="E256" s="1">
        <f>IF(Data!E256&gt;0,4-Data!E256,"")</f>
        <v>-3</v>
      </c>
      <c r="F256" s="1">
        <f>IF(Data!F256&gt;0,Data!F256-4,"")</f>
        <v>3</v>
      </c>
      <c r="G256" s="1">
        <f>IF(Data!G256&gt;0,Data!G256-4,"")</f>
        <v>3</v>
      </c>
      <c r="H256" s="1">
        <f>IF(Data!H256&gt;0,Data!H256-4,"")</f>
        <v>1</v>
      </c>
      <c r="I256" s="1">
        <f>IF(Data!I256&gt;0,4-Data!I256,"")</f>
        <v>-2</v>
      </c>
      <c r="J256" s="1">
        <f>IF(Data!J256&gt;0,4-Data!J256,"")</f>
        <v>-1</v>
      </c>
      <c r="K256" s="1">
        <f>IF(Data!K256&gt;0,Data!K256-4,"")</f>
        <v>1</v>
      </c>
      <c r="L256" s="1">
        <f>IF(Data!L256&gt;0,4-Data!L256,"")</f>
        <v>-2</v>
      </c>
      <c r="M256" s="1">
        <f>IF(Data!M256&gt;0,Data!M256-4,"")</f>
        <v>-1</v>
      </c>
      <c r="N256" s="1">
        <f>IF(Data!N256&gt;0,Data!N256-4,"")</f>
        <v>-1</v>
      </c>
      <c r="O256" s="1">
        <f>IF(Data!O256&gt;0,Data!O256-4,"")</f>
        <v>2</v>
      </c>
      <c r="P256" s="1">
        <f>IF(Data!P256&gt;0,Data!P256-4,"")</f>
        <v>-1</v>
      </c>
      <c r="Q256" s="1">
        <f>IF(Data!Q256&gt;0,4-Data!Q256,"")</f>
        <v>-2</v>
      </c>
      <c r="R256" s="1">
        <f>IF(Data!R256&gt;0,4-Data!R256,"")</f>
        <v>-2</v>
      </c>
      <c r="S256" s="1">
        <f>IF(Data!S256&gt;0,4-Data!S256,"")</f>
        <v>-3</v>
      </c>
      <c r="T256" s="1">
        <f>IF(Data!T256&gt;0,Data!T256-4,"")</f>
        <v>-2</v>
      </c>
      <c r="U256" s="1">
        <f>IF(Data!U256&gt;0,4-Data!U256,"")</f>
        <v>-2</v>
      </c>
      <c r="V256" s="1">
        <f>IF(Data!V256&gt;0,Data!V256-4,"")</f>
        <v>3</v>
      </c>
      <c r="W256" s="1">
        <f>IF(Data!W256&gt;0,4-Data!W256,"")</f>
        <v>3</v>
      </c>
      <c r="X256" s="1">
        <f>IF(Data!X256&gt;0,4-Data!X256,"")</f>
        <v>1</v>
      </c>
      <c r="Y256" s="1">
        <f>IF(Data!Y256&gt;0,4-Data!Y256,"")</f>
        <v>0</v>
      </c>
      <c r="Z256" s="1">
        <f>IF(Data!Z256&gt;0,Data!Z256-4,"")</f>
        <v>0</v>
      </c>
      <c r="AC256" s="4">
        <f t="shared" si="30"/>
        <v>1</v>
      </c>
      <c r="AD256" s="4">
        <f t="shared" si="31"/>
        <v>1</v>
      </c>
      <c r="AE256" s="4">
        <f t="shared" si="32"/>
        <v>1</v>
      </c>
      <c r="AF256" s="4">
        <f t="shared" si="33"/>
        <v>1</v>
      </c>
      <c r="AG256" s="4">
        <f t="shared" si="34"/>
        <v>1</v>
      </c>
      <c r="AH256" s="4" t="str">
        <f t="shared" si="35"/>
        <v/>
      </c>
      <c r="AI256" s="2">
        <f t="shared" si="36"/>
        <v>5</v>
      </c>
      <c r="AK256" s="2">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8</v>
      </c>
    </row>
    <row r="257" spans="1:37">
      <c r="A257" s="1">
        <f>IF(Data!A257&gt;0,Data!A257-4,"")</f>
        <v>3</v>
      </c>
      <c r="B257" s="1">
        <f>IF(Data!B257&gt;0,Data!B257-4,"")</f>
        <v>2</v>
      </c>
      <c r="C257" s="1">
        <f>IF(Data!C257&gt;0,4-Data!C257,"")</f>
        <v>0</v>
      </c>
      <c r="D257" s="1">
        <f>IF(Data!D257&gt;0,4-Data!D257,"")</f>
        <v>3</v>
      </c>
      <c r="E257" s="1">
        <f>IF(Data!E257&gt;0,4-Data!E257,"")</f>
        <v>2</v>
      </c>
      <c r="F257" s="1">
        <f>IF(Data!F257&gt;0,Data!F257-4,"")</f>
        <v>0</v>
      </c>
      <c r="G257" s="1">
        <f>IF(Data!G257&gt;0,Data!G257-4,"")</f>
        <v>0</v>
      </c>
      <c r="H257" s="1">
        <f>IF(Data!H257&gt;0,Data!H257-4,"")</f>
        <v>3</v>
      </c>
      <c r="I257" s="1">
        <f>IF(Data!I257&gt;0,4-Data!I257,"")</f>
        <v>2</v>
      </c>
      <c r="J257" s="1">
        <f>IF(Data!J257&gt;0,4-Data!J257,"")</f>
        <v>1</v>
      </c>
      <c r="K257" s="1">
        <f>IF(Data!K257&gt;0,Data!K257-4,"")</f>
        <v>0</v>
      </c>
      <c r="L257" s="1">
        <f>IF(Data!L257&gt;0,4-Data!L257,"")</f>
        <v>2</v>
      </c>
      <c r="M257" s="1">
        <f>IF(Data!M257&gt;0,Data!M257-4,"")</f>
        <v>3</v>
      </c>
      <c r="N257" s="1">
        <f>IF(Data!N257&gt;0,Data!N257-4,"")</f>
        <v>3</v>
      </c>
      <c r="O257" s="1">
        <f>IF(Data!O257&gt;0,Data!O257-4,"")</f>
        <v>1</v>
      </c>
      <c r="P257" s="1">
        <f>IF(Data!P257&gt;0,Data!P257-4,"")</f>
        <v>2</v>
      </c>
      <c r="Q257" s="1">
        <f>IF(Data!Q257&gt;0,4-Data!Q257,"")</f>
        <v>2</v>
      </c>
      <c r="R257" s="1">
        <f>IF(Data!R257&gt;0,4-Data!R257,"")</f>
        <v>2</v>
      </c>
      <c r="S257" s="1">
        <f>IF(Data!S257&gt;0,4-Data!S257,"")</f>
        <v>3</v>
      </c>
      <c r="T257" s="1">
        <f>IF(Data!T257&gt;0,Data!T257-4,"")</f>
        <v>3</v>
      </c>
      <c r="U257" s="1">
        <f>IF(Data!U257&gt;0,4-Data!U257,"")</f>
        <v>3</v>
      </c>
      <c r="V257" s="1">
        <f>IF(Data!V257&gt;0,Data!V257-4,"")</f>
        <v>3</v>
      </c>
      <c r="W257" s="1">
        <f>IF(Data!W257&gt;0,4-Data!W257,"")</f>
        <v>2</v>
      </c>
      <c r="X257" s="1">
        <f>IF(Data!X257&gt;0,4-Data!X257,"")</f>
        <v>2</v>
      </c>
      <c r="Y257" s="1">
        <f>IF(Data!Y257&gt;0,4-Data!Y257,"")</f>
        <v>3</v>
      </c>
      <c r="Z257" s="1">
        <f>IF(Data!Z257&gt;0,Data!Z257-4,"")</f>
        <v>1</v>
      </c>
      <c r="AC257" s="4" t="str">
        <f t="shared" si="30"/>
        <v/>
      </c>
      <c r="AD257" s="4" t="str">
        <f t="shared" si="31"/>
        <v/>
      </c>
      <c r="AE257" s="4" t="str">
        <f t="shared" si="32"/>
        <v/>
      </c>
      <c r="AF257" s="4" t="str">
        <f t="shared" si="33"/>
        <v/>
      </c>
      <c r="AG257" s="4" t="str">
        <f t="shared" si="34"/>
        <v/>
      </c>
      <c r="AH257" s="4" t="str">
        <f t="shared" si="35"/>
        <v/>
      </c>
      <c r="AI257" s="2">
        <f t="shared" si="36"/>
        <v>0</v>
      </c>
      <c r="AK257" s="2">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7</v>
      </c>
    </row>
    <row r="258" spans="1:37">
      <c r="A258" s="1">
        <f>IF(Data!A258&gt;0,Data!A258-4,"")</f>
        <v>3</v>
      </c>
      <c r="B258" s="1">
        <f>IF(Data!B258&gt;0,Data!B258-4,"")</f>
        <v>1</v>
      </c>
      <c r="C258" s="1">
        <f>IF(Data!C258&gt;0,4-Data!C258,"")</f>
        <v>1</v>
      </c>
      <c r="D258" s="1">
        <f>IF(Data!D258&gt;0,4-Data!D258,"")</f>
        <v>1</v>
      </c>
      <c r="E258" s="1">
        <f>IF(Data!E258&gt;0,4-Data!E258,"")</f>
        <v>3</v>
      </c>
      <c r="F258" s="1">
        <f>IF(Data!F258&gt;0,Data!F258-4,"")</f>
        <v>2</v>
      </c>
      <c r="G258" s="1">
        <f>IF(Data!G258&gt;0,Data!G258-4,"")</f>
        <v>2</v>
      </c>
      <c r="H258" s="1">
        <f>IF(Data!H258&gt;0,Data!H258-4,"")</f>
        <v>0</v>
      </c>
      <c r="I258" s="1">
        <f>IF(Data!I258&gt;0,4-Data!I258,"")</f>
        <v>1</v>
      </c>
      <c r="J258" s="1">
        <f>IF(Data!J258&gt;0,4-Data!J258,"")</f>
        <v>2</v>
      </c>
      <c r="K258" s="1">
        <f>IF(Data!K258&gt;0,Data!K258-4,"")</f>
        <v>0</v>
      </c>
      <c r="L258" s="1">
        <f>IF(Data!L258&gt;0,4-Data!L258,"")</f>
        <v>3</v>
      </c>
      <c r="M258" s="1">
        <f>IF(Data!M258&gt;0,Data!M258-4,"")</f>
        <v>2</v>
      </c>
      <c r="N258" s="1">
        <f>IF(Data!N258&gt;0,Data!N258-4,"")</f>
        <v>2</v>
      </c>
      <c r="O258" s="1">
        <f>IF(Data!O258&gt;0,Data!O258-4,"")</f>
        <v>-2</v>
      </c>
      <c r="P258" s="1">
        <f>IF(Data!P258&gt;0,Data!P258-4,"")</f>
        <v>2</v>
      </c>
      <c r="Q258" s="1">
        <f>IF(Data!Q258&gt;0,4-Data!Q258,"")</f>
        <v>-2</v>
      </c>
      <c r="R258" s="1">
        <f>IF(Data!R258&gt;0,4-Data!R258,"")</f>
        <v>3</v>
      </c>
      <c r="S258" s="1">
        <f>IF(Data!S258&gt;0,4-Data!S258,"")</f>
        <v>2</v>
      </c>
      <c r="T258" s="1">
        <f>IF(Data!T258&gt;0,Data!T258-4,"")</f>
        <v>3</v>
      </c>
      <c r="U258" s="1">
        <f>IF(Data!U258&gt;0,4-Data!U258,"")</f>
        <v>3</v>
      </c>
      <c r="V258" s="1">
        <f>IF(Data!V258&gt;0,Data!V258-4,"")</f>
        <v>0</v>
      </c>
      <c r="W258" s="1">
        <f>IF(Data!W258&gt;0,4-Data!W258,"")</f>
        <v>2</v>
      </c>
      <c r="X258" s="1">
        <f>IF(Data!X258&gt;0,4-Data!X258,"")</f>
        <v>2</v>
      </c>
      <c r="Y258" s="1">
        <f>IF(Data!Y258&gt;0,4-Data!Y258,"")</f>
        <v>2</v>
      </c>
      <c r="Z258" s="1">
        <f>IF(Data!Z258&gt;0,Data!Z258-4,"")</f>
        <v>-2</v>
      </c>
      <c r="AC258" s="4" t="str">
        <f t="shared" si="30"/>
        <v/>
      </c>
      <c r="AD258" s="4" t="str">
        <f t="shared" si="31"/>
        <v/>
      </c>
      <c r="AE258" s="4" t="str">
        <f t="shared" si="32"/>
        <v/>
      </c>
      <c r="AF258" s="4">
        <f t="shared" si="33"/>
        <v>1</v>
      </c>
      <c r="AG258" s="4" t="str">
        <f t="shared" si="34"/>
        <v/>
      </c>
      <c r="AH258" s="4">
        <f t="shared" si="35"/>
        <v>1</v>
      </c>
      <c r="AI258" s="2">
        <f t="shared" si="36"/>
        <v>2</v>
      </c>
      <c r="AK258" s="2">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7</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30"/>
        <v/>
      </c>
      <c r="AD259" s="4" t="str">
        <f t="shared" si="31"/>
        <v/>
      </c>
      <c r="AE259" s="4" t="str">
        <f t="shared" si="32"/>
        <v/>
      </c>
      <c r="AF259" s="4" t="str">
        <f t="shared" si="33"/>
        <v/>
      </c>
      <c r="AG259" s="4" t="str">
        <f t="shared" si="34"/>
        <v/>
      </c>
      <c r="AH259" s="4" t="str">
        <f t="shared" si="35"/>
        <v/>
      </c>
      <c r="AI259" s="2" t="str">
        <f t="shared" si="36"/>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si="30"/>
        <v/>
      </c>
      <c r="AD260" s="4" t="str">
        <f t="shared" si="31"/>
        <v/>
      </c>
      <c r="AE260" s="4" t="str">
        <f t="shared" si="32"/>
        <v/>
      </c>
      <c r="AF260" s="4" t="str">
        <f t="shared" si="33"/>
        <v/>
      </c>
      <c r="AG260" s="4" t="str">
        <f t="shared" si="34"/>
        <v/>
      </c>
      <c r="AH260" s="4" t="str">
        <f t="shared" si="35"/>
        <v/>
      </c>
      <c r="AI260" s="2" t="str">
        <f t="shared" si="36"/>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ref="AC261:AC324" si="37">IF((MAX(A261,L261,N261,P261,X261,Y261)-MIN(A261,L261,N261,P261,X261,Y261))&gt;3,1,"")</f>
        <v/>
      </c>
      <c r="AD261" s="4" t="str">
        <f t="shared" ref="AD261:AD324" si="38">IF((MAX(B261,D261,M261,U261)-MIN(B261,D261,M261,U261))&gt;3,1,"")</f>
        <v/>
      </c>
      <c r="AE261" s="4" t="str">
        <f t="shared" ref="AE261:AE324" si="39">IF((MAX(I261,T261,V261,W261)-MIN(I261,T261,V261,W261))&gt;3,1,"")</f>
        <v/>
      </c>
      <c r="AF261" s="4" t="str">
        <f t="shared" ref="AF261:AF324" si="40">IF((MAX(H261,K261,Q261,S261)-MIN(H261,K261,Q261,S261))&gt;3,1,"")</f>
        <v/>
      </c>
      <c r="AG261" s="4" t="str">
        <f t="shared" ref="AG261:AG324" si="41">IF((MAX(E261,F261,G261,R261)-MIN(E261,F261,G261,R261))&gt;3,1,"")</f>
        <v/>
      </c>
      <c r="AH261" s="4" t="str">
        <f t="shared" ref="AH261:AH324" si="42">IF((MAX(C261,J261,O261,Z261)-MIN(C261,J261,O261,Z261))&gt;3,1,"")</f>
        <v/>
      </c>
      <c r="AI261" s="2" t="str">
        <f t="shared" ref="AI261:AI324" si="43">IF(COUNT(A261:Z261)&gt;0,IF(COUNT(AC261,AD261,AE261,AF261,AG261,AH261)&gt;0,SUM(AC261,AD261,AE261,AF261,AG261,AH261),0),"")</f>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37"/>
        <v/>
      </c>
      <c r="AD262" s="4" t="str">
        <f t="shared" si="38"/>
        <v/>
      </c>
      <c r="AE262" s="4" t="str">
        <f t="shared" si="39"/>
        <v/>
      </c>
      <c r="AF262" s="4" t="str">
        <f t="shared" si="40"/>
        <v/>
      </c>
      <c r="AG262" s="4" t="str">
        <f t="shared" si="41"/>
        <v/>
      </c>
      <c r="AH262" s="4" t="str">
        <f t="shared" si="42"/>
        <v/>
      </c>
      <c r="AI262" s="2" t="str">
        <f t="shared" si="43"/>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37"/>
        <v/>
      </c>
      <c r="AD263" s="4" t="str">
        <f t="shared" si="38"/>
        <v/>
      </c>
      <c r="AE263" s="4" t="str">
        <f t="shared" si="39"/>
        <v/>
      </c>
      <c r="AF263" s="4" t="str">
        <f t="shared" si="40"/>
        <v/>
      </c>
      <c r="AG263" s="4" t="str">
        <f t="shared" si="41"/>
        <v/>
      </c>
      <c r="AH263" s="4" t="str">
        <f t="shared" si="42"/>
        <v/>
      </c>
      <c r="AI263" s="2" t="str">
        <f t="shared" si="43"/>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37"/>
        <v/>
      </c>
      <c r="AD264" s="4" t="str">
        <f t="shared" si="38"/>
        <v/>
      </c>
      <c r="AE264" s="4" t="str">
        <f t="shared" si="39"/>
        <v/>
      </c>
      <c r="AF264" s="4" t="str">
        <f t="shared" si="40"/>
        <v/>
      </c>
      <c r="AG264" s="4" t="str">
        <f t="shared" si="41"/>
        <v/>
      </c>
      <c r="AH264" s="4" t="str">
        <f t="shared" si="42"/>
        <v/>
      </c>
      <c r="AI264" s="2" t="str">
        <f t="shared" si="43"/>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37"/>
        <v/>
      </c>
      <c r="AD265" s="4" t="str">
        <f t="shared" si="38"/>
        <v/>
      </c>
      <c r="AE265" s="4" t="str">
        <f t="shared" si="39"/>
        <v/>
      </c>
      <c r="AF265" s="4" t="str">
        <f t="shared" si="40"/>
        <v/>
      </c>
      <c r="AG265" s="4" t="str">
        <f t="shared" si="41"/>
        <v/>
      </c>
      <c r="AH265" s="4" t="str">
        <f t="shared" si="42"/>
        <v/>
      </c>
      <c r="AI265" s="2" t="str">
        <f t="shared" si="43"/>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37"/>
        <v/>
      </c>
      <c r="AD266" s="4" t="str">
        <f t="shared" si="38"/>
        <v/>
      </c>
      <c r="AE266" s="4" t="str">
        <f t="shared" si="39"/>
        <v/>
      </c>
      <c r="AF266" s="4" t="str">
        <f t="shared" si="40"/>
        <v/>
      </c>
      <c r="AG266" s="4" t="str">
        <f t="shared" si="41"/>
        <v/>
      </c>
      <c r="AH266" s="4" t="str">
        <f t="shared" si="42"/>
        <v/>
      </c>
      <c r="AI266" s="2" t="str">
        <f t="shared" si="43"/>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37"/>
        <v/>
      </c>
      <c r="AD267" s="4" t="str">
        <f t="shared" si="38"/>
        <v/>
      </c>
      <c r="AE267" s="4" t="str">
        <f t="shared" si="39"/>
        <v/>
      </c>
      <c r="AF267" s="4" t="str">
        <f t="shared" si="40"/>
        <v/>
      </c>
      <c r="AG267" s="4" t="str">
        <f t="shared" si="41"/>
        <v/>
      </c>
      <c r="AH267" s="4" t="str">
        <f t="shared" si="42"/>
        <v/>
      </c>
      <c r="AI267" s="2" t="str">
        <f t="shared" si="43"/>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37"/>
        <v/>
      </c>
      <c r="AD268" s="4" t="str">
        <f t="shared" si="38"/>
        <v/>
      </c>
      <c r="AE268" s="4" t="str">
        <f t="shared" si="39"/>
        <v/>
      </c>
      <c r="AF268" s="4" t="str">
        <f t="shared" si="40"/>
        <v/>
      </c>
      <c r="AG268" s="4" t="str">
        <f t="shared" si="41"/>
        <v/>
      </c>
      <c r="AH268" s="4" t="str">
        <f t="shared" si="42"/>
        <v/>
      </c>
      <c r="AI268" s="2" t="str">
        <f t="shared" si="43"/>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37"/>
        <v/>
      </c>
      <c r="AD269" s="4" t="str">
        <f t="shared" si="38"/>
        <v/>
      </c>
      <c r="AE269" s="4" t="str">
        <f t="shared" si="39"/>
        <v/>
      </c>
      <c r="AF269" s="4" t="str">
        <f t="shared" si="40"/>
        <v/>
      </c>
      <c r="AG269" s="4" t="str">
        <f t="shared" si="41"/>
        <v/>
      </c>
      <c r="AH269" s="4" t="str">
        <f t="shared" si="42"/>
        <v/>
      </c>
      <c r="AI269" s="2" t="str">
        <f t="shared" si="43"/>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37"/>
        <v/>
      </c>
      <c r="AD270" s="4" t="str">
        <f t="shared" si="38"/>
        <v/>
      </c>
      <c r="AE270" s="4" t="str">
        <f t="shared" si="39"/>
        <v/>
      </c>
      <c r="AF270" s="4" t="str">
        <f t="shared" si="40"/>
        <v/>
      </c>
      <c r="AG270" s="4" t="str">
        <f t="shared" si="41"/>
        <v/>
      </c>
      <c r="AH270" s="4" t="str">
        <f t="shared" si="42"/>
        <v/>
      </c>
      <c r="AI270" s="2" t="str">
        <f t="shared" si="43"/>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37"/>
        <v/>
      </c>
      <c r="AD271" s="4" t="str">
        <f t="shared" si="38"/>
        <v/>
      </c>
      <c r="AE271" s="4" t="str">
        <f t="shared" si="39"/>
        <v/>
      </c>
      <c r="AF271" s="4" t="str">
        <f t="shared" si="40"/>
        <v/>
      </c>
      <c r="AG271" s="4" t="str">
        <f t="shared" si="41"/>
        <v/>
      </c>
      <c r="AH271" s="4" t="str">
        <f t="shared" si="42"/>
        <v/>
      </c>
      <c r="AI271" s="2" t="str">
        <f t="shared" si="43"/>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37"/>
        <v/>
      </c>
      <c r="AD272" s="4" t="str">
        <f t="shared" si="38"/>
        <v/>
      </c>
      <c r="AE272" s="4" t="str">
        <f t="shared" si="39"/>
        <v/>
      </c>
      <c r="AF272" s="4" t="str">
        <f t="shared" si="40"/>
        <v/>
      </c>
      <c r="AG272" s="4" t="str">
        <f t="shared" si="41"/>
        <v/>
      </c>
      <c r="AH272" s="4" t="str">
        <f t="shared" si="42"/>
        <v/>
      </c>
      <c r="AI272" s="2" t="str">
        <f t="shared" si="43"/>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37"/>
        <v/>
      </c>
      <c r="AD273" s="4" t="str">
        <f t="shared" si="38"/>
        <v/>
      </c>
      <c r="AE273" s="4" t="str">
        <f t="shared" si="39"/>
        <v/>
      </c>
      <c r="AF273" s="4" t="str">
        <f t="shared" si="40"/>
        <v/>
      </c>
      <c r="AG273" s="4" t="str">
        <f t="shared" si="41"/>
        <v/>
      </c>
      <c r="AH273" s="4" t="str">
        <f t="shared" si="42"/>
        <v/>
      </c>
      <c r="AI273" s="2" t="str">
        <f t="shared" si="43"/>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37"/>
        <v/>
      </c>
      <c r="AD274" s="4" t="str">
        <f t="shared" si="38"/>
        <v/>
      </c>
      <c r="AE274" s="4" t="str">
        <f t="shared" si="39"/>
        <v/>
      </c>
      <c r="AF274" s="4" t="str">
        <f t="shared" si="40"/>
        <v/>
      </c>
      <c r="AG274" s="4" t="str">
        <f t="shared" si="41"/>
        <v/>
      </c>
      <c r="AH274" s="4" t="str">
        <f t="shared" si="42"/>
        <v/>
      </c>
      <c r="AI274" s="2" t="str">
        <f t="shared" si="43"/>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37"/>
        <v/>
      </c>
      <c r="AD275" s="4" t="str">
        <f t="shared" si="38"/>
        <v/>
      </c>
      <c r="AE275" s="4" t="str">
        <f t="shared" si="39"/>
        <v/>
      </c>
      <c r="AF275" s="4" t="str">
        <f t="shared" si="40"/>
        <v/>
      </c>
      <c r="AG275" s="4" t="str">
        <f t="shared" si="41"/>
        <v/>
      </c>
      <c r="AH275" s="4" t="str">
        <f t="shared" si="42"/>
        <v/>
      </c>
      <c r="AI275" s="2" t="str">
        <f t="shared" si="43"/>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37"/>
        <v/>
      </c>
      <c r="AD276" s="4" t="str">
        <f t="shared" si="38"/>
        <v/>
      </c>
      <c r="AE276" s="4" t="str">
        <f t="shared" si="39"/>
        <v/>
      </c>
      <c r="AF276" s="4" t="str">
        <f t="shared" si="40"/>
        <v/>
      </c>
      <c r="AG276" s="4" t="str">
        <f t="shared" si="41"/>
        <v/>
      </c>
      <c r="AH276" s="4" t="str">
        <f t="shared" si="42"/>
        <v/>
      </c>
      <c r="AI276" s="2" t="str">
        <f t="shared" si="43"/>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37"/>
        <v/>
      </c>
      <c r="AD277" s="4" t="str">
        <f t="shared" si="38"/>
        <v/>
      </c>
      <c r="AE277" s="4" t="str">
        <f t="shared" si="39"/>
        <v/>
      </c>
      <c r="AF277" s="4" t="str">
        <f t="shared" si="40"/>
        <v/>
      </c>
      <c r="AG277" s="4" t="str">
        <f t="shared" si="41"/>
        <v/>
      </c>
      <c r="AH277" s="4" t="str">
        <f t="shared" si="42"/>
        <v/>
      </c>
      <c r="AI277" s="2" t="str">
        <f t="shared" si="43"/>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37"/>
        <v/>
      </c>
      <c r="AD278" s="4" t="str">
        <f t="shared" si="38"/>
        <v/>
      </c>
      <c r="AE278" s="4" t="str">
        <f t="shared" si="39"/>
        <v/>
      </c>
      <c r="AF278" s="4" t="str">
        <f t="shared" si="40"/>
        <v/>
      </c>
      <c r="AG278" s="4" t="str">
        <f t="shared" si="41"/>
        <v/>
      </c>
      <c r="AH278" s="4" t="str">
        <f t="shared" si="42"/>
        <v/>
      </c>
      <c r="AI278" s="2" t="str">
        <f t="shared" si="43"/>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37"/>
        <v/>
      </c>
      <c r="AD279" s="4" t="str">
        <f t="shared" si="38"/>
        <v/>
      </c>
      <c r="AE279" s="4" t="str">
        <f t="shared" si="39"/>
        <v/>
      </c>
      <c r="AF279" s="4" t="str">
        <f t="shared" si="40"/>
        <v/>
      </c>
      <c r="AG279" s="4" t="str">
        <f t="shared" si="41"/>
        <v/>
      </c>
      <c r="AH279" s="4" t="str">
        <f t="shared" si="42"/>
        <v/>
      </c>
      <c r="AI279" s="2" t="str">
        <f t="shared" si="43"/>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37"/>
        <v/>
      </c>
      <c r="AD280" s="4" t="str">
        <f t="shared" si="38"/>
        <v/>
      </c>
      <c r="AE280" s="4" t="str">
        <f t="shared" si="39"/>
        <v/>
      </c>
      <c r="AF280" s="4" t="str">
        <f t="shared" si="40"/>
        <v/>
      </c>
      <c r="AG280" s="4" t="str">
        <f t="shared" si="41"/>
        <v/>
      </c>
      <c r="AH280" s="4" t="str">
        <f t="shared" si="42"/>
        <v/>
      </c>
      <c r="AI280" s="2" t="str">
        <f t="shared" si="43"/>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37"/>
        <v/>
      </c>
      <c r="AD281" s="4" t="str">
        <f t="shared" si="38"/>
        <v/>
      </c>
      <c r="AE281" s="4" t="str">
        <f t="shared" si="39"/>
        <v/>
      </c>
      <c r="AF281" s="4" t="str">
        <f t="shared" si="40"/>
        <v/>
      </c>
      <c r="AG281" s="4" t="str">
        <f t="shared" si="41"/>
        <v/>
      </c>
      <c r="AH281" s="4" t="str">
        <f t="shared" si="42"/>
        <v/>
      </c>
      <c r="AI281" s="2" t="str">
        <f t="shared" si="43"/>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37"/>
        <v/>
      </c>
      <c r="AD282" s="4" t="str">
        <f t="shared" si="38"/>
        <v/>
      </c>
      <c r="AE282" s="4" t="str">
        <f t="shared" si="39"/>
        <v/>
      </c>
      <c r="AF282" s="4" t="str">
        <f t="shared" si="40"/>
        <v/>
      </c>
      <c r="AG282" s="4" t="str">
        <f t="shared" si="41"/>
        <v/>
      </c>
      <c r="AH282" s="4" t="str">
        <f t="shared" si="42"/>
        <v/>
      </c>
      <c r="AI282" s="2" t="str">
        <f t="shared" si="43"/>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37"/>
        <v/>
      </c>
      <c r="AD283" s="4" t="str">
        <f t="shared" si="38"/>
        <v/>
      </c>
      <c r="AE283" s="4" t="str">
        <f t="shared" si="39"/>
        <v/>
      </c>
      <c r="AF283" s="4" t="str">
        <f t="shared" si="40"/>
        <v/>
      </c>
      <c r="AG283" s="4" t="str">
        <f t="shared" si="41"/>
        <v/>
      </c>
      <c r="AH283" s="4" t="str">
        <f t="shared" si="42"/>
        <v/>
      </c>
      <c r="AI283" s="2" t="str">
        <f t="shared" si="43"/>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37"/>
        <v/>
      </c>
      <c r="AD284" s="4" t="str">
        <f t="shared" si="38"/>
        <v/>
      </c>
      <c r="AE284" s="4" t="str">
        <f t="shared" si="39"/>
        <v/>
      </c>
      <c r="AF284" s="4" t="str">
        <f t="shared" si="40"/>
        <v/>
      </c>
      <c r="AG284" s="4" t="str">
        <f t="shared" si="41"/>
        <v/>
      </c>
      <c r="AH284" s="4" t="str">
        <f t="shared" si="42"/>
        <v/>
      </c>
      <c r="AI284" s="2" t="str">
        <f t="shared" si="43"/>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37"/>
        <v/>
      </c>
      <c r="AD285" s="4" t="str">
        <f t="shared" si="38"/>
        <v/>
      </c>
      <c r="AE285" s="4" t="str">
        <f t="shared" si="39"/>
        <v/>
      </c>
      <c r="AF285" s="4" t="str">
        <f t="shared" si="40"/>
        <v/>
      </c>
      <c r="AG285" s="4" t="str">
        <f t="shared" si="41"/>
        <v/>
      </c>
      <c r="AH285" s="4" t="str">
        <f t="shared" si="42"/>
        <v/>
      </c>
      <c r="AI285" s="2" t="str">
        <f t="shared" si="43"/>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37"/>
        <v/>
      </c>
      <c r="AD286" s="4" t="str">
        <f t="shared" si="38"/>
        <v/>
      </c>
      <c r="AE286" s="4" t="str">
        <f t="shared" si="39"/>
        <v/>
      </c>
      <c r="AF286" s="4" t="str">
        <f t="shared" si="40"/>
        <v/>
      </c>
      <c r="AG286" s="4" t="str">
        <f t="shared" si="41"/>
        <v/>
      </c>
      <c r="AH286" s="4" t="str">
        <f t="shared" si="42"/>
        <v/>
      </c>
      <c r="AI286" s="2" t="str">
        <f t="shared" si="43"/>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37"/>
        <v/>
      </c>
      <c r="AD287" s="4" t="str">
        <f t="shared" si="38"/>
        <v/>
      </c>
      <c r="AE287" s="4" t="str">
        <f t="shared" si="39"/>
        <v/>
      </c>
      <c r="AF287" s="4" t="str">
        <f t="shared" si="40"/>
        <v/>
      </c>
      <c r="AG287" s="4" t="str">
        <f t="shared" si="41"/>
        <v/>
      </c>
      <c r="AH287" s="4" t="str">
        <f t="shared" si="42"/>
        <v/>
      </c>
      <c r="AI287" s="2" t="str">
        <f t="shared" si="43"/>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37"/>
        <v/>
      </c>
      <c r="AD288" s="4" t="str">
        <f t="shared" si="38"/>
        <v/>
      </c>
      <c r="AE288" s="4" t="str">
        <f t="shared" si="39"/>
        <v/>
      </c>
      <c r="AF288" s="4" t="str">
        <f t="shared" si="40"/>
        <v/>
      </c>
      <c r="AG288" s="4" t="str">
        <f t="shared" si="41"/>
        <v/>
      </c>
      <c r="AH288" s="4" t="str">
        <f t="shared" si="42"/>
        <v/>
      </c>
      <c r="AI288" s="2" t="str">
        <f t="shared" si="43"/>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37"/>
        <v/>
      </c>
      <c r="AD289" s="4" t="str">
        <f t="shared" si="38"/>
        <v/>
      </c>
      <c r="AE289" s="4" t="str">
        <f t="shared" si="39"/>
        <v/>
      </c>
      <c r="AF289" s="4" t="str">
        <f t="shared" si="40"/>
        <v/>
      </c>
      <c r="AG289" s="4" t="str">
        <f t="shared" si="41"/>
        <v/>
      </c>
      <c r="AH289" s="4" t="str">
        <f t="shared" si="42"/>
        <v/>
      </c>
      <c r="AI289" s="2" t="str">
        <f t="shared" si="43"/>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37"/>
        <v/>
      </c>
      <c r="AD290" s="4" t="str">
        <f t="shared" si="38"/>
        <v/>
      </c>
      <c r="AE290" s="4" t="str">
        <f t="shared" si="39"/>
        <v/>
      </c>
      <c r="AF290" s="4" t="str">
        <f t="shared" si="40"/>
        <v/>
      </c>
      <c r="AG290" s="4" t="str">
        <f t="shared" si="41"/>
        <v/>
      </c>
      <c r="AH290" s="4" t="str">
        <f t="shared" si="42"/>
        <v/>
      </c>
      <c r="AI290" s="2" t="str">
        <f t="shared" si="43"/>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37"/>
        <v/>
      </c>
      <c r="AD291" s="4" t="str">
        <f t="shared" si="38"/>
        <v/>
      </c>
      <c r="AE291" s="4" t="str">
        <f t="shared" si="39"/>
        <v/>
      </c>
      <c r="AF291" s="4" t="str">
        <f t="shared" si="40"/>
        <v/>
      </c>
      <c r="AG291" s="4" t="str">
        <f t="shared" si="41"/>
        <v/>
      </c>
      <c r="AH291" s="4" t="str">
        <f t="shared" si="42"/>
        <v/>
      </c>
      <c r="AI291" s="2" t="str">
        <f t="shared" si="43"/>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37"/>
        <v/>
      </c>
      <c r="AD292" s="4" t="str">
        <f t="shared" si="38"/>
        <v/>
      </c>
      <c r="AE292" s="4" t="str">
        <f t="shared" si="39"/>
        <v/>
      </c>
      <c r="AF292" s="4" t="str">
        <f t="shared" si="40"/>
        <v/>
      </c>
      <c r="AG292" s="4" t="str">
        <f t="shared" si="41"/>
        <v/>
      </c>
      <c r="AH292" s="4" t="str">
        <f t="shared" si="42"/>
        <v/>
      </c>
      <c r="AI292" s="2" t="str">
        <f t="shared" si="43"/>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37"/>
        <v/>
      </c>
      <c r="AD293" s="4" t="str">
        <f t="shared" si="38"/>
        <v/>
      </c>
      <c r="AE293" s="4" t="str">
        <f t="shared" si="39"/>
        <v/>
      </c>
      <c r="AF293" s="4" t="str">
        <f t="shared" si="40"/>
        <v/>
      </c>
      <c r="AG293" s="4" t="str">
        <f t="shared" si="41"/>
        <v/>
      </c>
      <c r="AH293" s="4" t="str">
        <f t="shared" si="42"/>
        <v/>
      </c>
      <c r="AI293" s="2" t="str">
        <f t="shared" si="43"/>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37"/>
        <v/>
      </c>
      <c r="AD294" s="4" t="str">
        <f t="shared" si="38"/>
        <v/>
      </c>
      <c r="AE294" s="4" t="str">
        <f t="shared" si="39"/>
        <v/>
      </c>
      <c r="AF294" s="4" t="str">
        <f t="shared" si="40"/>
        <v/>
      </c>
      <c r="AG294" s="4" t="str">
        <f t="shared" si="41"/>
        <v/>
      </c>
      <c r="AH294" s="4" t="str">
        <f t="shared" si="42"/>
        <v/>
      </c>
      <c r="AI294" s="2" t="str">
        <f t="shared" si="43"/>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37"/>
        <v/>
      </c>
      <c r="AD295" s="4" t="str">
        <f t="shared" si="38"/>
        <v/>
      </c>
      <c r="AE295" s="4" t="str">
        <f t="shared" si="39"/>
        <v/>
      </c>
      <c r="AF295" s="4" t="str">
        <f t="shared" si="40"/>
        <v/>
      </c>
      <c r="AG295" s="4" t="str">
        <f t="shared" si="41"/>
        <v/>
      </c>
      <c r="AH295" s="4" t="str">
        <f t="shared" si="42"/>
        <v/>
      </c>
      <c r="AI295" s="2" t="str">
        <f t="shared" si="43"/>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37"/>
        <v/>
      </c>
      <c r="AD296" s="4" t="str">
        <f t="shared" si="38"/>
        <v/>
      </c>
      <c r="AE296" s="4" t="str">
        <f t="shared" si="39"/>
        <v/>
      </c>
      <c r="AF296" s="4" t="str">
        <f t="shared" si="40"/>
        <v/>
      </c>
      <c r="AG296" s="4" t="str">
        <f t="shared" si="41"/>
        <v/>
      </c>
      <c r="AH296" s="4" t="str">
        <f t="shared" si="42"/>
        <v/>
      </c>
      <c r="AI296" s="2" t="str">
        <f t="shared" si="43"/>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37"/>
        <v/>
      </c>
      <c r="AD297" s="4" t="str">
        <f t="shared" si="38"/>
        <v/>
      </c>
      <c r="AE297" s="4" t="str">
        <f t="shared" si="39"/>
        <v/>
      </c>
      <c r="AF297" s="4" t="str">
        <f t="shared" si="40"/>
        <v/>
      </c>
      <c r="AG297" s="4" t="str">
        <f t="shared" si="41"/>
        <v/>
      </c>
      <c r="AH297" s="4" t="str">
        <f t="shared" si="42"/>
        <v/>
      </c>
      <c r="AI297" s="2" t="str">
        <f t="shared" si="43"/>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37"/>
        <v/>
      </c>
      <c r="AD298" s="4" t="str">
        <f t="shared" si="38"/>
        <v/>
      </c>
      <c r="AE298" s="4" t="str">
        <f t="shared" si="39"/>
        <v/>
      </c>
      <c r="AF298" s="4" t="str">
        <f t="shared" si="40"/>
        <v/>
      </c>
      <c r="AG298" s="4" t="str">
        <f t="shared" si="41"/>
        <v/>
      </c>
      <c r="AH298" s="4" t="str">
        <f t="shared" si="42"/>
        <v/>
      </c>
      <c r="AI298" s="2" t="str">
        <f t="shared" si="43"/>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37"/>
        <v/>
      </c>
      <c r="AD299" s="4" t="str">
        <f t="shared" si="38"/>
        <v/>
      </c>
      <c r="AE299" s="4" t="str">
        <f t="shared" si="39"/>
        <v/>
      </c>
      <c r="AF299" s="4" t="str">
        <f t="shared" si="40"/>
        <v/>
      </c>
      <c r="AG299" s="4" t="str">
        <f t="shared" si="41"/>
        <v/>
      </c>
      <c r="AH299" s="4" t="str">
        <f t="shared" si="42"/>
        <v/>
      </c>
      <c r="AI299" s="2" t="str">
        <f t="shared" si="43"/>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37"/>
        <v/>
      </c>
      <c r="AD300" s="4" t="str">
        <f t="shared" si="38"/>
        <v/>
      </c>
      <c r="AE300" s="4" t="str">
        <f t="shared" si="39"/>
        <v/>
      </c>
      <c r="AF300" s="4" t="str">
        <f t="shared" si="40"/>
        <v/>
      </c>
      <c r="AG300" s="4" t="str">
        <f t="shared" si="41"/>
        <v/>
      </c>
      <c r="AH300" s="4" t="str">
        <f t="shared" si="42"/>
        <v/>
      </c>
      <c r="AI300" s="2" t="str">
        <f t="shared" si="43"/>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37"/>
        <v/>
      </c>
      <c r="AD301" s="4" t="str">
        <f t="shared" si="38"/>
        <v/>
      </c>
      <c r="AE301" s="4" t="str">
        <f t="shared" si="39"/>
        <v/>
      </c>
      <c r="AF301" s="4" t="str">
        <f t="shared" si="40"/>
        <v/>
      </c>
      <c r="AG301" s="4" t="str">
        <f t="shared" si="41"/>
        <v/>
      </c>
      <c r="AH301" s="4" t="str">
        <f t="shared" si="42"/>
        <v/>
      </c>
      <c r="AI301" s="2" t="str">
        <f t="shared" si="43"/>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37"/>
        <v/>
      </c>
      <c r="AD302" s="4" t="str">
        <f t="shared" si="38"/>
        <v/>
      </c>
      <c r="AE302" s="4" t="str">
        <f t="shared" si="39"/>
        <v/>
      </c>
      <c r="AF302" s="4" t="str">
        <f t="shared" si="40"/>
        <v/>
      </c>
      <c r="AG302" s="4" t="str">
        <f t="shared" si="41"/>
        <v/>
      </c>
      <c r="AH302" s="4" t="str">
        <f t="shared" si="42"/>
        <v/>
      </c>
      <c r="AI302" s="2" t="str">
        <f t="shared" si="43"/>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37"/>
        <v/>
      </c>
      <c r="AD303" s="4" t="str">
        <f t="shared" si="38"/>
        <v/>
      </c>
      <c r="AE303" s="4" t="str">
        <f t="shared" si="39"/>
        <v/>
      </c>
      <c r="AF303" s="4" t="str">
        <f t="shared" si="40"/>
        <v/>
      </c>
      <c r="AG303" s="4" t="str">
        <f t="shared" si="41"/>
        <v/>
      </c>
      <c r="AH303" s="4" t="str">
        <f t="shared" si="42"/>
        <v/>
      </c>
      <c r="AI303" s="2" t="str">
        <f t="shared" si="43"/>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37"/>
        <v/>
      </c>
      <c r="AD304" s="4" t="str">
        <f t="shared" si="38"/>
        <v/>
      </c>
      <c r="AE304" s="4" t="str">
        <f t="shared" si="39"/>
        <v/>
      </c>
      <c r="AF304" s="4" t="str">
        <f t="shared" si="40"/>
        <v/>
      </c>
      <c r="AG304" s="4" t="str">
        <f t="shared" si="41"/>
        <v/>
      </c>
      <c r="AH304" s="4" t="str">
        <f t="shared" si="42"/>
        <v/>
      </c>
      <c r="AI304" s="2" t="str">
        <f t="shared" si="43"/>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37"/>
        <v/>
      </c>
      <c r="AD305" s="4" t="str">
        <f t="shared" si="38"/>
        <v/>
      </c>
      <c r="AE305" s="4" t="str">
        <f t="shared" si="39"/>
        <v/>
      </c>
      <c r="AF305" s="4" t="str">
        <f t="shared" si="40"/>
        <v/>
      </c>
      <c r="AG305" s="4" t="str">
        <f t="shared" si="41"/>
        <v/>
      </c>
      <c r="AH305" s="4" t="str">
        <f t="shared" si="42"/>
        <v/>
      </c>
      <c r="AI305" s="2" t="str">
        <f t="shared" si="43"/>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37"/>
        <v/>
      </c>
      <c r="AD306" s="4" t="str">
        <f t="shared" si="38"/>
        <v/>
      </c>
      <c r="AE306" s="4" t="str">
        <f t="shared" si="39"/>
        <v/>
      </c>
      <c r="AF306" s="4" t="str">
        <f t="shared" si="40"/>
        <v/>
      </c>
      <c r="AG306" s="4" t="str">
        <f t="shared" si="41"/>
        <v/>
      </c>
      <c r="AH306" s="4" t="str">
        <f t="shared" si="42"/>
        <v/>
      </c>
      <c r="AI306" s="2" t="str">
        <f t="shared" si="43"/>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37"/>
        <v/>
      </c>
      <c r="AD307" s="4" t="str">
        <f t="shared" si="38"/>
        <v/>
      </c>
      <c r="AE307" s="4" t="str">
        <f t="shared" si="39"/>
        <v/>
      </c>
      <c r="AF307" s="4" t="str">
        <f t="shared" si="40"/>
        <v/>
      </c>
      <c r="AG307" s="4" t="str">
        <f t="shared" si="41"/>
        <v/>
      </c>
      <c r="AH307" s="4" t="str">
        <f t="shared" si="42"/>
        <v/>
      </c>
      <c r="AI307" s="2" t="str">
        <f t="shared" si="43"/>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37"/>
        <v/>
      </c>
      <c r="AD308" s="4" t="str">
        <f t="shared" si="38"/>
        <v/>
      </c>
      <c r="AE308" s="4" t="str">
        <f t="shared" si="39"/>
        <v/>
      </c>
      <c r="AF308" s="4" t="str">
        <f t="shared" si="40"/>
        <v/>
      </c>
      <c r="AG308" s="4" t="str">
        <f t="shared" si="41"/>
        <v/>
      </c>
      <c r="AH308" s="4" t="str">
        <f t="shared" si="42"/>
        <v/>
      </c>
      <c r="AI308" s="2" t="str">
        <f t="shared" si="43"/>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37"/>
        <v/>
      </c>
      <c r="AD309" s="4" t="str">
        <f t="shared" si="38"/>
        <v/>
      </c>
      <c r="AE309" s="4" t="str">
        <f t="shared" si="39"/>
        <v/>
      </c>
      <c r="AF309" s="4" t="str">
        <f t="shared" si="40"/>
        <v/>
      </c>
      <c r="AG309" s="4" t="str">
        <f t="shared" si="41"/>
        <v/>
      </c>
      <c r="AH309" s="4" t="str">
        <f t="shared" si="42"/>
        <v/>
      </c>
      <c r="AI309" s="2" t="str">
        <f t="shared" si="43"/>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37"/>
        <v/>
      </c>
      <c r="AD310" s="4" t="str">
        <f t="shared" si="38"/>
        <v/>
      </c>
      <c r="AE310" s="4" t="str">
        <f t="shared" si="39"/>
        <v/>
      </c>
      <c r="AF310" s="4" t="str">
        <f t="shared" si="40"/>
        <v/>
      </c>
      <c r="AG310" s="4" t="str">
        <f t="shared" si="41"/>
        <v/>
      </c>
      <c r="AH310" s="4" t="str">
        <f t="shared" si="42"/>
        <v/>
      </c>
      <c r="AI310" s="2" t="str">
        <f t="shared" si="43"/>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37"/>
        <v/>
      </c>
      <c r="AD311" s="4" t="str">
        <f t="shared" si="38"/>
        <v/>
      </c>
      <c r="AE311" s="4" t="str">
        <f t="shared" si="39"/>
        <v/>
      </c>
      <c r="AF311" s="4" t="str">
        <f t="shared" si="40"/>
        <v/>
      </c>
      <c r="AG311" s="4" t="str">
        <f t="shared" si="41"/>
        <v/>
      </c>
      <c r="AH311" s="4" t="str">
        <f t="shared" si="42"/>
        <v/>
      </c>
      <c r="AI311" s="2" t="str">
        <f t="shared" si="43"/>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37"/>
        <v/>
      </c>
      <c r="AD312" s="4" t="str">
        <f t="shared" si="38"/>
        <v/>
      </c>
      <c r="AE312" s="4" t="str">
        <f t="shared" si="39"/>
        <v/>
      </c>
      <c r="AF312" s="4" t="str">
        <f t="shared" si="40"/>
        <v/>
      </c>
      <c r="AG312" s="4" t="str">
        <f t="shared" si="41"/>
        <v/>
      </c>
      <c r="AH312" s="4" t="str">
        <f t="shared" si="42"/>
        <v/>
      </c>
      <c r="AI312" s="2" t="str">
        <f t="shared" si="43"/>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37"/>
        <v/>
      </c>
      <c r="AD313" s="4" t="str">
        <f t="shared" si="38"/>
        <v/>
      </c>
      <c r="AE313" s="4" t="str">
        <f t="shared" si="39"/>
        <v/>
      </c>
      <c r="AF313" s="4" t="str">
        <f t="shared" si="40"/>
        <v/>
      </c>
      <c r="AG313" s="4" t="str">
        <f t="shared" si="41"/>
        <v/>
      </c>
      <c r="AH313" s="4" t="str">
        <f t="shared" si="42"/>
        <v/>
      </c>
      <c r="AI313" s="2" t="str">
        <f t="shared" si="43"/>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37"/>
        <v/>
      </c>
      <c r="AD314" s="4" t="str">
        <f t="shared" si="38"/>
        <v/>
      </c>
      <c r="AE314" s="4" t="str">
        <f t="shared" si="39"/>
        <v/>
      </c>
      <c r="AF314" s="4" t="str">
        <f t="shared" si="40"/>
        <v/>
      </c>
      <c r="AG314" s="4" t="str">
        <f t="shared" si="41"/>
        <v/>
      </c>
      <c r="AH314" s="4" t="str">
        <f t="shared" si="42"/>
        <v/>
      </c>
      <c r="AI314" s="2" t="str">
        <f t="shared" si="43"/>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37"/>
        <v/>
      </c>
      <c r="AD315" s="4" t="str">
        <f t="shared" si="38"/>
        <v/>
      </c>
      <c r="AE315" s="4" t="str">
        <f t="shared" si="39"/>
        <v/>
      </c>
      <c r="AF315" s="4" t="str">
        <f t="shared" si="40"/>
        <v/>
      </c>
      <c r="AG315" s="4" t="str">
        <f t="shared" si="41"/>
        <v/>
      </c>
      <c r="AH315" s="4" t="str">
        <f t="shared" si="42"/>
        <v/>
      </c>
      <c r="AI315" s="2" t="str">
        <f t="shared" si="43"/>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37"/>
        <v/>
      </c>
      <c r="AD316" s="4" t="str">
        <f t="shared" si="38"/>
        <v/>
      </c>
      <c r="AE316" s="4" t="str">
        <f t="shared" si="39"/>
        <v/>
      </c>
      <c r="AF316" s="4" t="str">
        <f t="shared" si="40"/>
        <v/>
      </c>
      <c r="AG316" s="4" t="str">
        <f t="shared" si="41"/>
        <v/>
      </c>
      <c r="AH316" s="4" t="str">
        <f t="shared" si="42"/>
        <v/>
      </c>
      <c r="AI316" s="2" t="str">
        <f t="shared" si="43"/>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37"/>
        <v/>
      </c>
      <c r="AD317" s="4" t="str">
        <f t="shared" si="38"/>
        <v/>
      </c>
      <c r="AE317" s="4" t="str">
        <f t="shared" si="39"/>
        <v/>
      </c>
      <c r="AF317" s="4" t="str">
        <f t="shared" si="40"/>
        <v/>
      </c>
      <c r="AG317" s="4" t="str">
        <f t="shared" si="41"/>
        <v/>
      </c>
      <c r="AH317" s="4" t="str">
        <f t="shared" si="42"/>
        <v/>
      </c>
      <c r="AI317" s="2" t="str">
        <f t="shared" si="43"/>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37"/>
        <v/>
      </c>
      <c r="AD318" s="4" t="str">
        <f t="shared" si="38"/>
        <v/>
      </c>
      <c r="AE318" s="4" t="str">
        <f t="shared" si="39"/>
        <v/>
      </c>
      <c r="AF318" s="4" t="str">
        <f t="shared" si="40"/>
        <v/>
      </c>
      <c r="AG318" s="4" t="str">
        <f t="shared" si="41"/>
        <v/>
      </c>
      <c r="AH318" s="4" t="str">
        <f t="shared" si="42"/>
        <v/>
      </c>
      <c r="AI318" s="2" t="str">
        <f t="shared" si="43"/>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37"/>
        <v/>
      </c>
      <c r="AD319" s="4" t="str">
        <f t="shared" si="38"/>
        <v/>
      </c>
      <c r="AE319" s="4" t="str">
        <f t="shared" si="39"/>
        <v/>
      </c>
      <c r="AF319" s="4" t="str">
        <f t="shared" si="40"/>
        <v/>
      </c>
      <c r="AG319" s="4" t="str">
        <f t="shared" si="41"/>
        <v/>
      </c>
      <c r="AH319" s="4" t="str">
        <f t="shared" si="42"/>
        <v/>
      </c>
      <c r="AI319" s="2" t="str">
        <f t="shared" si="43"/>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37"/>
        <v/>
      </c>
      <c r="AD320" s="4" t="str">
        <f t="shared" si="38"/>
        <v/>
      </c>
      <c r="AE320" s="4" t="str">
        <f t="shared" si="39"/>
        <v/>
      </c>
      <c r="AF320" s="4" t="str">
        <f t="shared" si="40"/>
        <v/>
      </c>
      <c r="AG320" s="4" t="str">
        <f t="shared" si="41"/>
        <v/>
      </c>
      <c r="AH320" s="4" t="str">
        <f t="shared" si="42"/>
        <v/>
      </c>
      <c r="AI320" s="2" t="str">
        <f t="shared" si="43"/>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37"/>
        <v/>
      </c>
      <c r="AD321" s="4" t="str">
        <f t="shared" si="38"/>
        <v/>
      </c>
      <c r="AE321" s="4" t="str">
        <f t="shared" si="39"/>
        <v/>
      </c>
      <c r="AF321" s="4" t="str">
        <f t="shared" si="40"/>
        <v/>
      </c>
      <c r="AG321" s="4" t="str">
        <f t="shared" si="41"/>
        <v/>
      </c>
      <c r="AH321" s="4" t="str">
        <f t="shared" si="42"/>
        <v/>
      </c>
      <c r="AI321" s="2" t="str">
        <f t="shared" si="43"/>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37"/>
        <v/>
      </c>
      <c r="AD322" s="4" t="str">
        <f t="shared" si="38"/>
        <v/>
      </c>
      <c r="AE322" s="4" t="str">
        <f t="shared" si="39"/>
        <v/>
      </c>
      <c r="AF322" s="4" t="str">
        <f t="shared" si="40"/>
        <v/>
      </c>
      <c r="AG322" s="4" t="str">
        <f t="shared" si="41"/>
        <v/>
      </c>
      <c r="AH322" s="4" t="str">
        <f t="shared" si="42"/>
        <v/>
      </c>
      <c r="AI322" s="2" t="str">
        <f t="shared" si="43"/>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37"/>
        <v/>
      </c>
      <c r="AD323" s="4" t="str">
        <f t="shared" si="38"/>
        <v/>
      </c>
      <c r="AE323" s="4" t="str">
        <f t="shared" si="39"/>
        <v/>
      </c>
      <c r="AF323" s="4" t="str">
        <f t="shared" si="40"/>
        <v/>
      </c>
      <c r="AG323" s="4" t="str">
        <f t="shared" si="41"/>
        <v/>
      </c>
      <c r="AH323" s="4" t="str">
        <f t="shared" si="42"/>
        <v/>
      </c>
      <c r="AI323" s="2" t="str">
        <f t="shared" si="43"/>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si="37"/>
        <v/>
      </c>
      <c r="AD324" s="4" t="str">
        <f t="shared" si="38"/>
        <v/>
      </c>
      <c r="AE324" s="4" t="str">
        <f t="shared" si="39"/>
        <v/>
      </c>
      <c r="AF324" s="4" t="str">
        <f t="shared" si="40"/>
        <v/>
      </c>
      <c r="AG324" s="4" t="str">
        <f t="shared" si="41"/>
        <v/>
      </c>
      <c r="AH324" s="4" t="str">
        <f t="shared" si="42"/>
        <v/>
      </c>
      <c r="AI324" s="2" t="str">
        <f t="shared" si="43"/>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ref="AC325:AC388" si="44">IF((MAX(A325,L325,N325,P325,X325,Y325)-MIN(A325,L325,N325,P325,X325,Y325))&gt;3,1,"")</f>
        <v/>
      </c>
      <c r="AD325" s="4" t="str">
        <f t="shared" ref="AD325:AD388" si="45">IF((MAX(B325,D325,M325,U325)-MIN(B325,D325,M325,U325))&gt;3,1,"")</f>
        <v/>
      </c>
      <c r="AE325" s="4" t="str">
        <f t="shared" ref="AE325:AE388" si="46">IF((MAX(I325,T325,V325,W325)-MIN(I325,T325,V325,W325))&gt;3,1,"")</f>
        <v/>
      </c>
      <c r="AF325" s="4" t="str">
        <f t="shared" ref="AF325:AF388" si="47">IF((MAX(H325,K325,Q325,S325)-MIN(H325,K325,Q325,S325))&gt;3,1,"")</f>
        <v/>
      </c>
      <c r="AG325" s="4" t="str">
        <f t="shared" ref="AG325:AG388" si="48">IF((MAX(E325,F325,G325,R325)-MIN(E325,F325,G325,R325))&gt;3,1,"")</f>
        <v/>
      </c>
      <c r="AH325" s="4" t="str">
        <f t="shared" ref="AH325:AH388" si="49">IF((MAX(C325,J325,O325,Z325)-MIN(C325,J325,O325,Z325))&gt;3,1,"")</f>
        <v/>
      </c>
      <c r="AI325" s="2" t="str">
        <f t="shared" ref="AI325:AI388" si="50">IF(COUNT(A325:Z325)&gt;0,IF(COUNT(AC325,AD325,AE325,AF325,AG325,AH325)&gt;0,SUM(AC325,AD325,AE325,AF325,AG325,AH325),0),"")</f>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44"/>
        <v/>
      </c>
      <c r="AD326" s="4" t="str">
        <f t="shared" si="45"/>
        <v/>
      </c>
      <c r="AE326" s="4" t="str">
        <f t="shared" si="46"/>
        <v/>
      </c>
      <c r="AF326" s="4" t="str">
        <f t="shared" si="47"/>
        <v/>
      </c>
      <c r="AG326" s="4" t="str">
        <f t="shared" si="48"/>
        <v/>
      </c>
      <c r="AH326" s="4" t="str">
        <f t="shared" si="49"/>
        <v/>
      </c>
      <c r="AI326" s="2" t="str">
        <f t="shared" si="50"/>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44"/>
        <v/>
      </c>
      <c r="AD327" s="4" t="str">
        <f t="shared" si="45"/>
        <v/>
      </c>
      <c r="AE327" s="4" t="str">
        <f t="shared" si="46"/>
        <v/>
      </c>
      <c r="AF327" s="4" t="str">
        <f t="shared" si="47"/>
        <v/>
      </c>
      <c r="AG327" s="4" t="str">
        <f t="shared" si="48"/>
        <v/>
      </c>
      <c r="AH327" s="4" t="str">
        <f t="shared" si="49"/>
        <v/>
      </c>
      <c r="AI327" s="2" t="str">
        <f t="shared" si="50"/>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44"/>
        <v/>
      </c>
      <c r="AD328" s="4" t="str">
        <f t="shared" si="45"/>
        <v/>
      </c>
      <c r="AE328" s="4" t="str">
        <f t="shared" si="46"/>
        <v/>
      </c>
      <c r="AF328" s="4" t="str">
        <f t="shared" si="47"/>
        <v/>
      </c>
      <c r="AG328" s="4" t="str">
        <f t="shared" si="48"/>
        <v/>
      </c>
      <c r="AH328" s="4" t="str">
        <f t="shared" si="49"/>
        <v/>
      </c>
      <c r="AI328" s="2" t="str">
        <f t="shared" si="50"/>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44"/>
        <v/>
      </c>
      <c r="AD329" s="4" t="str">
        <f t="shared" si="45"/>
        <v/>
      </c>
      <c r="AE329" s="4" t="str">
        <f t="shared" si="46"/>
        <v/>
      </c>
      <c r="AF329" s="4" t="str">
        <f t="shared" si="47"/>
        <v/>
      </c>
      <c r="AG329" s="4" t="str">
        <f t="shared" si="48"/>
        <v/>
      </c>
      <c r="AH329" s="4" t="str">
        <f t="shared" si="49"/>
        <v/>
      </c>
      <c r="AI329" s="2" t="str">
        <f t="shared" si="50"/>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44"/>
        <v/>
      </c>
      <c r="AD330" s="4" t="str">
        <f t="shared" si="45"/>
        <v/>
      </c>
      <c r="AE330" s="4" t="str">
        <f t="shared" si="46"/>
        <v/>
      </c>
      <c r="AF330" s="4" t="str">
        <f t="shared" si="47"/>
        <v/>
      </c>
      <c r="AG330" s="4" t="str">
        <f t="shared" si="48"/>
        <v/>
      </c>
      <c r="AH330" s="4" t="str">
        <f t="shared" si="49"/>
        <v/>
      </c>
      <c r="AI330" s="2" t="str">
        <f t="shared" si="50"/>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44"/>
        <v/>
      </c>
      <c r="AD331" s="4" t="str">
        <f t="shared" si="45"/>
        <v/>
      </c>
      <c r="AE331" s="4" t="str">
        <f t="shared" si="46"/>
        <v/>
      </c>
      <c r="AF331" s="4" t="str">
        <f t="shared" si="47"/>
        <v/>
      </c>
      <c r="AG331" s="4" t="str">
        <f t="shared" si="48"/>
        <v/>
      </c>
      <c r="AH331" s="4" t="str">
        <f t="shared" si="49"/>
        <v/>
      </c>
      <c r="AI331" s="2" t="str">
        <f t="shared" si="50"/>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44"/>
        <v/>
      </c>
      <c r="AD332" s="4" t="str">
        <f t="shared" si="45"/>
        <v/>
      </c>
      <c r="AE332" s="4" t="str">
        <f t="shared" si="46"/>
        <v/>
      </c>
      <c r="AF332" s="4" t="str">
        <f t="shared" si="47"/>
        <v/>
      </c>
      <c r="AG332" s="4" t="str">
        <f t="shared" si="48"/>
        <v/>
      </c>
      <c r="AH332" s="4" t="str">
        <f t="shared" si="49"/>
        <v/>
      </c>
      <c r="AI332" s="2" t="str">
        <f t="shared" si="50"/>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44"/>
        <v/>
      </c>
      <c r="AD333" s="4" t="str">
        <f t="shared" si="45"/>
        <v/>
      </c>
      <c r="AE333" s="4" t="str">
        <f t="shared" si="46"/>
        <v/>
      </c>
      <c r="AF333" s="4" t="str">
        <f t="shared" si="47"/>
        <v/>
      </c>
      <c r="AG333" s="4" t="str">
        <f t="shared" si="48"/>
        <v/>
      </c>
      <c r="AH333" s="4" t="str">
        <f t="shared" si="49"/>
        <v/>
      </c>
      <c r="AI333" s="2" t="str">
        <f t="shared" si="50"/>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44"/>
        <v/>
      </c>
      <c r="AD334" s="4" t="str">
        <f t="shared" si="45"/>
        <v/>
      </c>
      <c r="AE334" s="4" t="str">
        <f t="shared" si="46"/>
        <v/>
      </c>
      <c r="AF334" s="4" t="str">
        <f t="shared" si="47"/>
        <v/>
      </c>
      <c r="AG334" s="4" t="str">
        <f t="shared" si="48"/>
        <v/>
      </c>
      <c r="AH334" s="4" t="str">
        <f t="shared" si="49"/>
        <v/>
      </c>
      <c r="AI334" s="2" t="str">
        <f t="shared" si="50"/>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44"/>
        <v/>
      </c>
      <c r="AD335" s="4" t="str">
        <f t="shared" si="45"/>
        <v/>
      </c>
      <c r="AE335" s="4" t="str">
        <f t="shared" si="46"/>
        <v/>
      </c>
      <c r="AF335" s="4" t="str">
        <f t="shared" si="47"/>
        <v/>
      </c>
      <c r="AG335" s="4" t="str">
        <f t="shared" si="48"/>
        <v/>
      </c>
      <c r="AH335" s="4" t="str">
        <f t="shared" si="49"/>
        <v/>
      </c>
      <c r="AI335" s="2" t="str">
        <f t="shared" si="50"/>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44"/>
        <v/>
      </c>
      <c r="AD336" s="4" t="str">
        <f t="shared" si="45"/>
        <v/>
      </c>
      <c r="AE336" s="4" t="str">
        <f t="shared" si="46"/>
        <v/>
      </c>
      <c r="AF336" s="4" t="str">
        <f t="shared" si="47"/>
        <v/>
      </c>
      <c r="AG336" s="4" t="str">
        <f t="shared" si="48"/>
        <v/>
      </c>
      <c r="AH336" s="4" t="str">
        <f t="shared" si="49"/>
        <v/>
      </c>
      <c r="AI336" s="2" t="str">
        <f t="shared" si="50"/>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44"/>
        <v/>
      </c>
      <c r="AD337" s="4" t="str">
        <f t="shared" si="45"/>
        <v/>
      </c>
      <c r="AE337" s="4" t="str">
        <f t="shared" si="46"/>
        <v/>
      </c>
      <c r="AF337" s="4" t="str">
        <f t="shared" si="47"/>
        <v/>
      </c>
      <c r="AG337" s="4" t="str">
        <f t="shared" si="48"/>
        <v/>
      </c>
      <c r="AH337" s="4" t="str">
        <f t="shared" si="49"/>
        <v/>
      </c>
      <c r="AI337" s="2" t="str">
        <f t="shared" si="50"/>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44"/>
        <v/>
      </c>
      <c r="AD338" s="4" t="str">
        <f t="shared" si="45"/>
        <v/>
      </c>
      <c r="AE338" s="4" t="str">
        <f t="shared" si="46"/>
        <v/>
      </c>
      <c r="AF338" s="4" t="str">
        <f t="shared" si="47"/>
        <v/>
      </c>
      <c r="AG338" s="4" t="str">
        <f t="shared" si="48"/>
        <v/>
      </c>
      <c r="AH338" s="4" t="str">
        <f t="shared" si="49"/>
        <v/>
      </c>
      <c r="AI338" s="2" t="str">
        <f t="shared" si="50"/>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44"/>
        <v/>
      </c>
      <c r="AD339" s="4" t="str">
        <f t="shared" si="45"/>
        <v/>
      </c>
      <c r="AE339" s="4" t="str">
        <f t="shared" si="46"/>
        <v/>
      </c>
      <c r="AF339" s="4" t="str">
        <f t="shared" si="47"/>
        <v/>
      </c>
      <c r="AG339" s="4" t="str">
        <f t="shared" si="48"/>
        <v/>
      </c>
      <c r="AH339" s="4" t="str">
        <f t="shared" si="49"/>
        <v/>
      </c>
      <c r="AI339" s="2" t="str">
        <f t="shared" si="50"/>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44"/>
        <v/>
      </c>
      <c r="AD340" s="4" t="str">
        <f t="shared" si="45"/>
        <v/>
      </c>
      <c r="AE340" s="4" t="str">
        <f t="shared" si="46"/>
        <v/>
      </c>
      <c r="AF340" s="4" t="str">
        <f t="shared" si="47"/>
        <v/>
      </c>
      <c r="AG340" s="4" t="str">
        <f t="shared" si="48"/>
        <v/>
      </c>
      <c r="AH340" s="4" t="str">
        <f t="shared" si="49"/>
        <v/>
      </c>
      <c r="AI340" s="2" t="str">
        <f t="shared" si="50"/>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44"/>
        <v/>
      </c>
      <c r="AD341" s="4" t="str">
        <f t="shared" si="45"/>
        <v/>
      </c>
      <c r="AE341" s="4" t="str">
        <f t="shared" si="46"/>
        <v/>
      </c>
      <c r="AF341" s="4" t="str">
        <f t="shared" si="47"/>
        <v/>
      </c>
      <c r="AG341" s="4" t="str">
        <f t="shared" si="48"/>
        <v/>
      </c>
      <c r="AH341" s="4" t="str">
        <f t="shared" si="49"/>
        <v/>
      </c>
      <c r="AI341" s="2" t="str">
        <f t="shared" si="50"/>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44"/>
        <v/>
      </c>
      <c r="AD342" s="4" t="str">
        <f t="shared" si="45"/>
        <v/>
      </c>
      <c r="AE342" s="4" t="str">
        <f t="shared" si="46"/>
        <v/>
      </c>
      <c r="AF342" s="4" t="str">
        <f t="shared" si="47"/>
        <v/>
      </c>
      <c r="AG342" s="4" t="str">
        <f t="shared" si="48"/>
        <v/>
      </c>
      <c r="AH342" s="4" t="str">
        <f t="shared" si="49"/>
        <v/>
      </c>
      <c r="AI342" s="2" t="str">
        <f t="shared" si="50"/>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44"/>
        <v/>
      </c>
      <c r="AD343" s="4" t="str">
        <f t="shared" si="45"/>
        <v/>
      </c>
      <c r="AE343" s="4" t="str">
        <f t="shared" si="46"/>
        <v/>
      </c>
      <c r="AF343" s="4" t="str">
        <f t="shared" si="47"/>
        <v/>
      </c>
      <c r="AG343" s="4" t="str">
        <f t="shared" si="48"/>
        <v/>
      </c>
      <c r="AH343" s="4" t="str">
        <f t="shared" si="49"/>
        <v/>
      </c>
      <c r="AI343" s="2" t="str">
        <f t="shared" si="50"/>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44"/>
        <v/>
      </c>
      <c r="AD344" s="4" t="str">
        <f t="shared" si="45"/>
        <v/>
      </c>
      <c r="AE344" s="4" t="str">
        <f t="shared" si="46"/>
        <v/>
      </c>
      <c r="AF344" s="4" t="str">
        <f t="shared" si="47"/>
        <v/>
      </c>
      <c r="AG344" s="4" t="str">
        <f t="shared" si="48"/>
        <v/>
      </c>
      <c r="AH344" s="4" t="str">
        <f t="shared" si="49"/>
        <v/>
      </c>
      <c r="AI344" s="2" t="str">
        <f t="shared" si="50"/>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44"/>
        <v/>
      </c>
      <c r="AD345" s="4" t="str">
        <f t="shared" si="45"/>
        <v/>
      </c>
      <c r="AE345" s="4" t="str">
        <f t="shared" si="46"/>
        <v/>
      </c>
      <c r="AF345" s="4" t="str">
        <f t="shared" si="47"/>
        <v/>
      </c>
      <c r="AG345" s="4" t="str">
        <f t="shared" si="48"/>
        <v/>
      </c>
      <c r="AH345" s="4" t="str">
        <f t="shared" si="49"/>
        <v/>
      </c>
      <c r="AI345" s="2" t="str">
        <f t="shared" si="50"/>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44"/>
        <v/>
      </c>
      <c r="AD346" s="4" t="str">
        <f t="shared" si="45"/>
        <v/>
      </c>
      <c r="AE346" s="4" t="str">
        <f t="shared" si="46"/>
        <v/>
      </c>
      <c r="AF346" s="4" t="str">
        <f t="shared" si="47"/>
        <v/>
      </c>
      <c r="AG346" s="4" t="str">
        <f t="shared" si="48"/>
        <v/>
      </c>
      <c r="AH346" s="4" t="str">
        <f t="shared" si="49"/>
        <v/>
      </c>
      <c r="AI346" s="2" t="str">
        <f t="shared" si="50"/>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44"/>
        <v/>
      </c>
      <c r="AD347" s="4" t="str">
        <f t="shared" si="45"/>
        <v/>
      </c>
      <c r="AE347" s="4" t="str">
        <f t="shared" si="46"/>
        <v/>
      </c>
      <c r="AF347" s="4" t="str">
        <f t="shared" si="47"/>
        <v/>
      </c>
      <c r="AG347" s="4" t="str">
        <f t="shared" si="48"/>
        <v/>
      </c>
      <c r="AH347" s="4" t="str">
        <f t="shared" si="49"/>
        <v/>
      </c>
      <c r="AI347" s="2" t="str">
        <f t="shared" si="50"/>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44"/>
        <v/>
      </c>
      <c r="AD348" s="4" t="str">
        <f t="shared" si="45"/>
        <v/>
      </c>
      <c r="AE348" s="4" t="str">
        <f t="shared" si="46"/>
        <v/>
      </c>
      <c r="AF348" s="4" t="str">
        <f t="shared" si="47"/>
        <v/>
      </c>
      <c r="AG348" s="4" t="str">
        <f t="shared" si="48"/>
        <v/>
      </c>
      <c r="AH348" s="4" t="str">
        <f t="shared" si="49"/>
        <v/>
      </c>
      <c r="AI348" s="2" t="str">
        <f t="shared" si="50"/>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44"/>
        <v/>
      </c>
      <c r="AD349" s="4" t="str">
        <f t="shared" si="45"/>
        <v/>
      </c>
      <c r="AE349" s="4" t="str">
        <f t="shared" si="46"/>
        <v/>
      </c>
      <c r="AF349" s="4" t="str">
        <f t="shared" si="47"/>
        <v/>
      </c>
      <c r="AG349" s="4" t="str">
        <f t="shared" si="48"/>
        <v/>
      </c>
      <c r="AH349" s="4" t="str">
        <f t="shared" si="49"/>
        <v/>
      </c>
      <c r="AI349" s="2" t="str">
        <f t="shared" si="50"/>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44"/>
        <v/>
      </c>
      <c r="AD350" s="4" t="str">
        <f t="shared" si="45"/>
        <v/>
      </c>
      <c r="AE350" s="4" t="str">
        <f t="shared" si="46"/>
        <v/>
      </c>
      <c r="AF350" s="4" t="str">
        <f t="shared" si="47"/>
        <v/>
      </c>
      <c r="AG350" s="4" t="str">
        <f t="shared" si="48"/>
        <v/>
      </c>
      <c r="AH350" s="4" t="str">
        <f t="shared" si="49"/>
        <v/>
      </c>
      <c r="AI350" s="2" t="str">
        <f t="shared" si="50"/>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44"/>
        <v/>
      </c>
      <c r="AD351" s="4" t="str">
        <f t="shared" si="45"/>
        <v/>
      </c>
      <c r="AE351" s="4" t="str">
        <f t="shared" si="46"/>
        <v/>
      </c>
      <c r="AF351" s="4" t="str">
        <f t="shared" si="47"/>
        <v/>
      </c>
      <c r="AG351" s="4" t="str">
        <f t="shared" si="48"/>
        <v/>
      </c>
      <c r="AH351" s="4" t="str">
        <f t="shared" si="49"/>
        <v/>
      </c>
      <c r="AI351" s="2" t="str">
        <f t="shared" si="50"/>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44"/>
        <v/>
      </c>
      <c r="AD352" s="4" t="str">
        <f t="shared" si="45"/>
        <v/>
      </c>
      <c r="AE352" s="4" t="str">
        <f t="shared" si="46"/>
        <v/>
      </c>
      <c r="AF352" s="4" t="str">
        <f t="shared" si="47"/>
        <v/>
      </c>
      <c r="AG352" s="4" t="str">
        <f t="shared" si="48"/>
        <v/>
      </c>
      <c r="AH352" s="4" t="str">
        <f t="shared" si="49"/>
        <v/>
      </c>
      <c r="AI352" s="2" t="str">
        <f t="shared" si="50"/>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44"/>
        <v/>
      </c>
      <c r="AD353" s="4" t="str">
        <f t="shared" si="45"/>
        <v/>
      </c>
      <c r="AE353" s="4" t="str">
        <f t="shared" si="46"/>
        <v/>
      </c>
      <c r="AF353" s="4" t="str">
        <f t="shared" si="47"/>
        <v/>
      </c>
      <c r="AG353" s="4" t="str">
        <f t="shared" si="48"/>
        <v/>
      </c>
      <c r="AH353" s="4" t="str">
        <f t="shared" si="49"/>
        <v/>
      </c>
      <c r="AI353" s="2" t="str">
        <f t="shared" si="50"/>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44"/>
        <v/>
      </c>
      <c r="AD354" s="4" t="str">
        <f t="shared" si="45"/>
        <v/>
      </c>
      <c r="AE354" s="4" t="str">
        <f t="shared" si="46"/>
        <v/>
      </c>
      <c r="AF354" s="4" t="str">
        <f t="shared" si="47"/>
        <v/>
      </c>
      <c r="AG354" s="4" t="str">
        <f t="shared" si="48"/>
        <v/>
      </c>
      <c r="AH354" s="4" t="str">
        <f t="shared" si="49"/>
        <v/>
      </c>
      <c r="AI354" s="2" t="str">
        <f t="shared" si="50"/>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44"/>
        <v/>
      </c>
      <c r="AD355" s="4" t="str">
        <f t="shared" si="45"/>
        <v/>
      </c>
      <c r="AE355" s="4" t="str">
        <f t="shared" si="46"/>
        <v/>
      </c>
      <c r="AF355" s="4" t="str">
        <f t="shared" si="47"/>
        <v/>
      </c>
      <c r="AG355" s="4" t="str">
        <f t="shared" si="48"/>
        <v/>
      </c>
      <c r="AH355" s="4" t="str">
        <f t="shared" si="49"/>
        <v/>
      </c>
      <c r="AI355" s="2" t="str">
        <f t="shared" si="50"/>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44"/>
        <v/>
      </c>
      <c r="AD356" s="4" t="str">
        <f t="shared" si="45"/>
        <v/>
      </c>
      <c r="AE356" s="4" t="str">
        <f t="shared" si="46"/>
        <v/>
      </c>
      <c r="AF356" s="4" t="str">
        <f t="shared" si="47"/>
        <v/>
      </c>
      <c r="AG356" s="4" t="str">
        <f t="shared" si="48"/>
        <v/>
      </c>
      <c r="AH356" s="4" t="str">
        <f t="shared" si="49"/>
        <v/>
      </c>
      <c r="AI356" s="2" t="str">
        <f t="shared" si="50"/>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44"/>
        <v/>
      </c>
      <c r="AD357" s="4" t="str">
        <f t="shared" si="45"/>
        <v/>
      </c>
      <c r="AE357" s="4" t="str">
        <f t="shared" si="46"/>
        <v/>
      </c>
      <c r="AF357" s="4" t="str">
        <f t="shared" si="47"/>
        <v/>
      </c>
      <c r="AG357" s="4" t="str">
        <f t="shared" si="48"/>
        <v/>
      </c>
      <c r="AH357" s="4" t="str">
        <f t="shared" si="49"/>
        <v/>
      </c>
      <c r="AI357" s="2" t="str">
        <f t="shared" si="50"/>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44"/>
        <v/>
      </c>
      <c r="AD358" s="4" t="str">
        <f t="shared" si="45"/>
        <v/>
      </c>
      <c r="AE358" s="4" t="str">
        <f t="shared" si="46"/>
        <v/>
      </c>
      <c r="AF358" s="4" t="str">
        <f t="shared" si="47"/>
        <v/>
      </c>
      <c r="AG358" s="4" t="str">
        <f t="shared" si="48"/>
        <v/>
      </c>
      <c r="AH358" s="4" t="str">
        <f t="shared" si="49"/>
        <v/>
      </c>
      <c r="AI358" s="2" t="str">
        <f t="shared" si="50"/>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44"/>
        <v/>
      </c>
      <c r="AD359" s="4" t="str">
        <f t="shared" si="45"/>
        <v/>
      </c>
      <c r="AE359" s="4" t="str">
        <f t="shared" si="46"/>
        <v/>
      </c>
      <c r="AF359" s="4" t="str">
        <f t="shared" si="47"/>
        <v/>
      </c>
      <c r="AG359" s="4" t="str">
        <f t="shared" si="48"/>
        <v/>
      </c>
      <c r="AH359" s="4" t="str">
        <f t="shared" si="49"/>
        <v/>
      </c>
      <c r="AI359" s="2" t="str">
        <f t="shared" si="50"/>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44"/>
        <v/>
      </c>
      <c r="AD360" s="4" t="str">
        <f t="shared" si="45"/>
        <v/>
      </c>
      <c r="AE360" s="4" t="str">
        <f t="shared" si="46"/>
        <v/>
      </c>
      <c r="AF360" s="4" t="str">
        <f t="shared" si="47"/>
        <v/>
      </c>
      <c r="AG360" s="4" t="str">
        <f t="shared" si="48"/>
        <v/>
      </c>
      <c r="AH360" s="4" t="str">
        <f t="shared" si="49"/>
        <v/>
      </c>
      <c r="AI360" s="2" t="str">
        <f t="shared" si="50"/>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44"/>
        <v/>
      </c>
      <c r="AD361" s="4" t="str">
        <f t="shared" si="45"/>
        <v/>
      </c>
      <c r="AE361" s="4" t="str">
        <f t="shared" si="46"/>
        <v/>
      </c>
      <c r="AF361" s="4" t="str">
        <f t="shared" si="47"/>
        <v/>
      </c>
      <c r="AG361" s="4" t="str">
        <f t="shared" si="48"/>
        <v/>
      </c>
      <c r="AH361" s="4" t="str">
        <f t="shared" si="49"/>
        <v/>
      </c>
      <c r="AI361" s="2" t="str">
        <f t="shared" si="50"/>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44"/>
        <v/>
      </c>
      <c r="AD362" s="4" t="str">
        <f t="shared" si="45"/>
        <v/>
      </c>
      <c r="AE362" s="4" t="str">
        <f t="shared" si="46"/>
        <v/>
      </c>
      <c r="AF362" s="4" t="str">
        <f t="shared" si="47"/>
        <v/>
      </c>
      <c r="AG362" s="4" t="str">
        <f t="shared" si="48"/>
        <v/>
      </c>
      <c r="AH362" s="4" t="str">
        <f t="shared" si="49"/>
        <v/>
      </c>
      <c r="AI362" s="2" t="str">
        <f t="shared" si="50"/>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44"/>
        <v/>
      </c>
      <c r="AD363" s="4" t="str">
        <f t="shared" si="45"/>
        <v/>
      </c>
      <c r="AE363" s="4" t="str">
        <f t="shared" si="46"/>
        <v/>
      </c>
      <c r="AF363" s="4" t="str">
        <f t="shared" si="47"/>
        <v/>
      </c>
      <c r="AG363" s="4" t="str">
        <f t="shared" si="48"/>
        <v/>
      </c>
      <c r="AH363" s="4" t="str">
        <f t="shared" si="49"/>
        <v/>
      </c>
      <c r="AI363" s="2" t="str">
        <f t="shared" si="50"/>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44"/>
        <v/>
      </c>
      <c r="AD364" s="4" t="str">
        <f t="shared" si="45"/>
        <v/>
      </c>
      <c r="AE364" s="4" t="str">
        <f t="shared" si="46"/>
        <v/>
      </c>
      <c r="AF364" s="4" t="str">
        <f t="shared" si="47"/>
        <v/>
      </c>
      <c r="AG364" s="4" t="str">
        <f t="shared" si="48"/>
        <v/>
      </c>
      <c r="AH364" s="4" t="str">
        <f t="shared" si="49"/>
        <v/>
      </c>
      <c r="AI364" s="2" t="str">
        <f t="shared" si="50"/>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44"/>
        <v/>
      </c>
      <c r="AD365" s="4" t="str">
        <f t="shared" si="45"/>
        <v/>
      </c>
      <c r="AE365" s="4" t="str">
        <f t="shared" si="46"/>
        <v/>
      </c>
      <c r="AF365" s="4" t="str">
        <f t="shared" si="47"/>
        <v/>
      </c>
      <c r="AG365" s="4" t="str">
        <f t="shared" si="48"/>
        <v/>
      </c>
      <c r="AH365" s="4" t="str">
        <f t="shared" si="49"/>
        <v/>
      </c>
      <c r="AI365" s="2" t="str">
        <f t="shared" si="50"/>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44"/>
        <v/>
      </c>
      <c r="AD366" s="4" t="str">
        <f t="shared" si="45"/>
        <v/>
      </c>
      <c r="AE366" s="4" t="str">
        <f t="shared" si="46"/>
        <v/>
      </c>
      <c r="AF366" s="4" t="str">
        <f t="shared" si="47"/>
        <v/>
      </c>
      <c r="AG366" s="4" t="str">
        <f t="shared" si="48"/>
        <v/>
      </c>
      <c r="AH366" s="4" t="str">
        <f t="shared" si="49"/>
        <v/>
      </c>
      <c r="AI366" s="2" t="str">
        <f t="shared" si="50"/>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44"/>
        <v/>
      </c>
      <c r="AD367" s="4" t="str">
        <f t="shared" si="45"/>
        <v/>
      </c>
      <c r="AE367" s="4" t="str">
        <f t="shared" si="46"/>
        <v/>
      </c>
      <c r="AF367" s="4" t="str">
        <f t="shared" si="47"/>
        <v/>
      </c>
      <c r="AG367" s="4" t="str">
        <f t="shared" si="48"/>
        <v/>
      </c>
      <c r="AH367" s="4" t="str">
        <f t="shared" si="49"/>
        <v/>
      </c>
      <c r="AI367" s="2" t="str">
        <f t="shared" si="50"/>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44"/>
        <v/>
      </c>
      <c r="AD368" s="4" t="str">
        <f t="shared" si="45"/>
        <v/>
      </c>
      <c r="AE368" s="4" t="str">
        <f t="shared" si="46"/>
        <v/>
      </c>
      <c r="AF368" s="4" t="str">
        <f t="shared" si="47"/>
        <v/>
      </c>
      <c r="AG368" s="4" t="str">
        <f t="shared" si="48"/>
        <v/>
      </c>
      <c r="AH368" s="4" t="str">
        <f t="shared" si="49"/>
        <v/>
      </c>
      <c r="AI368" s="2" t="str">
        <f t="shared" si="50"/>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44"/>
        <v/>
      </c>
      <c r="AD369" s="4" t="str">
        <f t="shared" si="45"/>
        <v/>
      </c>
      <c r="AE369" s="4" t="str">
        <f t="shared" si="46"/>
        <v/>
      </c>
      <c r="AF369" s="4" t="str">
        <f t="shared" si="47"/>
        <v/>
      </c>
      <c r="AG369" s="4" t="str">
        <f t="shared" si="48"/>
        <v/>
      </c>
      <c r="AH369" s="4" t="str">
        <f t="shared" si="49"/>
        <v/>
      </c>
      <c r="AI369" s="2" t="str">
        <f t="shared" si="50"/>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44"/>
        <v/>
      </c>
      <c r="AD370" s="4" t="str">
        <f t="shared" si="45"/>
        <v/>
      </c>
      <c r="AE370" s="4" t="str">
        <f t="shared" si="46"/>
        <v/>
      </c>
      <c r="AF370" s="4" t="str">
        <f t="shared" si="47"/>
        <v/>
      </c>
      <c r="AG370" s="4" t="str">
        <f t="shared" si="48"/>
        <v/>
      </c>
      <c r="AH370" s="4" t="str">
        <f t="shared" si="49"/>
        <v/>
      </c>
      <c r="AI370" s="2" t="str">
        <f t="shared" si="50"/>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44"/>
        <v/>
      </c>
      <c r="AD371" s="4" t="str">
        <f t="shared" si="45"/>
        <v/>
      </c>
      <c r="AE371" s="4" t="str">
        <f t="shared" si="46"/>
        <v/>
      </c>
      <c r="AF371" s="4" t="str">
        <f t="shared" si="47"/>
        <v/>
      </c>
      <c r="AG371" s="4" t="str">
        <f t="shared" si="48"/>
        <v/>
      </c>
      <c r="AH371" s="4" t="str">
        <f t="shared" si="49"/>
        <v/>
      </c>
      <c r="AI371" s="2" t="str">
        <f t="shared" si="50"/>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44"/>
        <v/>
      </c>
      <c r="AD372" s="4" t="str">
        <f t="shared" si="45"/>
        <v/>
      </c>
      <c r="AE372" s="4" t="str">
        <f t="shared" si="46"/>
        <v/>
      </c>
      <c r="AF372" s="4" t="str">
        <f t="shared" si="47"/>
        <v/>
      </c>
      <c r="AG372" s="4" t="str">
        <f t="shared" si="48"/>
        <v/>
      </c>
      <c r="AH372" s="4" t="str">
        <f t="shared" si="49"/>
        <v/>
      </c>
      <c r="AI372" s="2" t="str">
        <f t="shared" si="50"/>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44"/>
        <v/>
      </c>
      <c r="AD373" s="4" t="str">
        <f t="shared" si="45"/>
        <v/>
      </c>
      <c r="AE373" s="4" t="str">
        <f t="shared" si="46"/>
        <v/>
      </c>
      <c r="AF373" s="4" t="str">
        <f t="shared" si="47"/>
        <v/>
      </c>
      <c r="AG373" s="4" t="str">
        <f t="shared" si="48"/>
        <v/>
      </c>
      <c r="AH373" s="4" t="str">
        <f t="shared" si="49"/>
        <v/>
      </c>
      <c r="AI373" s="2" t="str">
        <f t="shared" si="50"/>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44"/>
        <v/>
      </c>
      <c r="AD374" s="4" t="str">
        <f t="shared" si="45"/>
        <v/>
      </c>
      <c r="AE374" s="4" t="str">
        <f t="shared" si="46"/>
        <v/>
      </c>
      <c r="AF374" s="4" t="str">
        <f t="shared" si="47"/>
        <v/>
      </c>
      <c r="AG374" s="4" t="str">
        <f t="shared" si="48"/>
        <v/>
      </c>
      <c r="AH374" s="4" t="str">
        <f t="shared" si="49"/>
        <v/>
      </c>
      <c r="AI374" s="2" t="str">
        <f t="shared" si="50"/>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44"/>
        <v/>
      </c>
      <c r="AD375" s="4" t="str">
        <f t="shared" si="45"/>
        <v/>
      </c>
      <c r="AE375" s="4" t="str">
        <f t="shared" si="46"/>
        <v/>
      </c>
      <c r="AF375" s="4" t="str">
        <f t="shared" si="47"/>
        <v/>
      </c>
      <c r="AG375" s="4" t="str">
        <f t="shared" si="48"/>
        <v/>
      </c>
      <c r="AH375" s="4" t="str">
        <f t="shared" si="49"/>
        <v/>
      </c>
      <c r="AI375" s="2" t="str">
        <f t="shared" si="50"/>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44"/>
        <v/>
      </c>
      <c r="AD376" s="4" t="str">
        <f t="shared" si="45"/>
        <v/>
      </c>
      <c r="AE376" s="4" t="str">
        <f t="shared" si="46"/>
        <v/>
      </c>
      <c r="AF376" s="4" t="str">
        <f t="shared" si="47"/>
        <v/>
      </c>
      <c r="AG376" s="4" t="str">
        <f t="shared" si="48"/>
        <v/>
      </c>
      <c r="AH376" s="4" t="str">
        <f t="shared" si="49"/>
        <v/>
      </c>
      <c r="AI376" s="2" t="str">
        <f t="shared" si="50"/>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44"/>
        <v/>
      </c>
      <c r="AD377" s="4" t="str">
        <f t="shared" si="45"/>
        <v/>
      </c>
      <c r="AE377" s="4" t="str">
        <f t="shared" si="46"/>
        <v/>
      </c>
      <c r="AF377" s="4" t="str">
        <f t="shared" si="47"/>
        <v/>
      </c>
      <c r="AG377" s="4" t="str">
        <f t="shared" si="48"/>
        <v/>
      </c>
      <c r="AH377" s="4" t="str">
        <f t="shared" si="49"/>
        <v/>
      </c>
      <c r="AI377" s="2" t="str">
        <f t="shared" si="50"/>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44"/>
        <v/>
      </c>
      <c r="AD378" s="4" t="str">
        <f t="shared" si="45"/>
        <v/>
      </c>
      <c r="AE378" s="4" t="str">
        <f t="shared" si="46"/>
        <v/>
      </c>
      <c r="AF378" s="4" t="str">
        <f t="shared" si="47"/>
        <v/>
      </c>
      <c r="AG378" s="4" t="str">
        <f t="shared" si="48"/>
        <v/>
      </c>
      <c r="AH378" s="4" t="str">
        <f t="shared" si="49"/>
        <v/>
      </c>
      <c r="AI378" s="2" t="str">
        <f t="shared" si="50"/>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44"/>
        <v/>
      </c>
      <c r="AD379" s="4" t="str">
        <f t="shared" si="45"/>
        <v/>
      </c>
      <c r="AE379" s="4" t="str">
        <f t="shared" si="46"/>
        <v/>
      </c>
      <c r="AF379" s="4" t="str">
        <f t="shared" si="47"/>
        <v/>
      </c>
      <c r="AG379" s="4" t="str">
        <f t="shared" si="48"/>
        <v/>
      </c>
      <c r="AH379" s="4" t="str">
        <f t="shared" si="49"/>
        <v/>
      </c>
      <c r="AI379" s="2" t="str">
        <f t="shared" si="50"/>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44"/>
        <v/>
      </c>
      <c r="AD380" s="4" t="str">
        <f t="shared" si="45"/>
        <v/>
      </c>
      <c r="AE380" s="4" t="str">
        <f t="shared" si="46"/>
        <v/>
      </c>
      <c r="AF380" s="4" t="str">
        <f t="shared" si="47"/>
        <v/>
      </c>
      <c r="AG380" s="4" t="str">
        <f t="shared" si="48"/>
        <v/>
      </c>
      <c r="AH380" s="4" t="str">
        <f t="shared" si="49"/>
        <v/>
      </c>
      <c r="AI380" s="2" t="str">
        <f t="shared" si="50"/>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44"/>
        <v/>
      </c>
      <c r="AD381" s="4" t="str">
        <f t="shared" si="45"/>
        <v/>
      </c>
      <c r="AE381" s="4" t="str">
        <f t="shared" si="46"/>
        <v/>
      </c>
      <c r="AF381" s="4" t="str">
        <f t="shared" si="47"/>
        <v/>
      </c>
      <c r="AG381" s="4" t="str">
        <f t="shared" si="48"/>
        <v/>
      </c>
      <c r="AH381" s="4" t="str">
        <f t="shared" si="49"/>
        <v/>
      </c>
      <c r="AI381" s="2" t="str">
        <f t="shared" si="50"/>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44"/>
        <v/>
      </c>
      <c r="AD382" s="4" t="str">
        <f t="shared" si="45"/>
        <v/>
      </c>
      <c r="AE382" s="4" t="str">
        <f t="shared" si="46"/>
        <v/>
      </c>
      <c r="AF382" s="4" t="str">
        <f t="shared" si="47"/>
        <v/>
      </c>
      <c r="AG382" s="4" t="str">
        <f t="shared" si="48"/>
        <v/>
      </c>
      <c r="AH382" s="4" t="str">
        <f t="shared" si="49"/>
        <v/>
      </c>
      <c r="AI382" s="2" t="str">
        <f t="shared" si="50"/>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44"/>
        <v/>
      </c>
      <c r="AD383" s="4" t="str">
        <f t="shared" si="45"/>
        <v/>
      </c>
      <c r="AE383" s="4" t="str">
        <f t="shared" si="46"/>
        <v/>
      </c>
      <c r="AF383" s="4" t="str">
        <f t="shared" si="47"/>
        <v/>
      </c>
      <c r="AG383" s="4" t="str">
        <f t="shared" si="48"/>
        <v/>
      </c>
      <c r="AH383" s="4" t="str">
        <f t="shared" si="49"/>
        <v/>
      </c>
      <c r="AI383" s="2" t="str">
        <f t="shared" si="50"/>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44"/>
        <v/>
      </c>
      <c r="AD384" s="4" t="str">
        <f t="shared" si="45"/>
        <v/>
      </c>
      <c r="AE384" s="4" t="str">
        <f t="shared" si="46"/>
        <v/>
      </c>
      <c r="AF384" s="4" t="str">
        <f t="shared" si="47"/>
        <v/>
      </c>
      <c r="AG384" s="4" t="str">
        <f t="shared" si="48"/>
        <v/>
      </c>
      <c r="AH384" s="4" t="str">
        <f t="shared" si="49"/>
        <v/>
      </c>
      <c r="AI384" s="2" t="str">
        <f t="shared" si="50"/>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44"/>
        <v/>
      </c>
      <c r="AD385" s="4" t="str">
        <f t="shared" si="45"/>
        <v/>
      </c>
      <c r="AE385" s="4" t="str">
        <f t="shared" si="46"/>
        <v/>
      </c>
      <c r="AF385" s="4" t="str">
        <f t="shared" si="47"/>
        <v/>
      </c>
      <c r="AG385" s="4" t="str">
        <f t="shared" si="48"/>
        <v/>
      </c>
      <c r="AH385" s="4" t="str">
        <f t="shared" si="49"/>
        <v/>
      </c>
      <c r="AI385" s="2" t="str">
        <f t="shared" si="50"/>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44"/>
        <v/>
      </c>
      <c r="AD386" s="4" t="str">
        <f t="shared" si="45"/>
        <v/>
      </c>
      <c r="AE386" s="4" t="str">
        <f t="shared" si="46"/>
        <v/>
      </c>
      <c r="AF386" s="4" t="str">
        <f t="shared" si="47"/>
        <v/>
      </c>
      <c r="AG386" s="4" t="str">
        <f t="shared" si="48"/>
        <v/>
      </c>
      <c r="AH386" s="4" t="str">
        <f t="shared" si="49"/>
        <v/>
      </c>
      <c r="AI386" s="2" t="str">
        <f t="shared" si="50"/>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44"/>
        <v/>
      </c>
      <c r="AD387" s="4" t="str">
        <f t="shared" si="45"/>
        <v/>
      </c>
      <c r="AE387" s="4" t="str">
        <f t="shared" si="46"/>
        <v/>
      </c>
      <c r="AF387" s="4" t="str">
        <f t="shared" si="47"/>
        <v/>
      </c>
      <c r="AG387" s="4" t="str">
        <f t="shared" si="48"/>
        <v/>
      </c>
      <c r="AH387" s="4" t="str">
        <f t="shared" si="49"/>
        <v/>
      </c>
      <c r="AI387" s="2" t="str">
        <f t="shared" si="50"/>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si="44"/>
        <v/>
      </c>
      <c r="AD388" s="4" t="str">
        <f t="shared" si="45"/>
        <v/>
      </c>
      <c r="AE388" s="4" t="str">
        <f t="shared" si="46"/>
        <v/>
      </c>
      <c r="AF388" s="4" t="str">
        <f t="shared" si="47"/>
        <v/>
      </c>
      <c r="AG388" s="4" t="str">
        <f t="shared" si="48"/>
        <v/>
      </c>
      <c r="AH388" s="4" t="str">
        <f t="shared" si="49"/>
        <v/>
      </c>
      <c r="AI388" s="2" t="str">
        <f t="shared" si="50"/>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ref="AC389:AC452" si="51">IF((MAX(A389,L389,N389,P389,X389,Y389)-MIN(A389,L389,N389,P389,X389,Y389))&gt;3,1,"")</f>
        <v/>
      </c>
      <c r="AD389" s="4" t="str">
        <f t="shared" ref="AD389:AD452" si="52">IF((MAX(B389,D389,M389,U389)-MIN(B389,D389,M389,U389))&gt;3,1,"")</f>
        <v/>
      </c>
      <c r="AE389" s="4" t="str">
        <f t="shared" ref="AE389:AE452" si="53">IF((MAX(I389,T389,V389,W389)-MIN(I389,T389,V389,W389))&gt;3,1,"")</f>
        <v/>
      </c>
      <c r="AF389" s="4" t="str">
        <f t="shared" ref="AF389:AF452" si="54">IF((MAX(H389,K389,Q389,S389)-MIN(H389,K389,Q389,S389))&gt;3,1,"")</f>
        <v/>
      </c>
      <c r="AG389" s="4" t="str">
        <f t="shared" ref="AG389:AG452" si="55">IF((MAX(E389,F389,G389,R389)-MIN(E389,F389,G389,R389))&gt;3,1,"")</f>
        <v/>
      </c>
      <c r="AH389" s="4" t="str">
        <f t="shared" ref="AH389:AH452" si="56">IF((MAX(C389,J389,O389,Z389)-MIN(C389,J389,O389,Z389))&gt;3,1,"")</f>
        <v/>
      </c>
      <c r="AI389" s="2" t="str">
        <f t="shared" ref="AI389:AI452" si="57">IF(COUNT(A389:Z389)&gt;0,IF(COUNT(AC389,AD389,AE389,AF389,AG389,AH389)&gt;0,SUM(AC389,AD389,AE389,AF389,AG389,AH389),0),"")</f>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51"/>
        <v/>
      </c>
      <c r="AD390" s="4" t="str">
        <f t="shared" si="52"/>
        <v/>
      </c>
      <c r="AE390" s="4" t="str">
        <f t="shared" si="53"/>
        <v/>
      </c>
      <c r="AF390" s="4" t="str">
        <f t="shared" si="54"/>
        <v/>
      </c>
      <c r="AG390" s="4" t="str">
        <f t="shared" si="55"/>
        <v/>
      </c>
      <c r="AH390" s="4" t="str">
        <f t="shared" si="56"/>
        <v/>
      </c>
      <c r="AI390" s="2" t="str">
        <f t="shared" si="57"/>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51"/>
        <v/>
      </c>
      <c r="AD391" s="4" t="str">
        <f t="shared" si="52"/>
        <v/>
      </c>
      <c r="AE391" s="4" t="str">
        <f t="shared" si="53"/>
        <v/>
      </c>
      <c r="AF391" s="4" t="str">
        <f t="shared" si="54"/>
        <v/>
      </c>
      <c r="AG391" s="4" t="str">
        <f t="shared" si="55"/>
        <v/>
      </c>
      <c r="AH391" s="4" t="str">
        <f t="shared" si="56"/>
        <v/>
      </c>
      <c r="AI391" s="2" t="str">
        <f t="shared" si="57"/>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51"/>
        <v/>
      </c>
      <c r="AD392" s="4" t="str">
        <f t="shared" si="52"/>
        <v/>
      </c>
      <c r="AE392" s="4" t="str">
        <f t="shared" si="53"/>
        <v/>
      </c>
      <c r="AF392" s="4" t="str">
        <f t="shared" si="54"/>
        <v/>
      </c>
      <c r="AG392" s="4" t="str">
        <f t="shared" si="55"/>
        <v/>
      </c>
      <c r="AH392" s="4" t="str">
        <f t="shared" si="56"/>
        <v/>
      </c>
      <c r="AI392" s="2" t="str">
        <f t="shared" si="57"/>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51"/>
        <v/>
      </c>
      <c r="AD393" s="4" t="str">
        <f t="shared" si="52"/>
        <v/>
      </c>
      <c r="AE393" s="4" t="str">
        <f t="shared" si="53"/>
        <v/>
      </c>
      <c r="AF393" s="4" t="str">
        <f t="shared" si="54"/>
        <v/>
      </c>
      <c r="AG393" s="4" t="str">
        <f t="shared" si="55"/>
        <v/>
      </c>
      <c r="AH393" s="4" t="str">
        <f t="shared" si="56"/>
        <v/>
      </c>
      <c r="AI393" s="2" t="str">
        <f t="shared" si="57"/>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51"/>
        <v/>
      </c>
      <c r="AD394" s="4" t="str">
        <f t="shared" si="52"/>
        <v/>
      </c>
      <c r="AE394" s="4" t="str">
        <f t="shared" si="53"/>
        <v/>
      </c>
      <c r="AF394" s="4" t="str">
        <f t="shared" si="54"/>
        <v/>
      </c>
      <c r="AG394" s="4" t="str">
        <f t="shared" si="55"/>
        <v/>
      </c>
      <c r="AH394" s="4" t="str">
        <f t="shared" si="56"/>
        <v/>
      </c>
      <c r="AI394" s="2" t="str">
        <f t="shared" si="57"/>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51"/>
        <v/>
      </c>
      <c r="AD395" s="4" t="str">
        <f t="shared" si="52"/>
        <v/>
      </c>
      <c r="AE395" s="4" t="str">
        <f t="shared" si="53"/>
        <v/>
      </c>
      <c r="AF395" s="4" t="str">
        <f t="shared" si="54"/>
        <v/>
      </c>
      <c r="AG395" s="4" t="str">
        <f t="shared" si="55"/>
        <v/>
      </c>
      <c r="AH395" s="4" t="str">
        <f t="shared" si="56"/>
        <v/>
      </c>
      <c r="AI395" s="2" t="str">
        <f t="shared" si="57"/>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51"/>
        <v/>
      </c>
      <c r="AD396" s="4" t="str">
        <f t="shared" si="52"/>
        <v/>
      </c>
      <c r="AE396" s="4" t="str">
        <f t="shared" si="53"/>
        <v/>
      </c>
      <c r="AF396" s="4" t="str">
        <f t="shared" si="54"/>
        <v/>
      </c>
      <c r="AG396" s="4" t="str">
        <f t="shared" si="55"/>
        <v/>
      </c>
      <c r="AH396" s="4" t="str">
        <f t="shared" si="56"/>
        <v/>
      </c>
      <c r="AI396" s="2" t="str">
        <f t="shared" si="57"/>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51"/>
        <v/>
      </c>
      <c r="AD397" s="4" t="str">
        <f t="shared" si="52"/>
        <v/>
      </c>
      <c r="AE397" s="4" t="str">
        <f t="shared" si="53"/>
        <v/>
      </c>
      <c r="AF397" s="4" t="str">
        <f t="shared" si="54"/>
        <v/>
      </c>
      <c r="AG397" s="4" t="str">
        <f t="shared" si="55"/>
        <v/>
      </c>
      <c r="AH397" s="4" t="str">
        <f t="shared" si="56"/>
        <v/>
      </c>
      <c r="AI397" s="2" t="str">
        <f t="shared" si="57"/>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51"/>
        <v/>
      </c>
      <c r="AD398" s="4" t="str">
        <f t="shared" si="52"/>
        <v/>
      </c>
      <c r="AE398" s="4" t="str">
        <f t="shared" si="53"/>
        <v/>
      </c>
      <c r="AF398" s="4" t="str">
        <f t="shared" si="54"/>
        <v/>
      </c>
      <c r="AG398" s="4" t="str">
        <f t="shared" si="55"/>
        <v/>
      </c>
      <c r="AH398" s="4" t="str">
        <f t="shared" si="56"/>
        <v/>
      </c>
      <c r="AI398" s="2" t="str">
        <f t="shared" si="57"/>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51"/>
        <v/>
      </c>
      <c r="AD399" s="4" t="str">
        <f t="shared" si="52"/>
        <v/>
      </c>
      <c r="AE399" s="4" t="str">
        <f t="shared" si="53"/>
        <v/>
      </c>
      <c r="AF399" s="4" t="str">
        <f t="shared" si="54"/>
        <v/>
      </c>
      <c r="AG399" s="4" t="str">
        <f t="shared" si="55"/>
        <v/>
      </c>
      <c r="AH399" s="4" t="str">
        <f t="shared" si="56"/>
        <v/>
      </c>
      <c r="AI399" s="2" t="str">
        <f t="shared" si="57"/>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51"/>
        <v/>
      </c>
      <c r="AD400" s="4" t="str">
        <f t="shared" si="52"/>
        <v/>
      </c>
      <c r="AE400" s="4" t="str">
        <f t="shared" si="53"/>
        <v/>
      </c>
      <c r="AF400" s="4" t="str">
        <f t="shared" si="54"/>
        <v/>
      </c>
      <c r="AG400" s="4" t="str">
        <f t="shared" si="55"/>
        <v/>
      </c>
      <c r="AH400" s="4" t="str">
        <f t="shared" si="56"/>
        <v/>
      </c>
      <c r="AI400" s="2" t="str">
        <f t="shared" si="57"/>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51"/>
        <v/>
      </c>
      <c r="AD401" s="4" t="str">
        <f t="shared" si="52"/>
        <v/>
      </c>
      <c r="AE401" s="4" t="str">
        <f t="shared" si="53"/>
        <v/>
      </c>
      <c r="AF401" s="4" t="str">
        <f t="shared" si="54"/>
        <v/>
      </c>
      <c r="AG401" s="4" t="str">
        <f t="shared" si="55"/>
        <v/>
      </c>
      <c r="AH401" s="4" t="str">
        <f t="shared" si="56"/>
        <v/>
      </c>
      <c r="AI401" s="2" t="str">
        <f t="shared" si="57"/>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51"/>
        <v/>
      </c>
      <c r="AD402" s="4" t="str">
        <f t="shared" si="52"/>
        <v/>
      </c>
      <c r="AE402" s="4" t="str">
        <f t="shared" si="53"/>
        <v/>
      </c>
      <c r="AF402" s="4" t="str">
        <f t="shared" si="54"/>
        <v/>
      </c>
      <c r="AG402" s="4" t="str">
        <f t="shared" si="55"/>
        <v/>
      </c>
      <c r="AH402" s="4" t="str">
        <f t="shared" si="56"/>
        <v/>
      </c>
      <c r="AI402" s="2" t="str">
        <f t="shared" si="57"/>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51"/>
        <v/>
      </c>
      <c r="AD403" s="4" t="str">
        <f t="shared" si="52"/>
        <v/>
      </c>
      <c r="AE403" s="4" t="str">
        <f t="shared" si="53"/>
        <v/>
      </c>
      <c r="AF403" s="4" t="str">
        <f t="shared" si="54"/>
        <v/>
      </c>
      <c r="AG403" s="4" t="str">
        <f t="shared" si="55"/>
        <v/>
      </c>
      <c r="AH403" s="4" t="str">
        <f t="shared" si="56"/>
        <v/>
      </c>
      <c r="AI403" s="2" t="str">
        <f t="shared" si="57"/>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51"/>
        <v/>
      </c>
      <c r="AD404" s="4" t="str">
        <f t="shared" si="52"/>
        <v/>
      </c>
      <c r="AE404" s="4" t="str">
        <f t="shared" si="53"/>
        <v/>
      </c>
      <c r="AF404" s="4" t="str">
        <f t="shared" si="54"/>
        <v/>
      </c>
      <c r="AG404" s="4" t="str">
        <f t="shared" si="55"/>
        <v/>
      </c>
      <c r="AH404" s="4" t="str">
        <f t="shared" si="56"/>
        <v/>
      </c>
      <c r="AI404" s="2" t="str">
        <f t="shared" si="57"/>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51"/>
        <v/>
      </c>
      <c r="AD405" s="4" t="str">
        <f t="shared" si="52"/>
        <v/>
      </c>
      <c r="AE405" s="4" t="str">
        <f t="shared" si="53"/>
        <v/>
      </c>
      <c r="AF405" s="4" t="str">
        <f t="shared" si="54"/>
        <v/>
      </c>
      <c r="AG405" s="4" t="str">
        <f t="shared" si="55"/>
        <v/>
      </c>
      <c r="AH405" s="4" t="str">
        <f t="shared" si="56"/>
        <v/>
      </c>
      <c r="AI405" s="2" t="str">
        <f t="shared" si="57"/>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51"/>
        <v/>
      </c>
      <c r="AD406" s="4" t="str">
        <f t="shared" si="52"/>
        <v/>
      </c>
      <c r="AE406" s="4" t="str">
        <f t="shared" si="53"/>
        <v/>
      </c>
      <c r="AF406" s="4" t="str">
        <f t="shared" si="54"/>
        <v/>
      </c>
      <c r="AG406" s="4" t="str">
        <f t="shared" si="55"/>
        <v/>
      </c>
      <c r="AH406" s="4" t="str">
        <f t="shared" si="56"/>
        <v/>
      </c>
      <c r="AI406" s="2" t="str">
        <f t="shared" si="57"/>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51"/>
        <v/>
      </c>
      <c r="AD407" s="4" t="str">
        <f t="shared" si="52"/>
        <v/>
      </c>
      <c r="AE407" s="4" t="str">
        <f t="shared" si="53"/>
        <v/>
      </c>
      <c r="AF407" s="4" t="str">
        <f t="shared" si="54"/>
        <v/>
      </c>
      <c r="AG407" s="4" t="str">
        <f t="shared" si="55"/>
        <v/>
      </c>
      <c r="AH407" s="4" t="str">
        <f t="shared" si="56"/>
        <v/>
      </c>
      <c r="AI407" s="2" t="str">
        <f t="shared" si="57"/>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51"/>
        <v/>
      </c>
      <c r="AD408" s="4" t="str">
        <f t="shared" si="52"/>
        <v/>
      </c>
      <c r="AE408" s="4" t="str">
        <f t="shared" si="53"/>
        <v/>
      </c>
      <c r="AF408" s="4" t="str">
        <f t="shared" si="54"/>
        <v/>
      </c>
      <c r="AG408" s="4" t="str">
        <f t="shared" si="55"/>
        <v/>
      </c>
      <c r="AH408" s="4" t="str">
        <f t="shared" si="56"/>
        <v/>
      </c>
      <c r="AI408" s="2" t="str">
        <f t="shared" si="57"/>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51"/>
        <v/>
      </c>
      <c r="AD409" s="4" t="str">
        <f t="shared" si="52"/>
        <v/>
      </c>
      <c r="AE409" s="4" t="str">
        <f t="shared" si="53"/>
        <v/>
      </c>
      <c r="AF409" s="4" t="str">
        <f t="shared" si="54"/>
        <v/>
      </c>
      <c r="AG409" s="4" t="str">
        <f t="shared" si="55"/>
        <v/>
      </c>
      <c r="AH409" s="4" t="str">
        <f t="shared" si="56"/>
        <v/>
      </c>
      <c r="AI409" s="2" t="str">
        <f t="shared" si="57"/>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51"/>
        <v/>
      </c>
      <c r="AD410" s="4" t="str">
        <f t="shared" si="52"/>
        <v/>
      </c>
      <c r="AE410" s="4" t="str">
        <f t="shared" si="53"/>
        <v/>
      </c>
      <c r="AF410" s="4" t="str">
        <f t="shared" si="54"/>
        <v/>
      </c>
      <c r="AG410" s="4" t="str">
        <f t="shared" si="55"/>
        <v/>
      </c>
      <c r="AH410" s="4" t="str">
        <f t="shared" si="56"/>
        <v/>
      </c>
      <c r="AI410" s="2" t="str">
        <f t="shared" si="57"/>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51"/>
        <v/>
      </c>
      <c r="AD411" s="4" t="str">
        <f t="shared" si="52"/>
        <v/>
      </c>
      <c r="AE411" s="4" t="str">
        <f t="shared" si="53"/>
        <v/>
      </c>
      <c r="AF411" s="4" t="str">
        <f t="shared" si="54"/>
        <v/>
      </c>
      <c r="AG411" s="4" t="str">
        <f t="shared" si="55"/>
        <v/>
      </c>
      <c r="AH411" s="4" t="str">
        <f t="shared" si="56"/>
        <v/>
      </c>
      <c r="AI411" s="2" t="str">
        <f t="shared" si="57"/>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51"/>
        <v/>
      </c>
      <c r="AD412" s="4" t="str">
        <f t="shared" si="52"/>
        <v/>
      </c>
      <c r="AE412" s="4" t="str">
        <f t="shared" si="53"/>
        <v/>
      </c>
      <c r="AF412" s="4" t="str">
        <f t="shared" si="54"/>
        <v/>
      </c>
      <c r="AG412" s="4" t="str">
        <f t="shared" si="55"/>
        <v/>
      </c>
      <c r="AH412" s="4" t="str">
        <f t="shared" si="56"/>
        <v/>
      </c>
      <c r="AI412" s="2" t="str">
        <f t="shared" si="57"/>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51"/>
        <v/>
      </c>
      <c r="AD413" s="4" t="str">
        <f t="shared" si="52"/>
        <v/>
      </c>
      <c r="AE413" s="4" t="str">
        <f t="shared" si="53"/>
        <v/>
      </c>
      <c r="AF413" s="4" t="str">
        <f t="shared" si="54"/>
        <v/>
      </c>
      <c r="AG413" s="4" t="str">
        <f t="shared" si="55"/>
        <v/>
      </c>
      <c r="AH413" s="4" t="str">
        <f t="shared" si="56"/>
        <v/>
      </c>
      <c r="AI413" s="2" t="str">
        <f t="shared" si="57"/>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51"/>
        <v/>
      </c>
      <c r="AD414" s="4" t="str">
        <f t="shared" si="52"/>
        <v/>
      </c>
      <c r="AE414" s="4" t="str">
        <f t="shared" si="53"/>
        <v/>
      </c>
      <c r="AF414" s="4" t="str">
        <f t="shared" si="54"/>
        <v/>
      </c>
      <c r="AG414" s="4" t="str">
        <f t="shared" si="55"/>
        <v/>
      </c>
      <c r="AH414" s="4" t="str">
        <f t="shared" si="56"/>
        <v/>
      </c>
      <c r="AI414" s="2" t="str">
        <f t="shared" si="57"/>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51"/>
        <v/>
      </c>
      <c r="AD415" s="4" t="str">
        <f t="shared" si="52"/>
        <v/>
      </c>
      <c r="AE415" s="4" t="str">
        <f t="shared" si="53"/>
        <v/>
      </c>
      <c r="AF415" s="4" t="str">
        <f t="shared" si="54"/>
        <v/>
      </c>
      <c r="AG415" s="4" t="str">
        <f t="shared" si="55"/>
        <v/>
      </c>
      <c r="AH415" s="4" t="str">
        <f t="shared" si="56"/>
        <v/>
      </c>
      <c r="AI415" s="2" t="str">
        <f t="shared" si="57"/>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51"/>
        <v/>
      </c>
      <c r="AD416" s="4" t="str">
        <f t="shared" si="52"/>
        <v/>
      </c>
      <c r="AE416" s="4" t="str">
        <f t="shared" si="53"/>
        <v/>
      </c>
      <c r="AF416" s="4" t="str">
        <f t="shared" si="54"/>
        <v/>
      </c>
      <c r="AG416" s="4" t="str">
        <f t="shared" si="55"/>
        <v/>
      </c>
      <c r="AH416" s="4" t="str">
        <f t="shared" si="56"/>
        <v/>
      </c>
      <c r="AI416" s="2" t="str">
        <f t="shared" si="57"/>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51"/>
        <v/>
      </c>
      <c r="AD417" s="4" t="str">
        <f t="shared" si="52"/>
        <v/>
      </c>
      <c r="AE417" s="4" t="str">
        <f t="shared" si="53"/>
        <v/>
      </c>
      <c r="AF417" s="4" t="str">
        <f t="shared" si="54"/>
        <v/>
      </c>
      <c r="AG417" s="4" t="str">
        <f t="shared" si="55"/>
        <v/>
      </c>
      <c r="AH417" s="4" t="str">
        <f t="shared" si="56"/>
        <v/>
      </c>
      <c r="AI417" s="2" t="str">
        <f t="shared" si="57"/>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51"/>
        <v/>
      </c>
      <c r="AD418" s="4" t="str">
        <f t="shared" si="52"/>
        <v/>
      </c>
      <c r="AE418" s="4" t="str">
        <f t="shared" si="53"/>
        <v/>
      </c>
      <c r="AF418" s="4" t="str">
        <f t="shared" si="54"/>
        <v/>
      </c>
      <c r="AG418" s="4" t="str">
        <f t="shared" si="55"/>
        <v/>
      </c>
      <c r="AH418" s="4" t="str">
        <f t="shared" si="56"/>
        <v/>
      </c>
      <c r="AI418" s="2" t="str">
        <f t="shared" si="57"/>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51"/>
        <v/>
      </c>
      <c r="AD419" s="4" t="str">
        <f t="shared" si="52"/>
        <v/>
      </c>
      <c r="AE419" s="4" t="str">
        <f t="shared" si="53"/>
        <v/>
      </c>
      <c r="AF419" s="4" t="str">
        <f t="shared" si="54"/>
        <v/>
      </c>
      <c r="AG419" s="4" t="str">
        <f t="shared" si="55"/>
        <v/>
      </c>
      <c r="AH419" s="4" t="str">
        <f t="shared" si="56"/>
        <v/>
      </c>
      <c r="AI419" s="2" t="str">
        <f t="shared" si="57"/>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51"/>
        <v/>
      </c>
      <c r="AD420" s="4" t="str">
        <f t="shared" si="52"/>
        <v/>
      </c>
      <c r="AE420" s="4" t="str">
        <f t="shared" si="53"/>
        <v/>
      </c>
      <c r="AF420" s="4" t="str">
        <f t="shared" si="54"/>
        <v/>
      </c>
      <c r="AG420" s="4" t="str">
        <f t="shared" si="55"/>
        <v/>
      </c>
      <c r="AH420" s="4" t="str">
        <f t="shared" si="56"/>
        <v/>
      </c>
      <c r="AI420" s="2" t="str">
        <f t="shared" si="57"/>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51"/>
        <v/>
      </c>
      <c r="AD421" s="4" t="str">
        <f t="shared" si="52"/>
        <v/>
      </c>
      <c r="AE421" s="4" t="str">
        <f t="shared" si="53"/>
        <v/>
      </c>
      <c r="AF421" s="4" t="str">
        <f t="shared" si="54"/>
        <v/>
      </c>
      <c r="AG421" s="4" t="str">
        <f t="shared" si="55"/>
        <v/>
      </c>
      <c r="AH421" s="4" t="str">
        <f t="shared" si="56"/>
        <v/>
      </c>
      <c r="AI421" s="2" t="str">
        <f t="shared" si="57"/>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51"/>
        <v/>
      </c>
      <c r="AD422" s="4" t="str">
        <f t="shared" si="52"/>
        <v/>
      </c>
      <c r="AE422" s="4" t="str">
        <f t="shared" si="53"/>
        <v/>
      </c>
      <c r="AF422" s="4" t="str">
        <f t="shared" si="54"/>
        <v/>
      </c>
      <c r="AG422" s="4" t="str">
        <f t="shared" si="55"/>
        <v/>
      </c>
      <c r="AH422" s="4" t="str">
        <f t="shared" si="56"/>
        <v/>
      </c>
      <c r="AI422" s="2" t="str">
        <f t="shared" si="57"/>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51"/>
        <v/>
      </c>
      <c r="AD423" s="4" t="str">
        <f t="shared" si="52"/>
        <v/>
      </c>
      <c r="AE423" s="4" t="str">
        <f t="shared" si="53"/>
        <v/>
      </c>
      <c r="AF423" s="4" t="str">
        <f t="shared" si="54"/>
        <v/>
      </c>
      <c r="AG423" s="4" t="str">
        <f t="shared" si="55"/>
        <v/>
      </c>
      <c r="AH423" s="4" t="str">
        <f t="shared" si="56"/>
        <v/>
      </c>
      <c r="AI423" s="2" t="str">
        <f t="shared" si="57"/>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51"/>
        <v/>
      </c>
      <c r="AD424" s="4" t="str">
        <f t="shared" si="52"/>
        <v/>
      </c>
      <c r="AE424" s="4" t="str">
        <f t="shared" si="53"/>
        <v/>
      </c>
      <c r="AF424" s="4" t="str">
        <f t="shared" si="54"/>
        <v/>
      </c>
      <c r="AG424" s="4" t="str">
        <f t="shared" si="55"/>
        <v/>
      </c>
      <c r="AH424" s="4" t="str">
        <f t="shared" si="56"/>
        <v/>
      </c>
      <c r="AI424" s="2" t="str">
        <f t="shared" si="57"/>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51"/>
        <v/>
      </c>
      <c r="AD425" s="4" t="str">
        <f t="shared" si="52"/>
        <v/>
      </c>
      <c r="AE425" s="4" t="str">
        <f t="shared" si="53"/>
        <v/>
      </c>
      <c r="AF425" s="4" t="str">
        <f t="shared" si="54"/>
        <v/>
      </c>
      <c r="AG425" s="4" t="str">
        <f t="shared" si="55"/>
        <v/>
      </c>
      <c r="AH425" s="4" t="str">
        <f t="shared" si="56"/>
        <v/>
      </c>
      <c r="AI425" s="2" t="str">
        <f t="shared" si="57"/>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51"/>
        <v/>
      </c>
      <c r="AD426" s="4" t="str">
        <f t="shared" si="52"/>
        <v/>
      </c>
      <c r="AE426" s="4" t="str">
        <f t="shared" si="53"/>
        <v/>
      </c>
      <c r="AF426" s="4" t="str">
        <f t="shared" si="54"/>
        <v/>
      </c>
      <c r="AG426" s="4" t="str">
        <f t="shared" si="55"/>
        <v/>
      </c>
      <c r="AH426" s="4" t="str">
        <f t="shared" si="56"/>
        <v/>
      </c>
      <c r="AI426" s="2" t="str">
        <f t="shared" si="57"/>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51"/>
        <v/>
      </c>
      <c r="AD427" s="4" t="str">
        <f t="shared" si="52"/>
        <v/>
      </c>
      <c r="AE427" s="4" t="str">
        <f t="shared" si="53"/>
        <v/>
      </c>
      <c r="AF427" s="4" t="str">
        <f t="shared" si="54"/>
        <v/>
      </c>
      <c r="AG427" s="4" t="str">
        <f t="shared" si="55"/>
        <v/>
      </c>
      <c r="AH427" s="4" t="str">
        <f t="shared" si="56"/>
        <v/>
      </c>
      <c r="AI427" s="2" t="str">
        <f t="shared" si="57"/>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51"/>
        <v/>
      </c>
      <c r="AD428" s="4" t="str">
        <f t="shared" si="52"/>
        <v/>
      </c>
      <c r="AE428" s="4" t="str">
        <f t="shared" si="53"/>
        <v/>
      </c>
      <c r="AF428" s="4" t="str">
        <f t="shared" si="54"/>
        <v/>
      </c>
      <c r="AG428" s="4" t="str">
        <f t="shared" si="55"/>
        <v/>
      </c>
      <c r="AH428" s="4" t="str">
        <f t="shared" si="56"/>
        <v/>
      </c>
      <c r="AI428" s="2" t="str">
        <f t="shared" si="57"/>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51"/>
        <v/>
      </c>
      <c r="AD429" s="4" t="str">
        <f t="shared" si="52"/>
        <v/>
      </c>
      <c r="AE429" s="4" t="str">
        <f t="shared" si="53"/>
        <v/>
      </c>
      <c r="AF429" s="4" t="str">
        <f t="shared" si="54"/>
        <v/>
      </c>
      <c r="AG429" s="4" t="str">
        <f t="shared" si="55"/>
        <v/>
      </c>
      <c r="AH429" s="4" t="str">
        <f t="shared" si="56"/>
        <v/>
      </c>
      <c r="AI429" s="2" t="str">
        <f t="shared" si="57"/>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51"/>
        <v/>
      </c>
      <c r="AD430" s="4" t="str">
        <f t="shared" si="52"/>
        <v/>
      </c>
      <c r="AE430" s="4" t="str">
        <f t="shared" si="53"/>
        <v/>
      </c>
      <c r="AF430" s="4" t="str">
        <f t="shared" si="54"/>
        <v/>
      </c>
      <c r="AG430" s="4" t="str">
        <f t="shared" si="55"/>
        <v/>
      </c>
      <c r="AH430" s="4" t="str">
        <f t="shared" si="56"/>
        <v/>
      </c>
      <c r="AI430" s="2" t="str">
        <f t="shared" si="57"/>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51"/>
        <v/>
      </c>
      <c r="AD431" s="4" t="str">
        <f t="shared" si="52"/>
        <v/>
      </c>
      <c r="AE431" s="4" t="str">
        <f t="shared" si="53"/>
        <v/>
      </c>
      <c r="AF431" s="4" t="str">
        <f t="shared" si="54"/>
        <v/>
      </c>
      <c r="AG431" s="4" t="str">
        <f t="shared" si="55"/>
        <v/>
      </c>
      <c r="AH431" s="4" t="str">
        <f t="shared" si="56"/>
        <v/>
      </c>
      <c r="AI431" s="2" t="str">
        <f t="shared" si="57"/>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51"/>
        <v/>
      </c>
      <c r="AD432" s="4" t="str">
        <f t="shared" si="52"/>
        <v/>
      </c>
      <c r="AE432" s="4" t="str">
        <f t="shared" si="53"/>
        <v/>
      </c>
      <c r="AF432" s="4" t="str">
        <f t="shared" si="54"/>
        <v/>
      </c>
      <c r="AG432" s="4" t="str">
        <f t="shared" si="55"/>
        <v/>
      </c>
      <c r="AH432" s="4" t="str">
        <f t="shared" si="56"/>
        <v/>
      </c>
      <c r="AI432" s="2" t="str">
        <f t="shared" si="57"/>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51"/>
        <v/>
      </c>
      <c r="AD433" s="4" t="str">
        <f t="shared" si="52"/>
        <v/>
      </c>
      <c r="AE433" s="4" t="str">
        <f t="shared" si="53"/>
        <v/>
      </c>
      <c r="AF433" s="4" t="str">
        <f t="shared" si="54"/>
        <v/>
      </c>
      <c r="AG433" s="4" t="str">
        <f t="shared" si="55"/>
        <v/>
      </c>
      <c r="AH433" s="4" t="str">
        <f t="shared" si="56"/>
        <v/>
      </c>
      <c r="AI433" s="2" t="str">
        <f t="shared" si="57"/>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51"/>
        <v/>
      </c>
      <c r="AD434" s="4" t="str">
        <f t="shared" si="52"/>
        <v/>
      </c>
      <c r="AE434" s="4" t="str">
        <f t="shared" si="53"/>
        <v/>
      </c>
      <c r="AF434" s="4" t="str">
        <f t="shared" si="54"/>
        <v/>
      </c>
      <c r="AG434" s="4" t="str">
        <f t="shared" si="55"/>
        <v/>
      </c>
      <c r="AH434" s="4" t="str">
        <f t="shared" si="56"/>
        <v/>
      </c>
      <c r="AI434" s="2" t="str">
        <f t="shared" si="57"/>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51"/>
        <v/>
      </c>
      <c r="AD435" s="4" t="str">
        <f t="shared" si="52"/>
        <v/>
      </c>
      <c r="AE435" s="4" t="str">
        <f t="shared" si="53"/>
        <v/>
      </c>
      <c r="AF435" s="4" t="str">
        <f t="shared" si="54"/>
        <v/>
      </c>
      <c r="AG435" s="4" t="str">
        <f t="shared" si="55"/>
        <v/>
      </c>
      <c r="AH435" s="4" t="str">
        <f t="shared" si="56"/>
        <v/>
      </c>
      <c r="AI435" s="2" t="str">
        <f t="shared" si="57"/>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51"/>
        <v/>
      </c>
      <c r="AD436" s="4" t="str">
        <f t="shared" si="52"/>
        <v/>
      </c>
      <c r="AE436" s="4" t="str">
        <f t="shared" si="53"/>
        <v/>
      </c>
      <c r="AF436" s="4" t="str">
        <f t="shared" si="54"/>
        <v/>
      </c>
      <c r="AG436" s="4" t="str">
        <f t="shared" si="55"/>
        <v/>
      </c>
      <c r="AH436" s="4" t="str">
        <f t="shared" si="56"/>
        <v/>
      </c>
      <c r="AI436" s="2" t="str">
        <f t="shared" si="57"/>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51"/>
        <v/>
      </c>
      <c r="AD437" s="4" t="str">
        <f t="shared" si="52"/>
        <v/>
      </c>
      <c r="AE437" s="4" t="str">
        <f t="shared" si="53"/>
        <v/>
      </c>
      <c r="AF437" s="4" t="str">
        <f t="shared" si="54"/>
        <v/>
      </c>
      <c r="AG437" s="4" t="str">
        <f t="shared" si="55"/>
        <v/>
      </c>
      <c r="AH437" s="4" t="str">
        <f t="shared" si="56"/>
        <v/>
      </c>
      <c r="AI437" s="2" t="str">
        <f t="shared" si="57"/>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51"/>
        <v/>
      </c>
      <c r="AD438" s="4" t="str">
        <f t="shared" si="52"/>
        <v/>
      </c>
      <c r="AE438" s="4" t="str">
        <f t="shared" si="53"/>
        <v/>
      </c>
      <c r="AF438" s="4" t="str">
        <f t="shared" si="54"/>
        <v/>
      </c>
      <c r="AG438" s="4" t="str">
        <f t="shared" si="55"/>
        <v/>
      </c>
      <c r="AH438" s="4" t="str">
        <f t="shared" si="56"/>
        <v/>
      </c>
      <c r="AI438" s="2" t="str">
        <f t="shared" si="57"/>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51"/>
        <v/>
      </c>
      <c r="AD439" s="4" t="str">
        <f t="shared" si="52"/>
        <v/>
      </c>
      <c r="AE439" s="4" t="str">
        <f t="shared" si="53"/>
        <v/>
      </c>
      <c r="AF439" s="4" t="str">
        <f t="shared" si="54"/>
        <v/>
      </c>
      <c r="AG439" s="4" t="str">
        <f t="shared" si="55"/>
        <v/>
      </c>
      <c r="AH439" s="4" t="str">
        <f t="shared" si="56"/>
        <v/>
      </c>
      <c r="AI439" s="2" t="str">
        <f t="shared" si="57"/>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51"/>
        <v/>
      </c>
      <c r="AD440" s="4" t="str">
        <f t="shared" si="52"/>
        <v/>
      </c>
      <c r="AE440" s="4" t="str">
        <f t="shared" si="53"/>
        <v/>
      </c>
      <c r="AF440" s="4" t="str">
        <f t="shared" si="54"/>
        <v/>
      </c>
      <c r="AG440" s="4" t="str">
        <f t="shared" si="55"/>
        <v/>
      </c>
      <c r="AH440" s="4" t="str">
        <f t="shared" si="56"/>
        <v/>
      </c>
      <c r="AI440" s="2" t="str">
        <f t="shared" si="57"/>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51"/>
        <v/>
      </c>
      <c r="AD441" s="4" t="str">
        <f t="shared" si="52"/>
        <v/>
      </c>
      <c r="AE441" s="4" t="str">
        <f t="shared" si="53"/>
        <v/>
      </c>
      <c r="AF441" s="4" t="str">
        <f t="shared" si="54"/>
        <v/>
      </c>
      <c r="AG441" s="4" t="str">
        <f t="shared" si="55"/>
        <v/>
      </c>
      <c r="AH441" s="4" t="str">
        <f t="shared" si="56"/>
        <v/>
      </c>
      <c r="AI441" s="2" t="str">
        <f t="shared" si="57"/>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51"/>
        <v/>
      </c>
      <c r="AD442" s="4" t="str">
        <f t="shared" si="52"/>
        <v/>
      </c>
      <c r="AE442" s="4" t="str">
        <f t="shared" si="53"/>
        <v/>
      </c>
      <c r="AF442" s="4" t="str">
        <f t="shared" si="54"/>
        <v/>
      </c>
      <c r="AG442" s="4" t="str">
        <f t="shared" si="55"/>
        <v/>
      </c>
      <c r="AH442" s="4" t="str">
        <f t="shared" si="56"/>
        <v/>
      </c>
      <c r="AI442" s="2" t="str">
        <f t="shared" si="57"/>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51"/>
        <v/>
      </c>
      <c r="AD443" s="4" t="str">
        <f t="shared" si="52"/>
        <v/>
      </c>
      <c r="AE443" s="4" t="str">
        <f t="shared" si="53"/>
        <v/>
      </c>
      <c r="AF443" s="4" t="str">
        <f t="shared" si="54"/>
        <v/>
      </c>
      <c r="AG443" s="4" t="str">
        <f t="shared" si="55"/>
        <v/>
      </c>
      <c r="AH443" s="4" t="str">
        <f t="shared" si="56"/>
        <v/>
      </c>
      <c r="AI443" s="2" t="str">
        <f t="shared" si="57"/>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51"/>
        <v/>
      </c>
      <c r="AD444" s="4" t="str">
        <f t="shared" si="52"/>
        <v/>
      </c>
      <c r="AE444" s="4" t="str">
        <f t="shared" si="53"/>
        <v/>
      </c>
      <c r="AF444" s="4" t="str">
        <f t="shared" si="54"/>
        <v/>
      </c>
      <c r="AG444" s="4" t="str">
        <f t="shared" si="55"/>
        <v/>
      </c>
      <c r="AH444" s="4" t="str">
        <f t="shared" si="56"/>
        <v/>
      </c>
      <c r="AI444" s="2" t="str">
        <f t="shared" si="57"/>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51"/>
        <v/>
      </c>
      <c r="AD445" s="4" t="str">
        <f t="shared" si="52"/>
        <v/>
      </c>
      <c r="AE445" s="4" t="str">
        <f t="shared" si="53"/>
        <v/>
      </c>
      <c r="AF445" s="4" t="str">
        <f t="shared" si="54"/>
        <v/>
      </c>
      <c r="AG445" s="4" t="str">
        <f t="shared" si="55"/>
        <v/>
      </c>
      <c r="AH445" s="4" t="str">
        <f t="shared" si="56"/>
        <v/>
      </c>
      <c r="AI445" s="2" t="str">
        <f t="shared" si="57"/>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51"/>
        <v/>
      </c>
      <c r="AD446" s="4" t="str">
        <f t="shared" si="52"/>
        <v/>
      </c>
      <c r="AE446" s="4" t="str">
        <f t="shared" si="53"/>
        <v/>
      </c>
      <c r="AF446" s="4" t="str">
        <f t="shared" si="54"/>
        <v/>
      </c>
      <c r="AG446" s="4" t="str">
        <f t="shared" si="55"/>
        <v/>
      </c>
      <c r="AH446" s="4" t="str">
        <f t="shared" si="56"/>
        <v/>
      </c>
      <c r="AI446" s="2" t="str">
        <f t="shared" si="57"/>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51"/>
        <v/>
      </c>
      <c r="AD447" s="4" t="str">
        <f t="shared" si="52"/>
        <v/>
      </c>
      <c r="AE447" s="4" t="str">
        <f t="shared" si="53"/>
        <v/>
      </c>
      <c r="AF447" s="4" t="str">
        <f t="shared" si="54"/>
        <v/>
      </c>
      <c r="AG447" s="4" t="str">
        <f t="shared" si="55"/>
        <v/>
      </c>
      <c r="AH447" s="4" t="str">
        <f t="shared" si="56"/>
        <v/>
      </c>
      <c r="AI447" s="2" t="str">
        <f t="shared" si="57"/>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51"/>
        <v/>
      </c>
      <c r="AD448" s="4" t="str">
        <f t="shared" si="52"/>
        <v/>
      </c>
      <c r="AE448" s="4" t="str">
        <f t="shared" si="53"/>
        <v/>
      </c>
      <c r="AF448" s="4" t="str">
        <f t="shared" si="54"/>
        <v/>
      </c>
      <c r="AG448" s="4" t="str">
        <f t="shared" si="55"/>
        <v/>
      </c>
      <c r="AH448" s="4" t="str">
        <f t="shared" si="56"/>
        <v/>
      </c>
      <c r="AI448" s="2" t="str">
        <f t="shared" si="57"/>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51"/>
        <v/>
      </c>
      <c r="AD449" s="4" t="str">
        <f t="shared" si="52"/>
        <v/>
      </c>
      <c r="AE449" s="4" t="str">
        <f t="shared" si="53"/>
        <v/>
      </c>
      <c r="AF449" s="4" t="str">
        <f t="shared" si="54"/>
        <v/>
      </c>
      <c r="AG449" s="4" t="str">
        <f t="shared" si="55"/>
        <v/>
      </c>
      <c r="AH449" s="4" t="str">
        <f t="shared" si="56"/>
        <v/>
      </c>
      <c r="AI449" s="2" t="str">
        <f t="shared" si="57"/>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51"/>
        <v/>
      </c>
      <c r="AD450" s="4" t="str">
        <f t="shared" si="52"/>
        <v/>
      </c>
      <c r="AE450" s="4" t="str">
        <f t="shared" si="53"/>
        <v/>
      </c>
      <c r="AF450" s="4" t="str">
        <f t="shared" si="54"/>
        <v/>
      </c>
      <c r="AG450" s="4" t="str">
        <f t="shared" si="55"/>
        <v/>
      </c>
      <c r="AH450" s="4" t="str">
        <f t="shared" si="56"/>
        <v/>
      </c>
      <c r="AI450" s="2" t="str">
        <f t="shared" si="57"/>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51"/>
        <v/>
      </c>
      <c r="AD451" s="4" t="str">
        <f t="shared" si="52"/>
        <v/>
      </c>
      <c r="AE451" s="4" t="str">
        <f t="shared" si="53"/>
        <v/>
      </c>
      <c r="AF451" s="4" t="str">
        <f t="shared" si="54"/>
        <v/>
      </c>
      <c r="AG451" s="4" t="str">
        <f t="shared" si="55"/>
        <v/>
      </c>
      <c r="AH451" s="4" t="str">
        <f t="shared" si="56"/>
        <v/>
      </c>
      <c r="AI451" s="2" t="str">
        <f t="shared" si="57"/>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si="51"/>
        <v/>
      </c>
      <c r="AD452" s="4" t="str">
        <f t="shared" si="52"/>
        <v/>
      </c>
      <c r="AE452" s="4" t="str">
        <f t="shared" si="53"/>
        <v/>
      </c>
      <c r="AF452" s="4" t="str">
        <f t="shared" si="54"/>
        <v/>
      </c>
      <c r="AG452" s="4" t="str">
        <f t="shared" si="55"/>
        <v/>
      </c>
      <c r="AH452" s="4" t="str">
        <f t="shared" si="56"/>
        <v/>
      </c>
      <c r="AI452" s="2" t="str">
        <f t="shared" si="57"/>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ref="AC453:AC516" si="58">IF((MAX(A453,L453,N453,P453,X453,Y453)-MIN(A453,L453,N453,P453,X453,Y453))&gt;3,1,"")</f>
        <v/>
      </c>
      <c r="AD453" s="4" t="str">
        <f t="shared" ref="AD453:AD516" si="59">IF((MAX(B453,D453,M453,U453)-MIN(B453,D453,M453,U453))&gt;3,1,"")</f>
        <v/>
      </c>
      <c r="AE453" s="4" t="str">
        <f t="shared" ref="AE453:AE516" si="60">IF((MAX(I453,T453,V453,W453)-MIN(I453,T453,V453,W453))&gt;3,1,"")</f>
        <v/>
      </c>
      <c r="AF453" s="4" t="str">
        <f t="shared" ref="AF453:AF516" si="61">IF((MAX(H453,K453,Q453,S453)-MIN(H453,K453,Q453,S453))&gt;3,1,"")</f>
        <v/>
      </c>
      <c r="AG453" s="4" t="str">
        <f t="shared" ref="AG453:AG516" si="62">IF((MAX(E453,F453,G453,R453)-MIN(E453,F453,G453,R453))&gt;3,1,"")</f>
        <v/>
      </c>
      <c r="AH453" s="4" t="str">
        <f t="shared" ref="AH453:AH516" si="63">IF((MAX(C453,J453,O453,Z453)-MIN(C453,J453,O453,Z453))&gt;3,1,"")</f>
        <v/>
      </c>
      <c r="AI453" s="2" t="str">
        <f t="shared" ref="AI453:AI516" si="64">IF(COUNT(A453:Z453)&gt;0,IF(COUNT(AC453,AD453,AE453,AF453,AG453,AH453)&gt;0,SUM(AC453,AD453,AE453,AF453,AG453,AH453),0),"")</f>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58"/>
        <v/>
      </c>
      <c r="AD454" s="4" t="str">
        <f t="shared" si="59"/>
        <v/>
      </c>
      <c r="AE454" s="4" t="str">
        <f t="shared" si="60"/>
        <v/>
      </c>
      <c r="AF454" s="4" t="str">
        <f t="shared" si="61"/>
        <v/>
      </c>
      <c r="AG454" s="4" t="str">
        <f t="shared" si="62"/>
        <v/>
      </c>
      <c r="AH454" s="4" t="str">
        <f t="shared" si="63"/>
        <v/>
      </c>
      <c r="AI454" s="2" t="str">
        <f t="shared" si="64"/>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58"/>
        <v/>
      </c>
      <c r="AD455" s="4" t="str">
        <f t="shared" si="59"/>
        <v/>
      </c>
      <c r="AE455" s="4" t="str">
        <f t="shared" si="60"/>
        <v/>
      </c>
      <c r="AF455" s="4" t="str">
        <f t="shared" si="61"/>
        <v/>
      </c>
      <c r="AG455" s="4" t="str">
        <f t="shared" si="62"/>
        <v/>
      </c>
      <c r="AH455" s="4" t="str">
        <f t="shared" si="63"/>
        <v/>
      </c>
      <c r="AI455" s="2" t="str">
        <f t="shared" si="64"/>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58"/>
        <v/>
      </c>
      <c r="AD456" s="4" t="str">
        <f t="shared" si="59"/>
        <v/>
      </c>
      <c r="AE456" s="4" t="str">
        <f t="shared" si="60"/>
        <v/>
      </c>
      <c r="AF456" s="4" t="str">
        <f t="shared" si="61"/>
        <v/>
      </c>
      <c r="AG456" s="4" t="str">
        <f t="shared" si="62"/>
        <v/>
      </c>
      <c r="AH456" s="4" t="str">
        <f t="shared" si="63"/>
        <v/>
      </c>
      <c r="AI456" s="2" t="str">
        <f t="shared" si="64"/>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58"/>
        <v/>
      </c>
      <c r="AD457" s="4" t="str">
        <f t="shared" si="59"/>
        <v/>
      </c>
      <c r="AE457" s="4" t="str">
        <f t="shared" si="60"/>
        <v/>
      </c>
      <c r="AF457" s="4" t="str">
        <f t="shared" si="61"/>
        <v/>
      </c>
      <c r="AG457" s="4" t="str">
        <f t="shared" si="62"/>
        <v/>
      </c>
      <c r="AH457" s="4" t="str">
        <f t="shared" si="63"/>
        <v/>
      </c>
      <c r="AI457" s="2" t="str">
        <f t="shared" si="64"/>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58"/>
        <v/>
      </c>
      <c r="AD458" s="4" t="str">
        <f t="shared" si="59"/>
        <v/>
      </c>
      <c r="AE458" s="4" t="str">
        <f t="shared" si="60"/>
        <v/>
      </c>
      <c r="AF458" s="4" t="str">
        <f t="shared" si="61"/>
        <v/>
      </c>
      <c r="AG458" s="4" t="str">
        <f t="shared" si="62"/>
        <v/>
      </c>
      <c r="AH458" s="4" t="str">
        <f t="shared" si="63"/>
        <v/>
      </c>
      <c r="AI458" s="2" t="str">
        <f t="shared" si="64"/>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58"/>
        <v/>
      </c>
      <c r="AD459" s="4" t="str">
        <f t="shared" si="59"/>
        <v/>
      </c>
      <c r="AE459" s="4" t="str">
        <f t="shared" si="60"/>
        <v/>
      </c>
      <c r="AF459" s="4" t="str">
        <f t="shared" si="61"/>
        <v/>
      </c>
      <c r="AG459" s="4" t="str">
        <f t="shared" si="62"/>
        <v/>
      </c>
      <c r="AH459" s="4" t="str">
        <f t="shared" si="63"/>
        <v/>
      </c>
      <c r="AI459" s="2" t="str">
        <f t="shared" si="64"/>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58"/>
        <v/>
      </c>
      <c r="AD460" s="4" t="str">
        <f t="shared" si="59"/>
        <v/>
      </c>
      <c r="AE460" s="4" t="str">
        <f t="shared" si="60"/>
        <v/>
      </c>
      <c r="AF460" s="4" t="str">
        <f t="shared" si="61"/>
        <v/>
      </c>
      <c r="AG460" s="4" t="str">
        <f t="shared" si="62"/>
        <v/>
      </c>
      <c r="AH460" s="4" t="str">
        <f t="shared" si="63"/>
        <v/>
      </c>
      <c r="AI460" s="2" t="str">
        <f t="shared" si="64"/>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58"/>
        <v/>
      </c>
      <c r="AD461" s="4" t="str">
        <f t="shared" si="59"/>
        <v/>
      </c>
      <c r="AE461" s="4" t="str">
        <f t="shared" si="60"/>
        <v/>
      </c>
      <c r="AF461" s="4" t="str">
        <f t="shared" si="61"/>
        <v/>
      </c>
      <c r="AG461" s="4" t="str">
        <f t="shared" si="62"/>
        <v/>
      </c>
      <c r="AH461" s="4" t="str">
        <f t="shared" si="63"/>
        <v/>
      </c>
      <c r="AI461" s="2" t="str">
        <f t="shared" si="64"/>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58"/>
        <v/>
      </c>
      <c r="AD462" s="4" t="str">
        <f t="shared" si="59"/>
        <v/>
      </c>
      <c r="AE462" s="4" t="str">
        <f t="shared" si="60"/>
        <v/>
      </c>
      <c r="AF462" s="4" t="str">
        <f t="shared" si="61"/>
        <v/>
      </c>
      <c r="AG462" s="4" t="str">
        <f t="shared" si="62"/>
        <v/>
      </c>
      <c r="AH462" s="4" t="str">
        <f t="shared" si="63"/>
        <v/>
      </c>
      <c r="AI462" s="2" t="str">
        <f t="shared" si="64"/>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58"/>
        <v/>
      </c>
      <c r="AD463" s="4" t="str">
        <f t="shared" si="59"/>
        <v/>
      </c>
      <c r="AE463" s="4" t="str">
        <f t="shared" si="60"/>
        <v/>
      </c>
      <c r="AF463" s="4" t="str">
        <f t="shared" si="61"/>
        <v/>
      </c>
      <c r="AG463" s="4" t="str">
        <f t="shared" si="62"/>
        <v/>
      </c>
      <c r="AH463" s="4" t="str">
        <f t="shared" si="63"/>
        <v/>
      </c>
      <c r="AI463" s="2" t="str">
        <f t="shared" si="64"/>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58"/>
        <v/>
      </c>
      <c r="AD464" s="4" t="str">
        <f t="shared" si="59"/>
        <v/>
      </c>
      <c r="AE464" s="4" t="str">
        <f t="shared" si="60"/>
        <v/>
      </c>
      <c r="AF464" s="4" t="str">
        <f t="shared" si="61"/>
        <v/>
      </c>
      <c r="AG464" s="4" t="str">
        <f t="shared" si="62"/>
        <v/>
      </c>
      <c r="AH464" s="4" t="str">
        <f t="shared" si="63"/>
        <v/>
      </c>
      <c r="AI464" s="2" t="str">
        <f t="shared" si="64"/>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58"/>
        <v/>
      </c>
      <c r="AD465" s="4" t="str">
        <f t="shared" si="59"/>
        <v/>
      </c>
      <c r="AE465" s="4" t="str">
        <f t="shared" si="60"/>
        <v/>
      </c>
      <c r="AF465" s="4" t="str">
        <f t="shared" si="61"/>
        <v/>
      </c>
      <c r="AG465" s="4" t="str">
        <f t="shared" si="62"/>
        <v/>
      </c>
      <c r="AH465" s="4" t="str">
        <f t="shared" si="63"/>
        <v/>
      </c>
      <c r="AI465" s="2" t="str">
        <f t="shared" si="64"/>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58"/>
        <v/>
      </c>
      <c r="AD466" s="4" t="str">
        <f t="shared" si="59"/>
        <v/>
      </c>
      <c r="AE466" s="4" t="str">
        <f t="shared" si="60"/>
        <v/>
      </c>
      <c r="AF466" s="4" t="str">
        <f t="shared" si="61"/>
        <v/>
      </c>
      <c r="AG466" s="4" t="str">
        <f t="shared" si="62"/>
        <v/>
      </c>
      <c r="AH466" s="4" t="str">
        <f t="shared" si="63"/>
        <v/>
      </c>
      <c r="AI466" s="2" t="str">
        <f t="shared" si="64"/>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58"/>
        <v/>
      </c>
      <c r="AD467" s="4" t="str">
        <f t="shared" si="59"/>
        <v/>
      </c>
      <c r="AE467" s="4" t="str">
        <f t="shared" si="60"/>
        <v/>
      </c>
      <c r="AF467" s="4" t="str">
        <f t="shared" si="61"/>
        <v/>
      </c>
      <c r="AG467" s="4" t="str">
        <f t="shared" si="62"/>
        <v/>
      </c>
      <c r="AH467" s="4" t="str">
        <f t="shared" si="63"/>
        <v/>
      </c>
      <c r="AI467" s="2" t="str">
        <f t="shared" si="64"/>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58"/>
        <v/>
      </c>
      <c r="AD468" s="4" t="str">
        <f t="shared" si="59"/>
        <v/>
      </c>
      <c r="AE468" s="4" t="str">
        <f t="shared" si="60"/>
        <v/>
      </c>
      <c r="AF468" s="4" t="str">
        <f t="shared" si="61"/>
        <v/>
      </c>
      <c r="AG468" s="4" t="str">
        <f t="shared" si="62"/>
        <v/>
      </c>
      <c r="AH468" s="4" t="str">
        <f t="shared" si="63"/>
        <v/>
      </c>
      <c r="AI468" s="2" t="str">
        <f t="shared" si="64"/>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58"/>
        <v/>
      </c>
      <c r="AD469" s="4" t="str">
        <f t="shared" si="59"/>
        <v/>
      </c>
      <c r="AE469" s="4" t="str">
        <f t="shared" si="60"/>
        <v/>
      </c>
      <c r="AF469" s="4" t="str">
        <f t="shared" si="61"/>
        <v/>
      </c>
      <c r="AG469" s="4" t="str">
        <f t="shared" si="62"/>
        <v/>
      </c>
      <c r="AH469" s="4" t="str">
        <f t="shared" si="63"/>
        <v/>
      </c>
      <c r="AI469" s="2" t="str">
        <f t="shared" si="64"/>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58"/>
        <v/>
      </c>
      <c r="AD470" s="4" t="str">
        <f t="shared" si="59"/>
        <v/>
      </c>
      <c r="AE470" s="4" t="str">
        <f t="shared" si="60"/>
        <v/>
      </c>
      <c r="AF470" s="4" t="str">
        <f t="shared" si="61"/>
        <v/>
      </c>
      <c r="AG470" s="4" t="str">
        <f t="shared" si="62"/>
        <v/>
      </c>
      <c r="AH470" s="4" t="str">
        <f t="shared" si="63"/>
        <v/>
      </c>
      <c r="AI470" s="2" t="str">
        <f t="shared" si="64"/>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58"/>
        <v/>
      </c>
      <c r="AD471" s="4" t="str">
        <f t="shared" si="59"/>
        <v/>
      </c>
      <c r="AE471" s="4" t="str">
        <f t="shared" si="60"/>
        <v/>
      </c>
      <c r="AF471" s="4" t="str">
        <f t="shared" si="61"/>
        <v/>
      </c>
      <c r="AG471" s="4" t="str">
        <f t="shared" si="62"/>
        <v/>
      </c>
      <c r="AH471" s="4" t="str">
        <f t="shared" si="63"/>
        <v/>
      </c>
      <c r="AI471" s="2" t="str">
        <f t="shared" si="64"/>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58"/>
        <v/>
      </c>
      <c r="AD472" s="4" t="str">
        <f t="shared" si="59"/>
        <v/>
      </c>
      <c r="AE472" s="4" t="str">
        <f t="shared" si="60"/>
        <v/>
      </c>
      <c r="AF472" s="4" t="str">
        <f t="shared" si="61"/>
        <v/>
      </c>
      <c r="AG472" s="4" t="str">
        <f t="shared" si="62"/>
        <v/>
      </c>
      <c r="AH472" s="4" t="str">
        <f t="shared" si="63"/>
        <v/>
      </c>
      <c r="AI472" s="2" t="str">
        <f t="shared" si="64"/>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58"/>
        <v/>
      </c>
      <c r="AD473" s="4" t="str">
        <f t="shared" si="59"/>
        <v/>
      </c>
      <c r="AE473" s="4" t="str">
        <f t="shared" si="60"/>
        <v/>
      </c>
      <c r="AF473" s="4" t="str">
        <f t="shared" si="61"/>
        <v/>
      </c>
      <c r="AG473" s="4" t="str">
        <f t="shared" si="62"/>
        <v/>
      </c>
      <c r="AH473" s="4" t="str">
        <f t="shared" si="63"/>
        <v/>
      </c>
      <c r="AI473" s="2" t="str">
        <f t="shared" si="64"/>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58"/>
        <v/>
      </c>
      <c r="AD474" s="4" t="str">
        <f t="shared" si="59"/>
        <v/>
      </c>
      <c r="AE474" s="4" t="str">
        <f t="shared" si="60"/>
        <v/>
      </c>
      <c r="AF474" s="4" t="str">
        <f t="shared" si="61"/>
        <v/>
      </c>
      <c r="AG474" s="4" t="str">
        <f t="shared" si="62"/>
        <v/>
      </c>
      <c r="AH474" s="4" t="str">
        <f t="shared" si="63"/>
        <v/>
      </c>
      <c r="AI474" s="2" t="str">
        <f t="shared" si="64"/>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58"/>
        <v/>
      </c>
      <c r="AD475" s="4" t="str">
        <f t="shared" si="59"/>
        <v/>
      </c>
      <c r="AE475" s="4" t="str">
        <f t="shared" si="60"/>
        <v/>
      </c>
      <c r="AF475" s="4" t="str">
        <f t="shared" si="61"/>
        <v/>
      </c>
      <c r="AG475" s="4" t="str">
        <f t="shared" si="62"/>
        <v/>
      </c>
      <c r="AH475" s="4" t="str">
        <f t="shared" si="63"/>
        <v/>
      </c>
      <c r="AI475" s="2" t="str">
        <f t="shared" si="64"/>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58"/>
        <v/>
      </c>
      <c r="AD476" s="4" t="str">
        <f t="shared" si="59"/>
        <v/>
      </c>
      <c r="AE476" s="4" t="str">
        <f t="shared" si="60"/>
        <v/>
      </c>
      <c r="AF476" s="4" t="str">
        <f t="shared" si="61"/>
        <v/>
      </c>
      <c r="AG476" s="4" t="str">
        <f t="shared" si="62"/>
        <v/>
      </c>
      <c r="AH476" s="4" t="str">
        <f t="shared" si="63"/>
        <v/>
      </c>
      <c r="AI476" s="2" t="str">
        <f t="shared" si="64"/>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58"/>
        <v/>
      </c>
      <c r="AD477" s="4" t="str">
        <f t="shared" si="59"/>
        <v/>
      </c>
      <c r="AE477" s="4" t="str">
        <f t="shared" si="60"/>
        <v/>
      </c>
      <c r="AF477" s="4" t="str">
        <f t="shared" si="61"/>
        <v/>
      </c>
      <c r="AG477" s="4" t="str">
        <f t="shared" si="62"/>
        <v/>
      </c>
      <c r="AH477" s="4" t="str">
        <f t="shared" si="63"/>
        <v/>
      </c>
      <c r="AI477" s="2" t="str">
        <f t="shared" si="64"/>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58"/>
        <v/>
      </c>
      <c r="AD478" s="4" t="str">
        <f t="shared" si="59"/>
        <v/>
      </c>
      <c r="AE478" s="4" t="str">
        <f t="shared" si="60"/>
        <v/>
      </c>
      <c r="AF478" s="4" t="str">
        <f t="shared" si="61"/>
        <v/>
      </c>
      <c r="AG478" s="4" t="str">
        <f t="shared" si="62"/>
        <v/>
      </c>
      <c r="AH478" s="4" t="str">
        <f t="shared" si="63"/>
        <v/>
      </c>
      <c r="AI478" s="2" t="str">
        <f t="shared" si="64"/>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58"/>
        <v/>
      </c>
      <c r="AD479" s="4" t="str">
        <f t="shared" si="59"/>
        <v/>
      </c>
      <c r="AE479" s="4" t="str">
        <f t="shared" si="60"/>
        <v/>
      </c>
      <c r="AF479" s="4" t="str">
        <f t="shared" si="61"/>
        <v/>
      </c>
      <c r="AG479" s="4" t="str">
        <f t="shared" si="62"/>
        <v/>
      </c>
      <c r="AH479" s="4" t="str">
        <f t="shared" si="63"/>
        <v/>
      </c>
      <c r="AI479" s="2" t="str">
        <f t="shared" si="64"/>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58"/>
        <v/>
      </c>
      <c r="AD480" s="4" t="str">
        <f t="shared" si="59"/>
        <v/>
      </c>
      <c r="AE480" s="4" t="str">
        <f t="shared" si="60"/>
        <v/>
      </c>
      <c r="AF480" s="4" t="str">
        <f t="shared" si="61"/>
        <v/>
      </c>
      <c r="AG480" s="4" t="str">
        <f t="shared" si="62"/>
        <v/>
      </c>
      <c r="AH480" s="4" t="str">
        <f t="shared" si="63"/>
        <v/>
      </c>
      <c r="AI480" s="2" t="str">
        <f t="shared" si="64"/>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58"/>
        <v/>
      </c>
      <c r="AD481" s="4" t="str">
        <f t="shared" si="59"/>
        <v/>
      </c>
      <c r="AE481" s="4" t="str">
        <f t="shared" si="60"/>
        <v/>
      </c>
      <c r="AF481" s="4" t="str">
        <f t="shared" si="61"/>
        <v/>
      </c>
      <c r="AG481" s="4" t="str">
        <f t="shared" si="62"/>
        <v/>
      </c>
      <c r="AH481" s="4" t="str">
        <f t="shared" si="63"/>
        <v/>
      </c>
      <c r="AI481" s="2" t="str">
        <f t="shared" si="64"/>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58"/>
        <v/>
      </c>
      <c r="AD482" s="4" t="str">
        <f t="shared" si="59"/>
        <v/>
      </c>
      <c r="AE482" s="4" t="str">
        <f t="shared" si="60"/>
        <v/>
      </c>
      <c r="AF482" s="4" t="str">
        <f t="shared" si="61"/>
        <v/>
      </c>
      <c r="AG482" s="4" t="str">
        <f t="shared" si="62"/>
        <v/>
      </c>
      <c r="AH482" s="4" t="str">
        <f t="shared" si="63"/>
        <v/>
      </c>
      <c r="AI482" s="2" t="str">
        <f t="shared" si="64"/>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58"/>
        <v/>
      </c>
      <c r="AD483" s="4" t="str">
        <f t="shared" si="59"/>
        <v/>
      </c>
      <c r="AE483" s="4" t="str">
        <f t="shared" si="60"/>
        <v/>
      </c>
      <c r="AF483" s="4" t="str">
        <f t="shared" si="61"/>
        <v/>
      </c>
      <c r="AG483" s="4" t="str">
        <f t="shared" si="62"/>
        <v/>
      </c>
      <c r="AH483" s="4" t="str">
        <f t="shared" si="63"/>
        <v/>
      </c>
      <c r="AI483" s="2" t="str">
        <f t="shared" si="64"/>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58"/>
        <v/>
      </c>
      <c r="AD484" s="4" t="str">
        <f t="shared" si="59"/>
        <v/>
      </c>
      <c r="AE484" s="4" t="str">
        <f t="shared" si="60"/>
        <v/>
      </c>
      <c r="AF484" s="4" t="str">
        <f t="shared" si="61"/>
        <v/>
      </c>
      <c r="AG484" s="4" t="str">
        <f t="shared" si="62"/>
        <v/>
      </c>
      <c r="AH484" s="4" t="str">
        <f t="shared" si="63"/>
        <v/>
      </c>
      <c r="AI484" s="2" t="str">
        <f t="shared" si="64"/>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58"/>
        <v/>
      </c>
      <c r="AD485" s="4" t="str">
        <f t="shared" si="59"/>
        <v/>
      </c>
      <c r="AE485" s="4" t="str">
        <f t="shared" si="60"/>
        <v/>
      </c>
      <c r="AF485" s="4" t="str">
        <f t="shared" si="61"/>
        <v/>
      </c>
      <c r="AG485" s="4" t="str">
        <f t="shared" si="62"/>
        <v/>
      </c>
      <c r="AH485" s="4" t="str">
        <f t="shared" si="63"/>
        <v/>
      </c>
      <c r="AI485" s="2" t="str">
        <f t="shared" si="64"/>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58"/>
        <v/>
      </c>
      <c r="AD486" s="4" t="str">
        <f t="shared" si="59"/>
        <v/>
      </c>
      <c r="AE486" s="4" t="str">
        <f t="shared" si="60"/>
        <v/>
      </c>
      <c r="AF486" s="4" t="str">
        <f t="shared" si="61"/>
        <v/>
      </c>
      <c r="AG486" s="4" t="str">
        <f t="shared" si="62"/>
        <v/>
      </c>
      <c r="AH486" s="4" t="str">
        <f t="shared" si="63"/>
        <v/>
      </c>
      <c r="AI486" s="2" t="str">
        <f t="shared" si="64"/>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58"/>
        <v/>
      </c>
      <c r="AD487" s="4" t="str">
        <f t="shared" si="59"/>
        <v/>
      </c>
      <c r="AE487" s="4" t="str">
        <f t="shared" si="60"/>
        <v/>
      </c>
      <c r="AF487" s="4" t="str">
        <f t="shared" si="61"/>
        <v/>
      </c>
      <c r="AG487" s="4" t="str">
        <f t="shared" si="62"/>
        <v/>
      </c>
      <c r="AH487" s="4" t="str">
        <f t="shared" si="63"/>
        <v/>
      </c>
      <c r="AI487" s="2" t="str">
        <f t="shared" si="64"/>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58"/>
        <v/>
      </c>
      <c r="AD488" s="4" t="str">
        <f t="shared" si="59"/>
        <v/>
      </c>
      <c r="AE488" s="4" t="str">
        <f t="shared" si="60"/>
        <v/>
      </c>
      <c r="AF488" s="4" t="str">
        <f t="shared" si="61"/>
        <v/>
      </c>
      <c r="AG488" s="4" t="str">
        <f t="shared" si="62"/>
        <v/>
      </c>
      <c r="AH488" s="4" t="str">
        <f t="shared" si="63"/>
        <v/>
      </c>
      <c r="AI488" s="2" t="str">
        <f t="shared" si="64"/>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58"/>
        <v/>
      </c>
      <c r="AD489" s="4" t="str">
        <f t="shared" si="59"/>
        <v/>
      </c>
      <c r="AE489" s="4" t="str">
        <f t="shared" si="60"/>
        <v/>
      </c>
      <c r="AF489" s="4" t="str">
        <f t="shared" si="61"/>
        <v/>
      </c>
      <c r="AG489" s="4" t="str">
        <f t="shared" si="62"/>
        <v/>
      </c>
      <c r="AH489" s="4" t="str">
        <f t="shared" si="63"/>
        <v/>
      </c>
      <c r="AI489" s="2" t="str">
        <f t="shared" si="64"/>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58"/>
        <v/>
      </c>
      <c r="AD490" s="4" t="str">
        <f t="shared" si="59"/>
        <v/>
      </c>
      <c r="AE490" s="4" t="str">
        <f t="shared" si="60"/>
        <v/>
      </c>
      <c r="AF490" s="4" t="str">
        <f t="shared" si="61"/>
        <v/>
      </c>
      <c r="AG490" s="4" t="str">
        <f t="shared" si="62"/>
        <v/>
      </c>
      <c r="AH490" s="4" t="str">
        <f t="shared" si="63"/>
        <v/>
      </c>
      <c r="AI490" s="2" t="str">
        <f t="shared" si="64"/>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58"/>
        <v/>
      </c>
      <c r="AD491" s="4" t="str">
        <f t="shared" si="59"/>
        <v/>
      </c>
      <c r="AE491" s="4" t="str">
        <f t="shared" si="60"/>
        <v/>
      </c>
      <c r="AF491" s="4" t="str">
        <f t="shared" si="61"/>
        <v/>
      </c>
      <c r="AG491" s="4" t="str">
        <f t="shared" si="62"/>
        <v/>
      </c>
      <c r="AH491" s="4" t="str">
        <f t="shared" si="63"/>
        <v/>
      </c>
      <c r="AI491" s="2" t="str">
        <f t="shared" si="64"/>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58"/>
        <v/>
      </c>
      <c r="AD492" s="4" t="str">
        <f t="shared" si="59"/>
        <v/>
      </c>
      <c r="AE492" s="4" t="str">
        <f t="shared" si="60"/>
        <v/>
      </c>
      <c r="AF492" s="4" t="str">
        <f t="shared" si="61"/>
        <v/>
      </c>
      <c r="AG492" s="4" t="str">
        <f t="shared" si="62"/>
        <v/>
      </c>
      <c r="AH492" s="4" t="str">
        <f t="shared" si="63"/>
        <v/>
      </c>
      <c r="AI492" s="2" t="str">
        <f t="shared" si="64"/>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58"/>
        <v/>
      </c>
      <c r="AD493" s="4" t="str">
        <f t="shared" si="59"/>
        <v/>
      </c>
      <c r="AE493" s="4" t="str">
        <f t="shared" si="60"/>
        <v/>
      </c>
      <c r="AF493" s="4" t="str">
        <f t="shared" si="61"/>
        <v/>
      </c>
      <c r="AG493" s="4" t="str">
        <f t="shared" si="62"/>
        <v/>
      </c>
      <c r="AH493" s="4" t="str">
        <f t="shared" si="63"/>
        <v/>
      </c>
      <c r="AI493" s="2" t="str">
        <f t="shared" si="64"/>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58"/>
        <v/>
      </c>
      <c r="AD494" s="4" t="str">
        <f t="shared" si="59"/>
        <v/>
      </c>
      <c r="AE494" s="4" t="str">
        <f t="shared" si="60"/>
        <v/>
      </c>
      <c r="AF494" s="4" t="str">
        <f t="shared" si="61"/>
        <v/>
      </c>
      <c r="AG494" s="4" t="str">
        <f t="shared" si="62"/>
        <v/>
      </c>
      <c r="AH494" s="4" t="str">
        <f t="shared" si="63"/>
        <v/>
      </c>
      <c r="AI494" s="2" t="str">
        <f t="shared" si="64"/>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58"/>
        <v/>
      </c>
      <c r="AD495" s="4" t="str">
        <f t="shared" si="59"/>
        <v/>
      </c>
      <c r="AE495" s="4" t="str">
        <f t="shared" si="60"/>
        <v/>
      </c>
      <c r="AF495" s="4" t="str">
        <f t="shared" si="61"/>
        <v/>
      </c>
      <c r="AG495" s="4" t="str">
        <f t="shared" si="62"/>
        <v/>
      </c>
      <c r="AH495" s="4" t="str">
        <f t="shared" si="63"/>
        <v/>
      </c>
      <c r="AI495" s="2" t="str">
        <f t="shared" si="64"/>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58"/>
        <v/>
      </c>
      <c r="AD496" s="4" t="str">
        <f t="shared" si="59"/>
        <v/>
      </c>
      <c r="AE496" s="4" t="str">
        <f t="shared" si="60"/>
        <v/>
      </c>
      <c r="AF496" s="4" t="str">
        <f t="shared" si="61"/>
        <v/>
      </c>
      <c r="AG496" s="4" t="str">
        <f t="shared" si="62"/>
        <v/>
      </c>
      <c r="AH496" s="4" t="str">
        <f t="shared" si="63"/>
        <v/>
      </c>
      <c r="AI496" s="2" t="str">
        <f t="shared" si="64"/>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58"/>
        <v/>
      </c>
      <c r="AD497" s="4" t="str">
        <f t="shared" si="59"/>
        <v/>
      </c>
      <c r="AE497" s="4" t="str">
        <f t="shared" si="60"/>
        <v/>
      </c>
      <c r="AF497" s="4" t="str">
        <f t="shared" si="61"/>
        <v/>
      </c>
      <c r="AG497" s="4" t="str">
        <f t="shared" si="62"/>
        <v/>
      </c>
      <c r="AH497" s="4" t="str">
        <f t="shared" si="63"/>
        <v/>
      </c>
      <c r="AI497" s="2" t="str">
        <f t="shared" si="64"/>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58"/>
        <v/>
      </c>
      <c r="AD498" s="4" t="str">
        <f t="shared" si="59"/>
        <v/>
      </c>
      <c r="AE498" s="4" t="str">
        <f t="shared" si="60"/>
        <v/>
      </c>
      <c r="AF498" s="4" t="str">
        <f t="shared" si="61"/>
        <v/>
      </c>
      <c r="AG498" s="4" t="str">
        <f t="shared" si="62"/>
        <v/>
      </c>
      <c r="AH498" s="4" t="str">
        <f t="shared" si="63"/>
        <v/>
      </c>
      <c r="AI498" s="2" t="str">
        <f t="shared" si="64"/>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58"/>
        <v/>
      </c>
      <c r="AD499" s="4" t="str">
        <f t="shared" si="59"/>
        <v/>
      </c>
      <c r="AE499" s="4" t="str">
        <f t="shared" si="60"/>
        <v/>
      </c>
      <c r="AF499" s="4" t="str">
        <f t="shared" si="61"/>
        <v/>
      </c>
      <c r="AG499" s="4" t="str">
        <f t="shared" si="62"/>
        <v/>
      </c>
      <c r="AH499" s="4" t="str">
        <f t="shared" si="63"/>
        <v/>
      </c>
      <c r="AI499" s="2" t="str">
        <f t="shared" si="64"/>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58"/>
        <v/>
      </c>
      <c r="AD500" s="4" t="str">
        <f t="shared" si="59"/>
        <v/>
      </c>
      <c r="AE500" s="4" t="str">
        <f t="shared" si="60"/>
        <v/>
      </c>
      <c r="AF500" s="4" t="str">
        <f t="shared" si="61"/>
        <v/>
      </c>
      <c r="AG500" s="4" t="str">
        <f t="shared" si="62"/>
        <v/>
      </c>
      <c r="AH500" s="4" t="str">
        <f t="shared" si="63"/>
        <v/>
      </c>
      <c r="AI500" s="2" t="str">
        <f t="shared" si="64"/>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58"/>
        <v/>
      </c>
      <c r="AD501" s="4" t="str">
        <f t="shared" si="59"/>
        <v/>
      </c>
      <c r="AE501" s="4" t="str">
        <f t="shared" si="60"/>
        <v/>
      </c>
      <c r="AF501" s="4" t="str">
        <f t="shared" si="61"/>
        <v/>
      </c>
      <c r="AG501" s="4" t="str">
        <f t="shared" si="62"/>
        <v/>
      </c>
      <c r="AH501" s="4" t="str">
        <f t="shared" si="63"/>
        <v/>
      </c>
      <c r="AI501" s="2" t="str">
        <f t="shared" si="64"/>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58"/>
        <v/>
      </c>
      <c r="AD502" s="4" t="str">
        <f t="shared" si="59"/>
        <v/>
      </c>
      <c r="AE502" s="4" t="str">
        <f t="shared" si="60"/>
        <v/>
      </c>
      <c r="AF502" s="4" t="str">
        <f t="shared" si="61"/>
        <v/>
      </c>
      <c r="AG502" s="4" t="str">
        <f t="shared" si="62"/>
        <v/>
      </c>
      <c r="AH502" s="4" t="str">
        <f t="shared" si="63"/>
        <v/>
      </c>
      <c r="AI502" s="2" t="str">
        <f t="shared" si="64"/>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58"/>
        <v/>
      </c>
      <c r="AD503" s="4" t="str">
        <f t="shared" si="59"/>
        <v/>
      </c>
      <c r="AE503" s="4" t="str">
        <f t="shared" si="60"/>
        <v/>
      </c>
      <c r="AF503" s="4" t="str">
        <f t="shared" si="61"/>
        <v/>
      </c>
      <c r="AG503" s="4" t="str">
        <f t="shared" si="62"/>
        <v/>
      </c>
      <c r="AH503" s="4" t="str">
        <f t="shared" si="63"/>
        <v/>
      </c>
      <c r="AI503" s="2" t="str">
        <f t="shared" si="64"/>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58"/>
        <v/>
      </c>
      <c r="AD504" s="4" t="str">
        <f t="shared" si="59"/>
        <v/>
      </c>
      <c r="AE504" s="4" t="str">
        <f t="shared" si="60"/>
        <v/>
      </c>
      <c r="AF504" s="4" t="str">
        <f t="shared" si="61"/>
        <v/>
      </c>
      <c r="AG504" s="4" t="str">
        <f t="shared" si="62"/>
        <v/>
      </c>
      <c r="AH504" s="4" t="str">
        <f t="shared" si="63"/>
        <v/>
      </c>
      <c r="AI504" s="2" t="str">
        <f t="shared" si="64"/>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58"/>
        <v/>
      </c>
      <c r="AD505" s="4" t="str">
        <f t="shared" si="59"/>
        <v/>
      </c>
      <c r="AE505" s="4" t="str">
        <f t="shared" si="60"/>
        <v/>
      </c>
      <c r="AF505" s="4" t="str">
        <f t="shared" si="61"/>
        <v/>
      </c>
      <c r="AG505" s="4" t="str">
        <f t="shared" si="62"/>
        <v/>
      </c>
      <c r="AH505" s="4" t="str">
        <f t="shared" si="63"/>
        <v/>
      </c>
      <c r="AI505" s="2" t="str">
        <f t="shared" si="64"/>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58"/>
        <v/>
      </c>
      <c r="AD506" s="4" t="str">
        <f t="shared" si="59"/>
        <v/>
      </c>
      <c r="AE506" s="4" t="str">
        <f t="shared" si="60"/>
        <v/>
      </c>
      <c r="AF506" s="4" t="str">
        <f t="shared" si="61"/>
        <v/>
      </c>
      <c r="AG506" s="4" t="str">
        <f t="shared" si="62"/>
        <v/>
      </c>
      <c r="AH506" s="4" t="str">
        <f t="shared" si="63"/>
        <v/>
      </c>
      <c r="AI506" s="2" t="str">
        <f t="shared" si="64"/>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58"/>
        <v/>
      </c>
      <c r="AD507" s="4" t="str">
        <f t="shared" si="59"/>
        <v/>
      </c>
      <c r="AE507" s="4" t="str">
        <f t="shared" si="60"/>
        <v/>
      </c>
      <c r="AF507" s="4" t="str">
        <f t="shared" si="61"/>
        <v/>
      </c>
      <c r="AG507" s="4" t="str">
        <f t="shared" si="62"/>
        <v/>
      </c>
      <c r="AH507" s="4" t="str">
        <f t="shared" si="63"/>
        <v/>
      </c>
      <c r="AI507" s="2" t="str">
        <f t="shared" si="64"/>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58"/>
        <v/>
      </c>
      <c r="AD508" s="4" t="str">
        <f t="shared" si="59"/>
        <v/>
      </c>
      <c r="AE508" s="4" t="str">
        <f t="shared" si="60"/>
        <v/>
      </c>
      <c r="AF508" s="4" t="str">
        <f t="shared" si="61"/>
        <v/>
      </c>
      <c r="AG508" s="4" t="str">
        <f t="shared" si="62"/>
        <v/>
      </c>
      <c r="AH508" s="4" t="str">
        <f t="shared" si="63"/>
        <v/>
      </c>
      <c r="AI508" s="2" t="str">
        <f t="shared" si="64"/>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58"/>
        <v/>
      </c>
      <c r="AD509" s="4" t="str">
        <f t="shared" si="59"/>
        <v/>
      </c>
      <c r="AE509" s="4" t="str">
        <f t="shared" si="60"/>
        <v/>
      </c>
      <c r="AF509" s="4" t="str">
        <f t="shared" si="61"/>
        <v/>
      </c>
      <c r="AG509" s="4" t="str">
        <f t="shared" si="62"/>
        <v/>
      </c>
      <c r="AH509" s="4" t="str">
        <f t="shared" si="63"/>
        <v/>
      </c>
      <c r="AI509" s="2" t="str">
        <f t="shared" si="64"/>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58"/>
        <v/>
      </c>
      <c r="AD510" s="4" t="str">
        <f t="shared" si="59"/>
        <v/>
      </c>
      <c r="AE510" s="4" t="str">
        <f t="shared" si="60"/>
        <v/>
      </c>
      <c r="AF510" s="4" t="str">
        <f t="shared" si="61"/>
        <v/>
      </c>
      <c r="AG510" s="4" t="str">
        <f t="shared" si="62"/>
        <v/>
      </c>
      <c r="AH510" s="4" t="str">
        <f t="shared" si="63"/>
        <v/>
      </c>
      <c r="AI510" s="2" t="str">
        <f t="shared" si="64"/>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58"/>
        <v/>
      </c>
      <c r="AD511" s="4" t="str">
        <f t="shared" si="59"/>
        <v/>
      </c>
      <c r="AE511" s="4" t="str">
        <f t="shared" si="60"/>
        <v/>
      </c>
      <c r="AF511" s="4" t="str">
        <f t="shared" si="61"/>
        <v/>
      </c>
      <c r="AG511" s="4" t="str">
        <f t="shared" si="62"/>
        <v/>
      </c>
      <c r="AH511" s="4" t="str">
        <f t="shared" si="63"/>
        <v/>
      </c>
      <c r="AI511" s="2" t="str">
        <f t="shared" si="64"/>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58"/>
        <v/>
      </c>
      <c r="AD512" s="4" t="str">
        <f t="shared" si="59"/>
        <v/>
      </c>
      <c r="AE512" s="4" t="str">
        <f t="shared" si="60"/>
        <v/>
      </c>
      <c r="AF512" s="4" t="str">
        <f t="shared" si="61"/>
        <v/>
      </c>
      <c r="AG512" s="4" t="str">
        <f t="shared" si="62"/>
        <v/>
      </c>
      <c r="AH512" s="4" t="str">
        <f t="shared" si="63"/>
        <v/>
      </c>
      <c r="AI512" s="2" t="str">
        <f t="shared" si="64"/>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58"/>
        <v/>
      </c>
      <c r="AD513" s="4" t="str">
        <f t="shared" si="59"/>
        <v/>
      </c>
      <c r="AE513" s="4" t="str">
        <f t="shared" si="60"/>
        <v/>
      </c>
      <c r="AF513" s="4" t="str">
        <f t="shared" si="61"/>
        <v/>
      </c>
      <c r="AG513" s="4" t="str">
        <f t="shared" si="62"/>
        <v/>
      </c>
      <c r="AH513" s="4" t="str">
        <f t="shared" si="63"/>
        <v/>
      </c>
      <c r="AI513" s="2" t="str">
        <f t="shared" si="64"/>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58"/>
        <v/>
      </c>
      <c r="AD514" s="4" t="str">
        <f t="shared" si="59"/>
        <v/>
      </c>
      <c r="AE514" s="4" t="str">
        <f t="shared" si="60"/>
        <v/>
      </c>
      <c r="AF514" s="4" t="str">
        <f t="shared" si="61"/>
        <v/>
      </c>
      <c r="AG514" s="4" t="str">
        <f t="shared" si="62"/>
        <v/>
      </c>
      <c r="AH514" s="4" t="str">
        <f t="shared" si="63"/>
        <v/>
      </c>
      <c r="AI514" s="2" t="str">
        <f t="shared" si="64"/>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58"/>
        <v/>
      </c>
      <c r="AD515" s="4" t="str">
        <f t="shared" si="59"/>
        <v/>
      </c>
      <c r="AE515" s="4" t="str">
        <f t="shared" si="60"/>
        <v/>
      </c>
      <c r="AF515" s="4" t="str">
        <f t="shared" si="61"/>
        <v/>
      </c>
      <c r="AG515" s="4" t="str">
        <f t="shared" si="62"/>
        <v/>
      </c>
      <c r="AH515" s="4" t="str">
        <f t="shared" si="63"/>
        <v/>
      </c>
      <c r="AI515" s="2" t="str">
        <f t="shared" si="64"/>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si="58"/>
        <v/>
      </c>
      <c r="AD516" s="4" t="str">
        <f t="shared" si="59"/>
        <v/>
      </c>
      <c r="AE516" s="4" t="str">
        <f t="shared" si="60"/>
        <v/>
      </c>
      <c r="AF516" s="4" t="str">
        <f t="shared" si="61"/>
        <v/>
      </c>
      <c r="AG516" s="4" t="str">
        <f t="shared" si="62"/>
        <v/>
      </c>
      <c r="AH516" s="4" t="str">
        <f t="shared" si="63"/>
        <v/>
      </c>
      <c r="AI516" s="2" t="str">
        <f t="shared" si="64"/>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ref="AC517:AC580" si="65">IF((MAX(A517,L517,N517,P517,X517,Y517)-MIN(A517,L517,N517,P517,X517,Y517))&gt;3,1,"")</f>
        <v/>
      </c>
      <c r="AD517" s="4" t="str">
        <f t="shared" ref="AD517:AD580" si="66">IF((MAX(B517,D517,M517,U517)-MIN(B517,D517,M517,U517))&gt;3,1,"")</f>
        <v/>
      </c>
      <c r="AE517" s="4" t="str">
        <f t="shared" ref="AE517:AE580" si="67">IF((MAX(I517,T517,V517,W517)-MIN(I517,T517,V517,W517))&gt;3,1,"")</f>
        <v/>
      </c>
      <c r="AF517" s="4" t="str">
        <f t="shared" ref="AF517:AF580" si="68">IF((MAX(H517,K517,Q517,S517)-MIN(H517,K517,Q517,S517))&gt;3,1,"")</f>
        <v/>
      </c>
      <c r="AG517" s="4" t="str">
        <f t="shared" ref="AG517:AG580" si="69">IF((MAX(E517,F517,G517,R517)-MIN(E517,F517,G517,R517))&gt;3,1,"")</f>
        <v/>
      </c>
      <c r="AH517" s="4" t="str">
        <f t="shared" ref="AH517:AH580" si="70">IF((MAX(C517,J517,O517,Z517)-MIN(C517,J517,O517,Z517))&gt;3,1,"")</f>
        <v/>
      </c>
      <c r="AI517" s="2" t="str">
        <f t="shared" ref="AI517:AI580" si="71">IF(COUNT(A517:Z517)&gt;0,IF(COUNT(AC517,AD517,AE517,AF517,AG517,AH517)&gt;0,SUM(AC517,AD517,AE517,AF517,AG517,AH517),0),"")</f>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65"/>
        <v/>
      </c>
      <c r="AD518" s="4" t="str">
        <f t="shared" si="66"/>
        <v/>
      </c>
      <c r="AE518" s="4" t="str">
        <f t="shared" si="67"/>
        <v/>
      </c>
      <c r="AF518" s="4" t="str">
        <f t="shared" si="68"/>
        <v/>
      </c>
      <c r="AG518" s="4" t="str">
        <f t="shared" si="69"/>
        <v/>
      </c>
      <c r="AH518" s="4" t="str">
        <f t="shared" si="70"/>
        <v/>
      </c>
      <c r="AI518" s="2" t="str">
        <f t="shared" si="71"/>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65"/>
        <v/>
      </c>
      <c r="AD519" s="4" t="str">
        <f t="shared" si="66"/>
        <v/>
      </c>
      <c r="AE519" s="4" t="str">
        <f t="shared" si="67"/>
        <v/>
      </c>
      <c r="AF519" s="4" t="str">
        <f t="shared" si="68"/>
        <v/>
      </c>
      <c r="AG519" s="4" t="str">
        <f t="shared" si="69"/>
        <v/>
      </c>
      <c r="AH519" s="4" t="str">
        <f t="shared" si="70"/>
        <v/>
      </c>
      <c r="AI519" s="2" t="str">
        <f t="shared" si="71"/>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65"/>
        <v/>
      </c>
      <c r="AD520" s="4" t="str">
        <f t="shared" si="66"/>
        <v/>
      </c>
      <c r="AE520" s="4" t="str">
        <f t="shared" si="67"/>
        <v/>
      </c>
      <c r="AF520" s="4" t="str">
        <f t="shared" si="68"/>
        <v/>
      </c>
      <c r="AG520" s="4" t="str">
        <f t="shared" si="69"/>
        <v/>
      </c>
      <c r="AH520" s="4" t="str">
        <f t="shared" si="70"/>
        <v/>
      </c>
      <c r="AI520" s="2" t="str">
        <f t="shared" si="71"/>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65"/>
        <v/>
      </c>
      <c r="AD521" s="4" t="str">
        <f t="shared" si="66"/>
        <v/>
      </c>
      <c r="AE521" s="4" t="str">
        <f t="shared" si="67"/>
        <v/>
      </c>
      <c r="AF521" s="4" t="str">
        <f t="shared" si="68"/>
        <v/>
      </c>
      <c r="AG521" s="4" t="str">
        <f t="shared" si="69"/>
        <v/>
      </c>
      <c r="AH521" s="4" t="str">
        <f t="shared" si="70"/>
        <v/>
      </c>
      <c r="AI521" s="2" t="str">
        <f t="shared" si="71"/>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65"/>
        <v/>
      </c>
      <c r="AD522" s="4" t="str">
        <f t="shared" si="66"/>
        <v/>
      </c>
      <c r="AE522" s="4" t="str">
        <f t="shared" si="67"/>
        <v/>
      </c>
      <c r="AF522" s="4" t="str">
        <f t="shared" si="68"/>
        <v/>
      </c>
      <c r="AG522" s="4" t="str">
        <f t="shared" si="69"/>
        <v/>
      </c>
      <c r="AH522" s="4" t="str">
        <f t="shared" si="70"/>
        <v/>
      </c>
      <c r="AI522" s="2" t="str">
        <f t="shared" si="71"/>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65"/>
        <v/>
      </c>
      <c r="AD523" s="4" t="str">
        <f t="shared" si="66"/>
        <v/>
      </c>
      <c r="AE523" s="4" t="str">
        <f t="shared" si="67"/>
        <v/>
      </c>
      <c r="AF523" s="4" t="str">
        <f t="shared" si="68"/>
        <v/>
      </c>
      <c r="AG523" s="4" t="str">
        <f t="shared" si="69"/>
        <v/>
      </c>
      <c r="AH523" s="4" t="str">
        <f t="shared" si="70"/>
        <v/>
      </c>
      <c r="AI523" s="2" t="str">
        <f t="shared" si="71"/>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65"/>
        <v/>
      </c>
      <c r="AD524" s="4" t="str">
        <f t="shared" si="66"/>
        <v/>
      </c>
      <c r="AE524" s="4" t="str">
        <f t="shared" si="67"/>
        <v/>
      </c>
      <c r="AF524" s="4" t="str">
        <f t="shared" si="68"/>
        <v/>
      </c>
      <c r="AG524" s="4" t="str">
        <f t="shared" si="69"/>
        <v/>
      </c>
      <c r="AH524" s="4" t="str">
        <f t="shared" si="70"/>
        <v/>
      </c>
      <c r="AI524" s="2" t="str">
        <f t="shared" si="71"/>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65"/>
        <v/>
      </c>
      <c r="AD525" s="4" t="str">
        <f t="shared" si="66"/>
        <v/>
      </c>
      <c r="AE525" s="4" t="str">
        <f t="shared" si="67"/>
        <v/>
      </c>
      <c r="AF525" s="4" t="str">
        <f t="shared" si="68"/>
        <v/>
      </c>
      <c r="AG525" s="4" t="str">
        <f t="shared" si="69"/>
        <v/>
      </c>
      <c r="AH525" s="4" t="str">
        <f t="shared" si="70"/>
        <v/>
      </c>
      <c r="AI525" s="2" t="str">
        <f t="shared" si="71"/>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65"/>
        <v/>
      </c>
      <c r="AD526" s="4" t="str">
        <f t="shared" si="66"/>
        <v/>
      </c>
      <c r="AE526" s="4" t="str">
        <f t="shared" si="67"/>
        <v/>
      </c>
      <c r="AF526" s="4" t="str">
        <f t="shared" si="68"/>
        <v/>
      </c>
      <c r="AG526" s="4" t="str">
        <f t="shared" si="69"/>
        <v/>
      </c>
      <c r="AH526" s="4" t="str">
        <f t="shared" si="70"/>
        <v/>
      </c>
      <c r="AI526" s="2" t="str">
        <f t="shared" si="71"/>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65"/>
        <v/>
      </c>
      <c r="AD527" s="4" t="str">
        <f t="shared" si="66"/>
        <v/>
      </c>
      <c r="AE527" s="4" t="str">
        <f t="shared" si="67"/>
        <v/>
      </c>
      <c r="AF527" s="4" t="str">
        <f t="shared" si="68"/>
        <v/>
      </c>
      <c r="AG527" s="4" t="str">
        <f t="shared" si="69"/>
        <v/>
      </c>
      <c r="AH527" s="4" t="str">
        <f t="shared" si="70"/>
        <v/>
      </c>
      <c r="AI527" s="2" t="str">
        <f t="shared" si="71"/>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65"/>
        <v/>
      </c>
      <c r="AD528" s="4" t="str">
        <f t="shared" si="66"/>
        <v/>
      </c>
      <c r="AE528" s="4" t="str">
        <f t="shared" si="67"/>
        <v/>
      </c>
      <c r="AF528" s="4" t="str">
        <f t="shared" si="68"/>
        <v/>
      </c>
      <c r="AG528" s="4" t="str">
        <f t="shared" si="69"/>
        <v/>
      </c>
      <c r="AH528" s="4" t="str">
        <f t="shared" si="70"/>
        <v/>
      </c>
      <c r="AI528" s="2" t="str">
        <f t="shared" si="71"/>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65"/>
        <v/>
      </c>
      <c r="AD529" s="4" t="str">
        <f t="shared" si="66"/>
        <v/>
      </c>
      <c r="AE529" s="4" t="str">
        <f t="shared" si="67"/>
        <v/>
      </c>
      <c r="AF529" s="4" t="str">
        <f t="shared" si="68"/>
        <v/>
      </c>
      <c r="AG529" s="4" t="str">
        <f t="shared" si="69"/>
        <v/>
      </c>
      <c r="AH529" s="4" t="str">
        <f t="shared" si="70"/>
        <v/>
      </c>
      <c r="AI529" s="2" t="str">
        <f t="shared" si="71"/>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65"/>
        <v/>
      </c>
      <c r="AD530" s="4" t="str">
        <f t="shared" si="66"/>
        <v/>
      </c>
      <c r="AE530" s="4" t="str">
        <f t="shared" si="67"/>
        <v/>
      </c>
      <c r="AF530" s="4" t="str">
        <f t="shared" si="68"/>
        <v/>
      </c>
      <c r="AG530" s="4" t="str">
        <f t="shared" si="69"/>
        <v/>
      </c>
      <c r="AH530" s="4" t="str">
        <f t="shared" si="70"/>
        <v/>
      </c>
      <c r="AI530" s="2" t="str">
        <f t="shared" si="71"/>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65"/>
        <v/>
      </c>
      <c r="AD531" s="4" t="str">
        <f t="shared" si="66"/>
        <v/>
      </c>
      <c r="AE531" s="4" t="str">
        <f t="shared" si="67"/>
        <v/>
      </c>
      <c r="AF531" s="4" t="str">
        <f t="shared" si="68"/>
        <v/>
      </c>
      <c r="AG531" s="4" t="str">
        <f t="shared" si="69"/>
        <v/>
      </c>
      <c r="AH531" s="4" t="str">
        <f t="shared" si="70"/>
        <v/>
      </c>
      <c r="AI531" s="2" t="str">
        <f t="shared" si="71"/>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65"/>
        <v/>
      </c>
      <c r="AD532" s="4" t="str">
        <f t="shared" si="66"/>
        <v/>
      </c>
      <c r="AE532" s="4" t="str">
        <f t="shared" si="67"/>
        <v/>
      </c>
      <c r="AF532" s="4" t="str">
        <f t="shared" si="68"/>
        <v/>
      </c>
      <c r="AG532" s="4" t="str">
        <f t="shared" si="69"/>
        <v/>
      </c>
      <c r="AH532" s="4" t="str">
        <f t="shared" si="70"/>
        <v/>
      </c>
      <c r="AI532" s="2" t="str">
        <f t="shared" si="71"/>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65"/>
        <v/>
      </c>
      <c r="AD533" s="4" t="str">
        <f t="shared" si="66"/>
        <v/>
      </c>
      <c r="AE533" s="4" t="str">
        <f t="shared" si="67"/>
        <v/>
      </c>
      <c r="AF533" s="4" t="str">
        <f t="shared" si="68"/>
        <v/>
      </c>
      <c r="AG533" s="4" t="str">
        <f t="shared" si="69"/>
        <v/>
      </c>
      <c r="AH533" s="4" t="str">
        <f t="shared" si="70"/>
        <v/>
      </c>
      <c r="AI533" s="2" t="str">
        <f t="shared" si="71"/>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65"/>
        <v/>
      </c>
      <c r="AD534" s="4" t="str">
        <f t="shared" si="66"/>
        <v/>
      </c>
      <c r="AE534" s="4" t="str">
        <f t="shared" si="67"/>
        <v/>
      </c>
      <c r="AF534" s="4" t="str">
        <f t="shared" si="68"/>
        <v/>
      </c>
      <c r="AG534" s="4" t="str">
        <f t="shared" si="69"/>
        <v/>
      </c>
      <c r="AH534" s="4" t="str">
        <f t="shared" si="70"/>
        <v/>
      </c>
      <c r="AI534" s="2" t="str">
        <f t="shared" si="71"/>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65"/>
        <v/>
      </c>
      <c r="AD535" s="4" t="str">
        <f t="shared" si="66"/>
        <v/>
      </c>
      <c r="AE535" s="4" t="str">
        <f t="shared" si="67"/>
        <v/>
      </c>
      <c r="AF535" s="4" t="str">
        <f t="shared" si="68"/>
        <v/>
      </c>
      <c r="AG535" s="4" t="str">
        <f t="shared" si="69"/>
        <v/>
      </c>
      <c r="AH535" s="4" t="str">
        <f t="shared" si="70"/>
        <v/>
      </c>
      <c r="AI535" s="2" t="str">
        <f t="shared" si="71"/>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65"/>
        <v/>
      </c>
      <c r="AD536" s="4" t="str">
        <f t="shared" si="66"/>
        <v/>
      </c>
      <c r="AE536" s="4" t="str">
        <f t="shared" si="67"/>
        <v/>
      </c>
      <c r="AF536" s="4" t="str">
        <f t="shared" si="68"/>
        <v/>
      </c>
      <c r="AG536" s="4" t="str">
        <f t="shared" si="69"/>
        <v/>
      </c>
      <c r="AH536" s="4" t="str">
        <f t="shared" si="70"/>
        <v/>
      </c>
      <c r="AI536" s="2" t="str">
        <f t="shared" si="71"/>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65"/>
        <v/>
      </c>
      <c r="AD537" s="4" t="str">
        <f t="shared" si="66"/>
        <v/>
      </c>
      <c r="AE537" s="4" t="str">
        <f t="shared" si="67"/>
        <v/>
      </c>
      <c r="AF537" s="4" t="str">
        <f t="shared" si="68"/>
        <v/>
      </c>
      <c r="AG537" s="4" t="str">
        <f t="shared" si="69"/>
        <v/>
      </c>
      <c r="AH537" s="4" t="str">
        <f t="shared" si="70"/>
        <v/>
      </c>
      <c r="AI537" s="2" t="str">
        <f t="shared" si="71"/>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65"/>
        <v/>
      </c>
      <c r="AD538" s="4" t="str">
        <f t="shared" si="66"/>
        <v/>
      </c>
      <c r="AE538" s="4" t="str">
        <f t="shared" si="67"/>
        <v/>
      </c>
      <c r="AF538" s="4" t="str">
        <f t="shared" si="68"/>
        <v/>
      </c>
      <c r="AG538" s="4" t="str">
        <f t="shared" si="69"/>
        <v/>
      </c>
      <c r="AH538" s="4" t="str">
        <f t="shared" si="70"/>
        <v/>
      </c>
      <c r="AI538" s="2" t="str">
        <f t="shared" si="71"/>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65"/>
        <v/>
      </c>
      <c r="AD539" s="4" t="str">
        <f t="shared" si="66"/>
        <v/>
      </c>
      <c r="AE539" s="4" t="str">
        <f t="shared" si="67"/>
        <v/>
      </c>
      <c r="AF539" s="4" t="str">
        <f t="shared" si="68"/>
        <v/>
      </c>
      <c r="AG539" s="4" t="str">
        <f t="shared" si="69"/>
        <v/>
      </c>
      <c r="AH539" s="4" t="str">
        <f t="shared" si="70"/>
        <v/>
      </c>
      <c r="AI539" s="2" t="str">
        <f t="shared" si="71"/>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65"/>
        <v/>
      </c>
      <c r="AD540" s="4" t="str">
        <f t="shared" si="66"/>
        <v/>
      </c>
      <c r="AE540" s="4" t="str">
        <f t="shared" si="67"/>
        <v/>
      </c>
      <c r="AF540" s="4" t="str">
        <f t="shared" si="68"/>
        <v/>
      </c>
      <c r="AG540" s="4" t="str">
        <f t="shared" si="69"/>
        <v/>
      </c>
      <c r="AH540" s="4" t="str">
        <f t="shared" si="70"/>
        <v/>
      </c>
      <c r="AI540" s="2" t="str">
        <f t="shared" si="71"/>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65"/>
        <v/>
      </c>
      <c r="AD541" s="4" t="str">
        <f t="shared" si="66"/>
        <v/>
      </c>
      <c r="AE541" s="4" t="str">
        <f t="shared" si="67"/>
        <v/>
      </c>
      <c r="AF541" s="4" t="str">
        <f t="shared" si="68"/>
        <v/>
      </c>
      <c r="AG541" s="4" t="str">
        <f t="shared" si="69"/>
        <v/>
      </c>
      <c r="AH541" s="4" t="str">
        <f t="shared" si="70"/>
        <v/>
      </c>
      <c r="AI541" s="2" t="str">
        <f t="shared" si="71"/>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65"/>
        <v/>
      </c>
      <c r="AD542" s="4" t="str">
        <f t="shared" si="66"/>
        <v/>
      </c>
      <c r="AE542" s="4" t="str">
        <f t="shared" si="67"/>
        <v/>
      </c>
      <c r="AF542" s="4" t="str">
        <f t="shared" si="68"/>
        <v/>
      </c>
      <c r="AG542" s="4" t="str">
        <f t="shared" si="69"/>
        <v/>
      </c>
      <c r="AH542" s="4" t="str">
        <f t="shared" si="70"/>
        <v/>
      </c>
      <c r="AI542" s="2" t="str">
        <f t="shared" si="71"/>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65"/>
        <v/>
      </c>
      <c r="AD543" s="4" t="str">
        <f t="shared" si="66"/>
        <v/>
      </c>
      <c r="AE543" s="4" t="str">
        <f t="shared" si="67"/>
        <v/>
      </c>
      <c r="AF543" s="4" t="str">
        <f t="shared" si="68"/>
        <v/>
      </c>
      <c r="AG543" s="4" t="str">
        <f t="shared" si="69"/>
        <v/>
      </c>
      <c r="AH543" s="4" t="str">
        <f t="shared" si="70"/>
        <v/>
      </c>
      <c r="AI543" s="2" t="str">
        <f t="shared" si="71"/>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65"/>
        <v/>
      </c>
      <c r="AD544" s="4" t="str">
        <f t="shared" si="66"/>
        <v/>
      </c>
      <c r="AE544" s="4" t="str">
        <f t="shared" si="67"/>
        <v/>
      </c>
      <c r="AF544" s="4" t="str">
        <f t="shared" si="68"/>
        <v/>
      </c>
      <c r="AG544" s="4" t="str">
        <f t="shared" si="69"/>
        <v/>
      </c>
      <c r="AH544" s="4" t="str">
        <f t="shared" si="70"/>
        <v/>
      </c>
      <c r="AI544" s="2" t="str">
        <f t="shared" si="71"/>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65"/>
        <v/>
      </c>
      <c r="AD545" s="4" t="str">
        <f t="shared" si="66"/>
        <v/>
      </c>
      <c r="AE545" s="4" t="str">
        <f t="shared" si="67"/>
        <v/>
      </c>
      <c r="AF545" s="4" t="str">
        <f t="shared" si="68"/>
        <v/>
      </c>
      <c r="AG545" s="4" t="str">
        <f t="shared" si="69"/>
        <v/>
      </c>
      <c r="AH545" s="4" t="str">
        <f t="shared" si="70"/>
        <v/>
      </c>
      <c r="AI545" s="2" t="str">
        <f t="shared" si="71"/>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65"/>
        <v/>
      </c>
      <c r="AD546" s="4" t="str">
        <f t="shared" si="66"/>
        <v/>
      </c>
      <c r="AE546" s="4" t="str">
        <f t="shared" si="67"/>
        <v/>
      </c>
      <c r="AF546" s="4" t="str">
        <f t="shared" si="68"/>
        <v/>
      </c>
      <c r="AG546" s="4" t="str">
        <f t="shared" si="69"/>
        <v/>
      </c>
      <c r="AH546" s="4" t="str">
        <f t="shared" si="70"/>
        <v/>
      </c>
      <c r="AI546" s="2" t="str">
        <f t="shared" si="71"/>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65"/>
        <v/>
      </c>
      <c r="AD547" s="4" t="str">
        <f t="shared" si="66"/>
        <v/>
      </c>
      <c r="AE547" s="4" t="str">
        <f t="shared" si="67"/>
        <v/>
      </c>
      <c r="AF547" s="4" t="str">
        <f t="shared" si="68"/>
        <v/>
      </c>
      <c r="AG547" s="4" t="str">
        <f t="shared" si="69"/>
        <v/>
      </c>
      <c r="AH547" s="4" t="str">
        <f t="shared" si="70"/>
        <v/>
      </c>
      <c r="AI547" s="2" t="str">
        <f t="shared" si="71"/>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65"/>
        <v/>
      </c>
      <c r="AD548" s="4" t="str">
        <f t="shared" si="66"/>
        <v/>
      </c>
      <c r="AE548" s="4" t="str">
        <f t="shared" si="67"/>
        <v/>
      </c>
      <c r="AF548" s="4" t="str">
        <f t="shared" si="68"/>
        <v/>
      </c>
      <c r="AG548" s="4" t="str">
        <f t="shared" si="69"/>
        <v/>
      </c>
      <c r="AH548" s="4" t="str">
        <f t="shared" si="70"/>
        <v/>
      </c>
      <c r="AI548" s="2" t="str">
        <f t="shared" si="71"/>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65"/>
        <v/>
      </c>
      <c r="AD549" s="4" t="str">
        <f t="shared" si="66"/>
        <v/>
      </c>
      <c r="AE549" s="4" t="str">
        <f t="shared" si="67"/>
        <v/>
      </c>
      <c r="AF549" s="4" t="str">
        <f t="shared" si="68"/>
        <v/>
      </c>
      <c r="AG549" s="4" t="str">
        <f t="shared" si="69"/>
        <v/>
      </c>
      <c r="AH549" s="4" t="str">
        <f t="shared" si="70"/>
        <v/>
      </c>
      <c r="AI549" s="2" t="str">
        <f t="shared" si="71"/>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65"/>
        <v/>
      </c>
      <c r="AD550" s="4" t="str">
        <f t="shared" si="66"/>
        <v/>
      </c>
      <c r="AE550" s="4" t="str">
        <f t="shared" si="67"/>
        <v/>
      </c>
      <c r="AF550" s="4" t="str">
        <f t="shared" si="68"/>
        <v/>
      </c>
      <c r="AG550" s="4" t="str">
        <f t="shared" si="69"/>
        <v/>
      </c>
      <c r="AH550" s="4" t="str">
        <f t="shared" si="70"/>
        <v/>
      </c>
      <c r="AI550" s="2" t="str">
        <f t="shared" si="71"/>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65"/>
        <v/>
      </c>
      <c r="AD551" s="4" t="str">
        <f t="shared" si="66"/>
        <v/>
      </c>
      <c r="AE551" s="4" t="str">
        <f t="shared" si="67"/>
        <v/>
      </c>
      <c r="AF551" s="4" t="str">
        <f t="shared" si="68"/>
        <v/>
      </c>
      <c r="AG551" s="4" t="str">
        <f t="shared" si="69"/>
        <v/>
      </c>
      <c r="AH551" s="4" t="str">
        <f t="shared" si="70"/>
        <v/>
      </c>
      <c r="AI551" s="2" t="str">
        <f t="shared" si="71"/>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65"/>
        <v/>
      </c>
      <c r="AD552" s="4" t="str">
        <f t="shared" si="66"/>
        <v/>
      </c>
      <c r="AE552" s="4" t="str">
        <f t="shared" si="67"/>
        <v/>
      </c>
      <c r="AF552" s="4" t="str">
        <f t="shared" si="68"/>
        <v/>
      </c>
      <c r="AG552" s="4" t="str">
        <f t="shared" si="69"/>
        <v/>
      </c>
      <c r="AH552" s="4" t="str">
        <f t="shared" si="70"/>
        <v/>
      </c>
      <c r="AI552" s="2" t="str">
        <f t="shared" si="71"/>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65"/>
        <v/>
      </c>
      <c r="AD553" s="4" t="str">
        <f t="shared" si="66"/>
        <v/>
      </c>
      <c r="AE553" s="4" t="str">
        <f t="shared" si="67"/>
        <v/>
      </c>
      <c r="AF553" s="4" t="str">
        <f t="shared" si="68"/>
        <v/>
      </c>
      <c r="AG553" s="4" t="str">
        <f t="shared" si="69"/>
        <v/>
      </c>
      <c r="AH553" s="4" t="str">
        <f t="shared" si="70"/>
        <v/>
      </c>
      <c r="AI553" s="2" t="str">
        <f t="shared" si="71"/>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65"/>
        <v/>
      </c>
      <c r="AD554" s="4" t="str">
        <f t="shared" si="66"/>
        <v/>
      </c>
      <c r="AE554" s="4" t="str">
        <f t="shared" si="67"/>
        <v/>
      </c>
      <c r="AF554" s="4" t="str">
        <f t="shared" si="68"/>
        <v/>
      </c>
      <c r="AG554" s="4" t="str">
        <f t="shared" si="69"/>
        <v/>
      </c>
      <c r="AH554" s="4" t="str">
        <f t="shared" si="70"/>
        <v/>
      </c>
      <c r="AI554" s="2" t="str">
        <f t="shared" si="71"/>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65"/>
        <v/>
      </c>
      <c r="AD555" s="4" t="str">
        <f t="shared" si="66"/>
        <v/>
      </c>
      <c r="AE555" s="4" t="str">
        <f t="shared" si="67"/>
        <v/>
      </c>
      <c r="AF555" s="4" t="str">
        <f t="shared" si="68"/>
        <v/>
      </c>
      <c r="AG555" s="4" t="str">
        <f t="shared" si="69"/>
        <v/>
      </c>
      <c r="AH555" s="4" t="str">
        <f t="shared" si="70"/>
        <v/>
      </c>
      <c r="AI555" s="2" t="str">
        <f t="shared" si="71"/>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65"/>
        <v/>
      </c>
      <c r="AD556" s="4" t="str">
        <f t="shared" si="66"/>
        <v/>
      </c>
      <c r="AE556" s="4" t="str">
        <f t="shared" si="67"/>
        <v/>
      </c>
      <c r="AF556" s="4" t="str">
        <f t="shared" si="68"/>
        <v/>
      </c>
      <c r="AG556" s="4" t="str">
        <f t="shared" si="69"/>
        <v/>
      </c>
      <c r="AH556" s="4" t="str">
        <f t="shared" si="70"/>
        <v/>
      </c>
      <c r="AI556" s="2" t="str">
        <f t="shared" si="71"/>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65"/>
        <v/>
      </c>
      <c r="AD557" s="4" t="str">
        <f t="shared" si="66"/>
        <v/>
      </c>
      <c r="AE557" s="4" t="str">
        <f t="shared" si="67"/>
        <v/>
      </c>
      <c r="AF557" s="4" t="str">
        <f t="shared" si="68"/>
        <v/>
      </c>
      <c r="AG557" s="4" t="str">
        <f t="shared" si="69"/>
        <v/>
      </c>
      <c r="AH557" s="4" t="str">
        <f t="shared" si="70"/>
        <v/>
      </c>
      <c r="AI557" s="2" t="str">
        <f t="shared" si="71"/>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65"/>
        <v/>
      </c>
      <c r="AD558" s="4" t="str">
        <f t="shared" si="66"/>
        <v/>
      </c>
      <c r="AE558" s="4" t="str">
        <f t="shared" si="67"/>
        <v/>
      </c>
      <c r="AF558" s="4" t="str">
        <f t="shared" si="68"/>
        <v/>
      </c>
      <c r="AG558" s="4" t="str">
        <f t="shared" si="69"/>
        <v/>
      </c>
      <c r="AH558" s="4" t="str">
        <f t="shared" si="70"/>
        <v/>
      </c>
      <c r="AI558" s="2" t="str">
        <f t="shared" si="71"/>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65"/>
        <v/>
      </c>
      <c r="AD559" s="4" t="str">
        <f t="shared" si="66"/>
        <v/>
      </c>
      <c r="AE559" s="4" t="str">
        <f t="shared" si="67"/>
        <v/>
      </c>
      <c r="AF559" s="4" t="str">
        <f t="shared" si="68"/>
        <v/>
      </c>
      <c r="AG559" s="4" t="str">
        <f t="shared" si="69"/>
        <v/>
      </c>
      <c r="AH559" s="4" t="str">
        <f t="shared" si="70"/>
        <v/>
      </c>
      <c r="AI559" s="2" t="str">
        <f t="shared" si="71"/>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65"/>
        <v/>
      </c>
      <c r="AD560" s="4" t="str">
        <f t="shared" si="66"/>
        <v/>
      </c>
      <c r="AE560" s="4" t="str">
        <f t="shared" si="67"/>
        <v/>
      </c>
      <c r="AF560" s="4" t="str">
        <f t="shared" si="68"/>
        <v/>
      </c>
      <c r="AG560" s="4" t="str">
        <f t="shared" si="69"/>
        <v/>
      </c>
      <c r="AH560" s="4" t="str">
        <f t="shared" si="70"/>
        <v/>
      </c>
      <c r="AI560" s="2" t="str">
        <f t="shared" si="71"/>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65"/>
        <v/>
      </c>
      <c r="AD561" s="4" t="str">
        <f t="shared" si="66"/>
        <v/>
      </c>
      <c r="AE561" s="4" t="str">
        <f t="shared" si="67"/>
        <v/>
      </c>
      <c r="AF561" s="4" t="str">
        <f t="shared" si="68"/>
        <v/>
      </c>
      <c r="AG561" s="4" t="str">
        <f t="shared" si="69"/>
        <v/>
      </c>
      <c r="AH561" s="4" t="str">
        <f t="shared" si="70"/>
        <v/>
      </c>
      <c r="AI561" s="2" t="str">
        <f t="shared" si="71"/>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65"/>
        <v/>
      </c>
      <c r="AD562" s="4" t="str">
        <f t="shared" si="66"/>
        <v/>
      </c>
      <c r="AE562" s="4" t="str">
        <f t="shared" si="67"/>
        <v/>
      </c>
      <c r="AF562" s="4" t="str">
        <f t="shared" si="68"/>
        <v/>
      </c>
      <c r="AG562" s="4" t="str">
        <f t="shared" si="69"/>
        <v/>
      </c>
      <c r="AH562" s="4" t="str">
        <f t="shared" si="70"/>
        <v/>
      </c>
      <c r="AI562" s="2" t="str">
        <f t="shared" si="71"/>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65"/>
        <v/>
      </c>
      <c r="AD563" s="4" t="str">
        <f t="shared" si="66"/>
        <v/>
      </c>
      <c r="AE563" s="4" t="str">
        <f t="shared" si="67"/>
        <v/>
      </c>
      <c r="AF563" s="4" t="str">
        <f t="shared" si="68"/>
        <v/>
      </c>
      <c r="AG563" s="4" t="str">
        <f t="shared" si="69"/>
        <v/>
      </c>
      <c r="AH563" s="4" t="str">
        <f t="shared" si="70"/>
        <v/>
      </c>
      <c r="AI563" s="2" t="str">
        <f t="shared" si="71"/>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65"/>
        <v/>
      </c>
      <c r="AD564" s="4" t="str">
        <f t="shared" si="66"/>
        <v/>
      </c>
      <c r="AE564" s="4" t="str">
        <f t="shared" si="67"/>
        <v/>
      </c>
      <c r="AF564" s="4" t="str">
        <f t="shared" si="68"/>
        <v/>
      </c>
      <c r="AG564" s="4" t="str">
        <f t="shared" si="69"/>
        <v/>
      </c>
      <c r="AH564" s="4" t="str">
        <f t="shared" si="70"/>
        <v/>
      </c>
      <c r="AI564" s="2" t="str">
        <f t="shared" si="71"/>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65"/>
        <v/>
      </c>
      <c r="AD565" s="4" t="str">
        <f t="shared" si="66"/>
        <v/>
      </c>
      <c r="AE565" s="4" t="str">
        <f t="shared" si="67"/>
        <v/>
      </c>
      <c r="AF565" s="4" t="str">
        <f t="shared" si="68"/>
        <v/>
      </c>
      <c r="AG565" s="4" t="str">
        <f t="shared" si="69"/>
        <v/>
      </c>
      <c r="AH565" s="4" t="str">
        <f t="shared" si="70"/>
        <v/>
      </c>
      <c r="AI565" s="2" t="str">
        <f t="shared" si="71"/>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65"/>
        <v/>
      </c>
      <c r="AD566" s="4" t="str">
        <f t="shared" si="66"/>
        <v/>
      </c>
      <c r="AE566" s="4" t="str">
        <f t="shared" si="67"/>
        <v/>
      </c>
      <c r="AF566" s="4" t="str">
        <f t="shared" si="68"/>
        <v/>
      </c>
      <c r="AG566" s="4" t="str">
        <f t="shared" si="69"/>
        <v/>
      </c>
      <c r="AH566" s="4" t="str">
        <f t="shared" si="70"/>
        <v/>
      </c>
      <c r="AI566" s="2" t="str">
        <f t="shared" si="71"/>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65"/>
        <v/>
      </c>
      <c r="AD567" s="4" t="str">
        <f t="shared" si="66"/>
        <v/>
      </c>
      <c r="AE567" s="4" t="str">
        <f t="shared" si="67"/>
        <v/>
      </c>
      <c r="AF567" s="4" t="str">
        <f t="shared" si="68"/>
        <v/>
      </c>
      <c r="AG567" s="4" t="str">
        <f t="shared" si="69"/>
        <v/>
      </c>
      <c r="AH567" s="4" t="str">
        <f t="shared" si="70"/>
        <v/>
      </c>
      <c r="AI567" s="2" t="str">
        <f t="shared" si="71"/>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65"/>
        <v/>
      </c>
      <c r="AD568" s="4" t="str">
        <f t="shared" si="66"/>
        <v/>
      </c>
      <c r="AE568" s="4" t="str">
        <f t="shared" si="67"/>
        <v/>
      </c>
      <c r="AF568" s="4" t="str">
        <f t="shared" si="68"/>
        <v/>
      </c>
      <c r="AG568" s="4" t="str">
        <f t="shared" si="69"/>
        <v/>
      </c>
      <c r="AH568" s="4" t="str">
        <f t="shared" si="70"/>
        <v/>
      </c>
      <c r="AI568" s="2" t="str">
        <f t="shared" si="71"/>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65"/>
        <v/>
      </c>
      <c r="AD569" s="4" t="str">
        <f t="shared" si="66"/>
        <v/>
      </c>
      <c r="AE569" s="4" t="str">
        <f t="shared" si="67"/>
        <v/>
      </c>
      <c r="AF569" s="4" t="str">
        <f t="shared" si="68"/>
        <v/>
      </c>
      <c r="AG569" s="4" t="str">
        <f t="shared" si="69"/>
        <v/>
      </c>
      <c r="AH569" s="4" t="str">
        <f t="shared" si="70"/>
        <v/>
      </c>
      <c r="AI569" s="2" t="str">
        <f t="shared" si="71"/>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65"/>
        <v/>
      </c>
      <c r="AD570" s="4" t="str">
        <f t="shared" si="66"/>
        <v/>
      </c>
      <c r="AE570" s="4" t="str">
        <f t="shared" si="67"/>
        <v/>
      </c>
      <c r="AF570" s="4" t="str">
        <f t="shared" si="68"/>
        <v/>
      </c>
      <c r="AG570" s="4" t="str">
        <f t="shared" si="69"/>
        <v/>
      </c>
      <c r="AH570" s="4" t="str">
        <f t="shared" si="70"/>
        <v/>
      </c>
      <c r="AI570" s="2" t="str">
        <f t="shared" si="71"/>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65"/>
        <v/>
      </c>
      <c r="AD571" s="4" t="str">
        <f t="shared" si="66"/>
        <v/>
      </c>
      <c r="AE571" s="4" t="str">
        <f t="shared" si="67"/>
        <v/>
      </c>
      <c r="AF571" s="4" t="str">
        <f t="shared" si="68"/>
        <v/>
      </c>
      <c r="AG571" s="4" t="str">
        <f t="shared" si="69"/>
        <v/>
      </c>
      <c r="AH571" s="4" t="str">
        <f t="shared" si="70"/>
        <v/>
      </c>
      <c r="AI571" s="2" t="str">
        <f t="shared" si="71"/>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65"/>
        <v/>
      </c>
      <c r="AD572" s="4" t="str">
        <f t="shared" si="66"/>
        <v/>
      </c>
      <c r="AE572" s="4" t="str">
        <f t="shared" si="67"/>
        <v/>
      </c>
      <c r="AF572" s="4" t="str">
        <f t="shared" si="68"/>
        <v/>
      </c>
      <c r="AG572" s="4" t="str">
        <f t="shared" si="69"/>
        <v/>
      </c>
      <c r="AH572" s="4" t="str">
        <f t="shared" si="70"/>
        <v/>
      </c>
      <c r="AI572" s="2" t="str">
        <f t="shared" si="71"/>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65"/>
        <v/>
      </c>
      <c r="AD573" s="4" t="str">
        <f t="shared" si="66"/>
        <v/>
      </c>
      <c r="AE573" s="4" t="str">
        <f t="shared" si="67"/>
        <v/>
      </c>
      <c r="AF573" s="4" t="str">
        <f t="shared" si="68"/>
        <v/>
      </c>
      <c r="AG573" s="4" t="str">
        <f t="shared" si="69"/>
        <v/>
      </c>
      <c r="AH573" s="4" t="str">
        <f t="shared" si="70"/>
        <v/>
      </c>
      <c r="AI573" s="2" t="str">
        <f t="shared" si="71"/>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65"/>
        <v/>
      </c>
      <c r="AD574" s="4" t="str">
        <f t="shared" si="66"/>
        <v/>
      </c>
      <c r="AE574" s="4" t="str">
        <f t="shared" si="67"/>
        <v/>
      </c>
      <c r="AF574" s="4" t="str">
        <f t="shared" si="68"/>
        <v/>
      </c>
      <c r="AG574" s="4" t="str">
        <f t="shared" si="69"/>
        <v/>
      </c>
      <c r="AH574" s="4" t="str">
        <f t="shared" si="70"/>
        <v/>
      </c>
      <c r="AI574" s="2" t="str">
        <f t="shared" si="71"/>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65"/>
        <v/>
      </c>
      <c r="AD575" s="4" t="str">
        <f t="shared" si="66"/>
        <v/>
      </c>
      <c r="AE575" s="4" t="str">
        <f t="shared" si="67"/>
        <v/>
      </c>
      <c r="AF575" s="4" t="str">
        <f t="shared" si="68"/>
        <v/>
      </c>
      <c r="AG575" s="4" t="str">
        <f t="shared" si="69"/>
        <v/>
      </c>
      <c r="AH575" s="4" t="str">
        <f t="shared" si="70"/>
        <v/>
      </c>
      <c r="AI575" s="2" t="str">
        <f t="shared" si="71"/>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65"/>
        <v/>
      </c>
      <c r="AD576" s="4" t="str">
        <f t="shared" si="66"/>
        <v/>
      </c>
      <c r="AE576" s="4" t="str">
        <f t="shared" si="67"/>
        <v/>
      </c>
      <c r="AF576" s="4" t="str">
        <f t="shared" si="68"/>
        <v/>
      </c>
      <c r="AG576" s="4" t="str">
        <f t="shared" si="69"/>
        <v/>
      </c>
      <c r="AH576" s="4" t="str">
        <f t="shared" si="70"/>
        <v/>
      </c>
      <c r="AI576" s="2" t="str">
        <f t="shared" si="71"/>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65"/>
        <v/>
      </c>
      <c r="AD577" s="4" t="str">
        <f t="shared" si="66"/>
        <v/>
      </c>
      <c r="AE577" s="4" t="str">
        <f t="shared" si="67"/>
        <v/>
      </c>
      <c r="AF577" s="4" t="str">
        <f t="shared" si="68"/>
        <v/>
      </c>
      <c r="AG577" s="4" t="str">
        <f t="shared" si="69"/>
        <v/>
      </c>
      <c r="AH577" s="4" t="str">
        <f t="shared" si="70"/>
        <v/>
      </c>
      <c r="AI577" s="2" t="str">
        <f t="shared" si="71"/>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65"/>
        <v/>
      </c>
      <c r="AD578" s="4" t="str">
        <f t="shared" si="66"/>
        <v/>
      </c>
      <c r="AE578" s="4" t="str">
        <f t="shared" si="67"/>
        <v/>
      </c>
      <c r="AF578" s="4" t="str">
        <f t="shared" si="68"/>
        <v/>
      </c>
      <c r="AG578" s="4" t="str">
        <f t="shared" si="69"/>
        <v/>
      </c>
      <c r="AH578" s="4" t="str">
        <f t="shared" si="70"/>
        <v/>
      </c>
      <c r="AI578" s="2" t="str">
        <f t="shared" si="71"/>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65"/>
        <v/>
      </c>
      <c r="AD579" s="4" t="str">
        <f t="shared" si="66"/>
        <v/>
      </c>
      <c r="AE579" s="4" t="str">
        <f t="shared" si="67"/>
        <v/>
      </c>
      <c r="AF579" s="4" t="str">
        <f t="shared" si="68"/>
        <v/>
      </c>
      <c r="AG579" s="4" t="str">
        <f t="shared" si="69"/>
        <v/>
      </c>
      <c r="AH579" s="4" t="str">
        <f t="shared" si="70"/>
        <v/>
      </c>
      <c r="AI579" s="2" t="str">
        <f t="shared" si="71"/>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si="65"/>
        <v/>
      </c>
      <c r="AD580" s="4" t="str">
        <f t="shared" si="66"/>
        <v/>
      </c>
      <c r="AE580" s="4" t="str">
        <f t="shared" si="67"/>
        <v/>
      </c>
      <c r="AF580" s="4" t="str">
        <f t="shared" si="68"/>
        <v/>
      </c>
      <c r="AG580" s="4" t="str">
        <f t="shared" si="69"/>
        <v/>
      </c>
      <c r="AH580" s="4" t="str">
        <f t="shared" si="70"/>
        <v/>
      </c>
      <c r="AI580" s="2" t="str">
        <f t="shared" si="71"/>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ref="AC581:AC644" si="72">IF((MAX(A581,L581,N581,P581,X581,Y581)-MIN(A581,L581,N581,P581,X581,Y581))&gt;3,1,"")</f>
        <v/>
      </c>
      <c r="AD581" s="4" t="str">
        <f t="shared" ref="AD581:AD644" si="73">IF((MAX(B581,D581,M581,U581)-MIN(B581,D581,M581,U581))&gt;3,1,"")</f>
        <v/>
      </c>
      <c r="AE581" s="4" t="str">
        <f t="shared" ref="AE581:AE644" si="74">IF((MAX(I581,T581,V581,W581)-MIN(I581,T581,V581,W581))&gt;3,1,"")</f>
        <v/>
      </c>
      <c r="AF581" s="4" t="str">
        <f t="shared" ref="AF581:AF644" si="75">IF((MAX(H581,K581,Q581,S581)-MIN(H581,K581,Q581,S581))&gt;3,1,"")</f>
        <v/>
      </c>
      <c r="AG581" s="4" t="str">
        <f t="shared" ref="AG581:AG644" si="76">IF((MAX(E581,F581,G581,R581)-MIN(E581,F581,G581,R581))&gt;3,1,"")</f>
        <v/>
      </c>
      <c r="AH581" s="4" t="str">
        <f t="shared" ref="AH581:AH644" si="77">IF((MAX(C581,J581,O581,Z581)-MIN(C581,J581,O581,Z581))&gt;3,1,"")</f>
        <v/>
      </c>
      <c r="AI581" s="2" t="str">
        <f t="shared" ref="AI581:AI644" si="78">IF(COUNT(A581:Z581)&gt;0,IF(COUNT(AC581,AD581,AE581,AF581,AG581,AH581)&gt;0,SUM(AC581,AD581,AE581,AF581,AG581,AH581),0),"")</f>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72"/>
        <v/>
      </c>
      <c r="AD582" s="4" t="str">
        <f t="shared" si="73"/>
        <v/>
      </c>
      <c r="AE582" s="4" t="str">
        <f t="shared" si="74"/>
        <v/>
      </c>
      <c r="AF582" s="4" t="str">
        <f t="shared" si="75"/>
        <v/>
      </c>
      <c r="AG582" s="4" t="str">
        <f t="shared" si="76"/>
        <v/>
      </c>
      <c r="AH582" s="4" t="str">
        <f t="shared" si="77"/>
        <v/>
      </c>
      <c r="AI582" s="2" t="str">
        <f t="shared" si="78"/>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72"/>
        <v/>
      </c>
      <c r="AD583" s="4" t="str">
        <f t="shared" si="73"/>
        <v/>
      </c>
      <c r="AE583" s="4" t="str">
        <f t="shared" si="74"/>
        <v/>
      </c>
      <c r="AF583" s="4" t="str">
        <f t="shared" si="75"/>
        <v/>
      </c>
      <c r="AG583" s="4" t="str">
        <f t="shared" si="76"/>
        <v/>
      </c>
      <c r="AH583" s="4" t="str">
        <f t="shared" si="77"/>
        <v/>
      </c>
      <c r="AI583" s="2" t="str">
        <f t="shared" si="78"/>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72"/>
        <v/>
      </c>
      <c r="AD584" s="4" t="str">
        <f t="shared" si="73"/>
        <v/>
      </c>
      <c r="AE584" s="4" t="str">
        <f t="shared" si="74"/>
        <v/>
      </c>
      <c r="AF584" s="4" t="str">
        <f t="shared" si="75"/>
        <v/>
      </c>
      <c r="AG584" s="4" t="str">
        <f t="shared" si="76"/>
        <v/>
      </c>
      <c r="AH584" s="4" t="str">
        <f t="shared" si="77"/>
        <v/>
      </c>
      <c r="AI584" s="2" t="str">
        <f t="shared" si="78"/>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72"/>
        <v/>
      </c>
      <c r="AD585" s="4" t="str">
        <f t="shared" si="73"/>
        <v/>
      </c>
      <c r="AE585" s="4" t="str">
        <f t="shared" si="74"/>
        <v/>
      </c>
      <c r="AF585" s="4" t="str">
        <f t="shared" si="75"/>
        <v/>
      </c>
      <c r="AG585" s="4" t="str">
        <f t="shared" si="76"/>
        <v/>
      </c>
      <c r="AH585" s="4" t="str">
        <f t="shared" si="77"/>
        <v/>
      </c>
      <c r="AI585" s="2" t="str">
        <f t="shared" si="78"/>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72"/>
        <v/>
      </c>
      <c r="AD586" s="4" t="str">
        <f t="shared" si="73"/>
        <v/>
      </c>
      <c r="AE586" s="4" t="str">
        <f t="shared" si="74"/>
        <v/>
      </c>
      <c r="AF586" s="4" t="str">
        <f t="shared" si="75"/>
        <v/>
      </c>
      <c r="AG586" s="4" t="str">
        <f t="shared" si="76"/>
        <v/>
      </c>
      <c r="AH586" s="4" t="str">
        <f t="shared" si="77"/>
        <v/>
      </c>
      <c r="AI586" s="2" t="str">
        <f t="shared" si="78"/>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72"/>
        <v/>
      </c>
      <c r="AD587" s="4" t="str">
        <f t="shared" si="73"/>
        <v/>
      </c>
      <c r="AE587" s="4" t="str">
        <f t="shared" si="74"/>
        <v/>
      </c>
      <c r="AF587" s="4" t="str">
        <f t="shared" si="75"/>
        <v/>
      </c>
      <c r="AG587" s="4" t="str">
        <f t="shared" si="76"/>
        <v/>
      </c>
      <c r="AH587" s="4" t="str">
        <f t="shared" si="77"/>
        <v/>
      </c>
      <c r="AI587" s="2" t="str">
        <f t="shared" si="78"/>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72"/>
        <v/>
      </c>
      <c r="AD588" s="4" t="str">
        <f t="shared" si="73"/>
        <v/>
      </c>
      <c r="AE588" s="4" t="str">
        <f t="shared" si="74"/>
        <v/>
      </c>
      <c r="AF588" s="4" t="str">
        <f t="shared" si="75"/>
        <v/>
      </c>
      <c r="AG588" s="4" t="str">
        <f t="shared" si="76"/>
        <v/>
      </c>
      <c r="AH588" s="4" t="str">
        <f t="shared" si="77"/>
        <v/>
      </c>
      <c r="AI588" s="2" t="str">
        <f t="shared" si="78"/>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72"/>
        <v/>
      </c>
      <c r="AD589" s="4" t="str">
        <f t="shared" si="73"/>
        <v/>
      </c>
      <c r="AE589" s="4" t="str">
        <f t="shared" si="74"/>
        <v/>
      </c>
      <c r="AF589" s="4" t="str">
        <f t="shared" si="75"/>
        <v/>
      </c>
      <c r="AG589" s="4" t="str">
        <f t="shared" si="76"/>
        <v/>
      </c>
      <c r="AH589" s="4" t="str">
        <f t="shared" si="77"/>
        <v/>
      </c>
      <c r="AI589" s="2" t="str">
        <f t="shared" si="78"/>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72"/>
        <v/>
      </c>
      <c r="AD590" s="4" t="str">
        <f t="shared" si="73"/>
        <v/>
      </c>
      <c r="AE590" s="4" t="str">
        <f t="shared" si="74"/>
        <v/>
      </c>
      <c r="AF590" s="4" t="str">
        <f t="shared" si="75"/>
        <v/>
      </c>
      <c r="AG590" s="4" t="str">
        <f t="shared" si="76"/>
        <v/>
      </c>
      <c r="AH590" s="4" t="str">
        <f t="shared" si="77"/>
        <v/>
      </c>
      <c r="AI590" s="2" t="str">
        <f t="shared" si="78"/>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72"/>
        <v/>
      </c>
      <c r="AD591" s="4" t="str">
        <f t="shared" si="73"/>
        <v/>
      </c>
      <c r="AE591" s="4" t="str">
        <f t="shared" si="74"/>
        <v/>
      </c>
      <c r="AF591" s="4" t="str">
        <f t="shared" si="75"/>
        <v/>
      </c>
      <c r="AG591" s="4" t="str">
        <f t="shared" si="76"/>
        <v/>
      </c>
      <c r="AH591" s="4" t="str">
        <f t="shared" si="77"/>
        <v/>
      </c>
      <c r="AI591" s="2" t="str">
        <f t="shared" si="78"/>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72"/>
        <v/>
      </c>
      <c r="AD592" s="4" t="str">
        <f t="shared" si="73"/>
        <v/>
      </c>
      <c r="AE592" s="4" t="str">
        <f t="shared" si="74"/>
        <v/>
      </c>
      <c r="AF592" s="4" t="str">
        <f t="shared" si="75"/>
        <v/>
      </c>
      <c r="AG592" s="4" t="str">
        <f t="shared" si="76"/>
        <v/>
      </c>
      <c r="AH592" s="4" t="str">
        <f t="shared" si="77"/>
        <v/>
      </c>
      <c r="AI592" s="2" t="str">
        <f t="shared" si="78"/>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72"/>
        <v/>
      </c>
      <c r="AD593" s="4" t="str">
        <f t="shared" si="73"/>
        <v/>
      </c>
      <c r="AE593" s="4" t="str">
        <f t="shared" si="74"/>
        <v/>
      </c>
      <c r="AF593" s="4" t="str">
        <f t="shared" si="75"/>
        <v/>
      </c>
      <c r="AG593" s="4" t="str">
        <f t="shared" si="76"/>
        <v/>
      </c>
      <c r="AH593" s="4" t="str">
        <f t="shared" si="77"/>
        <v/>
      </c>
      <c r="AI593" s="2" t="str">
        <f t="shared" si="78"/>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72"/>
        <v/>
      </c>
      <c r="AD594" s="4" t="str">
        <f t="shared" si="73"/>
        <v/>
      </c>
      <c r="AE594" s="4" t="str">
        <f t="shared" si="74"/>
        <v/>
      </c>
      <c r="AF594" s="4" t="str">
        <f t="shared" si="75"/>
        <v/>
      </c>
      <c r="AG594" s="4" t="str">
        <f t="shared" si="76"/>
        <v/>
      </c>
      <c r="AH594" s="4" t="str">
        <f t="shared" si="77"/>
        <v/>
      </c>
      <c r="AI594" s="2" t="str">
        <f t="shared" si="78"/>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72"/>
        <v/>
      </c>
      <c r="AD595" s="4" t="str">
        <f t="shared" si="73"/>
        <v/>
      </c>
      <c r="AE595" s="4" t="str">
        <f t="shared" si="74"/>
        <v/>
      </c>
      <c r="AF595" s="4" t="str">
        <f t="shared" si="75"/>
        <v/>
      </c>
      <c r="AG595" s="4" t="str">
        <f t="shared" si="76"/>
        <v/>
      </c>
      <c r="AH595" s="4" t="str">
        <f t="shared" si="77"/>
        <v/>
      </c>
      <c r="AI595" s="2" t="str">
        <f t="shared" si="78"/>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72"/>
        <v/>
      </c>
      <c r="AD596" s="4" t="str">
        <f t="shared" si="73"/>
        <v/>
      </c>
      <c r="AE596" s="4" t="str">
        <f t="shared" si="74"/>
        <v/>
      </c>
      <c r="AF596" s="4" t="str">
        <f t="shared" si="75"/>
        <v/>
      </c>
      <c r="AG596" s="4" t="str">
        <f t="shared" si="76"/>
        <v/>
      </c>
      <c r="AH596" s="4" t="str">
        <f t="shared" si="77"/>
        <v/>
      </c>
      <c r="AI596" s="2" t="str">
        <f t="shared" si="78"/>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72"/>
        <v/>
      </c>
      <c r="AD597" s="4" t="str">
        <f t="shared" si="73"/>
        <v/>
      </c>
      <c r="AE597" s="4" t="str">
        <f t="shared" si="74"/>
        <v/>
      </c>
      <c r="AF597" s="4" t="str">
        <f t="shared" si="75"/>
        <v/>
      </c>
      <c r="AG597" s="4" t="str">
        <f t="shared" si="76"/>
        <v/>
      </c>
      <c r="AH597" s="4" t="str">
        <f t="shared" si="77"/>
        <v/>
      </c>
      <c r="AI597" s="2" t="str">
        <f t="shared" si="78"/>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72"/>
        <v/>
      </c>
      <c r="AD598" s="4" t="str">
        <f t="shared" si="73"/>
        <v/>
      </c>
      <c r="AE598" s="4" t="str">
        <f t="shared" si="74"/>
        <v/>
      </c>
      <c r="AF598" s="4" t="str">
        <f t="shared" si="75"/>
        <v/>
      </c>
      <c r="AG598" s="4" t="str">
        <f t="shared" si="76"/>
        <v/>
      </c>
      <c r="AH598" s="4" t="str">
        <f t="shared" si="77"/>
        <v/>
      </c>
      <c r="AI598" s="2" t="str">
        <f t="shared" si="78"/>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72"/>
        <v/>
      </c>
      <c r="AD599" s="4" t="str">
        <f t="shared" si="73"/>
        <v/>
      </c>
      <c r="AE599" s="4" t="str">
        <f t="shared" si="74"/>
        <v/>
      </c>
      <c r="AF599" s="4" t="str">
        <f t="shared" si="75"/>
        <v/>
      </c>
      <c r="AG599" s="4" t="str">
        <f t="shared" si="76"/>
        <v/>
      </c>
      <c r="AH599" s="4" t="str">
        <f t="shared" si="77"/>
        <v/>
      </c>
      <c r="AI599" s="2" t="str">
        <f t="shared" si="78"/>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72"/>
        <v/>
      </c>
      <c r="AD600" s="4" t="str">
        <f t="shared" si="73"/>
        <v/>
      </c>
      <c r="AE600" s="4" t="str">
        <f t="shared" si="74"/>
        <v/>
      </c>
      <c r="AF600" s="4" t="str">
        <f t="shared" si="75"/>
        <v/>
      </c>
      <c r="AG600" s="4" t="str">
        <f t="shared" si="76"/>
        <v/>
      </c>
      <c r="AH600" s="4" t="str">
        <f t="shared" si="77"/>
        <v/>
      </c>
      <c r="AI600" s="2" t="str">
        <f t="shared" si="78"/>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72"/>
        <v/>
      </c>
      <c r="AD601" s="4" t="str">
        <f t="shared" si="73"/>
        <v/>
      </c>
      <c r="AE601" s="4" t="str">
        <f t="shared" si="74"/>
        <v/>
      </c>
      <c r="AF601" s="4" t="str">
        <f t="shared" si="75"/>
        <v/>
      </c>
      <c r="AG601" s="4" t="str">
        <f t="shared" si="76"/>
        <v/>
      </c>
      <c r="AH601" s="4" t="str">
        <f t="shared" si="77"/>
        <v/>
      </c>
      <c r="AI601" s="2" t="str">
        <f t="shared" si="78"/>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72"/>
        <v/>
      </c>
      <c r="AD602" s="4" t="str">
        <f t="shared" si="73"/>
        <v/>
      </c>
      <c r="AE602" s="4" t="str">
        <f t="shared" si="74"/>
        <v/>
      </c>
      <c r="AF602" s="4" t="str">
        <f t="shared" si="75"/>
        <v/>
      </c>
      <c r="AG602" s="4" t="str">
        <f t="shared" si="76"/>
        <v/>
      </c>
      <c r="AH602" s="4" t="str">
        <f t="shared" si="77"/>
        <v/>
      </c>
      <c r="AI602" s="2" t="str">
        <f t="shared" si="78"/>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72"/>
        <v/>
      </c>
      <c r="AD603" s="4" t="str">
        <f t="shared" si="73"/>
        <v/>
      </c>
      <c r="AE603" s="4" t="str">
        <f t="shared" si="74"/>
        <v/>
      </c>
      <c r="AF603" s="4" t="str">
        <f t="shared" si="75"/>
        <v/>
      </c>
      <c r="AG603" s="4" t="str">
        <f t="shared" si="76"/>
        <v/>
      </c>
      <c r="AH603" s="4" t="str">
        <f t="shared" si="77"/>
        <v/>
      </c>
      <c r="AI603" s="2" t="str">
        <f t="shared" si="78"/>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72"/>
        <v/>
      </c>
      <c r="AD604" s="4" t="str">
        <f t="shared" si="73"/>
        <v/>
      </c>
      <c r="AE604" s="4" t="str">
        <f t="shared" si="74"/>
        <v/>
      </c>
      <c r="AF604" s="4" t="str">
        <f t="shared" si="75"/>
        <v/>
      </c>
      <c r="AG604" s="4" t="str">
        <f t="shared" si="76"/>
        <v/>
      </c>
      <c r="AH604" s="4" t="str">
        <f t="shared" si="77"/>
        <v/>
      </c>
      <c r="AI604" s="2" t="str">
        <f t="shared" si="78"/>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72"/>
        <v/>
      </c>
      <c r="AD605" s="4" t="str">
        <f t="shared" si="73"/>
        <v/>
      </c>
      <c r="AE605" s="4" t="str">
        <f t="shared" si="74"/>
        <v/>
      </c>
      <c r="AF605" s="4" t="str">
        <f t="shared" si="75"/>
        <v/>
      </c>
      <c r="AG605" s="4" t="str">
        <f t="shared" si="76"/>
        <v/>
      </c>
      <c r="AH605" s="4" t="str">
        <f t="shared" si="77"/>
        <v/>
      </c>
      <c r="AI605" s="2" t="str">
        <f t="shared" si="78"/>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72"/>
        <v/>
      </c>
      <c r="AD606" s="4" t="str">
        <f t="shared" si="73"/>
        <v/>
      </c>
      <c r="AE606" s="4" t="str">
        <f t="shared" si="74"/>
        <v/>
      </c>
      <c r="AF606" s="4" t="str">
        <f t="shared" si="75"/>
        <v/>
      </c>
      <c r="AG606" s="4" t="str">
        <f t="shared" si="76"/>
        <v/>
      </c>
      <c r="AH606" s="4" t="str">
        <f t="shared" si="77"/>
        <v/>
      </c>
      <c r="AI606" s="2" t="str">
        <f t="shared" si="78"/>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72"/>
        <v/>
      </c>
      <c r="AD607" s="4" t="str">
        <f t="shared" si="73"/>
        <v/>
      </c>
      <c r="AE607" s="4" t="str">
        <f t="shared" si="74"/>
        <v/>
      </c>
      <c r="AF607" s="4" t="str">
        <f t="shared" si="75"/>
        <v/>
      </c>
      <c r="AG607" s="4" t="str">
        <f t="shared" si="76"/>
        <v/>
      </c>
      <c r="AH607" s="4" t="str">
        <f t="shared" si="77"/>
        <v/>
      </c>
      <c r="AI607" s="2" t="str">
        <f t="shared" si="78"/>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72"/>
        <v/>
      </c>
      <c r="AD608" s="4" t="str">
        <f t="shared" si="73"/>
        <v/>
      </c>
      <c r="AE608" s="4" t="str">
        <f t="shared" si="74"/>
        <v/>
      </c>
      <c r="AF608" s="4" t="str">
        <f t="shared" si="75"/>
        <v/>
      </c>
      <c r="AG608" s="4" t="str">
        <f t="shared" si="76"/>
        <v/>
      </c>
      <c r="AH608" s="4" t="str">
        <f t="shared" si="77"/>
        <v/>
      </c>
      <c r="AI608" s="2" t="str">
        <f t="shared" si="78"/>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72"/>
        <v/>
      </c>
      <c r="AD609" s="4" t="str">
        <f t="shared" si="73"/>
        <v/>
      </c>
      <c r="AE609" s="4" t="str">
        <f t="shared" si="74"/>
        <v/>
      </c>
      <c r="AF609" s="4" t="str">
        <f t="shared" si="75"/>
        <v/>
      </c>
      <c r="AG609" s="4" t="str">
        <f t="shared" si="76"/>
        <v/>
      </c>
      <c r="AH609" s="4" t="str">
        <f t="shared" si="77"/>
        <v/>
      </c>
      <c r="AI609" s="2" t="str">
        <f t="shared" si="78"/>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72"/>
        <v/>
      </c>
      <c r="AD610" s="4" t="str">
        <f t="shared" si="73"/>
        <v/>
      </c>
      <c r="AE610" s="4" t="str">
        <f t="shared" si="74"/>
        <v/>
      </c>
      <c r="AF610" s="4" t="str">
        <f t="shared" si="75"/>
        <v/>
      </c>
      <c r="AG610" s="4" t="str">
        <f t="shared" si="76"/>
        <v/>
      </c>
      <c r="AH610" s="4" t="str">
        <f t="shared" si="77"/>
        <v/>
      </c>
      <c r="AI610" s="2" t="str">
        <f t="shared" si="78"/>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72"/>
        <v/>
      </c>
      <c r="AD611" s="4" t="str">
        <f t="shared" si="73"/>
        <v/>
      </c>
      <c r="AE611" s="4" t="str">
        <f t="shared" si="74"/>
        <v/>
      </c>
      <c r="AF611" s="4" t="str">
        <f t="shared" si="75"/>
        <v/>
      </c>
      <c r="AG611" s="4" t="str">
        <f t="shared" si="76"/>
        <v/>
      </c>
      <c r="AH611" s="4" t="str">
        <f t="shared" si="77"/>
        <v/>
      </c>
      <c r="AI611" s="2" t="str">
        <f t="shared" si="78"/>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72"/>
        <v/>
      </c>
      <c r="AD612" s="4" t="str">
        <f t="shared" si="73"/>
        <v/>
      </c>
      <c r="AE612" s="4" t="str">
        <f t="shared" si="74"/>
        <v/>
      </c>
      <c r="AF612" s="4" t="str">
        <f t="shared" si="75"/>
        <v/>
      </c>
      <c r="AG612" s="4" t="str">
        <f t="shared" si="76"/>
        <v/>
      </c>
      <c r="AH612" s="4" t="str">
        <f t="shared" si="77"/>
        <v/>
      </c>
      <c r="AI612" s="2" t="str">
        <f t="shared" si="78"/>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72"/>
        <v/>
      </c>
      <c r="AD613" s="4" t="str">
        <f t="shared" si="73"/>
        <v/>
      </c>
      <c r="AE613" s="4" t="str">
        <f t="shared" si="74"/>
        <v/>
      </c>
      <c r="AF613" s="4" t="str">
        <f t="shared" si="75"/>
        <v/>
      </c>
      <c r="AG613" s="4" t="str">
        <f t="shared" si="76"/>
        <v/>
      </c>
      <c r="AH613" s="4" t="str">
        <f t="shared" si="77"/>
        <v/>
      </c>
      <c r="AI613" s="2" t="str">
        <f t="shared" si="78"/>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72"/>
        <v/>
      </c>
      <c r="AD614" s="4" t="str">
        <f t="shared" si="73"/>
        <v/>
      </c>
      <c r="AE614" s="4" t="str">
        <f t="shared" si="74"/>
        <v/>
      </c>
      <c r="AF614" s="4" t="str">
        <f t="shared" si="75"/>
        <v/>
      </c>
      <c r="AG614" s="4" t="str">
        <f t="shared" si="76"/>
        <v/>
      </c>
      <c r="AH614" s="4" t="str">
        <f t="shared" si="77"/>
        <v/>
      </c>
      <c r="AI614" s="2" t="str">
        <f t="shared" si="78"/>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72"/>
        <v/>
      </c>
      <c r="AD615" s="4" t="str">
        <f t="shared" si="73"/>
        <v/>
      </c>
      <c r="AE615" s="4" t="str">
        <f t="shared" si="74"/>
        <v/>
      </c>
      <c r="AF615" s="4" t="str">
        <f t="shared" si="75"/>
        <v/>
      </c>
      <c r="AG615" s="4" t="str">
        <f t="shared" si="76"/>
        <v/>
      </c>
      <c r="AH615" s="4" t="str">
        <f t="shared" si="77"/>
        <v/>
      </c>
      <c r="AI615" s="2" t="str">
        <f t="shared" si="78"/>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72"/>
        <v/>
      </c>
      <c r="AD616" s="4" t="str">
        <f t="shared" si="73"/>
        <v/>
      </c>
      <c r="AE616" s="4" t="str">
        <f t="shared" si="74"/>
        <v/>
      </c>
      <c r="AF616" s="4" t="str">
        <f t="shared" si="75"/>
        <v/>
      </c>
      <c r="AG616" s="4" t="str">
        <f t="shared" si="76"/>
        <v/>
      </c>
      <c r="AH616" s="4" t="str">
        <f t="shared" si="77"/>
        <v/>
      </c>
      <c r="AI616" s="2" t="str">
        <f t="shared" si="78"/>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72"/>
        <v/>
      </c>
      <c r="AD617" s="4" t="str">
        <f t="shared" si="73"/>
        <v/>
      </c>
      <c r="AE617" s="4" t="str">
        <f t="shared" si="74"/>
        <v/>
      </c>
      <c r="AF617" s="4" t="str">
        <f t="shared" si="75"/>
        <v/>
      </c>
      <c r="AG617" s="4" t="str">
        <f t="shared" si="76"/>
        <v/>
      </c>
      <c r="AH617" s="4" t="str">
        <f t="shared" si="77"/>
        <v/>
      </c>
      <c r="AI617" s="2" t="str">
        <f t="shared" si="78"/>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72"/>
        <v/>
      </c>
      <c r="AD618" s="4" t="str">
        <f t="shared" si="73"/>
        <v/>
      </c>
      <c r="AE618" s="4" t="str">
        <f t="shared" si="74"/>
        <v/>
      </c>
      <c r="AF618" s="4" t="str">
        <f t="shared" si="75"/>
        <v/>
      </c>
      <c r="AG618" s="4" t="str">
        <f t="shared" si="76"/>
        <v/>
      </c>
      <c r="AH618" s="4" t="str">
        <f t="shared" si="77"/>
        <v/>
      </c>
      <c r="AI618" s="2" t="str">
        <f t="shared" si="78"/>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72"/>
        <v/>
      </c>
      <c r="AD619" s="4" t="str">
        <f t="shared" si="73"/>
        <v/>
      </c>
      <c r="AE619" s="4" t="str">
        <f t="shared" si="74"/>
        <v/>
      </c>
      <c r="AF619" s="4" t="str">
        <f t="shared" si="75"/>
        <v/>
      </c>
      <c r="AG619" s="4" t="str">
        <f t="shared" si="76"/>
        <v/>
      </c>
      <c r="AH619" s="4" t="str">
        <f t="shared" si="77"/>
        <v/>
      </c>
      <c r="AI619" s="2" t="str">
        <f t="shared" si="78"/>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72"/>
        <v/>
      </c>
      <c r="AD620" s="4" t="str">
        <f t="shared" si="73"/>
        <v/>
      </c>
      <c r="AE620" s="4" t="str">
        <f t="shared" si="74"/>
        <v/>
      </c>
      <c r="AF620" s="4" t="str">
        <f t="shared" si="75"/>
        <v/>
      </c>
      <c r="AG620" s="4" t="str">
        <f t="shared" si="76"/>
        <v/>
      </c>
      <c r="AH620" s="4" t="str">
        <f t="shared" si="77"/>
        <v/>
      </c>
      <c r="AI620" s="2" t="str">
        <f t="shared" si="78"/>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72"/>
        <v/>
      </c>
      <c r="AD621" s="4" t="str">
        <f t="shared" si="73"/>
        <v/>
      </c>
      <c r="AE621" s="4" t="str">
        <f t="shared" si="74"/>
        <v/>
      </c>
      <c r="AF621" s="4" t="str">
        <f t="shared" si="75"/>
        <v/>
      </c>
      <c r="AG621" s="4" t="str">
        <f t="shared" si="76"/>
        <v/>
      </c>
      <c r="AH621" s="4" t="str">
        <f t="shared" si="77"/>
        <v/>
      </c>
      <c r="AI621" s="2" t="str">
        <f t="shared" si="78"/>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72"/>
        <v/>
      </c>
      <c r="AD622" s="4" t="str">
        <f t="shared" si="73"/>
        <v/>
      </c>
      <c r="AE622" s="4" t="str">
        <f t="shared" si="74"/>
        <v/>
      </c>
      <c r="AF622" s="4" t="str">
        <f t="shared" si="75"/>
        <v/>
      </c>
      <c r="AG622" s="4" t="str">
        <f t="shared" si="76"/>
        <v/>
      </c>
      <c r="AH622" s="4" t="str">
        <f t="shared" si="77"/>
        <v/>
      </c>
      <c r="AI622" s="2" t="str">
        <f t="shared" si="78"/>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72"/>
        <v/>
      </c>
      <c r="AD623" s="4" t="str">
        <f t="shared" si="73"/>
        <v/>
      </c>
      <c r="AE623" s="4" t="str">
        <f t="shared" si="74"/>
        <v/>
      </c>
      <c r="AF623" s="4" t="str">
        <f t="shared" si="75"/>
        <v/>
      </c>
      <c r="AG623" s="4" t="str">
        <f t="shared" si="76"/>
        <v/>
      </c>
      <c r="AH623" s="4" t="str">
        <f t="shared" si="77"/>
        <v/>
      </c>
      <c r="AI623" s="2" t="str">
        <f t="shared" si="78"/>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72"/>
        <v/>
      </c>
      <c r="AD624" s="4" t="str">
        <f t="shared" si="73"/>
        <v/>
      </c>
      <c r="AE624" s="4" t="str">
        <f t="shared" si="74"/>
        <v/>
      </c>
      <c r="AF624" s="4" t="str">
        <f t="shared" si="75"/>
        <v/>
      </c>
      <c r="AG624" s="4" t="str">
        <f t="shared" si="76"/>
        <v/>
      </c>
      <c r="AH624" s="4" t="str">
        <f t="shared" si="77"/>
        <v/>
      </c>
      <c r="AI624" s="2" t="str">
        <f t="shared" si="78"/>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72"/>
        <v/>
      </c>
      <c r="AD625" s="4" t="str">
        <f t="shared" si="73"/>
        <v/>
      </c>
      <c r="AE625" s="4" t="str">
        <f t="shared" si="74"/>
        <v/>
      </c>
      <c r="AF625" s="4" t="str">
        <f t="shared" si="75"/>
        <v/>
      </c>
      <c r="AG625" s="4" t="str">
        <f t="shared" si="76"/>
        <v/>
      </c>
      <c r="AH625" s="4" t="str">
        <f t="shared" si="77"/>
        <v/>
      </c>
      <c r="AI625" s="2" t="str">
        <f t="shared" si="78"/>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72"/>
        <v/>
      </c>
      <c r="AD626" s="4" t="str">
        <f t="shared" si="73"/>
        <v/>
      </c>
      <c r="AE626" s="4" t="str">
        <f t="shared" si="74"/>
        <v/>
      </c>
      <c r="AF626" s="4" t="str">
        <f t="shared" si="75"/>
        <v/>
      </c>
      <c r="AG626" s="4" t="str">
        <f t="shared" si="76"/>
        <v/>
      </c>
      <c r="AH626" s="4" t="str">
        <f t="shared" si="77"/>
        <v/>
      </c>
      <c r="AI626" s="2" t="str">
        <f t="shared" si="78"/>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72"/>
        <v/>
      </c>
      <c r="AD627" s="4" t="str">
        <f t="shared" si="73"/>
        <v/>
      </c>
      <c r="AE627" s="4" t="str">
        <f t="shared" si="74"/>
        <v/>
      </c>
      <c r="AF627" s="4" t="str">
        <f t="shared" si="75"/>
        <v/>
      </c>
      <c r="AG627" s="4" t="str">
        <f t="shared" si="76"/>
        <v/>
      </c>
      <c r="AH627" s="4" t="str">
        <f t="shared" si="77"/>
        <v/>
      </c>
      <c r="AI627" s="2" t="str">
        <f t="shared" si="78"/>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72"/>
        <v/>
      </c>
      <c r="AD628" s="4" t="str">
        <f t="shared" si="73"/>
        <v/>
      </c>
      <c r="AE628" s="4" t="str">
        <f t="shared" si="74"/>
        <v/>
      </c>
      <c r="AF628" s="4" t="str">
        <f t="shared" si="75"/>
        <v/>
      </c>
      <c r="AG628" s="4" t="str">
        <f t="shared" si="76"/>
        <v/>
      </c>
      <c r="AH628" s="4" t="str">
        <f t="shared" si="77"/>
        <v/>
      </c>
      <c r="AI628" s="2" t="str">
        <f t="shared" si="78"/>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72"/>
        <v/>
      </c>
      <c r="AD629" s="4" t="str">
        <f t="shared" si="73"/>
        <v/>
      </c>
      <c r="AE629" s="4" t="str">
        <f t="shared" si="74"/>
        <v/>
      </c>
      <c r="AF629" s="4" t="str">
        <f t="shared" si="75"/>
        <v/>
      </c>
      <c r="AG629" s="4" t="str">
        <f t="shared" si="76"/>
        <v/>
      </c>
      <c r="AH629" s="4" t="str">
        <f t="shared" si="77"/>
        <v/>
      </c>
      <c r="AI629" s="2" t="str">
        <f t="shared" si="78"/>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72"/>
        <v/>
      </c>
      <c r="AD630" s="4" t="str">
        <f t="shared" si="73"/>
        <v/>
      </c>
      <c r="AE630" s="4" t="str">
        <f t="shared" si="74"/>
        <v/>
      </c>
      <c r="AF630" s="4" t="str">
        <f t="shared" si="75"/>
        <v/>
      </c>
      <c r="AG630" s="4" t="str">
        <f t="shared" si="76"/>
        <v/>
      </c>
      <c r="AH630" s="4" t="str">
        <f t="shared" si="77"/>
        <v/>
      </c>
      <c r="AI630" s="2" t="str">
        <f t="shared" si="78"/>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72"/>
        <v/>
      </c>
      <c r="AD631" s="4" t="str">
        <f t="shared" si="73"/>
        <v/>
      </c>
      <c r="AE631" s="4" t="str">
        <f t="shared" si="74"/>
        <v/>
      </c>
      <c r="AF631" s="4" t="str">
        <f t="shared" si="75"/>
        <v/>
      </c>
      <c r="AG631" s="4" t="str">
        <f t="shared" si="76"/>
        <v/>
      </c>
      <c r="AH631" s="4" t="str">
        <f t="shared" si="77"/>
        <v/>
      </c>
      <c r="AI631" s="2" t="str">
        <f t="shared" si="78"/>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72"/>
        <v/>
      </c>
      <c r="AD632" s="4" t="str">
        <f t="shared" si="73"/>
        <v/>
      </c>
      <c r="AE632" s="4" t="str">
        <f t="shared" si="74"/>
        <v/>
      </c>
      <c r="AF632" s="4" t="str">
        <f t="shared" si="75"/>
        <v/>
      </c>
      <c r="AG632" s="4" t="str">
        <f t="shared" si="76"/>
        <v/>
      </c>
      <c r="AH632" s="4" t="str">
        <f t="shared" si="77"/>
        <v/>
      </c>
      <c r="AI632" s="2" t="str">
        <f t="shared" si="78"/>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72"/>
        <v/>
      </c>
      <c r="AD633" s="4" t="str">
        <f t="shared" si="73"/>
        <v/>
      </c>
      <c r="AE633" s="4" t="str">
        <f t="shared" si="74"/>
        <v/>
      </c>
      <c r="AF633" s="4" t="str">
        <f t="shared" si="75"/>
        <v/>
      </c>
      <c r="AG633" s="4" t="str">
        <f t="shared" si="76"/>
        <v/>
      </c>
      <c r="AH633" s="4" t="str">
        <f t="shared" si="77"/>
        <v/>
      </c>
      <c r="AI633" s="2" t="str">
        <f t="shared" si="78"/>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72"/>
        <v/>
      </c>
      <c r="AD634" s="4" t="str">
        <f t="shared" si="73"/>
        <v/>
      </c>
      <c r="AE634" s="4" t="str">
        <f t="shared" si="74"/>
        <v/>
      </c>
      <c r="AF634" s="4" t="str">
        <f t="shared" si="75"/>
        <v/>
      </c>
      <c r="AG634" s="4" t="str">
        <f t="shared" si="76"/>
        <v/>
      </c>
      <c r="AH634" s="4" t="str">
        <f t="shared" si="77"/>
        <v/>
      </c>
      <c r="AI634" s="2" t="str">
        <f t="shared" si="78"/>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72"/>
        <v/>
      </c>
      <c r="AD635" s="4" t="str">
        <f t="shared" si="73"/>
        <v/>
      </c>
      <c r="AE635" s="4" t="str">
        <f t="shared" si="74"/>
        <v/>
      </c>
      <c r="AF635" s="4" t="str">
        <f t="shared" si="75"/>
        <v/>
      </c>
      <c r="AG635" s="4" t="str">
        <f t="shared" si="76"/>
        <v/>
      </c>
      <c r="AH635" s="4" t="str">
        <f t="shared" si="77"/>
        <v/>
      </c>
      <c r="AI635" s="2" t="str">
        <f t="shared" si="78"/>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72"/>
        <v/>
      </c>
      <c r="AD636" s="4" t="str">
        <f t="shared" si="73"/>
        <v/>
      </c>
      <c r="AE636" s="4" t="str">
        <f t="shared" si="74"/>
        <v/>
      </c>
      <c r="AF636" s="4" t="str">
        <f t="shared" si="75"/>
        <v/>
      </c>
      <c r="AG636" s="4" t="str">
        <f t="shared" si="76"/>
        <v/>
      </c>
      <c r="AH636" s="4" t="str">
        <f t="shared" si="77"/>
        <v/>
      </c>
      <c r="AI636" s="2" t="str">
        <f t="shared" si="78"/>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72"/>
        <v/>
      </c>
      <c r="AD637" s="4" t="str">
        <f t="shared" si="73"/>
        <v/>
      </c>
      <c r="AE637" s="4" t="str">
        <f t="shared" si="74"/>
        <v/>
      </c>
      <c r="AF637" s="4" t="str">
        <f t="shared" si="75"/>
        <v/>
      </c>
      <c r="AG637" s="4" t="str">
        <f t="shared" si="76"/>
        <v/>
      </c>
      <c r="AH637" s="4" t="str">
        <f t="shared" si="77"/>
        <v/>
      </c>
      <c r="AI637" s="2" t="str">
        <f t="shared" si="78"/>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72"/>
        <v/>
      </c>
      <c r="AD638" s="4" t="str">
        <f t="shared" si="73"/>
        <v/>
      </c>
      <c r="AE638" s="4" t="str">
        <f t="shared" si="74"/>
        <v/>
      </c>
      <c r="AF638" s="4" t="str">
        <f t="shared" si="75"/>
        <v/>
      </c>
      <c r="AG638" s="4" t="str">
        <f t="shared" si="76"/>
        <v/>
      </c>
      <c r="AH638" s="4" t="str">
        <f t="shared" si="77"/>
        <v/>
      </c>
      <c r="AI638" s="2" t="str">
        <f t="shared" si="78"/>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72"/>
        <v/>
      </c>
      <c r="AD639" s="4" t="str">
        <f t="shared" si="73"/>
        <v/>
      </c>
      <c r="AE639" s="4" t="str">
        <f t="shared" si="74"/>
        <v/>
      </c>
      <c r="AF639" s="4" t="str">
        <f t="shared" si="75"/>
        <v/>
      </c>
      <c r="AG639" s="4" t="str">
        <f t="shared" si="76"/>
        <v/>
      </c>
      <c r="AH639" s="4" t="str">
        <f t="shared" si="77"/>
        <v/>
      </c>
      <c r="AI639" s="2" t="str">
        <f t="shared" si="78"/>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72"/>
        <v/>
      </c>
      <c r="AD640" s="4" t="str">
        <f t="shared" si="73"/>
        <v/>
      </c>
      <c r="AE640" s="4" t="str">
        <f t="shared" si="74"/>
        <v/>
      </c>
      <c r="AF640" s="4" t="str">
        <f t="shared" si="75"/>
        <v/>
      </c>
      <c r="AG640" s="4" t="str">
        <f t="shared" si="76"/>
        <v/>
      </c>
      <c r="AH640" s="4" t="str">
        <f t="shared" si="77"/>
        <v/>
      </c>
      <c r="AI640" s="2" t="str">
        <f t="shared" si="78"/>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72"/>
        <v/>
      </c>
      <c r="AD641" s="4" t="str">
        <f t="shared" si="73"/>
        <v/>
      </c>
      <c r="AE641" s="4" t="str">
        <f t="shared" si="74"/>
        <v/>
      </c>
      <c r="AF641" s="4" t="str">
        <f t="shared" si="75"/>
        <v/>
      </c>
      <c r="AG641" s="4" t="str">
        <f t="shared" si="76"/>
        <v/>
      </c>
      <c r="AH641" s="4" t="str">
        <f t="shared" si="77"/>
        <v/>
      </c>
      <c r="AI641" s="2" t="str">
        <f t="shared" si="78"/>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72"/>
        <v/>
      </c>
      <c r="AD642" s="4" t="str">
        <f t="shared" si="73"/>
        <v/>
      </c>
      <c r="AE642" s="4" t="str">
        <f t="shared" si="74"/>
        <v/>
      </c>
      <c r="AF642" s="4" t="str">
        <f t="shared" si="75"/>
        <v/>
      </c>
      <c r="AG642" s="4" t="str">
        <f t="shared" si="76"/>
        <v/>
      </c>
      <c r="AH642" s="4" t="str">
        <f t="shared" si="77"/>
        <v/>
      </c>
      <c r="AI642" s="2" t="str">
        <f t="shared" si="78"/>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72"/>
        <v/>
      </c>
      <c r="AD643" s="4" t="str">
        <f t="shared" si="73"/>
        <v/>
      </c>
      <c r="AE643" s="4" t="str">
        <f t="shared" si="74"/>
        <v/>
      </c>
      <c r="AF643" s="4" t="str">
        <f t="shared" si="75"/>
        <v/>
      </c>
      <c r="AG643" s="4" t="str">
        <f t="shared" si="76"/>
        <v/>
      </c>
      <c r="AH643" s="4" t="str">
        <f t="shared" si="77"/>
        <v/>
      </c>
      <c r="AI643" s="2" t="str">
        <f t="shared" si="78"/>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si="72"/>
        <v/>
      </c>
      <c r="AD644" s="4" t="str">
        <f t="shared" si="73"/>
        <v/>
      </c>
      <c r="AE644" s="4" t="str">
        <f t="shared" si="74"/>
        <v/>
      </c>
      <c r="AF644" s="4" t="str">
        <f t="shared" si="75"/>
        <v/>
      </c>
      <c r="AG644" s="4" t="str">
        <f t="shared" si="76"/>
        <v/>
      </c>
      <c r="AH644" s="4" t="str">
        <f t="shared" si="77"/>
        <v/>
      </c>
      <c r="AI644" s="2" t="str">
        <f t="shared" si="78"/>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ref="AC645:AC708" si="79">IF((MAX(A645,L645,N645,P645,X645,Y645)-MIN(A645,L645,N645,P645,X645,Y645))&gt;3,1,"")</f>
        <v/>
      </c>
      <c r="AD645" s="4" t="str">
        <f t="shared" ref="AD645:AD708" si="80">IF((MAX(B645,D645,M645,U645)-MIN(B645,D645,M645,U645))&gt;3,1,"")</f>
        <v/>
      </c>
      <c r="AE645" s="4" t="str">
        <f t="shared" ref="AE645:AE708" si="81">IF((MAX(I645,T645,V645,W645)-MIN(I645,T645,V645,W645))&gt;3,1,"")</f>
        <v/>
      </c>
      <c r="AF645" s="4" t="str">
        <f t="shared" ref="AF645:AF708" si="82">IF((MAX(H645,K645,Q645,S645)-MIN(H645,K645,Q645,S645))&gt;3,1,"")</f>
        <v/>
      </c>
      <c r="AG645" s="4" t="str">
        <f t="shared" ref="AG645:AG708" si="83">IF((MAX(E645,F645,G645,R645)-MIN(E645,F645,G645,R645))&gt;3,1,"")</f>
        <v/>
      </c>
      <c r="AH645" s="4" t="str">
        <f t="shared" ref="AH645:AH708" si="84">IF((MAX(C645,J645,O645,Z645)-MIN(C645,J645,O645,Z645))&gt;3,1,"")</f>
        <v/>
      </c>
      <c r="AI645" s="2" t="str">
        <f t="shared" ref="AI645:AI708" si="85">IF(COUNT(A645:Z645)&gt;0,IF(COUNT(AC645,AD645,AE645,AF645,AG645,AH645)&gt;0,SUM(AC645,AD645,AE645,AF645,AG645,AH645),0),"")</f>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9"/>
        <v/>
      </c>
      <c r="AD646" s="4" t="str">
        <f t="shared" si="80"/>
        <v/>
      </c>
      <c r="AE646" s="4" t="str">
        <f t="shared" si="81"/>
        <v/>
      </c>
      <c r="AF646" s="4" t="str">
        <f t="shared" si="82"/>
        <v/>
      </c>
      <c r="AG646" s="4" t="str">
        <f t="shared" si="83"/>
        <v/>
      </c>
      <c r="AH646" s="4" t="str">
        <f t="shared" si="84"/>
        <v/>
      </c>
      <c r="AI646" s="2" t="str">
        <f t="shared" si="85"/>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9"/>
        <v/>
      </c>
      <c r="AD647" s="4" t="str">
        <f t="shared" si="80"/>
        <v/>
      </c>
      <c r="AE647" s="4" t="str">
        <f t="shared" si="81"/>
        <v/>
      </c>
      <c r="AF647" s="4" t="str">
        <f t="shared" si="82"/>
        <v/>
      </c>
      <c r="AG647" s="4" t="str">
        <f t="shared" si="83"/>
        <v/>
      </c>
      <c r="AH647" s="4" t="str">
        <f t="shared" si="84"/>
        <v/>
      </c>
      <c r="AI647" s="2" t="str">
        <f t="shared" si="85"/>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9"/>
        <v/>
      </c>
      <c r="AD648" s="4" t="str">
        <f t="shared" si="80"/>
        <v/>
      </c>
      <c r="AE648" s="4" t="str">
        <f t="shared" si="81"/>
        <v/>
      </c>
      <c r="AF648" s="4" t="str">
        <f t="shared" si="82"/>
        <v/>
      </c>
      <c r="AG648" s="4" t="str">
        <f t="shared" si="83"/>
        <v/>
      </c>
      <c r="AH648" s="4" t="str">
        <f t="shared" si="84"/>
        <v/>
      </c>
      <c r="AI648" s="2" t="str">
        <f t="shared" si="85"/>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9"/>
        <v/>
      </c>
      <c r="AD649" s="4" t="str">
        <f t="shared" si="80"/>
        <v/>
      </c>
      <c r="AE649" s="4" t="str">
        <f t="shared" si="81"/>
        <v/>
      </c>
      <c r="AF649" s="4" t="str">
        <f t="shared" si="82"/>
        <v/>
      </c>
      <c r="AG649" s="4" t="str">
        <f t="shared" si="83"/>
        <v/>
      </c>
      <c r="AH649" s="4" t="str">
        <f t="shared" si="84"/>
        <v/>
      </c>
      <c r="AI649" s="2" t="str">
        <f t="shared" si="85"/>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9"/>
        <v/>
      </c>
      <c r="AD650" s="4" t="str">
        <f t="shared" si="80"/>
        <v/>
      </c>
      <c r="AE650" s="4" t="str">
        <f t="shared" si="81"/>
        <v/>
      </c>
      <c r="AF650" s="4" t="str">
        <f t="shared" si="82"/>
        <v/>
      </c>
      <c r="AG650" s="4" t="str">
        <f t="shared" si="83"/>
        <v/>
      </c>
      <c r="AH650" s="4" t="str">
        <f t="shared" si="84"/>
        <v/>
      </c>
      <c r="AI650" s="2" t="str">
        <f t="shared" si="85"/>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9"/>
        <v/>
      </c>
      <c r="AD651" s="4" t="str">
        <f t="shared" si="80"/>
        <v/>
      </c>
      <c r="AE651" s="4" t="str">
        <f t="shared" si="81"/>
        <v/>
      </c>
      <c r="AF651" s="4" t="str">
        <f t="shared" si="82"/>
        <v/>
      </c>
      <c r="AG651" s="4" t="str">
        <f t="shared" si="83"/>
        <v/>
      </c>
      <c r="AH651" s="4" t="str">
        <f t="shared" si="84"/>
        <v/>
      </c>
      <c r="AI651" s="2" t="str">
        <f t="shared" si="85"/>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9"/>
        <v/>
      </c>
      <c r="AD652" s="4" t="str">
        <f t="shared" si="80"/>
        <v/>
      </c>
      <c r="AE652" s="4" t="str">
        <f t="shared" si="81"/>
        <v/>
      </c>
      <c r="AF652" s="4" t="str">
        <f t="shared" si="82"/>
        <v/>
      </c>
      <c r="AG652" s="4" t="str">
        <f t="shared" si="83"/>
        <v/>
      </c>
      <c r="AH652" s="4" t="str">
        <f t="shared" si="84"/>
        <v/>
      </c>
      <c r="AI652" s="2" t="str">
        <f t="shared" si="85"/>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9"/>
        <v/>
      </c>
      <c r="AD653" s="4" t="str">
        <f t="shared" si="80"/>
        <v/>
      </c>
      <c r="AE653" s="4" t="str">
        <f t="shared" si="81"/>
        <v/>
      </c>
      <c r="AF653" s="4" t="str">
        <f t="shared" si="82"/>
        <v/>
      </c>
      <c r="AG653" s="4" t="str">
        <f t="shared" si="83"/>
        <v/>
      </c>
      <c r="AH653" s="4" t="str">
        <f t="shared" si="84"/>
        <v/>
      </c>
      <c r="AI653" s="2" t="str">
        <f t="shared" si="85"/>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9"/>
        <v/>
      </c>
      <c r="AD654" s="4" t="str">
        <f t="shared" si="80"/>
        <v/>
      </c>
      <c r="AE654" s="4" t="str">
        <f t="shared" si="81"/>
        <v/>
      </c>
      <c r="AF654" s="4" t="str">
        <f t="shared" si="82"/>
        <v/>
      </c>
      <c r="AG654" s="4" t="str">
        <f t="shared" si="83"/>
        <v/>
      </c>
      <c r="AH654" s="4" t="str">
        <f t="shared" si="84"/>
        <v/>
      </c>
      <c r="AI654" s="2" t="str">
        <f t="shared" si="85"/>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9"/>
        <v/>
      </c>
      <c r="AD655" s="4" t="str">
        <f t="shared" si="80"/>
        <v/>
      </c>
      <c r="AE655" s="4" t="str">
        <f t="shared" si="81"/>
        <v/>
      </c>
      <c r="AF655" s="4" t="str">
        <f t="shared" si="82"/>
        <v/>
      </c>
      <c r="AG655" s="4" t="str">
        <f t="shared" si="83"/>
        <v/>
      </c>
      <c r="AH655" s="4" t="str">
        <f t="shared" si="84"/>
        <v/>
      </c>
      <c r="AI655" s="2" t="str">
        <f t="shared" si="85"/>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9"/>
        <v/>
      </c>
      <c r="AD656" s="4" t="str">
        <f t="shared" si="80"/>
        <v/>
      </c>
      <c r="AE656" s="4" t="str">
        <f t="shared" si="81"/>
        <v/>
      </c>
      <c r="AF656" s="4" t="str">
        <f t="shared" si="82"/>
        <v/>
      </c>
      <c r="AG656" s="4" t="str">
        <f t="shared" si="83"/>
        <v/>
      </c>
      <c r="AH656" s="4" t="str">
        <f t="shared" si="84"/>
        <v/>
      </c>
      <c r="AI656" s="2" t="str">
        <f t="shared" si="85"/>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9"/>
        <v/>
      </c>
      <c r="AD657" s="4" t="str">
        <f t="shared" si="80"/>
        <v/>
      </c>
      <c r="AE657" s="4" t="str">
        <f t="shared" si="81"/>
        <v/>
      </c>
      <c r="AF657" s="4" t="str">
        <f t="shared" si="82"/>
        <v/>
      </c>
      <c r="AG657" s="4" t="str">
        <f t="shared" si="83"/>
        <v/>
      </c>
      <c r="AH657" s="4" t="str">
        <f t="shared" si="84"/>
        <v/>
      </c>
      <c r="AI657" s="2" t="str">
        <f t="shared" si="85"/>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9"/>
        <v/>
      </c>
      <c r="AD658" s="4" t="str">
        <f t="shared" si="80"/>
        <v/>
      </c>
      <c r="AE658" s="4" t="str">
        <f t="shared" si="81"/>
        <v/>
      </c>
      <c r="AF658" s="4" t="str">
        <f t="shared" si="82"/>
        <v/>
      </c>
      <c r="AG658" s="4" t="str">
        <f t="shared" si="83"/>
        <v/>
      </c>
      <c r="AH658" s="4" t="str">
        <f t="shared" si="84"/>
        <v/>
      </c>
      <c r="AI658" s="2" t="str">
        <f t="shared" si="85"/>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9"/>
        <v/>
      </c>
      <c r="AD659" s="4" t="str">
        <f t="shared" si="80"/>
        <v/>
      </c>
      <c r="AE659" s="4" t="str">
        <f t="shared" si="81"/>
        <v/>
      </c>
      <c r="AF659" s="4" t="str">
        <f t="shared" si="82"/>
        <v/>
      </c>
      <c r="AG659" s="4" t="str">
        <f t="shared" si="83"/>
        <v/>
      </c>
      <c r="AH659" s="4" t="str">
        <f t="shared" si="84"/>
        <v/>
      </c>
      <c r="AI659" s="2" t="str">
        <f t="shared" si="85"/>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9"/>
        <v/>
      </c>
      <c r="AD660" s="4" t="str">
        <f t="shared" si="80"/>
        <v/>
      </c>
      <c r="AE660" s="4" t="str">
        <f t="shared" si="81"/>
        <v/>
      </c>
      <c r="AF660" s="4" t="str">
        <f t="shared" si="82"/>
        <v/>
      </c>
      <c r="AG660" s="4" t="str">
        <f t="shared" si="83"/>
        <v/>
      </c>
      <c r="AH660" s="4" t="str">
        <f t="shared" si="84"/>
        <v/>
      </c>
      <c r="AI660" s="2" t="str">
        <f t="shared" si="85"/>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9"/>
        <v/>
      </c>
      <c r="AD661" s="4" t="str">
        <f t="shared" si="80"/>
        <v/>
      </c>
      <c r="AE661" s="4" t="str">
        <f t="shared" si="81"/>
        <v/>
      </c>
      <c r="AF661" s="4" t="str">
        <f t="shared" si="82"/>
        <v/>
      </c>
      <c r="AG661" s="4" t="str">
        <f t="shared" si="83"/>
        <v/>
      </c>
      <c r="AH661" s="4" t="str">
        <f t="shared" si="84"/>
        <v/>
      </c>
      <c r="AI661" s="2" t="str">
        <f t="shared" si="85"/>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9"/>
        <v/>
      </c>
      <c r="AD662" s="4" t="str">
        <f t="shared" si="80"/>
        <v/>
      </c>
      <c r="AE662" s="4" t="str">
        <f t="shared" si="81"/>
        <v/>
      </c>
      <c r="AF662" s="4" t="str">
        <f t="shared" si="82"/>
        <v/>
      </c>
      <c r="AG662" s="4" t="str">
        <f t="shared" si="83"/>
        <v/>
      </c>
      <c r="AH662" s="4" t="str">
        <f t="shared" si="84"/>
        <v/>
      </c>
      <c r="AI662" s="2" t="str">
        <f t="shared" si="85"/>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9"/>
        <v/>
      </c>
      <c r="AD663" s="4" t="str">
        <f t="shared" si="80"/>
        <v/>
      </c>
      <c r="AE663" s="4" t="str">
        <f t="shared" si="81"/>
        <v/>
      </c>
      <c r="AF663" s="4" t="str">
        <f t="shared" si="82"/>
        <v/>
      </c>
      <c r="AG663" s="4" t="str">
        <f t="shared" si="83"/>
        <v/>
      </c>
      <c r="AH663" s="4" t="str">
        <f t="shared" si="84"/>
        <v/>
      </c>
      <c r="AI663" s="2" t="str">
        <f t="shared" si="85"/>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9"/>
        <v/>
      </c>
      <c r="AD664" s="4" t="str">
        <f t="shared" si="80"/>
        <v/>
      </c>
      <c r="AE664" s="4" t="str">
        <f t="shared" si="81"/>
        <v/>
      </c>
      <c r="AF664" s="4" t="str">
        <f t="shared" si="82"/>
        <v/>
      </c>
      <c r="AG664" s="4" t="str">
        <f t="shared" si="83"/>
        <v/>
      </c>
      <c r="AH664" s="4" t="str">
        <f t="shared" si="84"/>
        <v/>
      </c>
      <c r="AI664" s="2" t="str">
        <f t="shared" si="85"/>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9"/>
        <v/>
      </c>
      <c r="AD665" s="4" t="str">
        <f t="shared" si="80"/>
        <v/>
      </c>
      <c r="AE665" s="4" t="str">
        <f t="shared" si="81"/>
        <v/>
      </c>
      <c r="AF665" s="4" t="str">
        <f t="shared" si="82"/>
        <v/>
      </c>
      <c r="AG665" s="4" t="str">
        <f t="shared" si="83"/>
        <v/>
      </c>
      <c r="AH665" s="4" t="str">
        <f t="shared" si="84"/>
        <v/>
      </c>
      <c r="AI665" s="2" t="str">
        <f t="shared" si="85"/>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9"/>
        <v/>
      </c>
      <c r="AD666" s="4" t="str">
        <f t="shared" si="80"/>
        <v/>
      </c>
      <c r="AE666" s="4" t="str">
        <f t="shared" si="81"/>
        <v/>
      </c>
      <c r="AF666" s="4" t="str">
        <f t="shared" si="82"/>
        <v/>
      </c>
      <c r="AG666" s="4" t="str">
        <f t="shared" si="83"/>
        <v/>
      </c>
      <c r="AH666" s="4" t="str">
        <f t="shared" si="84"/>
        <v/>
      </c>
      <c r="AI666" s="2" t="str">
        <f t="shared" si="85"/>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9"/>
        <v/>
      </c>
      <c r="AD667" s="4" t="str">
        <f t="shared" si="80"/>
        <v/>
      </c>
      <c r="AE667" s="4" t="str">
        <f t="shared" si="81"/>
        <v/>
      </c>
      <c r="AF667" s="4" t="str">
        <f t="shared" si="82"/>
        <v/>
      </c>
      <c r="AG667" s="4" t="str">
        <f t="shared" si="83"/>
        <v/>
      </c>
      <c r="AH667" s="4" t="str">
        <f t="shared" si="84"/>
        <v/>
      </c>
      <c r="AI667" s="2" t="str">
        <f t="shared" si="85"/>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9"/>
        <v/>
      </c>
      <c r="AD668" s="4" t="str">
        <f t="shared" si="80"/>
        <v/>
      </c>
      <c r="AE668" s="4" t="str">
        <f t="shared" si="81"/>
        <v/>
      </c>
      <c r="AF668" s="4" t="str">
        <f t="shared" si="82"/>
        <v/>
      </c>
      <c r="AG668" s="4" t="str">
        <f t="shared" si="83"/>
        <v/>
      </c>
      <c r="AH668" s="4" t="str">
        <f t="shared" si="84"/>
        <v/>
      </c>
      <c r="AI668" s="2" t="str">
        <f t="shared" si="85"/>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9"/>
        <v/>
      </c>
      <c r="AD669" s="4" t="str">
        <f t="shared" si="80"/>
        <v/>
      </c>
      <c r="AE669" s="4" t="str">
        <f t="shared" si="81"/>
        <v/>
      </c>
      <c r="AF669" s="4" t="str">
        <f t="shared" si="82"/>
        <v/>
      </c>
      <c r="AG669" s="4" t="str">
        <f t="shared" si="83"/>
        <v/>
      </c>
      <c r="AH669" s="4" t="str">
        <f t="shared" si="84"/>
        <v/>
      </c>
      <c r="AI669" s="2" t="str">
        <f t="shared" si="85"/>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9"/>
        <v/>
      </c>
      <c r="AD670" s="4" t="str">
        <f t="shared" si="80"/>
        <v/>
      </c>
      <c r="AE670" s="4" t="str">
        <f t="shared" si="81"/>
        <v/>
      </c>
      <c r="AF670" s="4" t="str">
        <f t="shared" si="82"/>
        <v/>
      </c>
      <c r="AG670" s="4" t="str">
        <f t="shared" si="83"/>
        <v/>
      </c>
      <c r="AH670" s="4" t="str">
        <f t="shared" si="84"/>
        <v/>
      </c>
      <c r="AI670" s="2" t="str">
        <f t="shared" si="85"/>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9"/>
        <v/>
      </c>
      <c r="AD671" s="4" t="str">
        <f t="shared" si="80"/>
        <v/>
      </c>
      <c r="AE671" s="4" t="str">
        <f t="shared" si="81"/>
        <v/>
      </c>
      <c r="AF671" s="4" t="str">
        <f t="shared" si="82"/>
        <v/>
      </c>
      <c r="AG671" s="4" t="str">
        <f t="shared" si="83"/>
        <v/>
      </c>
      <c r="AH671" s="4" t="str">
        <f t="shared" si="84"/>
        <v/>
      </c>
      <c r="AI671" s="2" t="str">
        <f t="shared" si="85"/>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9"/>
        <v/>
      </c>
      <c r="AD672" s="4" t="str">
        <f t="shared" si="80"/>
        <v/>
      </c>
      <c r="AE672" s="4" t="str">
        <f t="shared" si="81"/>
        <v/>
      </c>
      <c r="AF672" s="4" t="str">
        <f t="shared" si="82"/>
        <v/>
      </c>
      <c r="AG672" s="4" t="str">
        <f t="shared" si="83"/>
        <v/>
      </c>
      <c r="AH672" s="4" t="str">
        <f t="shared" si="84"/>
        <v/>
      </c>
      <c r="AI672" s="2" t="str">
        <f t="shared" si="85"/>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9"/>
        <v/>
      </c>
      <c r="AD673" s="4" t="str">
        <f t="shared" si="80"/>
        <v/>
      </c>
      <c r="AE673" s="4" t="str">
        <f t="shared" si="81"/>
        <v/>
      </c>
      <c r="AF673" s="4" t="str">
        <f t="shared" si="82"/>
        <v/>
      </c>
      <c r="AG673" s="4" t="str">
        <f t="shared" si="83"/>
        <v/>
      </c>
      <c r="AH673" s="4" t="str">
        <f t="shared" si="84"/>
        <v/>
      </c>
      <c r="AI673" s="2" t="str">
        <f t="shared" si="85"/>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9"/>
        <v/>
      </c>
      <c r="AD674" s="4" t="str">
        <f t="shared" si="80"/>
        <v/>
      </c>
      <c r="AE674" s="4" t="str">
        <f t="shared" si="81"/>
        <v/>
      </c>
      <c r="AF674" s="4" t="str">
        <f t="shared" si="82"/>
        <v/>
      </c>
      <c r="AG674" s="4" t="str">
        <f t="shared" si="83"/>
        <v/>
      </c>
      <c r="AH674" s="4" t="str">
        <f t="shared" si="84"/>
        <v/>
      </c>
      <c r="AI674" s="2" t="str">
        <f t="shared" si="85"/>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9"/>
        <v/>
      </c>
      <c r="AD675" s="4" t="str">
        <f t="shared" si="80"/>
        <v/>
      </c>
      <c r="AE675" s="4" t="str">
        <f t="shared" si="81"/>
        <v/>
      </c>
      <c r="AF675" s="4" t="str">
        <f t="shared" si="82"/>
        <v/>
      </c>
      <c r="AG675" s="4" t="str">
        <f t="shared" si="83"/>
        <v/>
      </c>
      <c r="AH675" s="4" t="str">
        <f t="shared" si="84"/>
        <v/>
      </c>
      <c r="AI675" s="2" t="str">
        <f t="shared" si="85"/>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9"/>
        <v/>
      </c>
      <c r="AD676" s="4" t="str">
        <f t="shared" si="80"/>
        <v/>
      </c>
      <c r="AE676" s="4" t="str">
        <f t="shared" si="81"/>
        <v/>
      </c>
      <c r="AF676" s="4" t="str">
        <f t="shared" si="82"/>
        <v/>
      </c>
      <c r="AG676" s="4" t="str">
        <f t="shared" si="83"/>
        <v/>
      </c>
      <c r="AH676" s="4" t="str">
        <f t="shared" si="84"/>
        <v/>
      </c>
      <c r="AI676" s="2" t="str">
        <f t="shared" si="85"/>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9"/>
        <v/>
      </c>
      <c r="AD677" s="4" t="str">
        <f t="shared" si="80"/>
        <v/>
      </c>
      <c r="AE677" s="4" t="str">
        <f t="shared" si="81"/>
        <v/>
      </c>
      <c r="AF677" s="4" t="str">
        <f t="shared" si="82"/>
        <v/>
      </c>
      <c r="AG677" s="4" t="str">
        <f t="shared" si="83"/>
        <v/>
      </c>
      <c r="AH677" s="4" t="str">
        <f t="shared" si="84"/>
        <v/>
      </c>
      <c r="AI677" s="2" t="str">
        <f t="shared" si="85"/>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9"/>
        <v/>
      </c>
      <c r="AD678" s="4" t="str">
        <f t="shared" si="80"/>
        <v/>
      </c>
      <c r="AE678" s="4" t="str">
        <f t="shared" si="81"/>
        <v/>
      </c>
      <c r="AF678" s="4" t="str">
        <f t="shared" si="82"/>
        <v/>
      </c>
      <c r="AG678" s="4" t="str">
        <f t="shared" si="83"/>
        <v/>
      </c>
      <c r="AH678" s="4" t="str">
        <f t="shared" si="84"/>
        <v/>
      </c>
      <c r="AI678" s="2" t="str">
        <f t="shared" si="85"/>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9"/>
        <v/>
      </c>
      <c r="AD679" s="4" t="str">
        <f t="shared" si="80"/>
        <v/>
      </c>
      <c r="AE679" s="4" t="str">
        <f t="shared" si="81"/>
        <v/>
      </c>
      <c r="AF679" s="4" t="str">
        <f t="shared" si="82"/>
        <v/>
      </c>
      <c r="AG679" s="4" t="str">
        <f t="shared" si="83"/>
        <v/>
      </c>
      <c r="AH679" s="4" t="str">
        <f t="shared" si="84"/>
        <v/>
      </c>
      <c r="AI679" s="2" t="str">
        <f t="shared" si="85"/>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9"/>
        <v/>
      </c>
      <c r="AD680" s="4" t="str">
        <f t="shared" si="80"/>
        <v/>
      </c>
      <c r="AE680" s="4" t="str">
        <f t="shared" si="81"/>
        <v/>
      </c>
      <c r="AF680" s="4" t="str">
        <f t="shared" si="82"/>
        <v/>
      </c>
      <c r="AG680" s="4" t="str">
        <f t="shared" si="83"/>
        <v/>
      </c>
      <c r="AH680" s="4" t="str">
        <f t="shared" si="84"/>
        <v/>
      </c>
      <c r="AI680" s="2" t="str">
        <f t="shared" si="85"/>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9"/>
        <v/>
      </c>
      <c r="AD681" s="4" t="str">
        <f t="shared" si="80"/>
        <v/>
      </c>
      <c r="AE681" s="4" t="str">
        <f t="shared" si="81"/>
        <v/>
      </c>
      <c r="AF681" s="4" t="str">
        <f t="shared" si="82"/>
        <v/>
      </c>
      <c r="AG681" s="4" t="str">
        <f t="shared" si="83"/>
        <v/>
      </c>
      <c r="AH681" s="4" t="str">
        <f t="shared" si="84"/>
        <v/>
      </c>
      <c r="AI681" s="2" t="str">
        <f t="shared" si="85"/>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9"/>
        <v/>
      </c>
      <c r="AD682" s="4" t="str">
        <f t="shared" si="80"/>
        <v/>
      </c>
      <c r="AE682" s="4" t="str">
        <f t="shared" si="81"/>
        <v/>
      </c>
      <c r="AF682" s="4" t="str">
        <f t="shared" si="82"/>
        <v/>
      </c>
      <c r="AG682" s="4" t="str">
        <f t="shared" si="83"/>
        <v/>
      </c>
      <c r="AH682" s="4" t="str">
        <f t="shared" si="84"/>
        <v/>
      </c>
      <c r="AI682" s="2" t="str">
        <f t="shared" si="85"/>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9"/>
        <v/>
      </c>
      <c r="AD683" s="4" t="str">
        <f t="shared" si="80"/>
        <v/>
      </c>
      <c r="AE683" s="4" t="str">
        <f t="shared" si="81"/>
        <v/>
      </c>
      <c r="AF683" s="4" t="str">
        <f t="shared" si="82"/>
        <v/>
      </c>
      <c r="AG683" s="4" t="str">
        <f t="shared" si="83"/>
        <v/>
      </c>
      <c r="AH683" s="4" t="str">
        <f t="shared" si="84"/>
        <v/>
      </c>
      <c r="AI683" s="2" t="str">
        <f t="shared" si="85"/>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9"/>
        <v/>
      </c>
      <c r="AD684" s="4" t="str">
        <f t="shared" si="80"/>
        <v/>
      </c>
      <c r="AE684" s="4" t="str">
        <f t="shared" si="81"/>
        <v/>
      </c>
      <c r="AF684" s="4" t="str">
        <f t="shared" si="82"/>
        <v/>
      </c>
      <c r="AG684" s="4" t="str">
        <f t="shared" si="83"/>
        <v/>
      </c>
      <c r="AH684" s="4" t="str">
        <f t="shared" si="84"/>
        <v/>
      </c>
      <c r="AI684" s="2" t="str">
        <f t="shared" si="85"/>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9"/>
        <v/>
      </c>
      <c r="AD685" s="4" t="str">
        <f t="shared" si="80"/>
        <v/>
      </c>
      <c r="AE685" s="4" t="str">
        <f t="shared" si="81"/>
        <v/>
      </c>
      <c r="AF685" s="4" t="str">
        <f t="shared" si="82"/>
        <v/>
      </c>
      <c r="AG685" s="4" t="str">
        <f t="shared" si="83"/>
        <v/>
      </c>
      <c r="AH685" s="4" t="str">
        <f t="shared" si="84"/>
        <v/>
      </c>
      <c r="AI685" s="2" t="str">
        <f t="shared" si="85"/>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9"/>
        <v/>
      </c>
      <c r="AD686" s="4" t="str">
        <f t="shared" si="80"/>
        <v/>
      </c>
      <c r="AE686" s="4" t="str">
        <f t="shared" si="81"/>
        <v/>
      </c>
      <c r="AF686" s="4" t="str">
        <f t="shared" si="82"/>
        <v/>
      </c>
      <c r="AG686" s="4" t="str">
        <f t="shared" si="83"/>
        <v/>
      </c>
      <c r="AH686" s="4" t="str">
        <f t="shared" si="84"/>
        <v/>
      </c>
      <c r="AI686" s="2" t="str">
        <f t="shared" si="85"/>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9"/>
        <v/>
      </c>
      <c r="AD687" s="4" t="str">
        <f t="shared" si="80"/>
        <v/>
      </c>
      <c r="AE687" s="4" t="str">
        <f t="shared" si="81"/>
        <v/>
      </c>
      <c r="AF687" s="4" t="str">
        <f t="shared" si="82"/>
        <v/>
      </c>
      <c r="AG687" s="4" t="str">
        <f t="shared" si="83"/>
        <v/>
      </c>
      <c r="AH687" s="4" t="str">
        <f t="shared" si="84"/>
        <v/>
      </c>
      <c r="AI687" s="2" t="str">
        <f t="shared" si="85"/>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9"/>
        <v/>
      </c>
      <c r="AD688" s="4" t="str">
        <f t="shared" si="80"/>
        <v/>
      </c>
      <c r="AE688" s="4" t="str">
        <f t="shared" si="81"/>
        <v/>
      </c>
      <c r="AF688" s="4" t="str">
        <f t="shared" si="82"/>
        <v/>
      </c>
      <c r="AG688" s="4" t="str">
        <f t="shared" si="83"/>
        <v/>
      </c>
      <c r="AH688" s="4" t="str">
        <f t="shared" si="84"/>
        <v/>
      </c>
      <c r="AI688" s="2" t="str">
        <f t="shared" si="85"/>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9"/>
        <v/>
      </c>
      <c r="AD689" s="4" t="str">
        <f t="shared" si="80"/>
        <v/>
      </c>
      <c r="AE689" s="4" t="str">
        <f t="shared" si="81"/>
        <v/>
      </c>
      <c r="AF689" s="4" t="str">
        <f t="shared" si="82"/>
        <v/>
      </c>
      <c r="AG689" s="4" t="str">
        <f t="shared" si="83"/>
        <v/>
      </c>
      <c r="AH689" s="4" t="str">
        <f t="shared" si="84"/>
        <v/>
      </c>
      <c r="AI689" s="2" t="str">
        <f t="shared" si="85"/>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9"/>
        <v/>
      </c>
      <c r="AD690" s="4" t="str">
        <f t="shared" si="80"/>
        <v/>
      </c>
      <c r="AE690" s="4" t="str">
        <f t="shared" si="81"/>
        <v/>
      </c>
      <c r="AF690" s="4" t="str">
        <f t="shared" si="82"/>
        <v/>
      </c>
      <c r="AG690" s="4" t="str">
        <f t="shared" si="83"/>
        <v/>
      </c>
      <c r="AH690" s="4" t="str">
        <f t="shared" si="84"/>
        <v/>
      </c>
      <c r="AI690" s="2" t="str">
        <f t="shared" si="85"/>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9"/>
        <v/>
      </c>
      <c r="AD691" s="4" t="str">
        <f t="shared" si="80"/>
        <v/>
      </c>
      <c r="AE691" s="4" t="str">
        <f t="shared" si="81"/>
        <v/>
      </c>
      <c r="AF691" s="4" t="str">
        <f t="shared" si="82"/>
        <v/>
      </c>
      <c r="AG691" s="4" t="str">
        <f t="shared" si="83"/>
        <v/>
      </c>
      <c r="AH691" s="4" t="str">
        <f t="shared" si="84"/>
        <v/>
      </c>
      <c r="AI691" s="2" t="str">
        <f t="shared" si="85"/>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9"/>
        <v/>
      </c>
      <c r="AD692" s="4" t="str">
        <f t="shared" si="80"/>
        <v/>
      </c>
      <c r="AE692" s="4" t="str">
        <f t="shared" si="81"/>
        <v/>
      </c>
      <c r="AF692" s="4" t="str">
        <f t="shared" si="82"/>
        <v/>
      </c>
      <c r="AG692" s="4" t="str">
        <f t="shared" si="83"/>
        <v/>
      </c>
      <c r="AH692" s="4" t="str">
        <f t="shared" si="84"/>
        <v/>
      </c>
      <c r="AI692" s="2" t="str">
        <f t="shared" si="85"/>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9"/>
        <v/>
      </c>
      <c r="AD693" s="4" t="str">
        <f t="shared" si="80"/>
        <v/>
      </c>
      <c r="AE693" s="4" t="str">
        <f t="shared" si="81"/>
        <v/>
      </c>
      <c r="AF693" s="4" t="str">
        <f t="shared" si="82"/>
        <v/>
      </c>
      <c r="AG693" s="4" t="str">
        <f t="shared" si="83"/>
        <v/>
      </c>
      <c r="AH693" s="4" t="str">
        <f t="shared" si="84"/>
        <v/>
      </c>
      <c r="AI693" s="2" t="str">
        <f t="shared" si="85"/>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9"/>
        <v/>
      </c>
      <c r="AD694" s="4" t="str">
        <f t="shared" si="80"/>
        <v/>
      </c>
      <c r="AE694" s="4" t="str">
        <f t="shared" si="81"/>
        <v/>
      </c>
      <c r="AF694" s="4" t="str">
        <f t="shared" si="82"/>
        <v/>
      </c>
      <c r="AG694" s="4" t="str">
        <f t="shared" si="83"/>
        <v/>
      </c>
      <c r="AH694" s="4" t="str">
        <f t="shared" si="84"/>
        <v/>
      </c>
      <c r="AI694" s="2" t="str">
        <f t="shared" si="85"/>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9"/>
        <v/>
      </c>
      <c r="AD695" s="4" t="str">
        <f t="shared" si="80"/>
        <v/>
      </c>
      <c r="AE695" s="4" t="str">
        <f t="shared" si="81"/>
        <v/>
      </c>
      <c r="AF695" s="4" t="str">
        <f t="shared" si="82"/>
        <v/>
      </c>
      <c r="AG695" s="4" t="str">
        <f t="shared" si="83"/>
        <v/>
      </c>
      <c r="AH695" s="4" t="str">
        <f t="shared" si="84"/>
        <v/>
      </c>
      <c r="AI695" s="2" t="str">
        <f t="shared" si="85"/>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9"/>
        <v/>
      </c>
      <c r="AD696" s="4" t="str">
        <f t="shared" si="80"/>
        <v/>
      </c>
      <c r="AE696" s="4" t="str">
        <f t="shared" si="81"/>
        <v/>
      </c>
      <c r="AF696" s="4" t="str">
        <f t="shared" si="82"/>
        <v/>
      </c>
      <c r="AG696" s="4" t="str">
        <f t="shared" si="83"/>
        <v/>
      </c>
      <c r="AH696" s="4" t="str">
        <f t="shared" si="84"/>
        <v/>
      </c>
      <c r="AI696" s="2" t="str">
        <f t="shared" si="85"/>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9"/>
        <v/>
      </c>
      <c r="AD697" s="4" t="str">
        <f t="shared" si="80"/>
        <v/>
      </c>
      <c r="AE697" s="4" t="str">
        <f t="shared" si="81"/>
        <v/>
      </c>
      <c r="AF697" s="4" t="str">
        <f t="shared" si="82"/>
        <v/>
      </c>
      <c r="AG697" s="4" t="str">
        <f t="shared" si="83"/>
        <v/>
      </c>
      <c r="AH697" s="4" t="str">
        <f t="shared" si="84"/>
        <v/>
      </c>
      <c r="AI697" s="2" t="str">
        <f t="shared" si="85"/>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9"/>
        <v/>
      </c>
      <c r="AD698" s="4" t="str">
        <f t="shared" si="80"/>
        <v/>
      </c>
      <c r="AE698" s="4" t="str">
        <f t="shared" si="81"/>
        <v/>
      </c>
      <c r="AF698" s="4" t="str">
        <f t="shared" si="82"/>
        <v/>
      </c>
      <c r="AG698" s="4" t="str">
        <f t="shared" si="83"/>
        <v/>
      </c>
      <c r="AH698" s="4" t="str">
        <f t="shared" si="84"/>
        <v/>
      </c>
      <c r="AI698" s="2" t="str">
        <f t="shared" si="85"/>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9"/>
        <v/>
      </c>
      <c r="AD699" s="4" t="str">
        <f t="shared" si="80"/>
        <v/>
      </c>
      <c r="AE699" s="4" t="str">
        <f t="shared" si="81"/>
        <v/>
      </c>
      <c r="AF699" s="4" t="str">
        <f t="shared" si="82"/>
        <v/>
      </c>
      <c r="AG699" s="4" t="str">
        <f t="shared" si="83"/>
        <v/>
      </c>
      <c r="AH699" s="4" t="str">
        <f t="shared" si="84"/>
        <v/>
      </c>
      <c r="AI699" s="2" t="str">
        <f t="shared" si="85"/>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9"/>
        <v/>
      </c>
      <c r="AD700" s="4" t="str">
        <f t="shared" si="80"/>
        <v/>
      </c>
      <c r="AE700" s="4" t="str">
        <f t="shared" si="81"/>
        <v/>
      </c>
      <c r="AF700" s="4" t="str">
        <f t="shared" si="82"/>
        <v/>
      </c>
      <c r="AG700" s="4" t="str">
        <f t="shared" si="83"/>
        <v/>
      </c>
      <c r="AH700" s="4" t="str">
        <f t="shared" si="84"/>
        <v/>
      </c>
      <c r="AI700" s="2" t="str">
        <f t="shared" si="85"/>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9"/>
        <v/>
      </c>
      <c r="AD701" s="4" t="str">
        <f t="shared" si="80"/>
        <v/>
      </c>
      <c r="AE701" s="4" t="str">
        <f t="shared" si="81"/>
        <v/>
      </c>
      <c r="AF701" s="4" t="str">
        <f t="shared" si="82"/>
        <v/>
      </c>
      <c r="AG701" s="4" t="str">
        <f t="shared" si="83"/>
        <v/>
      </c>
      <c r="AH701" s="4" t="str">
        <f t="shared" si="84"/>
        <v/>
      </c>
      <c r="AI701" s="2" t="str">
        <f t="shared" si="85"/>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9"/>
        <v/>
      </c>
      <c r="AD702" s="4" t="str">
        <f t="shared" si="80"/>
        <v/>
      </c>
      <c r="AE702" s="4" t="str">
        <f t="shared" si="81"/>
        <v/>
      </c>
      <c r="AF702" s="4" t="str">
        <f t="shared" si="82"/>
        <v/>
      </c>
      <c r="AG702" s="4" t="str">
        <f t="shared" si="83"/>
        <v/>
      </c>
      <c r="AH702" s="4" t="str">
        <f t="shared" si="84"/>
        <v/>
      </c>
      <c r="AI702" s="2" t="str">
        <f t="shared" si="85"/>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9"/>
        <v/>
      </c>
      <c r="AD703" s="4" t="str">
        <f t="shared" si="80"/>
        <v/>
      </c>
      <c r="AE703" s="4" t="str">
        <f t="shared" si="81"/>
        <v/>
      </c>
      <c r="AF703" s="4" t="str">
        <f t="shared" si="82"/>
        <v/>
      </c>
      <c r="AG703" s="4" t="str">
        <f t="shared" si="83"/>
        <v/>
      </c>
      <c r="AH703" s="4" t="str">
        <f t="shared" si="84"/>
        <v/>
      </c>
      <c r="AI703" s="2" t="str">
        <f t="shared" si="85"/>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9"/>
        <v/>
      </c>
      <c r="AD704" s="4" t="str">
        <f t="shared" si="80"/>
        <v/>
      </c>
      <c r="AE704" s="4" t="str">
        <f t="shared" si="81"/>
        <v/>
      </c>
      <c r="AF704" s="4" t="str">
        <f t="shared" si="82"/>
        <v/>
      </c>
      <c r="AG704" s="4" t="str">
        <f t="shared" si="83"/>
        <v/>
      </c>
      <c r="AH704" s="4" t="str">
        <f t="shared" si="84"/>
        <v/>
      </c>
      <c r="AI704" s="2" t="str">
        <f t="shared" si="85"/>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9"/>
        <v/>
      </c>
      <c r="AD705" s="4" t="str">
        <f t="shared" si="80"/>
        <v/>
      </c>
      <c r="AE705" s="4" t="str">
        <f t="shared" si="81"/>
        <v/>
      </c>
      <c r="AF705" s="4" t="str">
        <f t="shared" si="82"/>
        <v/>
      </c>
      <c r="AG705" s="4" t="str">
        <f t="shared" si="83"/>
        <v/>
      </c>
      <c r="AH705" s="4" t="str">
        <f t="shared" si="84"/>
        <v/>
      </c>
      <c r="AI705" s="2" t="str">
        <f t="shared" si="85"/>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9"/>
        <v/>
      </c>
      <c r="AD706" s="4" t="str">
        <f t="shared" si="80"/>
        <v/>
      </c>
      <c r="AE706" s="4" t="str">
        <f t="shared" si="81"/>
        <v/>
      </c>
      <c r="AF706" s="4" t="str">
        <f t="shared" si="82"/>
        <v/>
      </c>
      <c r="AG706" s="4" t="str">
        <f t="shared" si="83"/>
        <v/>
      </c>
      <c r="AH706" s="4" t="str">
        <f t="shared" si="84"/>
        <v/>
      </c>
      <c r="AI706" s="2" t="str">
        <f t="shared" si="85"/>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9"/>
        <v/>
      </c>
      <c r="AD707" s="4" t="str">
        <f t="shared" si="80"/>
        <v/>
      </c>
      <c r="AE707" s="4" t="str">
        <f t="shared" si="81"/>
        <v/>
      </c>
      <c r="AF707" s="4" t="str">
        <f t="shared" si="82"/>
        <v/>
      </c>
      <c r="AG707" s="4" t="str">
        <f t="shared" si="83"/>
        <v/>
      </c>
      <c r="AH707" s="4" t="str">
        <f t="shared" si="84"/>
        <v/>
      </c>
      <c r="AI707" s="2" t="str">
        <f t="shared" si="85"/>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si="79"/>
        <v/>
      </c>
      <c r="AD708" s="4" t="str">
        <f t="shared" si="80"/>
        <v/>
      </c>
      <c r="AE708" s="4" t="str">
        <f t="shared" si="81"/>
        <v/>
      </c>
      <c r="AF708" s="4" t="str">
        <f t="shared" si="82"/>
        <v/>
      </c>
      <c r="AG708" s="4" t="str">
        <f t="shared" si="83"/>
        <v/>
      </c>
      <c r="AH708" s="4" t="str">
        <f t="shared" si="84"/>
        <v/>
      </c>
      <c r="AI708" s="2" t="str">
        <f t="shared" si="85"/>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ref="AC709:AC772" si="86">IF((MAX(A709,L709,N709,P709,X709,Y709)-MIN(A709,L709,N709,P709,X709,Y709))&gt;3,1,"")</f>
        <v/>
      </c>
      <c r="AD709" s="4" t="str">
        <f t="shared" ref="AD709:AD772" si="87">IF((MAX(B709,D709,M709,U709)-MIN(B709,D709,M709,U709))&gt;3,1,"")</f>
        <v/>
      </c>
      <c r="AE709" s="4" t="str">
        <f t="shared" ref="AE709:AE772" si="88">IF((MAX(I709,T709,V709,W709)-MIN(I709,T709,V709,W709))&gt;3,1,"")</f>
        <v/>
      </c>
      <c r="AF709" s="4" t="str">
        <f t="shared" ref="AF709:AF772" si="89">IF((MAX(H709,K709,Q709,S709)-MIN(H709,K709,Q709,S709))&gt;3,1,"")</f>
        <v/>
      </c>
      <c r="AG709" s="4" t="str">
        <f t="shared" ref="AG709:AG772" si="90">IF((MAX(E709,F709,G709,R709)-MIN(E709,F709,G709,R709))&gt;3,1,"")</f>
        <v/>
      </c>
      <c r="AH709" s="4" t="str">
        <f t="shared" ref="AH709:AH772" si="91">IF((MAX(C709,J709,O709,Z709)-MIN(C709,J709,O709,Z709))&gt;3,1,"")</f>
        <v/>
      </c>
      <c r="AI709" s="2" t="str">
        <f t="shared" ref="AI709:AI772" si="92">IF(COUNT(A709:Z709)&gt;0,IF(COUNT(AC709,AD709,AE709,AF709,AG709,AH709)&gt;0,SUM(AC709,AD709,AE709,AF709,AG709,AH709),0),"")</f>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86"/>
        <v/>
      </c>
      <c r="AD710" s="4" t="str">
        <f t="shared" si="87"/>
        <v/>
      </c>
      <c r="AE710" s="4" t="str">
        <f t="shared" si="88"/>
        <v/>
      </c>
      <c r="AF710" s="4" t="str">
        <f t="shared" si="89"/>
        <v/>
      </c>
      <c r="AG710" s="4" t="str">
        <f t="shared" si="90"/>
        <v/>
      </c>
      <c r="AH710" s="4" t="str">
        <f t="shared" si="91"/>
        <v/>
      </c>
      <c r="AI710" s="2" t="str">
        <f t="shared" si="92"/>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86"/>
        <v/>
      </c>
      <c r="AD711" s="4" t="str">
        <f t="shared" si="87"/>
        <v/>
      </c>
      <c r="AE711" s="4" t="str">
        <f t="shared" si="88"/>
        <v/>
      </c>
      <c r="AF711" s="4" t="str">
        <f t="shared" si="89"/>
        <v/>
      </c>
      <c r="AG711" s="4" t="str">
        <f t="shared" si="90"/>
        <v/>
      </c>
      <c r="AH711" s="4" t="str">
        <f t="shared" si="91"/>
        <v/>
      </c>
      <c r="AI711" s="2" t="str">
        <f t="shared" si="92"/>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86"/>
        <v/>
      </c>
      <c r="AD712" s="4" t="str">
        <f t="shared" si="87"/>
        <v/>
      </c>
      <c r="AE712" s="4" t="str">
        <f t="shared" si="88"/>
        <v/>
      </c>
      <c r="AF712" s="4" t="str">
        <f t="shared" si="89"/>
        <v/>
      </c>
      <c r="AG712" s="4" t="str">
        <f t="shared" si="90"/>
        <v/>
      </c>
      <c r="AH712" s="4" t="str">
        <f t="shared" si="91"/>
        <v/>
      </c>
      <c r="AI712" s="2" t="str">
        <f t="shared" si="92"/>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86"/>
        <v/>
      </c>
      <c r="AD713" s="4" t="str">
        <f t="shared" si="87"/>
        <v/>
      </c>
      <c r="AE713" s="4" t="str">
        <f t="shared" si="88"/>
        <v/>
      </c>
      <c r="AF713" s="4" t="str">
        <f t="shared" si="89"/>
        <v/>
      </c>
      <c r="AG713" s="4" t="str">
        <f t="shared" si="90"/>
        <v/>
      </c>
      <c r="AH713" s="4" t="str">
        <f t="shared" si="91"/>
        <v/>
      </c>
      <c r="AI713" s="2" t="str">
        <f t="shared" si="92"/>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86"/>
        <v/>
      </c>
      <c r="AD714" s="4" t="str">
        <f t="shared" si="87"/>
        <v/>
      </c>
      <c r="AE714" s="4" t="str">
        <f t="shared" si="88"/>
        <v/>
      </c>
      <c r="AF714" s="4" t="str">
        <f t="shared" si="89"/>
        <v/>
      </c>
      <c r="AG714" s="4" t="str">
        <f t="shared" si="90"/>
        <v/>
      </c>
      <c r="AH714" s="4" t="str">
        <f t="shared" si="91"/>
        <v/>
      </c>
      <c r="AI714" s="2" t="str">
        <f t="shared" si="92"/>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86"/>
        <v/>
      </c>
      <c r="AD715" s="4" t="str">
        <f t="shared" si="87"/>
        <v/>
      </c>
      <c r="AE715" s="4" t="str">
        <f t="shared" si="88"/>
        <v/>
      </c>
      <c r="AF715" s="4" t="str">
        <f t="shared" si="89"/>
        <v/>
      </c>
      <c r="AG715" s="4" t="str">
        <f t="shared" si="90"/>
        <v/>
      </c>
      <c r="AH715" s="4" t="str">
        <f t="shared" si="91"/>
        <v/>
      </c>
      <c r="AI715" s="2" t="str">
        <f t="shared" si="92"/>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86"/>
        <v/>
      </c>
      <c r="AD716" s="4" t="str">
        <f t="shared" si="87"/>
        <v/>
      </c>
      <c r="AE716" s="4" t="str">
        <f t="shared" si="88"/>
        <v/>
      </c>
      <c r="AF716" s="4" t="str">
        <f t="shared" si="89"/>
        <v/>
      </c>
      <c r="AG716" s="4" t="str">
        <f t="shared" si="90"/>
        <v/>
      </c>
      <c r="AH716" s="4" t="str">
        <f t="shared" si="91"/>
        <v/>
      </c>
      <c r="AI716" s="2" t="str">
        <f t="shared" si="92"/>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86"/>
        <v/>
      </c>
      <c r="AD717" s="4" t="str">
        <f t="shared" si="87"/>
        <v/>
      </c>
      <c r="AE717" s="4" t="str">
        <f t="shared" si="88"/>
        <v/>
      </c>
      <c r="AF717" s="4" t="str">
        <f t="shared" si="89"/>
        <v/>
      </c>
      <c r="AG717" s="4" t="str">
        <f t="shared" si="90"/>
        <v/>
      </c>
      <c r="AH717" s="4" t="str">
        <f t="shared" si="91"/>
        <v/>
      </c>
      <c r="AI717" s="2" t="str">
        <f t="shared" si="92"/>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86"/>
        <v/>
      </c>
      <c r="AD718" s="4" t="str">
        <f t="shared" si="87"/>
        <v/>
      </c>
      <c r="AE718" s="4" t="str">
        <f t="shared" si="88"/>
        <v/>
      </c>
      <c r="AF718" s="4" t="str">
        <f t="shared" si="89"/>
        <v/>
      </c>
      <c r="AG718" s="4" t="str">
        <f t="shared" si="90"/>
        <v/>
      </c>
      <c r="AH718" s="4" t="str">
        <f t="shared" si="91"/>
        <v/>
      </c>
      <c r="AI718" s="2" t="str">
        <f t="shared" si="92"/>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86"/>
        <v/>
      </c>
      <c r="AD719" s="4" t="str">
        <f t="shared" si="87"/>
        <v/>
      </c>
      <c r="AE719" s="4" t="str">
        <f t="shared" si="88"/>
        <v/>
      </c>
      <c r="AF719" s="4" t="str">
        <f t="shared" si="89"/>
        <v/>
      </c>
      <c r="AG719" s="4" t="str">
        <f t="shared" si="90"/>
        <v/>
      </c>
      <c r="AH719" s="4" t="str">
        <f t="shared" si="91"/>
        <v/>
      </c>
      <c r="AI719" s="2" t="str">
        <f t="shared" si="92"/>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86"/>
        <v/>
      </c>
      <c r="AD720" s="4" t="str">
        <f t="shared" si="87"/>
        <v/>
      </c>
      <c r="AE720" s="4" t="str">
        <f t="shared" si="88"/>
        <v/>
      </c>
      <c r="AF720" s="4" t="str">
        <f t="shared" si="89"/>
        <v/>
      </c>
      <c r="AG720" s="4" t="str">
        <f t="shared" si="90"/>
        <v/>
      </c>
      <c r="AH720" s="4" t="str">
        <f t="shared" si="91"/>
        <v/>
      </c>
      <c r="AI720" s="2" t="str">
        <f t="shared" si="92"/>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86"/>
        <v/>
      </c>
      <c r="AD721" s="4" t="str">
        <f t="shared" si="87"/>
        <v/>
      </c>
      <c r="AE721" s="4" t="str">
        <f t="shared" si="88"/>
        <v/>
      </c>
      <c r="AF721" s="4" t="str">
        <f t="shared" si="89"/>
        <v/>
      </c>
      <c r="AG721" s="4" t="str">
        <f t="shared" si="90"/>
        <v/>
      </c>
      <c r="AH721" s="4" t="str">
        <f t="shared" si="91"/>
        <v/>
      </c>
      <c r="AI721" s="2" t="str">
        <f t="shared" si="92"/>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86"/>
        <v/>
      </c>
      <c r="AD722" s="4" t="str">
        <f t="shared" si="87"/>
        <v/>
      </c>
      <c r="AE722" s="4" t="str">
        <f t="shared" si="88"/>
        <v/>
      </c>
      <c r="AF722" s="4" t="str">
        <f t="shared" si="89"/>
        <v/>
      </c>
      <c r="AG722" s="4" t="str">
        <f t="shared" si="90"/>
        <v/>
      </c>
      <c r="AH722" s="4" t="str">
        <f t="shared" si="91"/>
        <v/>
      </c>
      <c r="AI722" s="2" t="str">
        <f t="shared" si="92"/>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86"/>
        <v/>
      </c>
      <c r="AD723" s="4" t="str">
        <f t="shared" si="87"/>
        <v/>
      </c>
      <c r="AE723" s="4" t="str">
        <f t="shared" si="88"/>
        <v/>
      </c>
      <c r="AF723" s="4" t="str">
        <f t="shared" si="89"/>
        <v/>
      </c>
      <c r="AG723" s="4" t="str">
        <f t="shared" si="90"/>
        <v/>
      </c>
      <c r="AH723" s="4" t="str">
        <f t="shared" si="91"/>
        <v/>
      </c>
      <c r="AI723" s="2" t="str">
        <f t="shared" si="92"/>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86"/>
        <v/>
      </c>
      <c r="AD724" s="4" t="str">
        <f t="shared" si="87"/>
        <v/>
      </c>
      <c r="AE724" s="4" t="str">
        <f t="shared" si="88"/>
        <v/>
      </c>
      <c r="AF724" s="4" t="str">
        <f t="shared" si="89"/>
        <v/>
      </c>
      <c r="AG724" s="4" t="str">
        <f t="shared" si="90"/>
        <v/>
      </c>
      <c r="AH724" s="4" t="str">
        <f t="shared" si="91"/>
        <v/>
      </c>
      <c r="AI724" s="2" t="str">
        <f t="shared" si="92"/>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86"/>
        <v/>
      </c>
      <c r="AD725" s="4" t="str">
        <f t="shared" si="87"/>
        <v/>
      </c>
      <c r="AE725" s="4" t="str">
        <f t="shared" si="88"/>
        <v/>
      </c>
      <c r="AF725" s="4" t="str">
        <f t="shared" si="89"/>
        <v/>
      </c>
      <c r="AG725" s="4" t="str">
        <f t="shared" si="90"/>
        <v/>
      </c>
      <c r="AH725" s="4" t="str">
        <f t="shared" si="91"/>
        <v/>
      </c>
      <c r="AI725" s="2" t="str">
        <f t="shared" si="92"/>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86"/>
        <v/>
      </c>
      <c r="AD726" s="4" t="str">
        <f t="shared" si="87"/>
        <v/>
      </c>
      <c r="AE726" s="4" t="str">
        <f t="shared" si="88"/>
        <v/>
      </c>
      <c r="AF726" s="4" t="str">
        <f t="shared" si="89"/>
        <v/>
      </c>
      <c r="AG726" s="4" t="str">
        <f t="shared" si="90"/>
        <v/>
      </c>
      <c r="AH726" s="4" t="str">
        <f t="shared" si="91"/>
        <v/>
      </c>
      <c r="AI726" s="2" t="str">
        <f t="shared" si="92"/>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86"/>
        <v/>
      </c>
      <c r="AD727" s="4" t="str">
        <f t="shared" si="87"/>
        <v/>
      </c>
      <c r="AE727" s="4" t="str">
        <f t="shared" si="88"/>
        <v/>
      </c>
      <c r="AF727" s="4" t="str">
        <f t="shared" si="89"/>
        <v/>
      </c>
      <c r="AG727" s="4" t="str">
        <f t="shared" si="90"/>
        <v/>
      </c>
      <c r="AH727" s="4" t="str">
        <f t="shared" si="91"/>
        <v/>
      </c>
      <c r="AI727" s="2" t="str">
        <f t="shared" si="92"/>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86"/>
        <v/>
      </c>
      <c r="AD728" s="4" t="str">
        <f t="shared" si="87"/>
        <v/>
      </c>
      <c r="AE728" s="4" t="str">
        <f t="shared" si="88"/>
        <v/>
      </c>
      <c r="AF728" s="4" t="str">
        <f t="shared" si="89"/>
        <v/>
      </c>
      <c r="AG728" s="4" t="str">
        <f t="shared" si="90"/>
        <v/>
      </c>
      <c r="AH728" s="4" t="str">
        <f t="shared" si="91"/>
        <v/>
      </c>
      <c r="AI728" s="2" t="str">
        <f t="shared" si="92"/>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86"/>
        <v/>
      </c>
      <c r="AD729" s="4" t="str">
        <f t="shared" si="87"/>
        <v/>
      </c>
      <c r="AE729" s="4" t="str">
        <f t="shared" si="88"/>
        <v/>
      </c>
      <c r="AF729" s="4" t="str">
        <f t="shared" si="89"/>
        <v/>
      </c>
      <c r="AG729" s="4" t="str">
        <f t="shared" si="90"/>
        <v/>
      </c>
      <c r="AH729" s="4" t="str">
        <f t="shared" si="91"/>
        <v/>
      </c>
      <c r="AI729" s="2" t="str">
        <f t="shared" si="92"/>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86"/>
        <v/>
      </c>
      <c r="AD730" s="4" t="str">
        <f t="shared" si="87"/>
        <v/>
      </c>
      <c r="AE730" s="4" t="str">
        <f t="shared" si="88"/>
        <v/>
      </c>
      <c r="AF730" s="4" t="str">
        <f t="shared" si="89"/>
        <v/>
      </c>
      <c r="AG730" s="4" t="str">
        <f t="shared" si="90"/>
        <v/>
      </c>
      <c r="AH730" s="4" t="str">
        <f t="shared" si="91"/>
        <v/>
      </c>
      <c r="AI730" s="2" t="str">
        <f t="shared" si="92"/>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86"/>
        <v/>
      </c>
      <c r="AD731" s="4" t="str">
        <f t="shared" si="87"/>
        <v/>
      </c>
      <c r="AE731" s="4" t="str">
        <f t="shared" si="88"/>
        <v/>
      </c>
      <c r="AF731" s="4" t="str">
        <f t="shared" si="89"/>
        <v/>
      </c>
      <c r="AG731" s="4" t="str">
        <f t="shared" si="90"/>
        <v/>
      </c>
      <c r="AH731" s="4" t="str">
        <f t="shared" si="91"/>
        <v/>
      </c>
      <c r="AI731" s="2" t="str">
        <f t="shared" si="92"/>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86"/>
        <v/>
      </c>
      <c r="AD732" s="4" t="str">
        <f t="shared" si="87"/>
        <v/>
      </c>
      <c r="AE732" s="4" t="str">
        <f t="shared" si="88"/>
        <v/>
      </c>
      <c r="AF732" s="4" t="str">
        <f t="shared" si="89"/>
        <v/>
      </c>
      <c r="AG732" s="4" t="str">
        <f t="shared" si="90"/>
        <v/>
      </c>
      <c r="AH732" s="4" t="str">
        <f t="shared" si="91"/>
        <v/>
      </c>
      <c r="AI732" s="2" t="str">
        <f t="shared" si="92"/>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86"/>
        <v/>
      </c>
      <c r="AD733" s="4" t="str">
        <f t="shared" si="87"/>
        <v/>
      </c>
      <c r="AE733" s="4" t="str">
        <f t="shared" si="88"/>
        <v/>
      </c>
      <c r="AF733" s="4" t="str">
        <f t="shared" si="89"/>
        <v/>
      </c>
      <c r="AG733" s="4" t="str">
        <f t="shared" si="90"/>
        <v/>
      </c>
      <c r="AH733" s="4" t="str">
        <f t="shared" si="91"/>
        <v/>
      </c>
      <c r="AI733" s="2" t="str">
        <f t="shared" si="92"/>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86"/>
        <v/>
      </c>
      <c r="AD734" s="4" t="str">
        <f t="shared" si="87"/>
        <v/>
      </c>
      <c r="AE734" s="4" t="str">
        <f t="shared" si="88"/>
        <v/>
      </c>
      <c r="AF734" s="4" t="str">
        <f t="shared" si="89"/>
        <v/>
      </c>
      <c r="AG734" s="4" t="str">
        <f t="shared" si="90"/>
        <v/>
      </c>
      <c r="AH734" s="4" t="str">
        <f t="shared" si="91"/>
        <v/>
      </c>
      <c r="AI734" s="2" t="str">
        <f t="shared" si="92"/>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86"/>
        <v/>
      </c>
      <c r="AD735" s="4" t="str">
        <f t="shared" si="87"/>
        <v/>
      </c>
      <c r="AE735" s="4" t="str">
        <f t="shared" si="88"/>
        <v/>
      </c>
      <c r="AF735" s="4" t="str">
        <f t="shared" si="89"/>
        <v/>
      </c>
      <c r="AG735" s="4" t="str">
        <f t="shared" si="90"/>
        <v/>
      </c>
      <c r="AH735" s="4" t="str">
        <f t="shared" si="91"/>
        <v/>
      </c>
      <c r="AI735" s="2" t="str">
        <f t="shared" si="92"/>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86"/>
        <v/>
      </c>
      <c r="AD736" s="4" t="str">
        <f t="shared" si="87"/>
        <v/>
      </c>
      <c r="AE736" s="4" t="str">
        <f t="shared" si="88"/>
        <v/>
      </c>
      <c r="AF736" s="4" t="str">
        <f t="shared" si="89"/>
        <v/>
      </c>
      <c r="AG736" s="4" t="str">
        <f t="shared" si="90"/>
        <v/>
      </c>
      <c r="AH736" s="4" t="str">
        <f t="shared" si="91"/>
        <v/>
      </c>
      <c r="AI736" s="2" t="str">
        <f t="shared" si="92"/>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86"/>
        <v/>
      </c>
      <c r="AD737" s="4" t="str">
        <f t="shared" si="87"/>
        <v/>
      </c>
      <c r="AE737" s="4" t="str">
        <f t="shared" si="88"/>
        <v/>
      </c>
      <c r="AF737" s="4" t="str">
        <f t="shared" si="89"/>
        <v/>
      </c>
      <c r="AG737" s="4" t="str">
        <f t="shared" si="90"/>
        <v/>
      </c>
      <c r="AH737" s="4" t="str">
        <f t="shared" si="91"/>
        <v/>
      </c>
      <c r="AI737" s="2" t="str">
        <f t="shared" si="92"/>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86"/>
        <v/>
      </c>
      <c r="AD738" s="4" t="str">
        <f t="shared" si="87"/>
        <v/>
      </c>
      <c r="AE738" s="4" t="str">
        <f t="shared" si="88"/>
        <v/>
      </c>
      <c r="AF738" s="4" t="str">
        <f t="shared" si="89"/>
        <v/>
      </c>
      <c r="AG738" s="4" t="str">
        <f t="shared" si="90"/>
        <v/>
      </c>
      <c r="AH738" s="4" t="str">
        <f t="shared" si="91"/>
        <v/>
      </c>
      <c r="AI738" s="2" t="str">
        <f t="shared" si="92"/>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86"/>
        <v/>
      </c>
      <c r="AD739" s="4" t="str">
        <f t="shared" si="87"/>
        <v/>
      </c>
      <c r="AE739" s="4" t="str">
        <f t="shared" si="88"/>
        <v/>
      </c>
      <c r="AF739" s="4" t="str">
        <f t="shared" si="89"/>
        <v/>
      </c>
      <c r="AG739" s="4" t="str">
        <f t="shared" si="90"/>
        <v/>
      </c>
      <c r="AH739" s="4" t="str">
        <f t="shared" si="91"/>
        <v/>
      </c>
      <c r="AI739" s="2" t="str">
        <f t="shared" si="92"/>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86"/>
        <v/>
      </c>
      <c r="AD740" s="4" t="str">
        <f t="shared" si="87"/>
        <v/>
      </c>
      <c r="AE740" s="4" t="str">
        <f t="shared" si="88"/>
        <v/>
      </c>
      <c r="AF740" s="4" t="str">
        <f t="shared" si="89"/>
        <v/>
      </c>
      <c r="AG740" s="4" t="str">
        <f t="shared" si="90"/>
        <v/>
      </c>
      <c r="AH740" s="4" t="str">
        <f t="shared" si="91"/>
        <v/>
      </c>
      <c r="AI740" s="2" t="str">
        <f t="shared" si="92"/>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86"/>
        <v/>
      </c>
      <c r="AD741" s="4" t="str">
        <f t="shared" si="87"/>
        <v/>
      </c>
      <c r="AE741" s="4" t="str">
        <f t="shared" si="88"/>
        <v/>
      </c>
      <c r="AF741" s="4" t="str">
        <f t="shared" si="89"/>
        <v/>
      </c>
      <c r="AG741" s="4" t="str">
        <f t="shared" si="90"/>
        <v/>
      </c>
      <c r="AH741" s="4" t="str">
        <f t="shared" si="91"/>
        <v/>
      </c>
      <c r="AI741" s="2" t="str">
        <f t="shared" si="92"/>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86"/>
        <v/>
      </c>
      <c r="AD742" s="4" t="str">
        <f t="shared" si="87"/>
        <v/>
      </c>
      <c r="AE742" s="4" t="str">
        <f t="shared" si="88"/>
        <v/>
      </c>
      <c r="AF742" s="4" t="str">
        <f t="shared" si="89"/>
        <v/>
      </c>
      <c r="AG742" s="4" t="str">
        <f t="shared" si="90"/>
        <v/>
      </c>
      <c r="AH742" s="4" t="str">
        <f t="shared" si="91"/>
        <v/>
      </c>
      <c r="AI742" s="2" t="str">
        <f t="shared" si="92"/>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86"/>
        <v/>
      </c>
      <c r="AD743" s="4" t="str">
        <f t="shared" si="87"/>
        <v/>
      </c>
      <c r="AE743" s="4" t="str">
        <f t="shared" si="88"/>
        <v/>
      </c>
      <c r="AF743" s="4" t="str">
        <f t="shared" si="89"/>
        <v/>
      </c>
      <c r="AG743" s="4" t="str">
        <f t="shared" si="90"/>
        <v/>
      </c>
      <c r="AH743" s="4" t="str">
        <f t="shared" si="91"/>
        <v/>
      </c>
      <c r="AI743" s="2" t="str">
        <f t="shared" si="92"/>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86"/>
        <v/>
      </c>
      <c r="AD744" s="4" t="str">
        <f t="shared" si="87"/>
        <v/>
      </c>
      <c r="AE744" s="4" t="str">
        <f t="shared" si="88"/>
        <v/>
      </c>
      <c r="AF744" s="4" t="str">
        <f t="shared" si="89"/>
        <v/>
      </c>
      <c r="AG744" s="4" t="str">
        <f t="shared" si="90"/>
        <v/>
      </c>
      <c r="AH744" s="4" t="str">
        <f t="shared" si="91"/>
        <v/>
      </c>
      <c r="AI744" s="2" t="str">
        <f t="shared" si="92"/>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86"/>
        <v/>
      </c>
      <c r="AD745" s="4" t="str">
        <f t="shared" si="87"/>
        <v/>
      </c>
      <c r="AE745" s="4" t="str">
        <f t="shared" si="88"/>
        <v/>
      </c>
      <c r="AF745" s="4" t="str">
        <f t="shared" si="89"/>
        <v/>
      </c>
      <c r="AG745" s="4" t="str">
        <f t="shared" si="90"/>
        <v/>
      </c>
      <c r="AH745" s="4" t="str">
        <f t="shared" si="91"/>
        <v/>
      </c>
      <c r="AI745" s="2" t="str">
        <f t="shared" si="92"/>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86"/>
        <v/>
      </c>
      <c r="AD746" s="4" t="str">
        <f t="shared" si="87"/>
        <v/>
      </c>
      <c r="AE746" s="4" t="str">
        <f t="shared" si="88"/>
        <v/>
      </c>
      <c r="AF746" s="4" t="str">
        <f t="shared" si="89"/>
        <v/>
      </c>
      <c r="AG746" s="4" t="str">
        <f t="shared" si="90"/>
        <v/>
      </c>
      <c r="AH746" s="4" t="str">
        <f t="shared" si="91"/>
        <v/>
      </c>
      <c r="AI746" s="2" t="str">
        <f t="shared" si="92"/>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86"/>
        <v/>
      </c>
      <c r="AD747" s="4" t="str">
        <f t="shared" si="87"/>
        <v/>
      </c>
      <c r="AE747" s="4" t="str">
        <f t="shared" si="88"/>
        <v/>
      </c>
      <c r="AF747" s="4" t="str">
        <f t="shared" si="89"/>
        <v/>
      </c>
      <c r="AG747" s="4" t="str">
        <f t="shared" si="90"/>
        <v/>
      </c>
      <c r="AH747" s="4" t="str">
        <f t="shared" si="91"/>
        <v/>
      </c>
      <c r="AI747" s="2" t="str">
        <f t="shared" si="92"/>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86"/>
        <v/>
      </c>
      <c r="AD748" s="4" t="str">
        <f t="shared" si="87"/>
        <v/>
      </c>
      <c r="AE748" s="4" t="str">
        <f t="shared" si="88"/>
        <v/>
      </c>
      <c r="AF748" s="4" t="str">
        <f t="shared" si="89"/>
        <v/>
      </c>
      <c r="AG748" s="4" t="str">
        <f t="shared" si="90"/>
        <v/>
      </c>
      <c r="AH748" s="4" t="str">
        <f t="shared" si="91"/>
        <v/>
      </c>
      <c r="AI748" s="2" t="str">
        <f t="shared" si="92"/>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86"/>
        <v/>
      </c>
      <c r="AD749" s="4" t="str">
        <f t="shared" si="87"/>
        <v/>
      </c>
      <c r="AE749" s="4" t="str">
        <f t="shared" si="88"/>
        <v/>
      </c>
      <c r="AF749" s="4" t="str">
        <f t="shared" si="89"/>
        <v/>
      </c>
      <c r="AG749" s="4" t="str">
        <f t="shared" si="90"/>
        <v/>
      </c>
      <c r="AH749" s="4" t="str">
        <f t="shared" si="91"/>
        <v/>
      </c>
      <c r="AI749" s="2" t="str">
        <f t="shared" si="92"/>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86"/>
        <v/>
      </c>
      <c r="AD750" s="4" t="str">
        <f t="shared" si="87"/>
        <v/>
      </c>
      <c r="AE750" s="4" t="str">
        <f t="shared" si="88"/>
        <v/>
      </c>
      <c r="AF750" s="4" t="str">
        <f t="shared" si="89"/>
        <v/>
      </c>
      <c r="AG750" s="4" t="str">
        <f t="shared" si="90"/>
        <v/>
      </c>
      <c r="AH750" s="4" t="str">
        <f t="shared" si="91"/>
        <v/>
      </c>
      <c r="AI750" s="2" t="str">
        <f t="shared" si="92"/>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86"/>
        <v/>
      </c>
      <c r="AD751" s="4" t="str">
        <f t="shared" si="87"/>
        <v/>
      </c>
      <c r="AE751" s="4" t="str">
        <f t="shared" si="88"/>
        <v/>
      </c>
      <c r="AF751" s="4" t="str">
        <f t="shared" si="89"/>
        <v/>
      </c>
      <c r="AG751" s="4" t="str">
        <f t="shared" si="90"/>
        <v/>
      </c>
      <c r="AH751" s="4" t="str">
        <f t="shared" si="91"/>
        <v/>
      </c>
      <c r="AI751" s="2" t="str">
        <f t="shared" si="92"/>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86"/>
        <v/>
      </c>
      <c r="AD752" s="4" t="str">
        <f t="shared" si="87"/>
        <v/>
      </c>
      <c r="AE752" s="4" t="str">
        <f t="shared" si="88"/>
        <v/>
      </c>
      <c r="AF752" s="4" t="str">
        <f t="shared" si="89"/>
        <v/>
      </c>
      <c r="AG752" s="4" t="str">
        <f t="shared" si="90"/>
        <v/>
      </c>
      <c r="AH752" s="4" t="str">
        <f t="shared" si="91"/>
        <v/>
      </c>
      <c r="AI752" s="2" t="str">
        <f t="shared" si="92"/>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86"/>
        <v/>
      </c>
      <c r="AD753" s="4" t="str">
        <f t="shared" si="87"/>
        <v/>
      </c>
      <c r="AE753" s="4" t="str">
        <f t="shared" si="88"/>
        <v/>
      </c>
      <c r="AF753" s="4" t="str">
        <f t="shared" si="89"/>
        <v/>
      </c>
      <c r="AG753" s="4" t="str">
        <f t="shared" si="90"/>
        <v/>
      </c>
      <c r="AH753" s="4" t="str">
        <f t="shared" si="91"/>
        <v/>
      </c>
      <c r="AI753" s="2" t="str">
        <f t="shared" si="92"/>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86"/>
        <v/>
      </c>
      <c r="AD754" s="4" t="str">
        <f t="shared" si="87"/>
        <v/>
      </c>
      <c r="AE754" s="4" t="str">
        <f t="shared" si="88"/>
        <v/>
      </c>
      <c r="AF754" s="4" t="str">
        <f t="shared" si="89"/>
        <v/>
      </c>
      <c r="AG754" s="4" t="str">
        <f t="shared" si="90"/>
        <v/>
      </c>
      <c r="AH754" s="4" t="str">
        <f t="shared" si="91"/>
        <v/>
      </c>
      <c r="AI754" s="2" t="str">
        <f t="shared" si="92"/>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86"/>
        <v/>
      </c>
      <c r="AD755" s="4" t="str">
        <f t="shared" si="87"/>
        <v/>
      </c>
      <c r="AE755" s="4" t="str">
        <f t="shared" si="88"/>
        <v/>
      </c>
      <c r="AF755" s="4" t="str">
        <f t="shared" si="89"/>
        <v/>
      </c>
      <c r="AG755" s="4" t="str">
        <f t="shared" si="90"/>
        <v/>
      </c>
      <c r="AH755" s="4" t="str">
        <f t="shared" si="91"/>
        <v/>
      </c>
      <c r="AI755" s="2" t="str">
        <f t="shared" si="92"/>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86"/>
        <v/>
      </c>
      <c r="AD756" s="4" t="str">
        <f t="shared" si="87"/>
        <v/>
      </c>
      <c r="AE756" s="4" t="str">
        <f t="shared" si="88"/>
        <v/>
      </c>
      <c r="AF756" s="4" t="str">
        <f t="shared" si="89"/>
        <v/>
      </c>
      <c r="AG756" s="4" t="str">
        <f t="shared" si="90"/>
        <v/>
      </c>
      <c r="AH756" s="4" t="str">
        <f t="shared" si="91"/>
        <v/>
      </c>
      <c r="AI756" s="2" t="str">
        <f t="shared" si="92"/>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86"/>
        <v/>
      </c>
      <c r="AD757" s="4" t="str">
        <f t="shared" si="87"/>
        <v/>
      </c>
      <c r="AE757" s="4" t="str">
        <f t="shared" si="88"/>
        <v/>
      </c>
      <c r="AF757" s="4" t="str">
        <f t="shared" si="89"/>
        <v/>
      </c>
      <c r="AG757" s="4" t="str">
        <f t="shared" si="90"/>
        <v/>
      </c>
      <c r="AH757" s="4" t="str">
        <f t="shared" si="91"/>
        <v/>
      </c>
      <c r="AI757" s="2" t="str">
        <f t="shared" si="92"/>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86"/>
        <v/>
      </c>
      <c r="AD758" s="4" t="str">
        <f t="shared" si="87"/>
        <v/>
      </c>
      <c r="AE758" s="4" t="str">
        <f t="shared" si="88"/>
        <v/>
      </c>
      <c r="AF758" s="4" t="str">
        <f t="shared" si="89"/>
        <v/>
      </c>
      <c r="AG758" s="4" t="str">
        <f t="shared" si="90"/>
        <v/>
      </c>
      <c r="AH758" s="4" t="str">
        <f t="shared" si="91"/>
        <v/>
      </c>
      <c r="AI758" s="2" t="str">
        <f t="shared" si="92"/>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86"/>
        <v/>
      </c>
      <c r="AD759" s="4" t="str">
        <f t="shared" si="87"/>
        <v/>
      </c>
      <c r="AE759" s="4" t="str">
        <f t="shared" si="88"/>
        <v/>
      </c>
      <c r="AF759" s="4" t="str">
        <f t="shared" si="89"/>
        <v/>
      </c>
      <c r="AG759" s="4" t="str">
        <f t="shared" si="90"/>
        <v/>
      </c>
      <c r="AH759" s="4" t="str">
        <f t="shared" si="91"/>
        <v/>
      </c>
      <c r="AI759" s="2" t="str">
        <f t="shared" si="92"/>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86"/>
        <v/>
      </c>
      <c r="AD760" s="4" t="str">
        <f t="shared" si="87"/>
        <v/>
      </c>
      <c r="AE760" s="4" t="str">
        <f t="shared" si="88"/>
        <v/>
      </c>
      <c r="AF760" s="4" t="str">
        <f t="shared" si="89"/>
        <v/>
      </c>
      <c r="AG760" s="4" t="str">
        <f t="shared" si="90"/>
        <v/>
      </c>
      <c r="AH760" s="4" t="str">
        <f t="shared" si="91"/>
        <v/>
      </c>
      <c r="AI760" s="2" t="str">
        <f t="shared" si="92"/>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86"/>
        <v/>
      </c>
      <c r="AD761" s="4" t="str">
        <f t="shared" si="87"/>
        <v/>
      </c>
      <c r="AE761" s="4" t="str">
        <f t="shared" si="88"/>
        <v/>
      </c>
      <c r="AF761" s="4" t="str">
        <f t="shared" si="89"/>
        <v/>
      </c>
      <c r="AG761" s="4" t="str">
        <f t="shared" si="90"/>
        <v/>
      </c>
      <c r="AH761" s="4" t="str">
        <f t="shared" si="91"/>
        <v/>
      </c>
      <c r="AI761" s="2" t="str">
        <f t="shared" si="92"/>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86"/>
        <v/>
      </c>
      <c r="AD762" s="4" t="str">
        <f t="shared" si="87"/>
        <v/>
      </c>
      <c r="AE762" s="4" t="str">
        <f t="shared" si="88"/>
        <v/>
      </c>
      <c r="AF762" s="4" t="str">
        <f t="shared" si="89"/>
        <v/>
      </c>
      <c r="AG762" s="4" t="str">
        <f t="shared" si="90"/>
        <v/>
      </c>
      <c r="AH762" s="4" t="str">
        <f t="shared" si="91"/>
        <v/>
      </c>
      <c r="AI762" s="2" t="str">
        <f t="shared" si="92"/>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86"/>
        <v/>
      </c>
      <c r="AD763" s="4" t="str">
        <f t="shared" si="87"/>
        <v/>
      </c>
      <c r="AE763" s="4" t="str">
        <f t="shared" si="88"/>
        <v/>
      </c>
      <c r="AF763" s="4" t="str">
        <f t="shared" si="89"/>
        <v/>
      </c>
      <c r="AG763" s="4" t="str">
        <f t="shared" si="90"/>
        <v/>
      </c>
      <c r="AH763" s="4" t="str">
        <f t="shared" si="91"/>
        <v/>
      </c>
      <c r="AI763" s="2" t="str">
        <f t="shared" si="92"/>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86"/>
        <v/>
      </c>
      <c r="AD764" s="4" t="str">
        <f t="shared" si="87"/>
        <v/>
      </c>
      <c r="AE764" s="4" t="str">
        <f t="shared" si="88"/>
        <v/>
      </c>
      <c r="AF764" s="4" t="str">
        <f t="shared" si="89"/>
        <v/>
      </c>
      <c r="AG764" s="4" t="str">
        <f t="shared" si="90"/>
        <v/>
      </c>
      <c r="AH764" s="4" t="str">
        <f t="shared" si="91"/>
        <v/>
      </c>
      <c r="AI764" s="2" t="str">
        <f t="shared" si="92"/>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86"/>
        <v/>
      </c>
      <c r="AD765" s="4" t="str">
        <f t="shared" si="87"/>
        <v/>
      </c>
      <c r="AE765" s="4" t="str">
        <f t="shared" si="88"/>
        <v/>
      </c>
      <c r="AF765" s="4" t="str">
        <f t="shared" si="89"/>
        <v/>
      </c>
      <c r="AG765" s="4" t="str">
        <f t="shared" si="90"/>
        <v/>
      </c>
      <c r="AH765" s="4" t="str">
        <f t="shared" si="91"/>
        <v/>
      </c>
      <c r="AI765" s="2" t="str">
        <f t="shared" si="92"/>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86"/>
        <v/>
      </c>
      <c r="AD766" s="4" t="str">
        <f t="shared" si="87"/>
        <v/>
      </c>
      <c r="AE766" s="4" t="str">
        <f t="shared" si="88"/>
        <v/>
      </c>
      <c r="AF766" s="4" t="str">
        <f t="shared" si="89"/>
        <v/>
      </c>
      <c r="AG766" s="4" t="str">
        <f t="shared" si="90"/>
        <v/>
      </c>
      <c r="AH766" s="4" t="str">
        <f t="shared" si="91"/>
        <v/>
      </c>
      <c r="AI766" s="2" t="str">
        <f t="shared" si="92"/>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86"/>
        <v/>
      </c>
      <c r="AD767" s="4" t="str">
        <f t="shared" si="87"/>
        <v/>
      </c>
      <c r="AE767" s="4" t="str">
        <f t="shared" si="88"/>
        <v/>
      </c>
      <c r="AF767" s="4" t="str">
        <f t="shared" si="89"/>
        <v/>
      </c>
      <c r="AG767" s="4" t="str">
        <f t="shared" si="90"/>
        <v/>
      </c>
      <c r="AH767" s="4" t="str">
        <f t="shared" si="91"/>
        <v/>
      </c>
      <c r="AI767" s="2" t="str">
        <f t="shared" si="92"/>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86"/>
        <v/>
      </c>
      <c r="AD768" s="4" t="str">
        <f t="shared" si="87"/>
        <v/>
      </c>
      <c r="AE768" s="4" t="str">
        <f t="shared" si="88"/>
        <v/>
      </c>
      <c r="AF768" s="4" t="str">
        <f t="shared" si="89"/>
        <v/>
      </c>
      <c r="AG768" s="4" t="str">
        <f t="shared" si="90"/>
        <v/>
      </c>
      <c r="AH768" s="4" t="str">
        <f t="shared" si="91"/>
        <v/>
      </c>
      <c r="AI768" s="2" t="str">
        <f t="shared" si="92"/>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86"/>
        <v/>
      </c>
      <c r="AD769" s="4" t="str">
        <f t="shared" si="87"/>
        <v/>
      </c>
      <c r="AE769" s="4" t="str">
        <f t="shared" si="88"/>
        <v/>
      </c>
      <c r="AF769" s="4" t="str">
        <f t="shared" si="89"/>
        <v/>
      </c>
      <c r="AG769" s="4" t="str">
        <f t="shared" si="90"/>
        <v/>
      </c>
      <c r="AH769" s="4" t="str">
        <f t="shared" si="91"/>
        <v/>
      </c>
      <c r="AI769" s="2" t="str">
        <f t="shared" si="92"/>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86"/>
        <v/>
      </c>
      <c r="AD770" s="4" t="str">
        <f t="shared" si="87"/>
        <v/>
      </c>
      <c r="AE770" s="4" t="str">
        <f t="shared" si="88"/>
        <v/>
      </c>
      <c r="AF770" s="4" t="str">
        <f t="shared" si="89"/>
        <v/>
      </c>
      <c r="AG770" s="4" t="str">
        <f t="shared" si="90"/>
        <v/>
      </c>
      <c r="AH770" s="4" t="str">
        <f t="shared" si="91"/>
        <v/>
      </c>
      <c r="AI770" s="2" t="str">
        <f t="shared" si="92"/>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86"/>
        <v/>
      </c>
      <c r="AD771" s="4" t="str">
        <f t="shared" si="87"/>
        <v/>
      </c>
      <c r="AE771" s="4" t="str">
        <f t="shared" si="88"/>
        <v/>
      </c>
      <c r="AF771" s="4" t="str">
        <f t="shared" si="89"/>
        <v/>
      </c>
      <c r="AG771" s="4" t="str">
        <f t="shared" si="90"/>
        <v/>
      </c>
      <c r="AH771" s="4" t="str">
        <f t="shared" si="91"/>
        <v/>
      </c>
      <c r="AI771" s="2" t="str">
        <f t="shared" si="92"/>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si="86"/>
        <v/>
      </c>
      <c r="AD772" s="4" t="str">
        <f t="shared" si="87"/>
        <v/>
      </c>
      <c r="AE772" s="4" t="str">
        <f t="shared" si="88"/>
        <v/>
      </c>
      <c r="AF772" s="4" t="str">
        <f t="shared" si="89"/>
        <v/>
      </c>
      <c r="AG772" s="4" t="str">
        <f t="shared" si="90"/>
        <v/>
      </c>
      <c r="AH772" s="4" t="str">
        <f t="shared" si="91"/>
        <v/>
      </c>
      <c r="AI772" s="2" t="str">
        <f t="shared" si="92"/>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ref="AC773:AC836" si="93">IF((MAX(A773,L773,N773,P773,X773,Y773)-MIN(A773,L773,N773,P773,X773,Y773))&gt;3,1,"")</f>
        <v/>
      </c>
      <c r="AD773" s="4" t="str">
        <f t="shared" ref="AD773:AD836" si="94">IF((MAX(B773,D773,M773,U773)-MIN(B773,D773,M773,U773))&gt;3,1,"")</f>
        <v/>
      </c>
      <c r="AE773" s="4" t="str">
        <f t="shared" ref="AE773:AE836" si="95">IF((MAX(I773,T773,V773,W773)-MIN(I773,T773,V773,W773))&gt;3,1,"")</f>
        <v/>
      </c>
      <c r="AF773" s="4" t="str">
        <f t="shared" ref="AF773:AF836" si="96">IF((MAX(H773,K773,Q773,S773)-MIN(H773,K773,Q773,S773))&gt;3,1,"")</f>
        <v/>
      </c>
      <c r="AG773" s="4" t="str">
        <f t="shared" ref="AG773:AG836" si="97">IF((MAX(E773,F773,G773,R773)-MIN(E773,F773,G773,R773))&gt;3,1,"")</f>
        <v/>
      </c>
      <c r="AH773" s="4" t="str">
        <f t="shared" ref="AH773:AH836" si="98">IF((MAX(C773,J773,O773,Z773)-MIN(C773,J773,O773,Z773))&gt;3,1,"")</f>
        <v/>
      </c>
      <c r="AI773" s="2" t="str">
        <f t="shared" ref="AI773:AI836" si="99">IF(COUNT(A773:Z773)&gt;0,IF(COUNT(AC773,AD773,AE773,AF773,AG773,AH773)&gt;0,SUM(AC773,AD773,AE773,AF773,AG773,AH773),0),"")</f>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93"/>
        <v/>
      </c>
      <c r="AD774" s="4" t="str">
        <f t="shared" si="94"/>
        <v/>
      </c>
      <c r="AE774" s="4" t="str">
        <f t="shared" si="95"/>
        <v/>
      </c>
      <c r="AF774" s="4" t="str">
        <f t="shared" si="96"/>
        <v/>
      </c>
      <c r="AG774" s="4" t="str">
        <f t="shared" si="97"/>
        <v/>
      </c>
      <c r="AH774" s="4" t="str">
        <f t="shared" si="98"/>
        <v/>
      </c>
      <c r="AI774" s="2" t="str">
        <f t="shared" si="99"/>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93"/>
        <v/>
      </c>
      <c r="AD775" s="4" t="str">
        <f t="shared" si="94"/>
        <v/>
      </c>
      <c r="AE775" s="4" t="str">
        <f t="shared" si="95"/>
        <v/>
      </c>
      <c r="AF775" s="4" t="str">
        <f t="shared" si="96"/>
        <v/>
      </c>
      <c r="AG775" s="4" t="str">
        <f t="shared" si="97"/>
        <v/>
      </c>
      <c r="AH775" s="4" t="str">
        <f t="shared" si="98"/>
        <v/>
      </c>
      <c r="AI775" s="2" t="str">
        <f t="shared" si="99"/>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93"/>
        <v/>
      </c>
      <c r="AD776" s="4" t="str">
        <f t="shared" si="94"/>
        <v/>
      </c>
      <c r="AE776" s="4" t="str">
        <f t="shared" si="95"/>
        <v/>
      </c>
      <c r="AF776" s="4" t="str">
        <f t="shared" si="96"/>
        <v/>
      </c>
      <c r="AG776" s="4" t="str">
        <f t="shared" si="97"/>
        <v/>
      </c>
      <c r="AH776" s="4" t="str">
        <f t="shared" si="98"/>
        <v/>
      </c>
      <c r="AI776" s="2" t="str">
        <f t="shared" si="99"/>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93"/>
        <v/>
      </c>
      <c r="AD777" s="4" t="str">
        <f t="shared" si="94"/>
        <v/>
      </c>
      <c r="AE777" s="4" t="str">
        <f t="shared" si="95"/>
        <v/>
      </c>
      <c r="AF777" s="4" t="str">
        <f t="shared" si="96"/>
        <v/>
      </c>
      <c r="AG777" s="4" t="str">
        <f t="shared" si="97"/>
        <v/>
      </c>
      <c r="AH777" s="4" t="str">
        <f t="shared" si="98"/>
        <v/>
      </c>
      <c r="AI777" s="2" t="str">
        <f t="shared" si="99"/>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93"/>
        <v/>
      </c>
      <c r="AD778" s="4" t="str">
        <f t="shared" si="94"/>
        <v/>
      </c>
      <c r="AE778" s="4" t="str">
        <f t="shared" si="95"/>
        <v/>
      </c>
      <c r="AF778" s="4" t="str">
        <f t="shared" si="96"/>
        <v/>
      </c>
      <c r="AG778" s="4" t="str">
        <f t="shared" si="97"/>
        <v/>
      </c>
      <c r="AH778" s="4" t="str">
        <f t="shared" si="98"/>
        <v/>
      </c>
      <c r="AI778" s="2" t="str">
        <f t="shared" si="99"/>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93"/>
        <v/>
      </c>
      <c r="AD779" s="4" t="str">
        <f t="shared" si="94"/>
        <v/>
      </c>
      <c r="AE779" s="4" t="str">
        <f t="shared" si="95"/>
        <v/>
      </c>
      <c r="AF779" s="4" t="str">
        <f t="shared" si="96"/>
        <v/>
      </c>
      <c r="AG779" s="4" t="str">
        <f t="shared" si="97"/>
        <v/>
      </c>
      <c r="AH779" s="4" t="str">
        <f t="shared" si="98"/>
        <v/>
      </c>
      <c r="AI779" s="2" t="str">
        <f t="shared" si="99"/>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93"/>
        <v/>
      </c>
      <c r="AD780" s="4" t="str">
        <f t="shared" si="94"/>
        <v/>
      </c>
      <c r="AE780" s="4" t="str">
        <f t="shared" si="95"/>
        <v/>
      </c>
      <c r="AF780" s="4" t="str">
        <f t="shared" si="96"/>
        <v/>
      </c>
      <c r="AG780" s="4" t="str">
        <f t="shared" si="97"/>
        <v/>
      </c>
      <c r="AH780" s="4" t="str">
        <f t="shared" si="98"/>
        <v/>
      </c>
      <c r="AI780" s="2" t="str">
        <f t="shared" si="99"/>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93"/>
        <v/>
      </c>
      <c r="AD781" s="4" t="str">
        <f t="shared" si="94"/>
        <v/>
      </c>
      <c r="AE781" s="4" t="str">
        <f t="shared" si="95"/>
        <v/>
      </c>
      <c r="AF781" s="4" t="str">
        <f t="shared" si="96"/>
        <v/>
      </c>
      <c r="AG781" s="4" t="str">
        <f t="shared" si="97"/>
        <v/>
      </c>
      <c r="AH781" s="4" t="str">
        <f t="shared" si="98"/>
        <v/>
      </c>
      <c r="AI781" s="2" t="str">
        <f t="shared" si="99"/>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93"/>
        <v/>
      </c>
      <c r="AD782" s="4" t="str">
        <f t="shared" si="94"/>
        <v/>
      </c>
      <c r="AE782" s="4" t="str">
        <f t="shared" si="95"/>
        <v/>
      </c>
      <c r="AF782" s="4" t="str">
        <f t="shared" si="96"/>
        <v/>
      </c>
      <c r="AG782" s="4" t="str">
        <f t="shared" si="97"/>
        <v/>
      </c>
      <c r="AH782" s="4" t="str">
        <f t="shared" si="98"/>
        <v/>
      </c>
      <c r="AI782" s="2" t="str">
        <f t="shared" si="99"/>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93"/>
        <v/>
      </c>
      <c r="AD783" s="4" t="str">
        <f t="shared" si="94"/>
        <v/>
      </c>
      <c r="AE783" s="4" t="str">
        <f t="shared" si="95"/>
        <v/>
      </c>
      <c r="AF783" s="4" t="str">
        <f t="shared" si="96"/>
        <v/>
      </c>
      <c r="AG783" s="4" t="str">
        <f t="shared" si="97"/>
        <v/>
      </c>
      <c r="AH783" s="4" t="str">
        <f t="shared" si="98"/>
        <v/>
      </c>
      <c r="AI783" s="2" t="str">
        <f t="shared" si="99"/>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93"/>
        <v/>
      </c>
      <c r="AD784" s="4" t="str">
        <f t="shared" si="94"/>
        <v/>
      </c>
      <c r="AE784" s="4" t="str">
        <f t="shared" si="95"/>
        <v/>
      </c>
      <c r="AF784" s="4" t="str">
        <f t="shared" si="96"/>
        <v/>
      </c>
      <c r="AG784" s="4" t="str">
        <f t="shared" si="97"/>
        <v/>
      </c>
      <c r="AH784" s="4" t="str">
        <f t="shared" si="98"/>
        <v/>
      </c>
      <c r="AI784" s="2" t="str">
        <f t="shared" si="99"/>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93"/>
        <v/>
      </c>
      <c r="AD785" s="4" t="str">
        <f t="shared" si="94"/>
        <v/>
      </c>
      <c r="AE785" s="4" t="str">
        <f t="shared" si="95"/>
        <v/>
      </c>
      <c r="AF785" s="4" t="str">
        <f t="shared" si="96"/>
        <v/>
      </c>
      <c r="AG785" s="4" t="str">
        <f t="shared" si="97"/>
        <v/>
      </c>
      <c r="AH785" s="4" t="str">
        <f t="shared" si="98"/>
        <v/>
      </c>
      <c r="AI785" s="2" t="str">
        <f t="shared" si="99"/>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93"/>
        <v/>
      </c>
      <c r="AD786" s="4" t="str">
        <f t="shared" si="94"/>
        <v/>
      </c>
      <c r="AE786" s="4" t="str">
        <f t="shared" si="95"/>
        <v/>
      </c>
      <c r="AF786" s="4" t="str">
        <f t="shared" si="96"/>
        <v/>
      </c>
      <c r="AG786" s="4" t="str">
        <f t="shared" si="97"/>
        <v/>
      </c>
      <c r="AH786" s="4" t="str">
        <f t="shared" si="98"/>
        <v/>
      </c>
      <c r="AI786" s="2" t="str">
        <f t="shared" si="99"/>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93"/>
        <v/>
      </c>
      <c r="AD787" s="4" t="str">
        <f t="shared" si="94"/>
        <v/>
      </c>
      <c r="AE787" s="4" t="str">
        <f t="shared" si="95"/>
        <v/>
      </c>
      <c r="AF787" s="4" t="str">
        <f t="shared" si="96"/>
        <v/>
      </c>
      <c r="AG787" s="4" t="str">
        <f t="shared" si="97"/>
        <v/>
      </c>
      <c r="AH787" s="4" t="str">
        <f t="shared" si="98"/>
        <v/>
      </c>
      <c r="AI787" s="2" t="str">
        <f t="shared" si="99"/>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93"/>
        <v/>
      </c>
      <c r="AD788" s="4" t="str">
        <f t="shared" si="94"/>
        <v/>
      </c>
      <c r="AE788" s="4" t="str">
        <f t="shared" si="95"/>
        <v/>
      </c>
      <c r="AF788" s="4" t="str">
        <f t="shared" si="96"/>
        <v/>
      </c>
      <c r="AG788" s="4" t="str">
        <f t="shared" si="97"/>
        <v/>
      </c>
      <c r="AH788" s="4" t="str">
        <f t="shared" si="98"/>
        <v/>
      </c>
      <c r="AI788" s="2" t="str">
        <f t="shared" si="99"/>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93"/>
        <v/>
      </c>
      <c r="AD789" s="4" t="str">
        <f t="shared" si="94"/>
        <v/>
      </c>
      <c r="AE789" s="4" t="str">
        <f t="shared" si="95"/>
        <v/>
      </c>
      <c r="AF789" s="4" t="str">
        <f t="shared" si="96"/>
        <v/>
      </c>
      <c r="AG789" s="4" t="str">
        <f t="shared" si="97"/>
        <v/>
      </c>
      <c r="AH789" s="4" t="str">
        <f t="shared" si="98"/>
        <v/>
      </c>
      <c r="AI789" s="2" t="str">
        <f t="shared" si="99"/>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93"/>
        <v/>
      </c>
      <c r="AD790" s="4" t="str">
        <f t="shared" si="94"/>
        <v/>
      </c>
      <c r="AE790" s="4" t="str">
        <f t="shared" si="95"/>
        <v/>
      </c>
      <c r="AF790" s="4" t="str">
        <f t="shared" si="96"/>
        <v/>
      </c>
      <c r="AG790" s="4" t="str">
        <f t="shared" si="97"/>
        <v/>
      </c>
      <c r="AH790" s="4" t="str">
        <f t="shared" si="98"/>
        <v/>
      </c>
      <c r="AI790" s="2" t="str">
        <f t="shared" si="99"/>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93"/>
        <v/>
      </c>
      <c r="AD791" s="4" t="str">
        <f t="shared" si="94"/>
        <v/>
      </c>
      <c r="AE791" s="4" t="str">
        <f t="shared" si="95"/>
        <v/>
      </c>
      <c r="AF791" s="4" t="str">
        <f t="shared" si="96"/>
        <v/>
      </c>
      <c r="AG791" s="4" t="str">
        <f t="shared" si="97"/>
        <v/>
      </c>
      <c r="AH791" s="4" t="str">
        <f t="shared" si="98"/>
        <v/>
      </c>
      <c r="AI791" s="2" t="str">
        <f t="shared" si="99"/>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93"/>
        <v/>
      </c>
      <c r="AD792" s="4" t="str">
        <f t="shared" si="94"/>
        <v/>
      </c>
      <c r="AE792" s="4" t="str">
        <f t="shared" si="95"/>
        <v/>
      </c>
      <c r="AF792" s="4" t="str">
        <f t="shared" si="96"/>
        <v/>
      </c>
      <c r="AG792" s="4" t="str">
        <f t="shared" si="97"/>
        <v/>
      </c>
      <c r="AH792" s="4" t="str">
        <f t="shared" si="98"/>
        <v/>
      </c>
      <c r="AI792" s="2" t="str">
        <f t="shared" si="99"/>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93"/>
        <v/>
      </c>
      <c r="AD793" s="4" t="str">
        <f t="shared" si="94"/>
        <v/>
      </c>
      <c r="AE793" s="4" t="str">
        <f t="shared" si="95"/>
        <v/>
      </c>
      <c r="AF793" s="4" t="str">
        <f t="shared" si="96"/>
        <v/>
      </c>
      <c r="AG793" s="4" t="str">
        <f t="shared" si="97"/>
        <v/>
      </c>
      <c r="AH793" s="4" t="str">
        <f t="shared" si="98"/>
        <v/>
      </c>
      <c r="AI793" s="2" t="str">
        <f t="shared" si="99"/>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93"/>
        <v/>
      </c>
      <c r="AD794" s="4" t="str">
        <f t="shared" si="94"/>
        <v/>
      </c>
      <c r="AE794" s="4" t="str">
        <f t="shared" si="95"/>
        <v/>
      </c>
      <c r="AF794" s="4" t="str">
        <f t="shared" si="96"/>
        <v/>
      </c>
      <c r="AG794" s="4" t="str">
        <f t="shared" si="97"/>
        <v/>
      </c>
      <c r="AH794" s="4" t="str">
        <f t="shared" si="98"/>
        <v/>
      </c>
      <c r="AI794" s="2" t="str">
        <f t="shared" si="99"/>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93"/>
        <v/>
      </c>
      <c r="AD795" s="4" t="str">
        <f t="shared" si="94"/>
        <v/>
      </c>
      <c r="AE795" s="4" t="str">
        <f t="shared" si="95"/>
        <v/>
      </c>
      <c r="AF795" s="4" t="str">
        <f t="shared" si="96"/>
        <v/>
      </c>
      <c r="AG795" s="4" t="str">
        <f t="shared" si="97"/>
        <v/>
      </c>
      <c r="AH795" s="4" t="str">
        <f t="shared" si="98"/>
        <v/>
      </c>
      <c r="AI795" s="2" t="str">
        <f t="shared" si="99"/>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93"/>
        <v/>
      </c>
      <c r="AD796" s="4" t="str">
        <f t="shared" si="94"/>
        <v/>
      </c>
      <c r="AE796" s="4" t="str">
        <f t="shared" si="95"/>
        <v/>
      </c>
      <c r="AF796" s="4" t="str">
        <f t="shared" si="96"/>
        <v/>
      </c>
      <c r="AG796" s="4" t="str">
        <f t="shared" si="97"/>
        <v/>
      </c>
      <c r="AH796" s="4" t="str">
        <f t="shared" si="98"/>
        <v/>
      </c>
      <c r="AI796" s="2" t="str">
        <f t="shared" si="99"/>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93"/>
        <v/>
      </c>
      <c r="AD797" s="4" t="str">
        <f t="shared" si="94"/>
        <v/>
      </c>
      <c r="AE797" s="4" t="str">
        <f t="shared" si="95"/>
        <v/>
      </c>
      <c r="AF797" s="4" t="str">
        <f t="shared" si="96"/>
        <v/>
      </c>
      <c r="AG797" s="4" t="str">
        <f t="shared" si="97"/>
        <v/>
      </c>
      <c r="AH797" s="4" t="str">
        <f t="shared" si="98"/>
        <v/>
      </c>
      <c r="AI797" s="2" t="str">
        <f t="shared" si="99"/>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93"/>
        <v/>
      </c>
      <c r="AD798" s="4" t="str">
        <f t="shared" si="94"/>
        <v/>
      </c>
      <c r="AE798" s="4" t="str">
        <f t="shared" si="95"/>
        <v/>
      </c>
      <c r="AF798" s="4" t="str">
        <f t="shared" si="96"/>
        <v/>
      </c>
      <c r="AG798" s="4" t="str">
        <f t="shared" si="97"/>
        <v/>
      </c>
      <c r="AH798" s="4" t="str">
        <f t="shared" si="98"/>
        <v/>
      </c>
      <c r="AI798" s="2" t="str">
        <f t="shared" si="99"/>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93"/>
        <v/>
      </c>
      <c r="AD799" s="4" t="str">
        <f t="shared" si="94"/>
        <v/>
      </c>
      <c r="AE799" s="4" t="str">
        <f t="shared" si="95"/>
        <v/>
      </c>
      <c r="AF799" s="4" t="str">
        <f t="shared" si="96"/>
        <v/>
      </c>
      <c r="AG799" s="4" t="str">
        <f t="shared" si="97"/>
        <v/>
      </c>
      <c r="AH799" s="4" t="str">
        <f t="shared" si="98"/>
        <v/>
      </c>
      <c r="AI799" s="2" t="str">
        <f t="shared" si="99"/>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93"/>
        <v/>
      </c>
      <c r="AD800" s="4" t="str">
        <f t="shared" si="94"/>
        <v/>
      </c>
      <c r="AE800" s="4" t="str">
        <f t="shared" si="95"/>
        <v/>
      </c>
      <c r="AF800" s="4" t="str">
        <f t="shared" si="96"/>
        <v/>
      </c>
      <c r="AG800" s="4" t="str">
        <f t="shared" si="97"/>
        <v/>
      </c>
      <c r="AH800" s="4" t="str">
        <f t="shared" si="98"/>
        <v/>
      </c>
      <c r="AI800" s="2" t="str">
        <f t="shared" si="99"/>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93"/>
        <v/>
      </c>
      <c r="AD801" s="4" t="str">
        <f t="shared" si="94"/>
        <v/>
      </c>
      <c r="AE801" s="4" t="str">
        <f t="shared" si="95"/>
        <v/>
      </c>
      <c r="AF801" s="4" t="str">
        <f t="shared" si="96"/>
        <v/>
      </c>
      <c r="AG801" s="4" t="str">
        <f t="shared" si="97"/>
        <v/>
      </c>
      <c r="AH801" s="4" t="str">
        <f t="shared" si="98"/>
        <v/>
      </c>
      <c r="AI801" s="2" t="str">
        <f t="shared" si="99"/>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93"/>
        <v/>
      </c>
      <c r="AD802" s="4" t="str">
        <f t="shared" si="94"/>
        <v/>
      </c>
      <c r="AE802" s="4" t="str">
        <f t="shared" si="95"/>
        <v/>
      </c>
      <c r="AF802" s="4" t="str">
        <f t="shared" si="96"/>
        <v/>
      </c>
      <c r="AG802" s="4" t="str">
        <f t="shared" si="97"/>
        <v/>
      </c>
      <c r="AH802" s="4" t="str">
        <f t="shared" si="98"/>
        <v/>
      </c>
      <c r="AI802" s="2" t="str">
        <f t="shared" si="99"/>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93"/>
        <v/>
      </c>
      <c r="AD803" s="4" t="str">
        <f t="shared" si="94"/>
        <v/>
      </c>
      <c r="AE803" s="4" t="str">
        <f t="shared" si="95"/>
        <v/>
      </c>
      <c r="AF803" s="4" t="str">
        <f t="shared" si="96"/>
        <v/>
      </c>
      <c r="AG803" s="4" t="str">
        <f t="shared" si="97"/>
        <v/>
      </c>
      <c r="AH803" s="4" t="str">
        <f t="shared" si="98"/>
        <v/>
      </c>
      <c r="AI803" s="2" t="str">
        <f t="shared" si="99"/>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93"/>
        <v/>
      </c>
      <c r="AD804" s="4" t="str">
        <f t="shared" si="94"/>
        <v/>
      </c>
      <c r="AE804" s="4" t="str">
        <f t="shared" si="95"/>
        <v/>
      </c>
      <c r="AF804" s="4" t="str">
        <f t="shared" si="96"/>
        <v/>
      </c>
      <c r="AG804" s="4" t="str">
        <f t="shared" si="97"/>
        <v/>
      </c>
      <c r="AH804" s="4" t="str">
        <f t="shared" si="98"/>
        <v/>
      </c>
      <c r="AI804" s="2" t="str">
        <f t="shared" si="99"/>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93"/>
        <v/>
      </c>
      <c r="AD805" s="4" t="str">
        <f t="shared" si="94"/>
        <v/>
      </c>
      <c r="AE805" s="4" t="str">
        <f t="shared" si="95"/>
        <v/>
      </c>
      <c r="AF805" s="4" t="str">
        <f t="shared" si="96"/>
        <v/>
      </c>
      <c r="AG805" s="4" t="str">
        <f t="shared" si="97"/>
        <v/>
      </c>
      <c r="AH805" s="4" t="str">
        <f t="shared" si="98"/>
        <v/>
      </c>
      <c r="AI805" s="2" t="str">
        <f t="shared" si="99"/>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93"/>
        <v/>
      </c>
      <c r="AD806" s="4" t="str">
        <f t="shared" si="94"/>
        <v/>
      </c>
      <c r="AE806" s="4" t="str">
        <f t="shared" si="95"/>
        <v/>
      </c>
      <c r="AF806" s="4" t="str">
        <f t="shared" si="96"/>
        <v/>
      </c>
      <c r="AG806" s="4" t="str">
        <f t="shared" si="97"/>
        <v/>
      </c>
      <c r="AH806" s="4" t="str">
        <f t="shared" si="98"/>
        <v/>
      </c>
      <c r="AI806" s="2" t="str">
        <f t="shared" si="99"/>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93"/>
        <v/>
      </c>
      <c r="AD807" s="4" t="str">
        <f t="shared" si="94"/>
        <v/>
      </c>
      <c r="AE807" s="4" t="str">
        <f t="shared" si="95"/>
        <v/>
      </c>
      <c r="AF807" s="4" t="str">
        <f t="shared" si="96"/>
        <v/>
      </c>
      <c r="AG807" s="4" t="str">
        <f t="shared" si="97"/>
        <v/>
      </c>
      <c r="AH807" s="4" t="str">
        <f t="shared" si="98"/>
        <v/>
      </c>
      <c r="AI807" s="2" t="str">
        <f t="shared" si="99"/>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93"/>
        <v/>
      </c>
      <c r="AD808" s="4" t="str">
        <f t="shared" si="94"/>
        <v/>
      </c>
      <c r="AE808" s="4" t="str">
        <f t="shared" si="95"/>
        <v/>
      </c>
      <c r="AF808" s="4" t="str">
        <f t="shared" si="96"/>
        <v/>
      </c>
      <c r="AG808" s="4" t="str">
        <f t="shared" si="97"/>
        <v/>
      </c>
      <c r="AH808" s="4" t="str">
        <f t="shared" si="98"/>
        <v/>
      </c>
      <c r="AI808" s="2" t="str">
        <f t="shared" si="99"/>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93"/>
        <v/>
      </c>
      <c r="AD809" s="4" t="str">
        <f t="shared" si="94"/>
        <v/>
      </c>
      <c r="AE809" s="4" t="str">
        <f t="shared" si="95"/>
        <v/>
      </c>
      <c r="AF809" s="4" t="str">
        <f t="shared" si="96"/>
        <v/>
      </c>
      <c r="AG809" s="4" t="str">
        <f t="shared" si="97"/>
        <v/>
      </c>
      <c r="AH809" s="4" t="str">
        <f t="shared" si="98"/>
        <v/>
      </c>
      <c r="AI809" s="2" t="str">
        <f t="shared" si="99"/>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93"/>
        <v/>
      </c>
      <c r="AD810" s="4" t="str">
        <f t="shared" si="94"/>
        <v/>
      </c>
      <c r="AE810" s="4" t="str">
        <f t="shared" si="95"/>
        <v/>
      </c>
      <c r="AF810" s="4" t="str">
        <f t="shared" si="96"/>
        <v/>
      </c>
      <c r="AG810" s="4" t="str">
        <f t="shared" si="97"/>
        <v/>
      </c>
      <c r="AH810" s="4" t="str">
        <f t="shared" si="98"/>
        <v/>
      </c>
      <c r="AI810" s="2" t="str">
        <f t="shared" si="99"/>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93"/>
        <v/>
      </c>
      <c r="AD811" s="4" t="str">
        <f t="shared" si="94"/>
        <v/>
      </c>
      <c r="AE811" s="4" t="str">
        <f t="shared" si="95"/>
        <v/>
      </c>
      <c r="AF811" s="4" t="str">
        <f t="shared" si="96"/>
        <v/>
      </c>
      <c r="AG811" s="4" t="str">
        <f t="shared" si="97"/>
        <v/>
      </c>
      <c r="AH811" s="4" t="str">
        <f t="shared" si="98"/>
        <v/>
      </c>
      <c r="AI811" s="2" t="str">
        <f t="shared" si="99"/>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93"/>
        <v/>
      </c>
      <c r="AD812" s="4" t="str">
        <f t="shared" si="94"/>
        <v/>
      </c>
      <c r="AE812" s="4" t="str">
        <f t="shared" si="95"/>
        <v/>
      </c>
      <c r="AF812" s="4" t="str">
        <f t="shared" si="96"/>
        <v/>
      </c>
      <c r="AG812" s="4" t="str">
        <f t="shared" si="97"/>
        <v/>
      </c>
      <c r="AH812" s="4" t="str">
        <f t="shared" si="98"/>
        <v/>
      </c>
      <c r="AI812" s="2" t="str">
        <f t="shared" si="99"/>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93"/>
        <v/>
      </c>
      <c r="AD813" s="4" t="str">
        <f t="shared" si="94"/>
        <v/>
      </c>
      <c r="AE813" s="4" t="str">
        <f t="shared" si="95"/>
        <v/>
      </c>
      <c r="AF813" s="4" t="str">
        <f t="shared" si="96"/>
        <v/>
      </c>
      <c r="AG813" s="4" t="str">
        <f t="shared" si="97"/>
        <v/>
      </c>
      <c r="AH813" s="4" t="str">
        <f t="shared" si="98"/>
        <v/>
      </c>
      <c r="AI813" s="2" t="str">
        <f t="shared" si="99"/>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93"/>
        <v/>
      </c>
      <c r="AD814" s="4" t="str">
        <f t="shared" si="94"/>
        <v/>
      </c>
      <c r="AE814" s="4" t="str">
        <f t="shared" si="95"/>
        <v/>
      </c>
      <c r="AF814" s="4" t="str">
        <f t="shared" si="96"/>
        <v/>
      </c>
      <c r="AG814" s="4" t="str">
        <f t="shared" si="97"/>
        <v/>
      </c>
      <c r="AH814" s="4" t="str">
        <f t="shared" si="98"/>
        <v/>
      </c>
      <c r="AI814" s="2" t="str">
        <f t="shared" si="99"/>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93"/>
        <v/>
      </c>
      <c r="AD815" s="4" t="str">
        <f t="shared" si="94"/>
        <v/>
      </c>
      <c r="AE815" s="4" t="str">
        <f t="shared" si="95"/>
        <v/>
      </c>
      <c r="AF815" s="4" t="str">
        <f t="shared" si="96"/>
        <v/>
      </c>
      <c r="AG815" s="4" t="str">
        <f t="shared" si="97"/>
        <v/>
      </c>
      <c r="AH815" s="4" t="str">
        <f t="shared" si="98"/>
        <v/>
      </c>
      <c r="AI815" s="2" t="str">
        <f t="shared" si="99"/>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93"/>
        <v/>
      </c>
      <c r="AD816" s="4" t="str">
        <f t="shared" si="94"/>
        <v/>
      </c>
      <c r="AE816" s="4" t="str">
        <f t="shared" si="95"/>
        <v/>
      </c>
      <c r="AF816" s="4" t="str">
        <f t="shared" si="96"/>
        <v/>
      </c>
      <c r="AG816" s="4" t="str">
        <f t="shared" si="97"/>
        <v/>
      </c>
      <c r="AH816" s="4" t="str">
        <f t="shared" si="98"/>
        <v/>
      </c>
      <c r="AI816" s="2" t="str">
        <f t="shared" si="99"/>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93"/>
        <v/>
      </c>
      <c r="AD817" s="4" t="str">
        <f t="shared" si="94"/>
        <v/>
      </c>
      <c r="AE817" s="4" t="str">
        <f t="shared" si="95"/>
        <v/>
      </c>
      <c r="AF817" s="4" t="str">
        <f t="shared" si="96"/>
        <v/>
      </c>
      <c r="AG817" s="4" t="str">
        <f t="shared" si="97"/>
        <v/>
      </c>
      <c r="AH817" s="4" t="str">
        <f t="shared" si="98"/>
        <v/>
      </c>
      <c r="AI817" s="2" t="str">
        <f t="shared" si="99"/>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93"/>
        <v/>
      </c>
      <c r="AD818" s="4" t="str">
        <f t="shared" si="94"/>
        <v/>
      </c>
      <c r="AE818" s="4" t="str">
        <f t="shared" si="95"/>
        <v/>
      </c>
      <c r="AF818" s="4" t="str">
        <f t="shared" si="96"/>
        <v/>
      </c>
      <c r="AG818" s="4" t="str">
        <f t="shared" si="97"/>
        <v/>
      </c>
      <c r="AH818" s="4" t="str">
        <f t="shared" si="98"/>
        <v/>
      </c>
      <c r="AI818" s="2" t="str">
        <f t="shared" si="99"/>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93"/>
        <v/>
      </c>
      <c r="AD819" s="4" t="str">
        <f t="shared" si="94"/>
        <v/>
      </c>
      <c r="AE819" s="4" t="str">
        <f t="shared" si="95"/>
        <v/>
      </c>
      <c r="AF819" s="4" t="str">
        <f t="shared" si="96"/>
        <v/>
      </c>
      <c r="AG819" s="4" t="str">
        <f t="shared" si="97"/>
        <v/>
      </c>
      <c r="AH819" s="4" t="str">
        <f t="shared" si="98"/>
        <v/>
      </c>
      <c r="AI819" s="2" t="str">
        <f t="shared" si="99"/>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93"/>
        <v/>
      </c>
      <c r="AD820" s="4" t="str">
        <f t="shared" si="94"/>
        <v/>
      </c>
      <c r="AE820" s="4" t="str">
        <f t="shared" si="95"/>
        <v/>
      </c>
      <c r="AF820" s="4" t="str">
        <f t="shared" si="96"/>
        <v/>
      </c>
      <c r="AG820" s="4" t="str">
        <f t="shared" si="97"/>
        <v/>
      </c>
      <c r="AH820" s="4" t="str">
        <f t="shared" si="98"/>
        <v/>
      </c>
      <c r="AI820" s="2" t="str">
        <f t="shared" si="99"/>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93"/>
        <v/>
      </c>
      <c r="AD821" s="4" t="str">
        <f t="shared" si="94"/>
        <v/>
      </c>
      <c r="AE821" s="4" t="str">
        <f t="shared" si="95"/>
        <v/>
      </c>
      <c r="AF821" s="4" t="str">
        <f t="shared" si="96"/>
        <v/>
      </c>
      <c r="AG821" s="4" t="str">
        <f t="shared" si="97"/>
        <v/>
      </c>
      <c r="AH821" s="4" t="str">
        <f t="shared" si="98"/>
        <v/>
      </c>
      <c r="AI821" s="2" t="str">
        <f t="shared" si="99"/>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93"/>
        <v/>
      </c>
      <c r="AD822" s="4" t="str">
        <f t="shared" si="94"/>
        <v/>
      </c>
      <c r="AE822" s="4" t="str">
        <f t="shared" si="95"/>
        <v/>
      </c>
      <c r="AF822" s="4" t="str">
        <f t="shared" si="96"/>
        <v/>
      </c>
      <c r="AG822" s="4" t="str">
        <f t="shared" si="97"/>
        <v/>
      </c>
      <c r="AH822" s="4" t="str">
        <f t="shared" si="98"/>
        <v/>
      </c>
      <c r="AI822" s="2" t="str">
        <f t="shared" si="99"/>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93"/>
        <v/>
      </c>
      <c r="AD823" s="4" t="str">
        <f t="shared" si="94"/>
        <v/>
      </c>
      <c r="AE823" s="4" t="str">
        <f t="shared" si="95"/>
        <v/>
      </c>
      <c r="AF823" s="4" t="str">
        <f t="shared" si="96"/>
        <v/>
      </c>
      <c r="AG823" s="4" t="str">
        <f t="shared" si="97"/>
        <v/>
      </c>
      <c r="AH823" s="4" t="str">
        <f t="shared" si="98"/>
        <v/>
      </c>
      <c r="AI823" s="2" t="str">
        <f t="shared" si="99"/>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93"/>
        <v/>
      </c>
      <c r="AD824" s="4" t="str">
        <f t="shared" si="94"/>
        <v/>
      </c>
      <c r="AE824" s="4" t="str">
        <f t="shared" si="95"/>
        <v/>
      </c>
      <c r="AF824" s="4" t="str">
        <f t="shared" si="96"/>
        <v/>
      </c>
      <c r="AG824" s="4" t="str">
        <f t="shared" si="97"/>
        <v/>
      </c>
      <c r="AH824" s="4" t="str">
        <f t="shared" si="98"/>
        <v/>
      </c>
      <c r="AI824" s="2" t="str">
        <f t="shared" si="99"/>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93"/>
        <v/>
      </c>
      <c r="AD825" s="4" t="str">
        <f t="shared" si="94"/>
        <v/>
      </c>
      <c r="AE825" s="4" t="str">
        <f t="shared" si="95"/>
        <v/>
      </c>
      <c r="AF825" s="4" t="str">
        <f t="shared" si="96"/>
        <v/>
      </c>
      <c r="AG825" s="4" t="str">
        <f t="shared" si="97"/>
        <v/>
      </c>
      <c r="AH825" s="4" t="str">
        <f t="shared" si="98"/>
        <v/>
      </c>
      <c r="AI825" s="2" t="str">
        <f t="shared" si="99"/>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93"/>
        <v/>
      </c>
      <c r="AD826" s="4" t="str">
        <f t="shared" si="94"/>
        <v/>
      </c>
      <c r="AE826" s="4" t="str">
        <f t="shared" si="95"/>
        <v/>
      </c>
      <c r="AF826" s="4" t="str">
        <f t="shared" si="96"/>
        <v/>
      </c>
      <c r="AG826" s="4" t="str">
        <f t="shared" si="97"/>
        <v/>
      </c>
      <c r="AH826" s="4" t="str">
        <f t="shared" si="98"/>
        <v/>
      </c>
      <c r="AI826" s="2" t="str">
        <f t="shared" si="99"/>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93"/>
        <v/>
      </c>
      <c r="AD827" s="4" t="str">
        <f t="shared" si="94"/>
        <v/>
      </c>
      <c r="AE827" s="4" t="str">
        <f t="shared" si="95"/>
        <v/>
      </c>
      <c r="AF827" s="4" t="str">
        <f t="shared" si="96"/>
        <v/>
      </c>
      <c r="AG827" s="4" t="str">
        <f t="shared" si="97"/>
        <v/>
      </c>
      <c r="AH827" s="4" t="str">
        <f t="shared" si="98"/>
        <v/>
      </c>
      <c r="AI827" s="2" t="str">
        <f t="shared" si="99"/>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93"/>
        <v/>
      </c>
      <c r="AD828" s="4" t="str">
        <f t="shared" si="94"/>
        <v/>
      </c>
      <c r="AE828" s="4" t="str">
        <f t="shared" si="95"/>
        <v/>
      </c>
      <c r="AF828" s="4" t="str">
        <f t="shared" si="96"/>
        <v/>
      </c>
      <c r="AG828" s="4" t="str">
        <f t="shared" si="97"/>
        <v/>
      </c>
      <c r="AH828" s="4" t="str">
        <f t="shared" si="98"/>
        <v/>
      </c>
      <c r="AI828" s="2" t="str">
        <f t="shared" si="99"/>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93"/>
        <v/>
      </c>
      <c r="AD829" s="4" t="str">
        <f t="shared" si="94"/>
        <v/>
      </c>
      <c r="AE829" s="4" t="str">
        <f t="shared" si="95"/>
        <v/>
      </c>
      <c r="AF829" s="4" t="str">
        <f t="shared" si="96"/>
        <v/>
      </c>
      <c r="AG829" s="4" t="str">
        <f t="shared" si="97"/>
        <v/>
      </c>
      <c r="AH829" s="4" t="str">
        <f t="shared" si="98"/>
        <v/>
      </c>
      <c r="AI829" s="2" t="str">
        <f t="shared" si="99"/>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93"/>
        <v/>
      </c>
      <c r="AD830" s="4" t="str">
        <f t="shared" si="94"/>
        <v/>
      </c>
      <c r="AE830" s="4" t="str">
        <f t="shared" si="95"/>
        <v/>
      </c>
      <c r="AF830" s="4" t="str">
        <f t="shared" si="96"/>
        <v/>
      </c>
      <c r="AG830" s="4" t="str">
        <f t="shared" si="97"/>
        <v/>
      </c>
      <c r="AH830" s="4" t="str">
        <f t="shared" si="98"/>
        <v/>
      </c>
      <c r="AI830" s="2" t="str">
        <f t="shared" si="99"/>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93"/>
        <v/>
      </c>
      <c r="AD831" s="4" t="str">
        <f t="shared" si="94"/>
        <v/>
      </c>
      <c r="AE831" s="4" t="str">
        <f t="shared" si="95"/>
        <v/>
      </c>
      <c r="AF831" s="4" t="str">
        <f t="shared" si="96"/>
        <v/>
      </c>
      <c r="AG831" s="4" t="str">
        <f t="shared" si="97"/>
        <v/>
      </c>
      <c r="AH831" s="4" t="str">
        <f t="shared" si="98"/>
        <v/>
      </c>
      <c r="AI831" s="2" t="str">
        <f t="shared" si="99"/>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93"/>
        <v/>
      </c>
      <c r="AD832" s="4" t="str">
        <f t="shared" si="94"/>
        <v/>
      </c>
      <c r="AE832" s="4" t="str">
        <f t="shared" si="95"/>
        <v/>
      </c>
      <c r="AF832" s="4" t="str">
        <f t="shared" si="96"/>
        <v/>
      </c>
      <c r="AG832" s="4" t="str">
        <f t="shared" si="97"/>
        <v/>
      </c>
      <c r="AH832" s="4" t="str">
        <f t="shared" si="98"/>
        <v/>
      </c>
      <c r="AI832" s="2" t="str">
        <f t="shared" si="99"/>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93"/>
        <v/>
      </c>
      <c r="AD833" s="4" t="str">
        <f t="shared" si="94"/>
        <v/>
      </c>
      <c r="AE833" s="4" t="str">
        <f t="shared" si="95"/>
        <v/>
      </c>
      <c r="AF833" s="4" t="str">
        <f t="shared" si="96"/>
        <v/>
      </c>
      <c r="AG833" s="4" t="str">
        <f t="shared" si="97"/>
        <v/>
      </c>
      <c r="AH833" s="4" t="str">
        <f t="shared" si="98"/>
        <v/>
      </c>
      <c r="AI833" s="2" t="str">
        <f t="shared" si="99"/>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93"/>
        <v/>
      </c>
      <c r="AD834" s="4" t="str">
        <f t="shared" si="94"/>
        <v/>
      </c>
      <c r="AE834" s="4" t="str">
        <f t="shared" si="95"/>
        <v/>
      </c>
      <c r="AF834" s="4" t="str">
        <f t="shared" si="96"/>
        <v/>
      </c>
      <c r="AG834" s="4" t="str">
        <f t="shared" si="97"/>
        <v/>
      </c>
      <c r="AH834" s="4" t="str">
        <f t="shared" si="98"/>
        <v/>
      </c>
      <c r="AI834" s="2" t="str">
        <f t="shared" si="99"/>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93"/>
        <v/>
      </c>
      <c r="AD835" s="4" t="str">
        <f t="shared" si="94"/>
        <v/>
      </c>
      <c r="AE835" s="4" t="str">
        <f t="shared" si="95"/>
        <v/>
      </c>
      <c r="AF835" s="4" t="str">
        <f t="shared" si="96"/>
        <v/>
      </c>
      <c r="AG835" s="4" t="str">
        <f t="shared" si="97"/>
        <v/>
      </c>
      <c r="AH835" s="4" t="str">
        <f t="shared" si="98"/>
        <v/>
      </c>
      <c r="AI835" s="2" t="str">
        <f t="shared" si="99"/>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si="93"/>
        <v/>
      </c>
      <c r="AD836" s="4" t="str">
        <f t="shared" si="94"/>
        <v/>
      </c>
      <c r="AE836" s="4" t="str">
        <f t="shared" si="95"/>
        <v/>
      </c>
      <c r="AF836" s="4" t="str">
        <f t="shared" si="96"/>
        <v/>
      </c>
      <c r="AG836" s="4" t="str">
        <f t="shared" si="97"/>
        <v/>
      </c>
      <c r="AH836" s="4" t="str">
        <f t="shared" si="98"/>
        <v/>
      </c>
      <c r="AI836" s="2" t="str">
        <f t="shared" si="99"/>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ref="AC837:AC900" si="100">IF((MAX(A837,L837,N837,P837,X837,Y837)-MIN(A837,L837,N837,P837,X837,Y837))&gt;3,1,"")</f>
        <v/>
      </c>
      <c r="AD837" s="4" t="str">
        <f t="shared" ref="AD837:AD900" si="101">IF((MAX(B837,D837,M837,U837)-MIN(B837,D837,M837,U837))&gt;3,1,"")</f>
        <v/>
      </c>
      <c r="AE837" s="4" t="str">
        <f t="shared" ref="AE837:AE900" si="102">IF((MAX(I837,T837,V837,W837)-MIN(I837,T837,V837,W837))&gt;3,1,"")</f>
        <v/>
      </c>
      <c r="AF837" s="4" t="str">
        <f t="shared" ref="AF837:AF900" si="103">IF((MAX(H837,K837,Q837,S837)-MIN(H837,K837,Q837,S837))&gt;3,1,"")</f>
        <v/>
      </c>
      <c r="AG837" s="4" t="str">
        <f t="shared" ref="AG837:AG900" si="104">IF((MAX(E837,F837,G837,R837)-MIN(E837,F837,G837,R837))&gt;3,1,"")</f>
        <v/>
      </c>
      <c r="AH837" s="4" t="str">
        <f t="shared" ref="AH837:AH900" si="105">IF((MAX(C837,J837,O837,Z837)-MIN(C837,J837,O837,Z837))&gt;3,1,"")</f>
        <v/>
      </c>
      <c r="AI837" s="2" t="str">
        <f t="shared" ref="AI837:AI900" si="106">IF(COUNT(A837:Z837)&gt;0,IF(COUNT(AC837,AD837,AE837,AF837,AG837,AH837)&gt;0,SUM(AC837,AD837,AE837,AF837,AG837,AH837),0),"")</f>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100"/>
        <v/>
      </c>
      <c r="AD838" s="4" t="str">
        <f t="shared" si="101"/>
        <v/>
      </c>
      <c r="AE838" s="4" t="str">
        <f t="shared" si="102"/>
        <v/>
      </c>
      <c r="AF838" s="4" t="str">
        <f t="shared" si="103"/>
        <v/>
      </c>
      <c r="AG838" s="4" t="str">
        <f t="shared" si="104"/>
        <v/>
      </c>
      <c r="AH838" s="4" t="str">
        <f t="shared" si="105"/>
        <v/>
      </c>
      <c r="AI838" s="2" t="str">
        <f t="shared" si="106"/>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100"/>
        <v/>
      </c>
      <c r="AD839" s="4" t="str">
        <f t="shared" si="101"/>
        <v/>
      </c>
      <c r="AE839" s="4" t="str">
        <f t="shared" si="102"/>
        <v/>
      </c>
      <c r="AF839" s="4" t="str">
        <f t="shared" si="103"/>
        <v/>
      </c>
      <c r="AG839" s="4" t="str">
        <f t="shared" si="104"/>
        <v/>
      </c>
      <c r="AH839" s="4" t="str">
        <f t="shared" si="105"/>
        <v/>
      </c>
      <c r="AI839" s="2" t="str">
        <f t="shared" si="106"/>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100"/>
        <v/>
      </c>
      <c r="AD840" s="4" t="str">
        <f t="shared" si="101"/>
        <v/>
      </c>
      <c r="AE840" s="4" t="str">
        <f t="shared" si="102"/>
        <v/>
      </c>
      <c r="AF840" s="4" t="str">
        <f t="shared" si="103"/>
        <v/>
      </c>
      <c r="AG840" s="4" t="str">
        <f t="shared" si="104"/>
        <v/>
      </c>
      <c r="AH840" s="4" t="str">
        <f t="shared" si="105"/>
        <v/>
      </c>
      <c r="AI840" s="2" t="str">
        <f t="shared" si="106"/>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100"/>
        <v/>
      </c>
      <c r="AD841" s="4" t="str">
        <f t="shared" si="101"/>
        <v/>
      </c>
      <c r="AE841" s="4" t="str">
        <f t="shared" si="102"/>
        <v/>
      </c>
      <c r="AF841" s="4" t="str">
        <f t="shared" si="103"/>
        <v/>
      </c>
      <c r="AG841" s="4" t="str">
        <f t="shared" si="104"/>
        <v/>
      </c>
      <c r="AH841" s="4" t="str">
        <f t="shared" si="105"/>
        <v/>
      </c>
      <c r="AI841" s="2" t="str">
        <f t="shared" si="106"/>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100"/>
        <v/>
      </c>
      <c r="AD842" s="4" t="str">
        <f t="shared" si="101"/>
        <v/>
      </c>
      <c r="AE842" s="4" t="str">
        <f t="shared" si="102"/>
        <v/>
      </c>
      <c r="AF842" s="4" t="str">
        <f t="shared" si="103"/>
        <v/>
      </c>
      <c r="AG842" s="4" t="str">
        <f t="shared" si="104"/>
        <v/>
      </c>
      <c r="AH842" s="4" t="str">
        <f t="shared" si="105"/>
        <v/>
      </c>
      <c r="AI842" s="2" t="str">
        <f t="shared" si="106"/>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100"/>
        <v/>
      </c>
      <c r="AD843" s="4" t="str">
        <f t="shared" si="101"/>
        <v/>
      </c>
      <c r="AE843" s="4" t="str">
        <f t="shared" si="102"/>
        <v/>
      </c>
      <c r="AF843" s="4" t="str">
        <f t="shared" si="103"/>
        <v/>
      </c>
      <c r="AG843" s="4" t="str">
        <f t="shared" si="104"/>
        <v/>
      </c>
      <c r="AH843" s="4" t="str">
        <f t="shared" si="105"/>
        <v/>
      </c>
      <c r="AI843" s="2" t="str">
        <f t="shared" si="106"/>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100"/>
        <v/>
      </c>
      <c r="AD844" s="4" t="str">
        <f t="shared" si="101"/>
        <v/>
      </c>
      <c r="AE844" s="4" t="str">
        <f t="shared" si="102"/>
        <v/>
      </c>
      <c r="AF844" s="4" t="str">
        <f t="shared" si="103"/>
        <v/>
      </c>
      <c r="AG844" s="4" t="str">
        <f t="shared" si="104"/>
        <v/>
      </c>
      <c r="AH844" s="4" t="str">
        <f t="shared" si="105"/>
        <v/>
      </c>
      <c r="AI844" s="2" t="str">
        <f t="shared" si="106"/>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100"/>
        <v/>
      </c>
      <c r="AD845" s="4" t="str">
        <f t="shared" si="101"/>
        <v/>
      </c>
      <c r="AE845" s="4" t="str">
        <f t="shared" si="102"/>
        <v/>
      </c>
      <c r="AF845" s="4" t="str">
        <f t="shared" si="103"/>
        <v/>
      </c>
      <c r="AG845" s="4" t="str">
        <f t="shared" si="104"/>
        <v/>
      </c>
      <c r="AH845" s="4" t="str">
        <f t="shared" si="105"/>
        <v/>
      </c>
      <c r="AI845" s="2" t="str">
        <f t="shared" si="106"/>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100"/>
        <v/>
      </c>
      <c r="AD846" s="4" t="str">
        <f t="shared" si="101"/>
        <v/>
      </c>
      <c r="AE846" s="4" t="str">
        <f t="shared" si="102"/>
        <v/>
      </c>
      <c r="AF846" s="4" t="str">
        <f t="shared" si="103"/>
        <v/>
      </c>
      <c r="AG846" s="4" t="str">
        <f t="shared" si="104"/>
        <v/>
      </c>
      <c r="AH846" s="4" t="str">
        <f t="shared" si="105"/>
        <v/>
      </c>
      <c r="AI846" s="2" t="str">
        <f t="shared" si="106"/>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100"/>
        <v/>
      </c>
      <c r="AD847" s="4" t="str">
        <f t="shared" si="101"/>
        <v/>
      </c>
      <c r="AE847" s="4" t="str">
        <f t="shared" si="102"/>
        <v/>
      </c>
      <c r="AF847" s="4" t="str">
        <f t="shared" si="103"/>
        <v/>
      </c>
      <c r="AG847" s="4" t="str">
        <f t="shared" si="104"/>
        <v/>
      </c>
      <c r="AH847" s="4" t="str">
        <f t="shared" si="105"/>
        <v/>
      </c>
      <c r="AI847" s="2" t="str">
        <f t="shared" si="106"/>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100"/>
        <v/>
      </c>
      <c r="AD848" s="4" t="str">
        <f t="shared" si="101"/>
        <v/>
      </c>
      <c r="AE848" s="4" t="str">
        <f t="shared" si="102"/>
        <v/>
      </c>
      <c r="AF848" s="4" t="str">
        <f t="shared" si="103"/>
        <v/>
      </c>
      <c r="AG848" s="4" t="str">
        <f t="shared" si="104"/>
        <v/>
      </c>
      <c r="AH848" s="4" t="str">
        <f t="shared" si="105"/>
        <v/>
      </c>
      <c r="AI848" s="2" t="str">
        <f t="shared" si="106"/>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100"/>
        <v/>
      </c>
      <c r="AD849" s="4" t="str">
        <f t="shared" si="101"/>
        <v/>
      </c>
      <c r="AE849" s="4" t="str">
        <f t="shared" si="102"/>
        <v/>
      </c>
      <c r="AF849" s="4" t="str">
        <f t="shared" si="103"/>
        <v/>
      </c>
      <c r="AG849" s="4" t="str">
        <f t="shared" si="104"/>
        <v/>
      </c>
      <c r="AH849" s="4" t="str">
        <f t="shared" si="105"/>
        <v/>
      </c>
      <c r="AI849" s="2" t="str">
        <f t="shared" si="106"/>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100"/>
        <v/>
      </c>
      <c r="AD850" s="4" t="str">
        <f t="shared" si="101"/>
        <v/>
      </c>
      <c r="AE850" s="4" t="str">
        <f t="shared" si="102"/>
        <v/>
      </c>
      <c r="AF850" s="4" t="str">
        <f t="shared" si="103"/>
        <v/>
      </c>
      <c r="AG850" s="4" t="str">
        <f t="shared" si="104"/>
        <v/>
      </c>
      <c r="AH850" s="4" t="str">
        <f t="shared" si="105"/>
        <v/>
      </c>
      <c r="AI850" s="2" t="str">
        <f t="shared" si="106"/>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100"/>
        <v/>
      </c>
      <c r="AD851" s="4" t="str">
        <f t="shared" si="101"/>
        <v/>
      </c>
      <c r="AE851" s="4" t="str">
        <f t="shared" si="102"/>
        <v/>
      </c>
      <c r="AF851" s="4" t="str">
        <f t="shared" si="103"/>
        <v/>
      </c>
      <c r="AG851" s="4" t="str">
        <f t="shared" si="104"/>
        <v/>
      </c>
      <c r="AH851" s="4" t="str">
        <f t="shared" si="105"/>
        <v/>
      </c>
      <c r="AI851" s="2" t="str">
        <f t="shared" si="106"/>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100"/>
        <v/>
      </c>
      <c r="AD852" s="4" t="str">
        <f t="shared" si="101"/>
        <v/>
      </c>
      <c r="AE852" s="4" t="str">
        <f t="shared" si="102"/>
        <v/>
      </c>
      <c r="AF852" s="4" t="str">
        <f t="shared" si="103"/>
        <v/>
      </c>
      <c r="AG852" s="4" t="str">
        <f t="shared" si="104"/>
        <v/>
      </c>
      <c r="AH852" s="4" t="str">
        <f t="shared" si="105"/>
        <v/>
      </c>
      <c r="AI852" s="2" t="str">
        <f t="shared" si="106"/>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100"/>
        <v/>
      </c>
      <c r="AD853" s="4" t="str">
        <f t="shared" si="101"/>
        <v/>
      </c>
      <c r="AE853" s="4" t="str">
        <f t="shared" si="102"/>
        <v/>
      </c>
      <c r="AF853" s="4" t="str">
        <f t="shared" si="103"/>
        <v/>
      </c>
      <c r="AG853" s="4" t="str">
        <f t="shared" si="104"/>
        <v/>
      </c>
      <c r="AH853" s="4" t="str">
        <f t="shared" si="105"/>
        <v/>
      </c>
      <c r="AI853" s="2" t="str">
        <f t="shared" si="106"/>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100"/>
        <v/>
      </c>
      <c r="AD854" s="4" t="str">
        <f t="shared" si="101"/>
        <v/>
      </c>
      <c r="AE854" s="4" t="str">
        <f t="shared" si="102"/>
        <v/>
      </c>
      <c r="AF854" s="4" t="str">
        <f t="shared" si="103"/>
        <v/>
      </c>
      <c r="AG854" s="4" t="str">
        <f t="shared" si="104"/>
        <v/>
      </c>
      <c r="AH854" s="4" t="str">
        <f t="shared" si="105"/>
        <v/>
      </c>
      <c r="AI854" s="2" t="str">
        <f t="shared" si="106"/>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100"/>
        <v/>
      </c>
      <c r="AD855" s="4" t="str">
        <f t="shared" si="101"/>
        <v/>
      </c>
      <c r="AE855" s="4" t="str">
        <f t="shared" si="102"/>
        <v/>
      </c>
      <c r="AF855" s="4" t="str">
        <f t="shared" si="103"/>
        <v/>
      </c>
      <c r="AG855" s="4" t="str">
        <f t="shared" si="104"/>
        <v/>
      </c>
      <c r="AH855" s="4" t="str">
        <f t="shared" si="105"/>
        <v/>
      </c>
      <c r="AI855" s="2" t="str">
        <f t="shared" si="106"/>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100"/>
        <v/>
      </c>
      <c r="AD856" s="4" t="str">
        <f t="shared" si="101"/>
        <v/>
      </c>
      <c r="AE856" s="4" t="str">
        <f t="shared" si="102"/>
        <v/>
      </c>
      <c r="AF856" s="4" t="str">
        <f t="shared" si="103"/>
        <v/>
      </c>
      <c r="AG856" s="4" t="str">
        <f t="shared" si="104"/>
        <v/>
      </c>
      <c r="AH856" s="4" t="str">
        <f t="shared" si="105"/>
        <v/>
      </c>
      <c r="AI856" s="2" t="str">
        <f t="shared" si="106"/>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100"/>
        <v/>
      </c>
      <c r="AD857" s="4" t="str">
        <f t="shared" si="101"/>
        <v/>
      </c>
      <c r="AE857" s="4" t="str">
        <f t="shared" si="102"/>
        <v/>
      </c>
      <c r="AF857" s="4" t="str">
        <f t="shared" si="103"/>
        <v/>
      </c>
      <c r="AG857" s="4" t="str">
        <f t="shared" si="104"/>
        <v/>
      </c>
      <c r="AH857" s="4" t="str">
        <f t="shared" si="105"/>
        <v/>
      </c>
      <c r="AI857" s="2" t="str">
        <f t="shared" si="106"/>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100"/>
        <v/>
      </c>
      <c r="AD858" s="4" t="str">
        <f t="shared" si="101"/>
        <v/>
      </c>
      <c r="AE858" s="4" t="str">
        <f t="shared" si="102"/>
        <v/>
      </c>
      <c r="AF858" s="4" t="str">
        <f t="shared" si="103"/>
        <v/>
      </c>
      <c r="AG858" s="4" t="str">
        <f t="shared" si="104"/>
        <v/>
      </c>
      <c r="AH858" s="4" t="str">
        <f t="shared" si="105"/>
        <v/>
      </c>
      <c r="AI858" s="2" t="str">
        <f t="shared" si="106"/>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100"/>
        <v/>
      </c>
      <c r="AD859" s="4" t="str">
        <f t="shared" si="101"/>
        <v/>
      </c>
      <c r="AE859" s="4" t="str">
        <f t="shared" si="102"/>
        <v/>
      </c>
      <c r="AF859" s="4" t="str">
        <f t="shared" si="103"/>
        <v/>
      </c>
      <c r="AG859" s="4" t="str">
        <f t="shared" si="104"/>
        <v/>
      </c>
      <c r="AH859" s="4" t="str">
        <f t="shared" si="105"/>
        <v/>
      </c>
      <c r="AI859" s="2" t="str">
        <f t="shared" si="106"/>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100"/>
        <v/>
      </c>
      <c r="AD860" s="4" t="str">
        <f t="shared" si="101"/>
        <v/>
      </c>
      <c r="AE860" s="4" t="str">
        <f t="shared" si="102"/>
        <v/>
      </c>
      <c r="AF860" s="4" t="str">
        <f t="shared" si="103"/>
        <v/>
      </c>
      <c r="AG860" s="4" t="str">
        <f t="shared" si="104"/>
        <v/>
      </c>
      <c r="AH860" s="4" t="str">
        <f t="shared" si="105"/>
        <v/>
      </c>
      <c r="AI860" s="2" t="str">
        <f t="shared" si="106"/>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100"/>
        <v/>
      </c>
      <c r="AD861" s="4" t="str">
        <f t="shared" si="101"/>
        <v/>
      </c>
      <c r="AE861" s="4" t="str">
        <f t="shared" si="102"/>
        <v/>
      </c>
      <c r="AF861" s="4" t="str">
        <f t="shared" si="103"/>
        <v/>
      </c>
      <c r="AG861" s="4" t="str">
        <f t="shared" si="104"/>
        <v/>
      </c>
      <c r="AH861" s="4" t="str">
        <f t="shared" si="105"/>
        <v/>
      </c>
      <c r="AI861" s="2" t="str">
        <f t="shared" si="106"/>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100"/>
        <v/>
      </c>
      <c r="AD862" s="4" t="str">
        <f t="shared" si="101"/>
        <v/>
      </c>
      <c r="AE862" s="4" t="str">
        <f t="shared" si="102"/>
        <v/>
      </c>
      <c r="AF862" s="4" t="str">
        <f t="shared" si="103"/>
        <v/>
      </c>
      <c r="AG862" s="4" t="str">
        <f t="shared" si="104"/>
        <v/>
      </c>
      <c r="AH862" s="4" t="str">
        <f t="shared" si="105"/>
        <v/>
      </c>
      <c r="AI862" s="2" t="str">
        <f t="shared" si="106"/>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100"/>
        <v/>
      </c>
      <c r="AD863" s="4" t="str">
        <f t="shared" si="101"/>
        <v/>
      </c>
      <c r="AE863" s="4" t="str">
        <f t="shared" si="102"/>
        <v/>
      </c>
      <c r="AF863" s="4" t="str">
        <f t="shared" si="103"/>
        <v/>
      </c>
      <c r="AG863" s="4" t="str">
        <f t="shared" si="104"/>
        <v/>
      </c>
      <c r="AH863" s="4" t="str">
        <f t="shared" si="105"/>
        <v/>
      </c>
      <c r="AI863" s="2" t="str">
        <f t="shared" si="106"/>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100"/>
        <v/>
      </c>
      <c r="AD864" s="4" t="str">
        <f t="shared" si="101"/>
        <v/>
      </c>
      <c r="AE864" s="4" t="str">
        <f t="shared" si="102"/>
        <v/>
      </c>
      <c r="AF864" s="4" t="str">
        <f t="shared" si="103"/>
        <v/>
      </c>
      <c r="AG864" s="4" t="str">
        <f t="shared" si="104"/>
        <v/>
      </c>
      <c r="AH864" s="4" t="str">
        <f t="shared" si="105"/>
        <v/>
      </c>
      <c r="AI864" s="2" t="str">
        <f t="shared" si="106"/>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100"/>
        <v/>
      </c>
      <c r="AD865" s="4" t="str">
        <f t="shared" si="101"/>
        <v/>
      </c>
      <c r="AE865" s="4" t="str">
        <f t="shared" si="102"/>
        <v/>
      </c>
      <c r="AF865" s="4" t="str">
        <f t="shared" si="103"/>
        <v/>
      </c>
      <c r="AG865" s="4" t="str">
        <f t="shared" si="104"/>
        <v/>
      </c>
      <c r="AH865" s="4" t="str">
        <f t="shared" si="105"/>
        <v/>
      </c>
      <c r="AI865" s="2" t="str">
        <f t="shared" si="106"/>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100"/>
        <v/>
      </c>
      <c r="AD866" s="4" t="str">
        <f t="shared" si="101"/>
        <v/>
      </c>
      <c r="AE866" s="4" t="str">
        <f t="shared" si="102"/>
        <v/>
      </c>
      <c r="AF866" s="4" t="str">
        <f t="shared" si="103"/>
        <v/>
      </c>
      <c r="AG866" s="4" t="str">
        <f t="shared" si="104"/>
        <v/>
      </c>
      <c r="AH866" s="4" t="str">
        <f t="shared" si="105"/>
        <v/>
      </c>
      <c r="AI866" s="2" t="str">
        <f t="shared" si="106"/>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100"/>
        <v/>
      </c>
      <c r="AD867" s="4" t="str">
        <f t="shared" si="101"/>
        <v/>
      </c>
      <c r="AE867" s="4" t="str">
        <f t="shared" si="102"/>
        <v/>
      </c>
      <c r="AF867" s="4" t="str">
        <f t="shared" si="103"/>
        <v/>
      </c>
      <c r="AG867" s="4" t="str">
        <f t="shared" si="104"/>
        <v/>
      </c>
      <c r="AH867" s="4" t="str">
        <f t="shared" si="105"/>
        <v/>
      </c>
      <c r="AI867" s="2" t="str">
        <f t="shared" si="106"/>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100"/>
        <v/>
      </c>
      <c r="AD868" s="4" t="str">
        <f t="shared" si="101"/>
        <v/>
      </c>
      <c r="AE868" s="4" t="str">
        <f t="shared" si="102"/>
        <v/>
      </c>
      <c r="AF868" s="4" t="str">
        <f t="shared" si="103"/>
        <v/>
      </c>
      <c r="AG868" s="4" t="str">
        <f t="shared" si="104"/>
        <v/>
      </c>
      <c r="AH868" s="4" t="str">
        <f t="shared" si="105"/>
        <v/>
      </c>
      <c r="AI868" s="2" t="str">
        <f t="shared" si="106"/>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100"/>
        <v/>
      </c>
      <c r="AD869" s="4" t="str">
        <f t="shared" si="101"/>
        <v/>
      </c>
      <c r="AE869" s="4" t="str">
        <f t="shared" si="102"/>
        <v/>
      </c>
      <c r="AF869" s="4" t="str">
        <f t="shared" si="103"/>
        <v/>
      </c>
      <c r="AG869" s="4" t="str">
        <f t="shared" si="104"/>
        <v/>
      </c>
      <c r="AH869" s="4" t="str">
        <f t="shared" si="105"/>
        <v/>
      </c>
      <c r="AI869" s="2" t="str">
        <f t="shared" si="106"/>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100"/>
        <v/>
      </c>
      <c r="AD870" s="4" t="str">
        <f t="shared" si="101"/>
        <v/>
      </c>
      <c r="AE870" s="4" t="str">
        <f t="shared" si="102"/>
        <v/>
      </c>
      <c r="AF870" s="4" t="str">
        <f t="shared" si="103"/>
        <v/>
      </c>
      <c r="AG870" s="4" t="str">
        <f t="shared" si="104"/>
        <v/>
      </c>
      <c r="AH870" s="4" t="str">
        <f t="shared" si="105"/>
        <v/>
      </c>
      <c r="AI870" s="2" t="str">
        <f t="shared" si="106"/>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100"/>
        <v/>
      </c>
      <c r="AD871" s="4" t="str">
        <f t="shared" si="101"/>
        <v/>
      </c>
      <c r="AE871" s="4" t="str">
        <f t="shared" si="102"/>
        <v/>
      </c>
      <c r="AF871" s="4" t="str">
        <f t="shared" si="103"/>
        <v/>
      </c>
      <c r="AG871" s="4" t="str">
        <f t="shared" si="104"/>
        <v/>
      </c>
      <c r="AH871" s="4" t="str">
        <f t="shared" si="105"/>
        <v/>
      </c>
      <c r="AI871" s="2" t="str">
        <f t="shared" si="106"/>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100"/>
        <v/>
      </c>
      <c r="AD872" s="4" t="str">
        <f t="shared" si="101"/>
        <v/>
      </c>
      <c r="AE872" s="4" t="str">
        <f t="shared" si="102"/>
        <v/>
      </c>
      <c r="AF872" s="4" t="str">
        <f t="shared" si="103"/>
        <v/>
      </c>
      <c r="AG872" s="4" t="str">
        <f t="shared" si="104"/>
        <v/>
      </c>
      <c r="AH872" s="4" t="str">
        <f t="shared" si="105"/>
        <v/>
      </c>
      <c r="AI872" s="2" t="str">
        <f t="shared" si="106"/>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100"/>
        <v/>
      </c>
      <c r="AD873" s="4" t="str">
        <f t="shared" si="101"/>
        <v/>
      </c>
      <c r="AE873" s="4" t="str">
        <f t="shared" si="102"/>
        <v/>
      </c>
      <c r="AF873" s="4" t="str">
        <f t="shared" si="103"/>
        <v/>
      </c>
      <c r="AG873" s="4" t="str">
        <f t="shared" si="104"/>
        <v/>
      </c>
      <c r="AH873" s="4" t="str">
        <f t="shared" si="105"/>
        <v/>
      </c>
      <c r="AI873" s="2" t="str">
        <f t="shared" si="106"/>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100"/>
        <v/>
      </c>
      <c r="AD874" s="4" t="str">
        <f t="shared" si="101"/>
        <v/>
      </c>
      <c r="AE874" s="4" t="str">
        <f t="shared" si="102"/>
        <v/>
      </c>
      <c r="AF874" s="4" t="str">
        <f t="shared" si="103"/>
        <v/>
      </c>
      <c r="AG874" s="4" t="str">
        <f t="shared" si="104"/>
        <v/>
      </c>
      <c r="AH874" s="4" t="str">
        <f t="shared" si="105"/>
        <v/>
      </c>
      <c r="AI874" s="2" t="str">
        <f t="shared" si="106"/>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100"/>
        <v/>
      </c>
      <c r="AD875" s="4" t="str">
        <f t="shared" si="101"/>
        <v/>
      </c>
      <c r="AE875" s="4" t="str">
        <f t="shared" si="102"/>
        <v/>
      </c>
      <c r="AF875" s="4" t="str">
        <f t="shared" si="103"/>
        <v/>
      </c>
      <c r="AG875" s="4" t="str">
        <f t="shared" si="104"/>
        <v/>
      </c>
      <c r="AH875" s="4" t="str">
        <f t="shared" si="105"/>
        <v/>
      </c>
      <c r="AI875" s="2" t="str">
        <f t="shared" si="106"/>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100"/>
        <v/>
      </c>
      <c r="AD876" s="4" t="str">
        <f t="shared" si="101"/>
        <v/>
      </c>
      <c r="AE876" s="4" t="str">
        <f t="shared" si="102"/>
        <v/>
      </c>
      <c r="AF876" s="4" t="str">
        <f t="shared" si="103"/>
        <v/>
      </c>
      <c r="AG876" s="4" t="str">
        <f t="shared" si="104"/>
        <v/>
      </c>
      <c r="AH876" s="4" t="str">
        <f t="shared" si="105"/>
        <v/>
      </c>
      <c r="AI876" s="2" t="str">
        <f t="shared" si="106"/>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100"/>
        <v/>
      </c>
      <c r="AD877" s="4" t="str">
        <f t="shared" si="101"/>
        <v/>
      </c>
      <c r="AE877" s="4" t="str">
        <f t="shared" si="102"/>
        <v/>
      </c>
      <c r="AF877" s="4" t="str">
        <f t="shared" si="103"/>
        <v/>
      </c>
      <c r="AG877" s="4" t="str">
        <f t="shared" si="104"/>
        <v/>
      </c>
      <c r="AH877" s="4" t="str">
        <f t="shared" si="105"/>
        <v/>
      </c>
      <c r="AI877" s="2" t="str">
        <f t="shared" si="106"/>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100"/>
        <v/>
      </c>
      <c r="AD878" s="4" t="str">
        <f t="shared" si="101"/>
        <v/>
      </c>
      <c r="AE878" s="4" t="str">
        <f t="shared" si="102"/>
        <v/>
      </c>
      <c r="AF878" s="4" t="str">
        <f t="shared" si="103"/>
        <v/>
      </c>
      <c r="AG878" s="4" t="str">
        <f t="shared" si="104"/>
        <v/>
      </c>
      <c r="AH878" s="4" t="str">
        <f t="shared" si="105"/>
        <v/>
      </c>
      <c r="AI878" s="2" t="str">
        <f t="shared" si="106"/>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100"/>
        <v/>
      </c>
      <c r="AD879" s="4" t="str">
        <f t="shared" si="101"/>
        <v/>
      </c>
      <c r="AE879" s="4" t="str">
        <f t="shared" si="102"/>
        <v/>
      </c>
      <c r="AF879" s="4" t="str">
        <f t="shared" si="103"/>
        <v/>
      </c>
      <c r="AG879" s="4" t="str">
        <f t="shared" si="104"/>
        <v/>
      </c>
      <c r="AH879" s="4" t="str">
        <f t="shared" si="105"/>
        <v/>
      </c>
      <c r="AI879" s="2" t="str">
        <f t="shared" si="106"/>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100"/>
        <v/>
      </c>
      <c r="AD880" s="4" t="str">
        <f t="shared" si="101"/>
        <v/>
      </c>
      <c r="AE880" s="4" t="str">
        <f t="shared" si="102"/>
        <v/>
      </c>
      <c r="AF880" s="4" t="str">
        <f t="shared" si="103"/>
        <v/>
      </c>
      <c r="AG880" s="4" t="str">
        <f t="shared" si="104"/>
        <v/>
      </c>
      <c r="AH880" s="4" t="str">
        <f t="shared" si="105"/>
        <v/>
      </c>
      <c r="AI880" s="2" t="str">
        <f t="shared" si="106"/>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100"/>
        <v/>
      </c>
      <c r="AD881" s="4" t="str">
        <f t="shared" si="101"/>
        <v/>
      </c>
      <c r="AE881" s="4" t="str">
        <f t="shared" si="102"/>
        <v/>
      </c>
      <c r="AF881" s="4" t="str">
        <f t="shared" si="103"/>
        <v/>
      </c>
      <c r="AG881" s="4" t="str">
        <f t="shared" si="104"/>
        <v/>
      </c>
      <c r="AH881" s="4" t="str">
        <f t="shared" si="105"/>
        <v/>
      </c>
      <c r="AI881" s="2" t="str">
        <f t="shared" si="106"/>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100"/>
        <v/>
      </c>
      <c r="AD882" s="4" t="str">
        <f t="shared" si="101"/>
        <v/>
      </c>
      <c r="AE882" s="4" t="str">
        <f t="shared" si="102"/>
        <v/>
      </c>
      <c r="AF882" s="4" t="str">
        <f t="shared" si="103"/>
        <v/>
      </c>
      <c r="AG882" s="4" t="str">
        <f t="shared" si="104"/>
        <v/>
      </c>
      <c r="AH882" s="4" t="str">
        <f t="shared" si="105"/>
        <v/>
      </c>
      <c r="AI882" s="2" t="str">
        <f t="shared" si="106"/>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100"/>
        <v/>
      </c>
      <c r="AD883" s="4" t="str">
        <f t="shared" si="101"/>
        <v/>
      </c>
      <c r="AE883" s="4" t="str">
        <f t="shared" si="102"/>
        <v/>
      </c>
      <c r="AF883" s="4" t="str">
        <f t="shared" si="103"/>
        <v/>
      </c>
      <c r="AG883" s="4" t="str">
        <f t="shared" si="104"/>
        <v/>
      </c>
      <c r="AH883" s="4" t="str">
        <f t="shared" si="105"/>
        <v/>
      </c>
      <c r="AI883" s="2" t="str">
        <f t="shared" si="106"/>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100"/>
        <v/>
      </c>
      <c r="AD884" s="4" t="str">
        <f t="shared" si="101"/>
        <v/>
      </c>
      <c r="AE884" s="4" t="str">
        <f t="shared" si="102"/>
        <v/>
      </c>
      <c r="AF884" s="4" t="str">
        <f t="shared" si="103"/>
        <v/>
      </c>
      <c r="AG884" s="4" t="str">
        <f t="shared" si="104"/>
        <v/>
      </c>
      <c r="AH884" s="4" t="str">
        <f t="shared" si="105"/>
        <v/>
      </c>
      <c r="AI884" s="2" t="str">
        <f t="shared" si="106"/>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100"/>
        <v/>
      </c>
      <c r="AD885" s="4" t="str">
        <f t="shared" si="101"/>
        <v/>
      </c>
      <c r="AE885" s="4" t="str">
        <f t="shared" si="102"/>
        <v/>
      </c>
      <c r="AF885" s="4" t="str">
        <f t="shared" si="103"/>
        <v/>
      </c>
      <c r="AG885" s="4" t="str">
        <f t="shared" si="104"/>
        <v/>
      </c>
      <c r="AH885" s="4" t="str">
        <f t="shared" si="105"/>
        <v/>
      </c>
      <c r="AI885" s="2" t="str">
        <f t="shared" si="106"/>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100"/>
        <v/>
      </c>
      <c r="AD886" s="4" t="str">
        <f t="shared" si="101"/>
        <v/>
      </c>
      <c r="AE886" s="4" t="str">
        <f t="shared" si="102"/>
        <v/>
      </c>
      <c r="AF886" s="4" t="str">
        <f t="shared" si="103"/>
        <v/>
      </c>
      <c r="AG886" s="4" t="str">
        <f t="shared" si="104"/>
        <v/>
      </c>
      <c r="AH886" s="4" t="str">
        <f t="shared" si="105"/>
        <v/>
      </c>
      <c r="AI886" s="2" t="str">
        <f t="shared" si="106"/>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100"/>
        <v/>
      </c>
      <c r="AD887" s="4" t="str">
        <f t="shared" si="101"/>
        <v/>
      </c>
      <c r="AE887" s="4" t="str">
        <f t="shared" si="102"/>
        <v/>
      </c>
      <c r="AF887" s="4" t="str">
        <f t="shared" si="103"/>
        <v/>
      </c>
      <c r="AG887" s="4" t="str">
        <f t="shared" si="104"/>
        <v/>
      </c>
      <c r="AH887" s="4" t="str">
        <f t="shared" si="105"/>
        <v/>
      </c>
      <c r="AI887" s="2" t="str">
        <f t="shared" si="106"/>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100"/>
        <v/>
      </c>
      <c r="AD888" s="4" t="str">
        <f t="shared" si="101"/>
        <v/>
      </c>
      <c r="AE888" s="4" t="str">
        <f t="shared" si="102"/>
        <v/>
      </c>
      <c r="AF888" s="4" t="str">
        <f t="shared" si="103"/>
        <v/>
      </c>
      <c r="AG888" s="4" t="str">
        <f t="shared" si="104"/>
        <v/>
      </c>
      <c r="AH888" s="4" t="str">
        <f t="shared" si="105"/>
        <v/>
      </c>
      <c r="AI888" s="2" t="str">
        <f t="shared" si="106"/>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100"/>
        <v/>
      </c>
      <c r="AD889" s="4" t="str">
        <f t="shared" si="101"/>
        <v/>
      </c>
      <c r="AE889" s="4" t="str">
        <f t="shared" si="102"/>
        <v/>
      </c>
      <c r="AF889" s="4" t="str">
        <f t="shared" si="103"/>
        <v/>
      </c>
      <c r="AG889" s="4" t="str">
        <f t="shared" si="104"/>
        <v/>
      </c>
      <c r="AH889" s="4" t="str">
        <f t="shared" si="105"/>
        <v/>
      </c>
      <c r="AI889" s="2" t="str">
        <f t="shared" si="106"/>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100"/>
        <v/>
      </c>
      <c r="AD890" s="4" t="str">
        <f t="shared" si="101"/>
        <v/>
      </c>
      <c r="AE890" s="4" t="str">
        <f t="shared" si="102"/>
        <v/>
      </c>
      <c r="AF890" s="4" t="str">
        <f t="shared" si="103"/>
        <v/>
      </c>
      <c r="AG890" s="4" t="str">
        <f t="shared" si="104"/>
        <v/>
      </c>
      <c r="AH890" s="4" t="str">
        <f t="shared" si="105"/>
        <v/>
      </c>
      <c r="AI890" s="2" t="str">
        <f t="shared" si="106"/>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100"/>
        <v/>
      </c>
      <c r="AD891" s="4" t="str">
        <f t="shared" si="101"/>
        <v/>
      </c>
      <c r="AE891" s="4" t="str">
        <f t="shared" si="102"/>
        <v/>
      </c>
      <c r="AF891" s="4" t="str">
        <f t="shared" si="103"/>
        <v/>
      </c>
      <c r="AG891" s="4" t="str">
        <f t="shared" si="104"/>
        <v/>
      </c>
      <c r="AH891" s="4" t="str">
        <f t="shared" si="105"/>
        <v/>
      </c>
      <c r="AI891" s="2" t="str">
        <f t="shared" si="106"/>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100"/>
        <v/>
      </c>
      <c r="AD892" s="4" t="str">
        <f t="shared" si="101"/>
        <v/>
      </c>
      <c r="AE892" s="4" t="str">
        <f t="shared" si="102"/>
        <v/>
      </c>
      <c r="AF892" s="4" t="str">
        <f t="shared" si="103"/>
        <v/>
      </c>
      <c r="AG892" s="4" t="str">
        <f t="shared" si="104"/>
        <v/>
      </c>
      <c r="AH892" s="4" t="str">
        <f t="shared" si="105"/>
        <v/>
      </c>
      <c r="AI892" s="2" t="str">
        <f t="shared" si="106"/>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100"/>
        <v/>
      </c>
      <c r="AD893" s="4" t="str">
        <f t="shared" si="101"/>
        <v/>
      </c>
      <c r="AE893" s="4" t="str">
        <f t="shared" si="102"/>
        <v/>
      </c>
      <c r="AF893" s="4" t="str">
        <f t="shared" si="103"/>
        <v/>
      </c>
      <c r="AG893" s="4" t="str">
        <f t="shared" si="104"/>
        <v/>
      </c>
      <c r="AH893" s="4" t="str">
        <f t="shared" si="105"/>
        <v/>
      </c>
      <c r="AI893" s="2" t="str">
        <f t="shared" si="106"/>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100"/>
        <v/>
      </c>
      <c r="AD894" s="4" t="str">
        <f t="shared" si="101"/>
        <v/>
      </c>
      <c r="AE894" s="4" t="str">
        <f t="shared" si="102"/>
        <v/>
      </c>
      <c r="AF894" s="4" t="str">
        <f t="shared" si="103"/>
        <v/>
      </c>
      <c r="AG894" s="4" t="str">
        <f t="shared" si="104"/>
        <v/>
      </c>
      <c r="AH894" s="4" t="str">
        <f t="shared" si="105"/>
        <v/>
      </c>
      <c r="AI894" s="2" t="str">
        <f t="shared" si="106"/>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100"/>
        <v/>
      </c>
      <c r="AD895" s="4" t="str">
        <f t="shared" si="101"/>
        <v/>
      </c>
      <c r="AE895" s="4" t="str">
        <f t="shared" si="102"/>
        <v/>
      </c>
      <c r="AF895" s="4" t="str">
        <f t="shared" si="103"/>
        <v/>
      </c>
      <c r="AG895" s="4" t="str">
        <f t="shared" si="104"/>
        <v/>
      </c>
      <c r="AH895" s="4" t="str">
        <f t="shared" si="105"/>
        <v/>
      </c>
      <c r="AI895" s="2" t="str">
        <f t="shared" si="106"/>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100"/>
        <v/>
      </c>
      <c r="AD896" s="4" t="str">
        <f t="shared" si="101"/>
        <v/>
      </c>
      <c r="AE896" s="4" t="str">
        <f t="shared" si="102"/>
        <v/>
      </c>
      <c r="AF896" s="4" t="str">
        <f t="shared" si="103"/>
        <v/>
      </c>
      <c r="AG896" s="4" t="str">
        <f t="shared" si="104"/>
        <v/>
      </c>
      <c r="AH896" s="4" t="str">
        <f t="shared" si="105"/>
        <v/>
      </c>
      <c r="AI896" s="2" t="str">
        <f t="shared" si="106"/>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100"/>
        <v/>
      </c>
      <c r="AD897" s="4" t="str">
        <f t="shared" si="101"/>
        <v/>
      </c>
      <c r="AE897" s="4" t="str">
        <f t="shared" si="102"/>
        <v/>
      </c>
      <c r="AF897" s="4" t="str">
        <f t="shared" si="103"/>
        <v/>
      </c>
      <c r="AG897" s="4" t="str">
        <f t="shared" si="104"/>
        <v/>
      </c>
      <c r="AH897" s="4" t="str">
        <f t="shared" si="105"/>
        <v/>
      </c>
      <c r="AI897" s="2" t="str">
        <f t="shared" si="106"/>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100"/>
        <v/>
      </c>
      <c r="AD898" s="4" t="str">
        <f t="shared" si="101"/>
        <v/>
      </c>
      <c r="AE898" s="4" t="str">
        <f t="shared" si="102"/>
        <v/>
      </c>
      <c r="AF898" s="4" t="str">
        <f t="shared" si="103"/>
        <v/>
      </c>
      <c r="AG898" s="4" t="str">
        <f t="shared" si="104"/>
        <v/>
      </c>
      <c r="AH898" s="4" t="str">
        <f t="shared" si="105"/>
        <v/>
      </c>
      <c r="AI898" s="2" t="str">
        <f t="shared" si="106"/>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100"/>
        <v/>
      </c>
      <c r="AD899" s="4" t="str">
        <f t="shared" si="101"/>
        <v/>
      </c>
      <c r="AE899" s="4" t="str">
        <f t="shared" si="102"/>
        <v/>
      </c>
      <c r="AF899" s="4" t="str">
        <f t="shared" si="103"/>
        <v/>
      </c>
      <c r="AG899" s="4" t="str">
        <f t="shared" si="104"/>
        <v/>
      </c>
      <c r="AH899" s="4" t="str">
        <f t="shared" si="105"/>
        <v/>
      </c>
      <c r="AI899" s="2" t="str">
        <f t="shared" si="106"/>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si="100"/>
        <v/>
      </c>
      <c r="AD900" s="4" t="str">
        <f t="shared" si="101"/>
        <v/>
      </c>
      <c r="AE900" s="4" t="str">
        <f t="shared" si="102"/>
        <v/>
      </c>
      <c r="AF900" s="4" t="str">
        <f t="shared" si="103"/>
        <v/>
      </c>
      <c r="AG900" s="4" t="str">
        <f t="shared" si="104"/>
        <v/>
      </c>
      <c r="AH900" s="4" t="str">
        <f t="shared" si="105"/>
        <v/>
      </c>
      <c r="AI900" s="2" t="str">
        <f t="shared" si="106"/>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ref="AC901:AC964" si="107">IF((MAX(A901,L901,N901,P901,X901,Y901)-MIN(A901,L901,N901,P901,X901,Y901))&gt;3,1,"")</f>
        <v/>
      </c>
      <c r="AD901" s="4" t="str">
        <f t="shared" ref="AD901:AD964" si="108">IF((MAX(B901,D901,M901,U901)-MIN(B901,D901,M901,U901))&gt;3,1,"")</f>
        <v/>
      </c>
      <c r="AE901" s="4" t="str">
        <f t="shared" ref="AE901:AE964" si="109">IF((MAX(I901,T901,V901,W901)-MIN(I901,T901,V901,W901))&gt;3,1,"")</f>
        <v/>
      </c>
      <c r="AF901" s="4" t="str">
        <f t="shared" ref="AF901:AF964" si="110">IF((MAX(H901,K901,Q901,S901)-MIN(H901,K901,Q901,S901))&gt;3,1,"")</f>
        <v/>
      </c>
      <c r="AG901" s="4" t="str">
        <f t="shared" ref="AG901:AG964" si="111">IF((MAX(E901,F901,G901,R901)-MIN(E901,F901,G901,R901))&gt;3,1,"")</f>
        <v/>
      </c>
      <c r="AH901" s="4" t="str">
        <f t="shared" ref="AH901:AH964" si="112">IF((MAX(C901,J901,O901,Z901)-MIN(C901,J901,O901,Z901))&gt;3,1,"")</f>
        <v/>
      </c>
      <c r="AI901" s="2" t="str">
        <f t="shared" ref="AI901:AI964" si="113">IF(COUNT(A901:Z901)&gt;0,IF(COUNT(AC901,AD901,AE901,AF901,AG901,AH901)&gt;0,SUM(AC901,AD901,AE901,AF901,AG901,AH901),0),"")</f>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107"/>
        <v/>
      </c>
      <c r="AD902" s="4" t="str">
        <f t="shared" si="108"/>
        <v/>
      </c>
      <c r="AE902" s="4" t="str">
        <f t="shared" si="109"/>
        <v/>
      </c>
      <c r="AF902" s="4" t="str">
        <f t="shared" si="110"/>
        <v/>
      </c>
      <c r="AG902" s="4" t="str">
        <f t="shared" si="111"/>
        <v/>
      </c>
      <c r="AH902" s="4" t="str">
        <f t="shared" si="112"/>
        <v/>
      </c>
      <c r="AI902" s="2" t="str">
        <f t="shared" si="113"/>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107"/>
        <v/>
      </c>
      <c r="AD903" s="4" t="str">
        <f t="shared" si="108"/>
        <v/>
      </c>
      <c r="AE903" s="4" t="str">
        <f t="shared" si="109"/>
        <v/>
      </c>
      <c r="AF903" s="4" t="str">
        <f t="shared" si="110"/>
        <v/>
      </c>
      <c r="AG903" s="4" t="str">
        <f t="shared" si="111"/>
        <v/>
      </c>
      <c r="AH903" s="4" t="str">
        <f t="shared" si="112"/>
        <v/>
      </c>
      <c r="AI903" s="2" t="str">
        <f t="shared" si="113"/>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107"/>
        <v/>
      </c>
      <c r="AD904" s="4" t="str">
        <f t="shared" si="108"/>
        <v/>
      </c>
      <c r="AE904" s="4" t="str">
        <f t="shared" si="109"/>
        <v/>
      </c>
      <c r="AF904" s="4" t="str">
        <f t="shared" si="110"/>
        <v/>
      </c>
      <c r="AG904" s="4" t="str">
        <f t="shared" si="111"/>
        <v/>
      </c>
      <c r="AH904" s="4" t="str">
        <f t="shared" si="112"/>
        <v/>
      </c>
      <c r="AI904" s="2" t="str">
        <f t="shared" si="113"/>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107"/>
        <v/>
      </c>
      <c r="AD905" s="4" t="str">
        <f t="shared" si="108"/>
        <v/>
      </c>
      <c r="AE905" s="4" t="str">
        <f t="shared" si="109"/>
        <v/>
      </c>
      <c r="AF905" s="4" t="str">
        <f t="shared" si="110"/>
        <v/>
      </c>
      <c r="AG905" s="4" t="str">
        <f t="shared" si="111"/>
        <v/>
      </c>
      <c r="AH905" s="4" t="str">
        <f t="shared" si="112"/>
        <v/>
      </c>
      <c r="AI905" s="2" t="str">
        <f t="shared" si="113"/>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107"/>
        <v/>
      </c>
      <c r="AD906" s="4" t="str">
        <f t="shared" si="108"/>
        <v/>
      </c>
      <c r="AE906" s="4" t="str">
        <f t="shared" si="109"/>
        <v/>
      </c>
      <c r="AF906" s="4" t="str">
        <f t="shared" si="110"/>
        <v/>
      </c>
      <c r="AG906" s="4" t="str">
        <f t="shared" si="111"/>
        <v/>
      </c>
      <c r="AH906" s="4" t="str">
        <f t="shared" si="112"/>
        <v/>
      </c>
      <c r="AI906" s="2" t="str">
        <f t="shared" si="113"/>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107"/>
        <v/>
      </c>
      <c r="AD907" s="4" t="str">
        <f t="shared" si="108"/>
        <v/>
      </c>
      <c r="AE907" s="4" t="str">
        <f t="shared" si="109"/>
        <v/>
      </c>
      <c r="AF907" s="4" t="str">
        <f t="shared" si="110"/>
        <v/>
      </c>
      <c r="AG907" s="4" t="str">
        <f t="shared" si="111"/>
        <v/>
      </c>
      <c r="AH907" s="4" t="str">
        <f t="shared" si="112"/>
        <v/>
      </c>
      <c r="AI907" s="2" t="str">
        <f t="shared" si="113"/>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107"/>
        <v/>
      </c>
      <c r="AD908" s="4" t="str">
        <f t="shared" si="108"/>
        <v/>
      </c>
      <c r="AE908" s="4" t="str">
        <f t="shared" si="109"/>
        <v/>
      </c>
      <c r="AF908" s="4" t="str">
        <f t="shared" si="110"/>
        <v/>
      </c>
      <c r="AG908" s="4" t="str">
        <f t="shared" si="111"/>
        <v/>
      </c>
      <c r="AH908" s="4" t="str">
        <f t="shared" si="112"/>
        <v/>
      </c>
      <c r="AI908" s="2" t="str">
        <f t="shared" si="113"/>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107"/>
        <v/>
      </c>
      <c r="AD909" s="4" t="str">
        <f t="shared" si="108"/>
        <v/>
      </c>
      <c r="AE909" s="4" t="str">
        <f t="shared" si="109"/>
        <v/>
      </c>
      <c r="AF909" s="4" t="str">
        <f t="shared" si="110"/>
        <v/>
      </c>
      <c r="AG909" s="4" t="str">
        <f t="shared" si="111"/>
        <v/>
      </c>
      <c r="AH909" s="4" t="str">
        <f t="shared" si="112"/>
        <v/>
      </c>
      <c r="AI909" s="2" t="str">
        <f t="shared" si="113"/>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107"/>
        <v/>
      </c>
      <c r="AD910" s="4" t="str">
        <f t="shared" si="108"/>
        <v/>
      </c>
      <c r="AE910" s="4" t="str">
        <f t="shared" si="109"/>
        <v/>
      </c>
      <c r="AF910" s="4" t="str">
        <f t="shared" si="110"/>
        <v/>
      </c>
      <c r="AG910" s="4" t="str">
        <f t="shared" si="111"/>
        <v/>
      </c>
      <c r="AH910" s="4" t="str">
        <f t="shared" si="112"/>
        <v/>
      </c>
      <c r="AI910" s="2" t="str">
        <f t="shared" si="113"/>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107"/>
        <v/>
      </c>
      <c r="AD911" s="4" t="str">
        <f t="shared" si="108"/>
        <v/>
      </c>
      <c r="AE911" s="4" t="str">
        <f t="shared" si="109"/>
        <v/>
      </c>
      <c r="AF911" s="4" t="str">
        <f t="shared" si="110"/>
        <v/>
      </c>
      <c r="AG911" s="4" t="str">
        <f t="shared" si="111"/>
        <v/>
      </c>
      <c r="AH911" s="4" t="str">
        <f t="shared" si="112"/>
        <v/>
      </c>
      <c r="AI911" s="2" t="str">
        <f t="shared" si="113"/>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107"/>
        <v/>
      </c>
      <c r="AD912" s="4" t="str">
        <f t="shared" si="108"/>
        <v/>
      </c>
      <c r="AE912" s="4" t="str">
        <f t="shared" si="109"/>
        <v/>
      </c>
      <c r="AF912" s="4" t="str">
        <f t="shared" si="110"/>
        <v/>
      </c>
      <c r="AG912" s="4" t="str">
        <f t="shared" si="111"/>
        <v/>
      </c>
      <c r="AH912" s="4" t="str">
        <f t="shared" si="112"/>
        <v/>
      </c>
      <c r="AI912" s="2" t="str">
        <f t="shared" si="113"/>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107"/>
        <v/>
      </c>
      <c r="AD913" s="4" t="str">
        <f t="shared" si="108"/>
        <v/>
      </c>
      <c r="AE913" s="4" t="str">
        <f t="shared" si="109"/>
        <v/>
      </c>
      <c r="AF913" s="4" t="str">
        <f t="shared" si="110"/>
        <v/>
      </c>
      <c r="AG913" s="4" t="str">
        <f t="shared" si="111"/>
        <v/>
      </c>
      <c r="AH913" s="4" t="str">
        <f t="shared" si="112"/>
        <v/>
      </c>
      <c r="AI913" s="2" t="str">
        <f t="shared" si="113"/>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107"/>
        <v/>
      </c>
      <c r="AD914" s="4" t="str">
        <f t="shared" si="108"/>
        <v/>
      </c>
      <c r="AE914" s="4" t="str">
        <f t="shared" si="109"/>
        <v/>
      </c>
      <c r="AF914" s="4" t="str">
        <f t="shared" si="110"/>
        <v/>
      </c>
      <c r="AG914" s="4" t="str">
        <f t="shared" si="111"/>
        <v/>
      </c>
      <c r="AH914" s="4" t="str">
        <f t="shared" si="112"/>
        <v/>
      </c>
      <c r="AI914" s="2" t="str">
        <f t="shared" si="113"/>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107"/>
        <v/>
      </c>
      <c r="AD915" s="4" t="str">
        <f t="shared" si="108"/>
        <v/>
      </c>
      <c r="AE915" s="4" t="str">
        <f t="shared" si="109"/>
        <v/>
      </c>
      <c r="AF915" s="4" t="str">
        <f t="shared" si="110"/>
        <v/>
      </c>
      <c r="AG915" s="4" t="str">
        <f t="shared" si="111"/>
        <v/>
      </c>
      <c r="AH915" s="4" t="str">
        <f t="shared" si="112"/>
        <v/>
      </c>
      <c r="AI915" s="2" t="str">
        <f t="shared" si="113"/>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107"/>
        <v/>
      </c>
      <c r="AD916" s="4" t="str">
        <f t="shared" si="108"/>
        <v/>
      </c>
      <c r="AE916" s="4" t="str">
        <f t="shared" si="109"/>
        <v/>
      </c>
      <c r="AF916" s="4" t="str">
        <f t="shared" si="110"/>
        <v/>
      </c>
      <c r="AG916" s="4" t="str">
        <f t="shared" si="111"/>
        <v/>
      </c>
      <c r="AH916" s="4" t="str">
        <f t="shared" si="112"/>
        <v/>
      </c>
      <c r="AI916" s="2" t="str">
        <f t="shared" si="113"/>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107"/>
        <v/>
      </c>
      <c r="AD917" s="4" t="str">
        <f t="shared" si="108"/>
        <v/>
      </c>
      <c r="AE917" s="4" t="str">
        <f t="shared" si="109"/>
        <v/>
      </c>
      <c r="AF917" s="4" t="str">
        <f t="shared" si="110"/>
        <v/>
      </c>
      <c r="AG917" s="4" t="str">
        <f t="shared" si="111"/>
        <v/>
      </c>
      <c r="AH917" s="4" t="str">
        <f t="shared" si="112"/>
        <v/>
      </c>
      <c r="AI917" s="2" t="str">
        <f t="shared" si="113"/>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107"/>
        <v/>
      </c>
      <c r="AD918" s="4" t="str">
        <f t="shared" si="108"/>
        <v/>
      </c>
      <c r="AE918" s="4" t="str">
        <f t="shared" si="109"/>
        <v/>
      </c>
      <c r="AF918" s="4" t="str">
        <f t="shared" si="110"/>
        <v/>
      </c>
      <c r="AG918" s="4" t="str">
        <f t="shared" si="111"/>
        <v/>
      </c>
      <c r="AH918" s="4" t="str">
        <f t="shared" si="112"/>
        <v/>
      </c>
      <c r="AI918" s="2" t="str">
        <f t="shared" si="113"/>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107"/>
        <v/>
      </c>
      <c r="AD919" s="4" t="str">
        <f t="shared" si="108"/>
        <v/>
      </c>
      <c r="AE919" s="4" t="str">
        <f t="shared" si="109"/>
        <v/>
      </c>
      <c r="AF919" s="4" t="str">
        <f t="shared" si="110"/>
        <v/>
      </c>
      <c r="AG919" s="4" t="str">
        <f t="shared" si="111"/>
        <v/>
      </c>
      <c r="AH919" s="4" t="str">
        <f t="shared" si="112"/>
        <v/>
      </c>
      <c r="AI919" s="2" t="str">
        <f t="shared" si="113"/>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107"/>
        <v/>
      </c>
      <c r="AD920" s="4" t="str">
        <f t="shared" si="108"/>
        <v/>
      </c>
      <c r="AE920" s="4" t="str">
        <f t="shared" si="109"/>
        <v/>
      </c>
      <c r="AF920" s="4" t="str">
        <f t="shared" si="110"/>
        <v/>
      </c>
      <c r="AG920" s="4" t="str">
        <f t="shared" si="111"/>
        <v/>
      </c>
      <c r="AH920" s="4" t="str">
        <f t="shared" si="112"/>
        <v/>
      </c>
      <c r="AI920" s="2" t="str">
        <f t="shared" si="113"/>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107"/>
        <v/>
      </c>
      <c r="AD921" s="4" t="str">
        <f t="shared" si="108"/>
        <v/>
      </c>
      <c r="AE921" s="4" t="str">
        <f t="shared" si="109"/>
        <v/>
      </c>
      <c r="AF921" s="4" t="str">
        <f t="shared" si="110"/>
        <v/>
      </c>
      <c r="AG921" s="4" t="str">
        <f t="shared" si="111"/>
        <v/>
      </c>
      <c r="AH921" s="4" t="str">
        <f t="shared" si="112"/>
        <v/>
      </c>
      <c r="AI921" s="2" t="str">
        <f t="shared" si="113"/>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107"/>
        <v/>
      </c>
      <c r="AD922" s="4" t="str">
        <f t="shared" si="108"/>
        <v/>
      </c>
      <c r="AE922" s="4" t="str">
        <f t="shared" si="109"/>
        <v/>
      </c>
      <c r="AF922" s="4" t="str">
        <f t="shared" si="110"/>
        <v/>
      </c>
      <c r="AG922" s="4" t="str">
        <f t="shared" si="111"/>
        <v/>
      </c>
      <c r="AH922" s="4" t="str">
        <f t="shared" si="112"/>
        <v/>
      </c>
      <c r="AI922" s="2" t="str">
        <f t="shared" si="113"/>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107"/>
        <v/>
      </c>
      <c r="AD923" s="4" t="str">
        <f t="shared" si="108"/>
        <v/>
      </c>
      <c r="AE923" s="4" t="str">
        <f t="shared" si="109"/>
        <v/>
      </c>
      <c r="AF923" s="4" t="str">
        <f t="shared" si="110"/>
        <v/>
      </c>
      <c r="AG923" s="4" t="str">
        <f t="shared" si="111"/>
        <v/>
      </c>
      <c r="AH923" s="4" t="str">
        <f t="shared" si="112"/>
        <v/>
      </c>
      <c r="AI923" s="2" t="str">
        <f t="shared" si="113"/>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107"/>
        <v/>
      </c>
      <c r="AD924" s="4" t="str">
        <f t="shared" si="108"/>
        <v/>
      </c>
      <c r="AE924" s="4" t="str">
        <f t="shared" si="109"/>
        <v/>
      </c>
      <c r="AF924" s="4" t="str">
        <f t="shared" si="110"/>
        <v/>
      </c>
      <c r="AG924" s="4" t="str">
        <f t="shared" si="111"/>
        <v/>
      </c>
      <c r="AH924" s="4" t="str">
        <f t="shared" si="112"/>
        <v/>
      </c>
      <c r="AI924" s="2" t="str">
        <f t="shared" si="113"/>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107"/>
        <v/>
      </c>
      <c r="AD925" s="4" t="str">
        <f t="shared" si="108"/>
        <v/>
      </c>
      <c r="AE925" s="4" t="str">
        <f t="shared" si="109"/>
        <v/>
      </c>
      <c r="AF925" s="4" t="str">
        <f t="shared" si="110"/>
        <v/>
      </c>
      <c r="AG925" s="4" t="str">
        <f t="shared" si="111"/>
        <v/>
      </c>
      <c r="AH925" s="4" t="str">
        <f t="shared" si="112"/>
        <v/>
      </c>
      <c r="AI925" s="2" t="str">
        <f t="shared" si="113"/>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107"/>
        <v/>
      </c>
      <c r="AD926" s="4" t="str">
        <f t="shared" si="108"/>
        <v/>
      </c>
      <c r="AE926" s="4" t="str">
        <f t="shared" si="109"/>
        <v/>
      </c>
      <c r="AF926" s="4" t="str">
        <f t="shared" si="110"/>
        <v/>
      </c>
      <c r="AG926" s="4" t="str">
        <f t="shared" si="111"/>
        <v/>
      </c>
      <c r="AH926" s="4" t="str">
        <f t="shared" si="112"/>
        <v/>
      </c>
      <c r="AI926" s="2" t="str">
        <f t="shared" si="113"/>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107"/>
        <v/>
      </c>
      <c r="AD927" s="4" t="str">
        <f t="shared" si="108"/>
        <v/>
      </c>
      <c r="AE927" s="4" t="str">
        <f t="shared" si="109"/>
        <v/>
      </c>
      <c r="AF927" s="4" t="str">
        <f t="shared" si="110"/>
        <v/>
      </c>
      <c r="AG927" s="4" t="str">
        <f t="shared" si="111"/>
        <v/>
      </c>
      <c r="AH927" s="4" t="str">
        <f t="shared" si="112"/>
        <v/>
      </c>
      <c r="AI927" s="2" t="str">
        <f t="shared" si="113"/>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107"/>
        <v/>
      </c>
      <c r="AD928" s="4" t="str">
        <f t="shared" si="108"/>
        <v/>
      </c>
      <c r="AE928" s="4" t="str">
        <f t="shared" si="109"/>
        <v/>
      </c>
      <c r="AF928" s="4" t="str">
        <f t="shared" si="110"/>
        <v/>
      </c>
      <c r="AG928" s="4" t="str">
        <f t="shared" si="111"/>
        <v/>
      </c>
      <c r="AH928" s="4" t="str">
        <f t="shared" si="112"/>
        <v/>
      </c>
      <c r="AI928" s="2" t="str">
        <f t="shared" si="113"/>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107"/>
        <v/>
      </c>
      <c r="AD929" s="4" t="str">
        <f t="shared" si="108"/>
        <v/>
      </c>
      <c r="AE929" s="4" t="str">
        <f t="shared" si="109"/>
        <v/>
      </c>
      <c r="AF929" s="4" t="str">
        <f t="shared" si="110"/>
        <v/>
      </c>
      <c r="AG929" s="4" t="str">
        <f t="shared" si="111"/>
        <v/>
      </c>
      <c r="AH929" s="4" t="str">
        <f t="shared" si="112"/>
        <v/>
      </c>
      <c r="AI929" s="2" t="str">
        <f t="shared" si="113"/>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107"/>
        <v/>
      </c>
      <c r="AD930" s="4" t="str">
        <f t="shared" si="108"/>
        <v/>
      </c>
      <c r="AE930" s="4" t="str">
        <f t="shared" si="109"/>
        <v/>
      </c>
      <c r="AF930" s="4" t="str">
        <f t="shared" si="110"/>
        <v/>
      </c>
      <c r="AG930" s="4" t="str">
        <f t="shared" si="111"/>
        <v/>
      </c>
      <c r="AH930" s="4" t="str">
        <f t="shared" si="112"/>
        <v/>
      </c>
      <c r="AI930" s="2" t="str">
        <f t="shared" si="113"/>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107"/>
        <v/>
      </c>
      <c r="AD931" s="4" t="str">
        <f t="shared" si="108"/>
        <v/>
      </c>
      <c r="AE931" s="4" t="str">
        <f t="shared" si="109"/>
        <v/>
      </c>
      <c r="AF931" s="4" t="str">
        <f t="shared" si="110"/>
        <v/>
      </c>
      <c r="AG931" s="4" t="str">
        <f t="shared" si="111"/>
        <v/>
      </c>
      <c r="AH931" s="4" t="str">
        <f t="shared" si="112"/>
        <v/>
      </c>
      <c r="AI931" s="2" t="str">
        <f t="shared" si="113"/>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107"/>
        <v/>
      </c>
      <c r="AD932" s="4" t="str">
        <f t="shared" si="108"/>
        <v/>
      </c>
      <c r="AE932" s="4" t="str">
        <f t="shared" si="109"/>
        <v/>
      </c>
      <c r="AF932" s="4" t="str">
        <f t="shared" si="110"/>
        <v/>
      </c>
      <c r="AG932" s="4" t="str">
        <f t="shared" si="111"/>
        <v/>
      </c>
      <c r="AH932" s="4" t="str">
        <f t="shared" si="112"/>
        <v/>
      </c>
      <c r="AI932" s="2" t="str">
        <f t="shared" si="113"/>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107"/>
        <v/>
      </c>
      <c r="AD933" s="4" t="str">
        <f t="shared" si="108"/>
        <v/>
      </c>
      <c r="AE933" s="4" t="str">
        <f t="shared" si="109"/>
        <v/>
      </c>
      <c r="AF933" s="4" t="str">
        <f t="shared" si="110"/>
        <v/>
      </c>
      <c r="AG933" s="4" t="str">
        <f t="shared" si="111"/>
        <v/>
      </c>
      <c r="AH933" s="4" t="str">
        <f t="shared" si="112"/>
        <v/>
      </c>
      <c r="AI933" s="2" t="str">
        <f t="shared" si="113"/>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107"/>
        <v/>
      </c>
      <c r="AD934" s="4" t="str">
        <f t="shared" si="108"/>
        <v/>
      </c>
      <c r="AE934" s="4" t="str">
        <f t="shared" si="109"/>
        <v/>
      </c>
      <c r="AF934" s="4" t="str">
        <f t="shared" si="110"/>
        <v/>
      </c>
      <c r="AG934" s="4" t="str">
        <f t="shared" si="111"/>
        <v/>
      </c>
      <c r="AH934" s="4" t="str">
        <f t="shared" si="112"/>
        <v/>
      </c>
      <c r="AI934" s="2" t="str">
        <f t="shared" si="113"/>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107"/>
        <v/>
      </c>
      <c r="AD935" s="4" t="str">
        <f t="shared" si="108"/>
        <v/>
      </c>
      <c r="AE935" s="4" t="str">
        <f t="shared" si="109"/>
        <v/>
      </c>
      <c r="AF935" s="4" t="str">
        <f t="shared" si="110"/>
        <v/>
      </c>
      <c r="AG935" s="4" t="str">
        <f t="shared" si="111"/>
        <v/>
      </c>
      <c r="AH935" s="4" t="str">
        <f t="shared" si="112"/>
        <v/>
      </c>
      <c r="AI935" s="2" t="str">
        <f t="shared" si="113"/>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107"/>
        <v/>
      </c>
      <c r="AD936" s="4" t="str">
        <f t="shared" si="108"/>
        <v/>
      </c>
      <c r="AE936" s="4" t="str">
        <f t="shared" si="109"/>
        <v/>
      </c>
      <c r="AF936" s="4" t="str">
        <f t="shared" si="110"/>
        <v/>
      </c>
      <c r="AG936" s="4" t="str">
        <f t="shared" si="111"/>
        <v/>
      </c>
      <c r="AH936" s="4" t="str">
        <f t="shared" si="112"/>
        <v/>
      </c>
      <c r="AI936" s="2" t="str">
        <f t="shared" si="113"/>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107"/>
        <v/>
      </c>
      <c r="AD937" s="4" t="str">
        <f t="shared" si="108"/>
        <v/>
      </c>
      <c r="AE937" s="4" t="str">
        <f t="shared" si="109"/>
        <v/>
      </c>
      <c r="AF937" s="4" t="str">
        <f t="shared" si="110"/>
        <v/>
      </c>
      <c r="AG937" s="4" t="str">
        <f t="shared" si="111"/>
        <v/>
      </c>
      <c r="AH937" s="4" t="str">
        <f t="shared" si="112"/>
        <v/>
      </c>
      <c r="AI937" s="2" t="str">
        <f t="shared" si="113"/>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107"/>
        <v/>
      </c>
      <c r="AD938" s="4" t="str">
        <f t="shared" si="108"/>
        <v/>
      </c>
      <c r="AE938" s="4" t="str">
        <f t="shared" si="109"/>
        <v/>
      </c>
      <c r="AF938" s="4" t="str">
        <f t="shared" si="110"/>
        <v/>
      </c>
      <c r="AG938" s="4" t="str">
        <f t="shared" si="111"/>
        <v/>
      </c>
      <c r="AH938" s="4" t="str">
        <f t="shared" si="112"/>
        <v/>
      </c>
      <c r="AI938" s="2" t="str">
        <f t="shared" si="113"/>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107"/>
        <v/>
      </c>
      <c r="AD939" s="4" t="str">
        <f t="shared" si="108"/>
        <v/>
      </c>
      <c r="AE939" s="4" t="str">
        <f t="shared" si="109"/>
        <v/>
      </c>
      <c r="AF939" s="4" t="str">
        <f t="shared" si="110"/>
        <v/>
      </c>
      <c r="AG939" s="4" t="str">
        <f t="shared" si="111"/>
        <v/>
      </c>
      <c r="AH939" s="4" t="str">
        <f t="shared" si="112"/>
        <v/>
      </c>
      <c r="AI939" s="2" t="str">
        <f t="shared" si="113"/>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107"/>
        <v/>
      </c>
      <c r="AD940" s="4" t="str">
        <f t="shared" si="108"/>
        <v/>
      </c>
      <c r="AE940" s="4" t="str">
        <f t="shared" si="109"/>
        <v/>
      </c>
      <c r="AF940" s="4" t="str">
        <f t="shared" si="110"/>
        <v/>
      </c>
      <c r="AG940" s="4" t="str">
        <f t="shared" si="111"/>
        <v/>
      </c>
      <c r="AH940" s="4" t="str">
        <f t="shared" si="112"/>
        <v/>
      </c>
      <c r="AI940" s="2" t="str">
        <f t="shared" si="113"/>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107"/>
        <v/>
      </c>
      <c r="AD941" s="4" t="str">
        <f t="shared" si="108"/>
        <v/>
      </c>
      <c r="AE941" s="4" t="str">
        <f t="shared" si="109"/>
        <v/>
      </c>
      <c r="AF941" s="4" t="str">
        <f t="shared" si="110"/>
        <v/>
      </c>
      <c r="AG941" s="4" t="str">
        <f t="shared" si="111"/>
        <v/>
      </c>
      <c r="AH941" s="4" t="str">
        <f t="shared" si="112"/>
        <v/>
      </c>
      <c r="AI941" s="2" t="str">
        <f t="shared" si="113"/>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107"/>
        <v/>
      </c>
      <c r="AD942" s="4" t="str">
        <f t="shared" si="108"/>
        <v/>
      </c>
      <c r="AE942" s="4" t="str">
        <f t="shared" si="109"/>
        <v/>
      </c>
      <c r="AF942" s="4" t="str">
        <f t="shared" si="110"/>
        <v/>
      </c>
      <c r="AG942" s="4" t="str">
        <f t="shared" si="111"/>
        <v/>
      </c>
      <c r="AH942" s="4" t="str">
        <f t="shared" si="112"/>
        <v/>
      </c>
      <c r="AI942" s="2" t="str">
        <f t="shared" si="113"/>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107"/>
        <v/>
      </c>
      <c r="AD943" s="4" t="str">
        <f t="shared" si="108"/>
        <v/>
      </c>
      <c r="AE943" s="4" t="str">
        <f t="shared" si="109"/>
        <v/>
      </c>
      <c r="AF943" s="4" t="str">
        <f t="shared" si="110"/>
        <v/>
      </c>
      <c r="AG943" s="4" t="str">
        <f t="shared" si="111"/>
        <v/>
      </c>
      <c r="AH943" s="4" t="str">
        <f t="shared" si="112"/>
        <v/>
      </c>
      <c r="AI943" s="2" t="str">
        <f t="shared" si="113"/>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107"/>
        <v/>
      </c>
      <c r="AD944" s="4" t="str">
        <f t="shared" si="108"/>
        <v/>
      </c>
      <c r="AE944" s="4" t="str">
        <f t="shared" si="109"/>
        <v/>
      </c>
      <c r="AF944" s="4" t="str">
        <f t="shared" si="110"/>
        <v/>
      </c>
      <c r="AG944" s="4" t="str">
        <f t="shared" si="111"/>
        <v/>
      </c>
      <c r="AH944" s="4" t="str">
        <f t="shared" si="112"/>
        <v/>
      </c>
      <c r="AI944" s="2" t="str">
        <f t="shared" si="113"/>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107"/>
        <v/>
      </c>
      <c r="AD945" s="4" t="str">
        <f t="shared" si="108"/>
        <v/>
      </c>
      <c r="AE945" s="4" t="str">
        <f t="shared" si="109"/>
        <v/>
      </c>
      <c r="AF945" s="4" t="str">
        <f t="shared" si="110"/>
        <v/>
      </c>
      <c r="AG945" s="4" t="str">
        <f t="shared" si="111"/>
        <v/>
      </c>
      <c r="AH945" s="4" t="str">
        <f t="shared" si="112"/>
        <v/>
      </c>
      <c r="AI945" s="2" t="str">
        <f t="shared" si="113"/>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107"/>
        <v/>
      </c>
      <c r="AD946" s="4" t="str">
        <f t="shared" si="108"/>
        <v/>
      </c>
      <c r="AE946" s="4" t="str">
        <f t="shared" si="109"/>
        <v/>
      </c>
      <c r="AF946" s="4" t="str">
        <f t="shared" si="110"/>
        <v/>
      </c>
      <c r="AG946" s="4" t="str">
        <f t="shared" si="111"/>
        <v/>
      </c>
      <c r="AH946" s="4" t="str">
        <f t="shared" si="112"/>
        <v/>
      </c>
      <c r="AI946" s="2" t="str">
        <f t="shared" si="113"/>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107"/>
        <v/>
      </c>
      <c r="AD947" s="4" t="str">
        <f t="shared" si="108"/>
        <v/>
      </c>
      <c r="AE947" s="4" t="str">
        <f t="shared" si="109"/>
        <v/>
      </c>
      <c r="AF947" s="4" t="str">
        <f t="shared" si="110"/>
        <v/>
      </c>
      <c r="AG947" s="4" t="str">
        <f t="shared" si="111"/>
        <v/>
      </c>
      <c r="AH947" s="4" t="str">
        <f t="shared" si="112"/>
        <v/>
      </c>
      <c r="AI947" s="2" t="str">
        <f t="shared" si="113"/>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107"/>
        <v/>
      </c>
      <c r="AD948" s="4" t="str">
        <f t="shared" si="108"/>
        <v/>
      </c>
      <c r="AE948" s="4" t="str">
        <f t="shared" si="109"/>
        <v/>
      </c>
      <c r="AF948" s="4" t="str">
        <f t="shared" si="110"/>
        <v/>
      </c>
      <c r="AG948" s="4" t="str">
        <f t="shared" si="111"/>
        <v/>
      </c>
      <c r="AH948" s="4" t="str">
        <f t="shared" si="112"/>
        <v/>
      </c>
      <c r="AI948" s="2" t="str">
        <f t="shared" si="113"/>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107"/>
        <v/>
      </c>
      <c r="AD949" s="4" t="str">
        <f t="shared" si="108"/>
        <v/>
      </c>
      <c r="AE949" s="4" t="str">
        <f t="shared" si="109"/>
        <v/>
      </c>
      <c r="AF949" s="4" t="str">
        <f t="shared" si="110"/>
        <v/>
      </c>
      <c r="AG949" s="4" t="str">
        <f t="shared" si="111"/>
        <v/>
      </c>
      <c r="AH949" s="4" t="str">
        <f t="shared" si="112"/>
        <v/>
      </c>
      <c r="AI949" s="2" t="str">
        <f t="shared" si="113"/>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107"/>
        <v/>
      </c>
      <c r="AD950" s="4" t="str">
        <f t="shared" si="108"/>
        <v/>
      </c>
      <c r="AE950" s="4" t="str">
        <f t="shared" si="109"/>
        <v/>
      </c>
      <c r="AF950" s="4" t="str">
        <f t="shared" si="110"/>
        <v/>
      </c>
      <c r="AG950" s="4" t="str">
        <f t="shared" si="111"/>
        <v/>
      </c>
      <c r="AH950" s="4" t="str">
        <f t="shared" si="112"/>
        <v/>
      </c>
      <c r="AI950" s="2" t="str">
        <f t="shared" si="113"/>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107"/>
        <v/>
      </c>
      <c r="AD951" s="4" t="str">
        <f t="shared" si="108"/>
        <v/>
      </c>
      <c r="AE951" s="4" t="str">
        <f t="shared" si="109"/>
        <v/>
      </c>
      <c r="AF951" s="4" t="str">
        <f t="shared" si="110"/>
        <v/>
      </c>
      <c r="AG951" s="4" t="str">
        <f t="shared" si="111"/>
        <v/>
      </c>
      <c r="AH951" s="4" t="str">
        <f t="shared" si="112"/>
        <v/>
      </c>
      <c r="AI951" s="2" t="str">
        <f t="shared" si="113"/>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107"/>
        <v/>
      </c>
      <c r="AD952" s="4" t="str">
        <f t="shared" si="108"/>
        <v/>
      </c>
      <c r="AE952" s="4" t="str">
        <f t="shared" si="109"/>
        <v/>
      </c>
      <c r="AF952" s="4" t="str">
        <f t="shared" si="110"/>
        <v/>
      </c>
      <c r="AG952" s="4" t="str">
        <f t="shared" si="111"/>
        <v/>
      </c>
      <c r="AH952" s="4" t="str">
        <f t="shared" si="112"/>
        <v/>
      </c>
      <c r="AI952" s="2" t="str">
        <f t="shared" si="113"/>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107"/>
        <v/>
      </c>
      <c r="AD953" s="4" t="str">
        <f t="shared" si="108"/>
        <v/>
      </c>
      <c r="AE953" s="4" t="str">
        <f t="shared" si="109"/>
        <v/>
      </c>
      <c r="AF953" s="4" t="str">
        <f t="shared" si="110"/>
        <v/>
      </c>
      <c r="AG953" s="4" t="str">
        <f t="shared" si="111"/>
        <v/>
      </c>
      <c r="AH953" s="4" t="str">
        <f t="shared" si="112"/>
        <v/>
      </c>
      <c r="AI953" s="2" t="str">
        <f t="shared" si="113"/>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107"/>
        <v/>
      </c>
      <c r="AD954" s="4" t="str">
        <f t="shared" si="108"/>
        <v/>
      </c>
      <c r="AE954" s="4" t="str">
        <f t="shared" si="109"/>
        <v/>
      </c>
      <c r="AF954" s="4" t="str">
        <f t="shared" si="110"/>
        <v/>
      </c>
      <c r="AG954" s="4" t="str">
        <f t="shared" si="111"/>
        <v/>
      </c>
      <c r="AH954" s="4" t="str">
        <f t="shared" si="112"/>
        <v/>
      </c>
      <c r="AI954" s="2" t="str">
        <f t="shared" si="113"/>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107"/>
        <v/>
      </c>
      <c r="AD955" s="4" t="str">
        <f t="shared" si="108"/>
        <v/>
      </c>
      <c r="AE955" s="4" t="str">
        <f t="shared" si="109"/>
        <v/>
      </c>
      <c r="AF955" s="4" t="str">
        <f t="shared" si="110"/>
        <v/>
      </c>
      <c r="AG955" s="4" t="str">
        <f t="shared" si="111"/>
        <v/>
      </c>
      <c r="AH955" s="4" t="str">
        <f t="shared" si="112"/>
        <v/>
      </c>
      <c r="AI955" s="2" t="str">
        <f t="shared" si="113"/>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107"/>
        <v/>
      </c>
      <c r="AD956" s="4" t="str">
        <f t="shared" si="108"/>
        <v/>
      </c>
      <c r="AE956" s="4" t="str">
        <f t="shared" si="109"/>
        <v/>
      </c>
      <c r="AF956" s="4" t="str">
        <f t="shared" si="110"/>
        <v/>
      </c>
      <c r="AG956" s="4" t="str">
        <f t="shared" si="111"/>
        <v/>
      </c>
      <c r="AH956" s="4" t="str">
        <f t="shared" si="112"/>
        <v/>
      </c>
      <c r="AI956" s="2" t="str">
        <f t="shared" si="113"/>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107"/>
        <v/>
      </c>
      <c r="AD957" s="4" t="str">
        <f t="shared" si="108"/>
        <v/>
      </c>
      <c r="AE957" s="4" t="str">
        <f t="shared" si="109"/>
        <v/>
      </c>
      <c r="AF957" s="4" t="str">
        <f t="shared" si="110"/>
        <v/>
      </c>
      <c r="AG957" s="4" t="str">
        <f t="shared" si="111"/>
        <v/>
      </c>
      <c r="AH957" s="4" t="str">
        <f t="shared" si="112"/>
        <v/>
      </c>
      <c r="AI957" s="2" t="str">
        <f t="shared" si="113"/>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107"/>
        <v/>
      </c>
      <c r="AD958" s="4" t="str">
        <f t="shared" si="108"/>
        <v/>
      </c>
      <c r="AE958" s="4" t="str">
        <f t="shared" si="109"/>
        <v/>
      </c>
      <c r="AF958" s="4" t="str">
        <f t="shared" si="110"/>
        <v/>
      </c>
      <c r="AG958" s="4" t="str">
        <f t="shared" si="111"/>
        <v/>
      </c>
      <c r="AH958" s="4" t="str">
        <f t="shared" si="112"/>
        <v/>
      </c>
      <c r="AI958" s="2" t="str">
        <f t="shared" si="113"/>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107"/>
        <v/>
      </c>
      <c r="AD959" s="4" t="str">
        <f t="shared" si="108"/>
        <v/>
      </c>
      <c r="AE959" s="4" t="str">
        <f t="shared" si="109"/>
        <v/>
      </c>
      <c r="AF959" s="4" t="str">
        <f t="shared" si="110"/>
        <v/>
      </c>
      <c r="AG959" s="4" t="str">
        <f t="shared" si="111"/>
        <v/>
      </c>
      <c r="AH959" s="4" t="str">
        <f t="shared" si="112"/>
        <v/>
      </c>
      <c r="AI959" s="2" t="str">
        <f t="shared" si="113"/>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107"/>
        <v/>
      </c>
      <c r="AD960" s="4" t="str">
        <f t="shared" si="108"/>
        <v/>
      </c>
      <c r="AE960" s="4" t="str">
        <f t="shared" si="109"/>
        <v/>
      </c>
      <c r="AF960" s="4" t="str">
        <f t="shared" si="110"/>
        <v/>
      </c>
      <c r="AG960" s="4" t="str">
        <f t="shared" si="111"/>
        <v/>
      </c>
      <c r="AH960" s="4" t="str">
        <f t="shared" si="112"/>
        <v/>
      </c>
      <c r="AI960" s="2" t="str">
        <f t="shared" si="113"/>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107"/>
        <v/>
      </c>
      <c r="AD961" s="4" t="str">
        <f t="shared" si="108"/>
        <v/>
      </c>
      <c r="AE961" s="4" t="str">
        <f t="shared" si="109"/>
        <v/>
      </c>
      <c r="AF961" s="4" t="str">
        <f t="shared" si="110"/>
        <v/>
      </c>
      <c r="AG961" s="4" t="str">
        <f t="shared" si="111"/>
        <v/>
      </c>
      <c r="AH961" s="4" t="str">
        <f t="shared" si="112"/>
        <v/>
      </c>
      <c r="AI961" s="2" t="str">
        <f t="shared" si="113"/>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107"/>
        <v/>
      </c>
      <c r="AD962" s="4" t="str">
        <f t="shared" si="108"/>
        <v/>
      </c>
      <c r="AE962" s="4" t="str">
        <f t="shared" si="109"/>
        <v/>
      </c>
      <c r="AF962" s="4" t="str">
        <f t="shared" si="110"/>
        <v/>
      </c>
      <c r="AG962" s="4" t="str">
        <f t="shared" si="111"/>
        <v/>
      </c>
      <c r="AH962" s="4" t="str">
        <f t="shared" si="112"/>
        <v/>
      </c>
      <c r="AI962" s="2" t="str">
        <f t="shared" si="113"/>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107"/>
        <v/>
      </c>
      <c r="AD963" s="4" t="str">
        <f t="shared" si="108"/>
        <v/>
      </c>
      <c r="AE963" s="4" t="str">
        <f t="shared" si="109"/>
        <v/>
      </c>
      <c r="AF963" s="4" t="str">
        <f t="shared" si="110"/>
        <v/>
      </c>
      <c r="AG963" s="4" t="str">
        <f t="shared" si="111"/>
        <v/>
      </c>
      <c r="AH963" s="4" t="str">
        <f t="shared" si="112"/>
        <v/>
      </c>
      <c r="AI963" s="2" t="str">
        <f t="shared" si="113"/>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si="107"/>
        <v/>
      </c>
      <c r="AD964" s="4" t="str">
        <f t="shared" si="108"/>
        <v/>
      </c>
      <c r="AE964" s="4" t="str">
        <f t="shared" si="109"/>
        <v/>
      </c>
      <c r="AF964" s="4" t="str">
        <f t="shared" si="110"/>
        <v/>
      </c>
      <c r="AG964" s="4" t="str">
        <f t="shared" si="111"/>
        <v/>
      </c>
      <c r="AH964" s="4" t="str">
        <f t="shared" si="112"/>
        <v/>
      </c>
      <c r="AI964" s="2" t="str">
        <f t="shared" si="113"/>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ref="AC965:AC1004" si="114">IF((MAX(A965,L965,N965,P965,X965,Y965)-MIN(A965,L965,N965,P965,X965,Y965))&gt;3,1,"")</f>
        <v/>
      </c>
      <c r="AD965" s="4" t="str">
        <f t="shared" ref="AD965:AD1004" si="115">IF((MAX(B965,D965,M965,U965)-MIN(B965,D965,M965,U965))&gt;3,1,"")</f>
        <v/>
      </c>
      <c r="AE965" s="4" t="str">
        <f t="shared" ref="AE965:AE1004" si="116">IF((MAX(I965,T965,V965,W965)-MIN(I965,T965,V965,W965))&gt;3,1,"")</f>
        <v/>
      </c>
      <c r="AF965" s="4" t="str">
        <f t="shared" ref="AF965:AF1004" si="117">IF((MAX(H965,K965,Q965,S965)-MIN(H965,K965,Q965,S965))&gt;3,1,"")</f>
        <v/>
      </c>
      <c r="AG965" s="4" t="str">
        <f t="shared" ref="AG965:AG1004" si="118">IF((MAX(E965,F965,G965,R965)-MIN(E965,F965,G965,R965))&gt;3,1,"")</f>
        <v/>
      </c>
      <c r="AH965" s="4" t="str">
        <f t="shared" ref="AH965:AH1004" si="119">IF((MAX(C965,J965,O965,Z965)-MIN(C965,J965,O965,Z965))&gt;3,1,"")</f>
        <v/>
      </c>
      <c r="AI965" s="2" t="str">
        <f t="shared" ref="AI965:AI1004" si="120">IF(COUNT(A965:Z965)&gt;0,IF(COUNT(AC965,AD965,AE965,AF965,AG965,AH965)&gt;0,SUM(AC965,AD965,AE965,AF965,AG965,AH965),0),"")</f>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14"/>
        <v/>
      </c>
      <c r="AD966" s="4" t="str">
        <f t="shared" si="115"/>
        <v/>
      </c>
      <c r="AE966" s="4" t="str">
        <f t="shared" si="116"/>
        <v/>
      </c>
      <c r="AF966" s="4" t="str">
        <f t="shared" si="117"/>
        <v/>
      </c>
      <c r="AG966" s="4" t="str">
        <f t="shared" si="118"/>
        <v/>
      </c>
      <c r="AH966" s="4" t="str">
        <f t="shared" si="119"/>
        <v/>
      </c>
      <c r="AI966" s="2" t="str">
        <f t="shared" si="120"/>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14"/>
        <v/>
      </c>
      <c r="AD967" s="4" t="str">
        <f t="shared" si="115"/>
        <v/>
      </c>
      <c r="AE967" s="4" t="str">
        <f t="shared" si="116"/>
        <v/>
      </c>
      <c r="AF967" s="4" t="str">
        <f t="shared" si="117"/>
        <v/>
      </c>
      <c r="AG967" s="4" t="str">
        <f t="shared" si="118"/>
        <v/>
      </c>
      <c r="AH967" s="4" t="str">
        <f t="shared" si="119"/>
        <v/>
      </c>
      <c r="AI967" s="2" t="str">
        <f t="shared" si="120"/>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14"/>
        <v/>
      </c>
      <c r="AD968" s="4" t="str">
        <f t="shared" si="115"/>
        <v/>
      </c>
      <c r="AE968" s="4" t="str">
        <f t="shared" si="116"/>
        <v/>
      </c>
      <c r="AF968" s="4" t="str">
        <f t="shared" si="117"/>
        <v/>
      </c>
      <c r="AG968" s="4" t="str">
        <f t="shared" si="118"/>
        <v/>
      </c>
      <c r="AH968" s="4" t="str">
        <f t="shared" si="119"/>
        <v/>
      </c>
      <c r="AI968" s="2" t="str">
        <f t="shared" si="120"/>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14"/>
        <v/>
      </c>
      <c r="AD969" s="4" t="str">
        <f t="shared" si="115"/>
        <v/>
      </c>
      <c r="AE969" s="4" t="str">
        <f t="shared" si="116"/>
        <v/>
      </c>
      <c r="AF969" s="4" t="str">
        <f t="shared" si="117"/>
        <v/>
      </c>
      <c r="AG969" s="4" t="str">
        <f t="shared" si="118"/>
        <v/>
      </c>
      <c r="AH969" s="4" t="str">
        <f t="shared" si="119"/>
        <v/>
      </c>
      <c r="AI969" s="2" t="str">
        <f t="shared" si="120"/>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14"/>
        <v/>
      </c>
      <c r="AD970" s="4" t="str">
        <f t="shared" si="115"/>
        <v/>
      </c>
      <c r="AE970" s="4" t="str">
        <f t="shared" si="116"/>
        <v/>
      </c>
      <c r="AF970" s="4" t="str">
        <f t="shared" si="117"/>
        <v/>
      </c>
      <c r="AG970" s="4" t="str">
        <f t="shared" si="118"/>
        <v/>
      </c>
      <c r="AH970" s="4" t="str">
        <f t="shared" si="119"/>
        <v/>
      </c>
      <c r="AI970" s="2" t="str">
        <f t="shared" si="120"/>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14"/>
        <v/>
      </c>
      <c r="AD971" s="4" t="str">
        <f t="shared" si="115"/>
        <v/>
      </c>
      <c r="AE971" s="4" t="str">
        <f t="shared" si="116"/>
        <v/>
      </c>
      <c r="AF971" s="4" t="str">
        <f t="shared" si="117"/>
        <v/>
      </c>
      <c r="AG971" s="4" t="str">
        <f t="shared" si="118"/>
        <v/>
      </c>
      <c r="AH971" s="4" t="str">
        <f t="shared" si="119"/>
        <v/>
      </c>
      <c r="AI971" s="2" t="str">
        <f t="shared" si="120"/>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14"/>
        <v/>
      </c>
      <c r="AD972" s="4" t="str">
        <f t="shared" si="115"/>
        <v/>
      </c>
      <c r="AE972" s="4" t="str">
        <f t="shared" si="116"/>
        <v/>
      </c>
      <c r="AF972" s="4" t="str">
        <f t="shared" si="117"/>
        <v/>
      </c>
      <c r="AG972" s="4" t="str">
        <f t="shared" si="118"/>
        <v/>
      </c>
      <c r="AH972" s="4" t="str">
        <f t="shared" si="119"/>
        <v/>
      </c>
      <c r="AI972" s="2" t="str">
        <f t="shared" si="120"/>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14"/>
        <v/>
      </c>
      <c r="AD973" s="4" t="str">
        <f t="shared" si="115"/>
        <v/>
      </c>
      <c r="AE973" s="4" t="str">
        <f t="shared" si="116"/>
        <v/>
      </c>
      <c r="AF973" s="4" t="str">
        <f t="shared" si="117"/>
        <v/>
      </c>
      <c r="AG973" s="4" t="str">
        <f t="shared" si="118"/>
        <v/>
      </c>
      <c r="AH973" s="4" t="str">
        <f t="shared" si="119"/>
        <v/>
      </c>
      <c r="AI973" s="2" t="str">
        <f t="shared" si="120"/>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14"/>
        <v/>
      </c>
      <c r="AD974" s="4" t="str">
        <f t="shared" si="115"/>
        <v/>
      </c>
      <c r="AE974" s="4" t="str">
        <f t="shared" si="116"/>
        <v/>
      </c>
      <c r="AF974" s="4" t="str">
        <f t="shared" si="117"/>
        <v/>
      </c>
      <c r="AG974" s="4" t="str">
        <f t="shared" si="118"/>
        <v/>
      </c>
      <c r="AH974" s="4" t="str">
        <f t="shared" si="119"/>
        <v/>
      </c>
      <c r="AI974" s="2" t="str">
        <f t="shared" si="120"/>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14"/>
        <v/>
      </c>
      <c r="AD975" s="4" t="str">
        <f t="shared" si="115"/>
        <v/>
      </c>
      <c r="AE975" s="4" t="str">
        <f t="shared" si="116"/>
        <v/>
      </c>
      <c r="AF975" s="4" t="str">
        <f t="shared" si="117"/>
        <v/>
      </c>
      <c r="AG975" s="4" t="str">
        <f t="shared" si="118"/>
        <v/>
      </c>
      <c r="AH975" s="4" t="str">
        <f t="shared" si="119"/>
        <v/>
      </c>
      <c r="AI975" s="2" t="str">
        <f t="shared" si="120"/>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14"/>
        <v/>
      </c>
      <c r="AD976" s="4" t="str">
        <f t="shared" si="115"/>
        <v/>
      </c>
      <c r="AE976" s="4" t="str">
        <f t="shared" si="116"/>
        <v/>
      </c>
      <c r="AF976" s="4" t="str">
        <f t="shared" si="117"/>
        <v/>
      </c>
      <c r="AG976" s="4" t="str">
        <f t="shared" si="118"/>
        <v/>
      </c>
      <c r="AH976" s="4" t="str">
        <f t="shared" si="119"/>
        <v/>
      </c>
      <c r="AI976" s="2" t="str">
        <f t="shared" si="120"/>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14"/>
        <v/>
      </c>
      <c r="AD977" s="4" t="str">
        <f t="shared" si="115"/>
        <v/>
      </c>
      <c r="AE977" s="4" t="str">
        <f t="shared" si="116"/>
        <v/>
      </c>
      <c r="AF977" s="4" t="str">
        <f t="shared" si="117"/>
        <v/>
      </c>
      <c r="AG977" s="4" t="str">
        <f t="shared" si="118"/>
        <v/>
      </c>
      <c r="AH977" s="4" t="str">
        <f t="shared" si="119"/>
        <v/>
      </c>
      <c r="AI977" s="2" t="str">
        <f t="shared" si="120"/>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14"/>
        <v/>
      </c>
      <c r="AD978" s="4" t="str">
        <f t="shared" si="115"/>
        <v/>
      </c>
      <c r="AE978" s="4" t="str">
        <f t="shared" si="116"/>
        <v/>
      </c>
      <c r="AF978" s="4" t="str">
        <f t="shared" si="117"/>
        <v/>
      </c>
      <c r="AG978" s="4" t="str">
        <f t="shared" si="118"/>
        <v/>
      </c>
      <c r="AH978" s="4" t="str">
        <f t="shared" si="119"/>
        <v/>
      </c>
      <c r="AI978" s="2" t="str">
        <f t="shared" si="120"/>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14"/>
        <v/>
      </c>
      <c r="AD979" s="4" t="str">
        <f t="shared" si="115"/>
        <v/>
      </c>
      <c r="AE979" s="4" t="str">
        <f t="shared" si="116"/>
        <v/>
      </c>
      <c r="AF979" s="4" t="str">
        <f t="shared" si="117"/>
        <v/>
      </c>
      <c r="AG979" s="4" t="str">
        <f t="shared" si="118"/>
        <v/>
      </c>
      <c r="AH979" s="4" t="str">
        <f t="shared" si="119"/>
        <v/>
      </c>
      <c r="AI979" s="2" t="str">
        <f t="shared" si="120"/>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14"/>
        <v/>
      </c>
      <c r="AD980" s="4" t="str">
        <f t="shared" si="115"/>
        <v/>
      </c>
      <c r="AE980" s="4" t="str">
        <f t="shared" si="116"/>
        <v/>
      </c>
      <c r="AF980" s="4" t="str">
        <f t="shared" si="117"/>
        <v/>
      </c>
      <c r="AG980" s="4" t="str">
        <f t="shared" si="118"/>
        <v/>
      </c>
      <c r="AH980" s="4" t="str">
        <f t="shared" si="119"/>
        <v/>
      </c>
      <c r="AI980" s="2" t="str">
        <f t="shared" si="120"/>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14"/>
        <v/>
      </c>
      <c r="AD981" s="4" t="str">
        <f t="shared" si="115"/>
        <v/>
      </c>
      <c r="AE981" s="4" t="str">
        <f t="shared" si="116"/>
        <v/>
      </c>
      <c r="AF981" s="4" t="str">
        <f t="shared" si="117"/>
        <v/>
      </c>
      <c r="AG981" s="4" t="str">
        <f t="shared" si="118"/>
        <v/>
      </c>
      <c r="AH981" s="4" t="str">
        <f t="shared" si="119"/>
        <v/>
      </c>
      <c r="AI981" s="2" t="str">
        <f t="shared" si="120"/>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14"/>
        <v/>
      </c>
      <c r="AD982" s="4" t="str">
        <f t="shared" si="115"/>
        <v/>
      </c>
      <c r="AE982" s="4" t="str">
        <f t="shared" si="116"/>
        <v/>
      </c>
      <c r="AF982" s="4" t="str">
        <f t="shared" si="117"/>
        <v/>
      </c>
      <c r="AG982" s="4" t="str">
        <f t="shared" si="118"/>
        <v/>
      </c>
      <c r="AH982" s="4" t="str">
        <f t="shared" si="119"/>
        <v/>
      </c>
      <c r="AI982" s="2" t="str">
        <f t="shared" si="120"/>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14"/>
        <v/>
      </c>
      <c r="AD983" s="4" t="str">
        <f t="shared" si="115"/>
        <v/>
      </c>
      <c r="AE983" s="4" t="str">
        <f t="shared" si="116"/>
        <v/>
      </c>
      <c r="AF983" s="4" t="str">
        <f t="shared" si="117"/>
        <v/>
      </c>
      <c r="AG983" s="4" t="str">
        <f t="shared" si="118"/>
        <v/>
      </c>
      <c r="AH983" s="4" t="str">
        <f t="shared" si="119"/>
        <v/>
      </c>
      <c r="AI983" s="2" t="str">
        <f t="shared" si="120"/>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14"/>
        <v/>
      </c>
      <c r="AD984" s="4" t="str">
        <f t="shared" si="115"/>
        <v/>
      </c>
      <c r="AE984" s="4" t="str">
        <f t="shared" si="116"/>
        <v/>
      </c>
      <c r="AF984" s="4" t="str">
        <f t="shared" si="117"/>
        <v/>
      </c>
      <c r="AG984" s="4" t="str">
        <f t="shared" si="118"/>
        <v/>
      </c>
      <c r="AH984" s="4" t="str">
        <f t="shared" si="119"/>
        <v/>
      </c>
      <c r="AI984" s="2" t="str">
        <f t="shared" si="120"/>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14"/>
        <v/>
      </c>
      <c r="AD985" s="4" t="str">
        <f t="shared" si="115"/>
        <v/>
      </c>
      <c r="AE985" s="4" t="str">
        <f t="shared" si="116"/>
        <v/>
      </c>
      <c r="AF985" s="4" t="str">
        <f t="shared" si="117"/>
        <v/>
      </c>
      <c r="AG985" s="4" t="str">
        <f t="shared" si="118"/>
        <v/>
      </c>
      <c r="AH985" s="4" t="str">
        <f t="shared" si="119"/>
        <v/>
      </c>
      <c r="AI985" s="2" t="str">
        <f t="shared" si="120"/>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14"/>
        <v/>
      </c>
      <c r="AD986" s="4" t="str">
        <f t="shared" si="115"/>
        <v/>
      </c>
      <c r="AE986" s="4" t="str">
        <f t="shared" si="116"/>
        <v/>
      </c>
      <c r="AF986" s="4" t="str">
        <f t="shared" si="117"/>
        <v/>
      </c>
      <c r="AG986" s="4" t="str">
        <f t="shared" si="118"/>
        <v/>
      </c>
      <c r="AH986" s="4" t="str">
        <f t="shared" si="119"/>
        <v/>
      </c>
      <c r="AI986" s="2" t="str">
        <f t="shared" si="120"/>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14"/>
        <v/>
      </c>
      <c r="AD987" s="4" t="str">
        <f t="shared" si="115"/>
        <v/>
      </c>
      <c r="AE987" s="4" t="str">
        <f t="shared" si="116"/>
        <v/>
      </c>
      <c r="AF987" s="4" t="str">
        <f t="shared" si="117"/>
        <v/>
      </c>
      <c r="AG987" s="4" t="str">
        <f t="shared" si="118"/>
        <v/>
      </c>
      <c r="AH987" s="4" t="str">
        <f t="shared" si="119"/>
        <v/>
      </c>
      <c r="AI987" s="2" t="str">
        <f t="shared" si="120"/>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14"/>
        <v/>
      </c>
      <c r="AD988" s="4" t="str">
        <f t="shared" si="115"/>
        <v/>
      </c>
      <c r="AE988" s="4" t="str">
        <f t="shared" si="116"/>
        <v/>
      </c>
      <c r="AF988" s="4" t="str">
        <f t="shared" si="117"/>
        <v/>
      </c>
      <c r="AG988" s="4" t="str">
        <f t="shared" si="118"/>
        <v/>
      </c>
      <c r="AH988" s="4" t="str">
        <f t="shared" si="119"/>
        <v/>
      </c>
      <c r="AI988" s="2" t="str">
        <f t="shared" si="120"/>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14"/>
        <v/>
      </c>
      <c r="AD989" s="4" t="str">
        <f t="shared" si="115"/>
        <v/>
      </c>
      <c r="AE989" s="4" t="str">
        <f t="shared" si="116"/>
        <v/>
      </c>
      <c r="AF989" s="4" t="str">
        <f t="shared" si="117"/>
        <v/>
      </c>
      <c r="AG989" s="4" t="str">
        <f t="shared" si="118"/>
        <v/>
      </c>
      <c r="AH989" s="4" t="str">
        <f t="shared" si="119"/>
        <v/>
      </c>
      <c r="AI989" s="2" t="str">
        <f t="shared" si="120"/>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14"/>
        <v/>
      </c>
      <c r="AD990" s="4" t="str">
        <f t="shared" si="115"/>
        <v/>
      </c>
      <c r="AE990" s="4" t="str">
        <f t="shared" si="116"/>
        <v/>
      </c>
      <c r="AF990" s="4" t="str">
        <f t="shared" si="117"/>
        <v/>
      </c>
      <c r="AG990" s="4" t="str">
        <f t="shared" si="118"/>
        <v/>
      </c>
      <c r="AH990" s="4" t="str">
        <f t="shared" si="119"/>
        <v/>
      </c>
      <c r="AI990" s="2" t="str">
        <f t="shared" si="120"/>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14"/>
        <v/>
      </c>
      <c r="AD991" s="4" t="str">
        <f t="shared" si="115"/>
        <v/>
      </c>
      <c r="AE991" s="4" t="str">
        <f t="shared" si="116"/>
        <v/>
      </c>
      <c r="AF991" s="4" t="str">
        <f t="shared" si="117"/>
        <v/>
      </c>
      <c r="AG991" s="4" t="str">
        <f t="shared" si="118"/>
        <v/>
      </c>
      <c r="AH991" s="4" t="str">
        <f t="shared" si="119"/>
        <v/>
      </c>
      <c r="AI991" s="2" t="str">
        <f t="shared" si="120"/>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14"/>
        <v/>
      </c>
      <c r="AD992" s="4" t="str">
        <f t="shared" si="115"/>
        <v/>
      </c>
      <c r="AE992" s="4" t="str">
        <f t="shared" si="116"/>
        <v/>
      </c>
      <c r="AF992" s="4" t="str">
        <f t="shared" si="117"/>
        <v/>
      </c>
      <c r="AG992" s="4" t="str">
        <f t="shared" si="118"/>
        <v/>
      </c>
      <c r="AH992" s="4" t="str">
        <f t="shared" si="119"/>
        <v/>
      </c>
      <c r="AI992" s="2" t="str">
        <f t="shared" si="120"/>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14"/>
        <v/>
      </c>
      <c r="AD993" s="4" t="str">
        <f t="shared" si="115"/>
        <v/>
      </c>
      <c r="AE993" s="4" t="str">
        <f t="shared" si="116"/>
        <v/>
      </c>
      <c r="AF993" s="4" t="str">
        <f t="shared" si="117"/>
        <v/>
      </c>
      <c r="AG993" s="4" t="str">
        <f t="shared" si="118"/>
        <v/>
      </c>
      <c r="AH993" s="4" t="str">
        <f t="shared" si="119"/>
        <v/>
      </c>
      <c r="AI993" s="2" t="str">
        <f t="shared" si="120"/>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14"/>
        <v/>
      </c>
      <c r="AD994" s="4" t="str">
        <f t="shared" si="115"/>
        <v/>
      </c>
      <c r="AE994" s="4" t="str">
        <f t="shared" si="116"/>
        <v/>
      </c>
      <c r="AF994" s="4" t="str">
        <f t="shared" si="117"/>
        <v/>
      </c>
      <c r="AG994" s="4" t="str">
        <f t="shared" si="118"/>
        <v/>
      </c>
      <c r="AH994" s="4" t="str">
        <f t="shared" si="119"/>
        <v/>
      </c>
      <c r="AI994" s="2" t="str">
        <f t="shared" si="120"/>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14"/>
        <v/>
      </c>
      <c r="AD995" s="4" t="str">
        <f t="shared" si="115"/>
        <v/>
      </c>
      <c r="AE995" s="4" t="str">
        <f t="shared" si="116"/>
        <v/>
      </c>
      <c r="AF995" s="4" t="str">
        <f t="shared" si="117"/>
        <v/>
      </c>
      <c r="AG995" s="4" t="str">
        <f t="shared" si="118"/>
        <v/>
      </c>
      <c r="AH995" s="4" t="str">
        <f t="shared" si="119"/>
        <v/>
      </c>
      <c r="AI995" s="2" t="str">
        <f t="shared" si="120"/>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14"/>
        <v/>
      </c>
      <c r="AD996" s="4" t="str">
        <f t="shared" si="115"/>
        <v/>
      </c>
      <c r="AE996" s="4" t="str">
        <f t="shared" si="116"/>
        <v/>
      </c>
      <c r="AF996" s="4" t="str">
        <f t="shared" si="117"/>
        <v/>
      </c>
      <c r="AG996" s="4" t="str">
        <f t="shared" si="118"/>
        <v/>
      </c>
      <c r="AH996" s="4" t="str">
        <f t="shared" si="119"/>
        <v/>
      </c>
      <c r="AI996" s="2" t="str">
        <f t="shared" si="120"/>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14"/>
        <v/>
      </c>
      <c r="AD997" s="4" t="str">
        <f t="shared" si="115"/>
        <v/>
      </c>
      <c r="AE997" s="4" t="str">
        <f t="shared" si="116"/>
        <v/>
      </c>
      <c r="AF997" s="4" t="str">
        <f t="shared" si="117"/>
        <v/>
      </c>
      <c r="AG997" s="4" t="str">
        <f t="shared" si="118"/>
        <v/>
      </c>
      <c r="AH997" s="4" t="str">
        <f t="shared" si="119"/>
        <v/>
      </c>
      <c r="AI997" s="2" t="str">
        <f t="shared" si="120"/>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14"/>
        <v/>
      </c>
      <c r="AD998" s="4" t="str">
        <f t="shared" si="115"/>
        <v/>
      </c>
      <c r="AE998" s="4" t="str">
        <f t="shared" si="116"/>
        <v/>
      </c>
      <c r="AF998" s="4" t="str">
        <f t="shared" si="117"/>
        <v/>
      </c>
      <c r="AG998" s="4" t="str">
        <f t="shared" si="118"/>
        <v/>
      </c>
      <c r="AH998" s="4" t="str">
        <f t="shared" si="119"/>
        <v/>
      </c>
      <c r="AI998" s="2" t="str">
        <f t="shared" si="120"/>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14"/>
        <v/>
      </c>
      <c r="AD999" s="4" t="str">
        <f t="shared" si="115"/>
        <v/>
      </c>
      <c r="AE999" s="4" t="str">
        <f t="shared" si="116"/>
        <v/>
      </c>
      <c r="AF999" s="4" t="str">
        <f t="shared" si="117"/>
        <v/>
      </c>
      <c r="AG999" s="4" t="str">
        <f t="shared" si="118"/>
        <v/>
      </c>
      <c r="AH999" s="4" t="str">
        <f t="shared" si="119"/>
        <v/>
      </c>
      <c r="AI999" s="2" t="str">
        <f t="shared" si="120"/>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14"/>
        <v/>
      </c>
      <c r="AD1000" s="4" t="str">
        <f t="shared" si="115"/>
        <v/>
      </c>
      <c r="AE1000" s="4" t="str">
        <f t="shared" si="116"/>
        <v/>
      </c>
      <c r="AF1000" s="4" t="str">
        <f t="shared" si="117"/>
        <v/>
      </c>
      <c r="AG1000" s="4" t="str">
        <f t="shared" si="118"/>
        <v/>
      </c>
      <c r="AH1000" s="4" t="str">
        <f t="shared" si="119"/>
        <v/>
      </c>
      <c r="AI1000" s="2" t="str">
        <f t="shared" si="120"/>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14"/>
        <v/>
      </c>
      <c r="AD1001" s="4" t="str">
        <f t="shared" si="115"/>
        <v/>
      </c>
      <c r="AE1001" s="4" t="str">
        <f t="shared" si="116"/>
        <v/>
      </c>
      <c r="AF1001" s="4" t="str">
        <f t="shared" si="117"/>
        <v/>
      </c>
      <c r="AG1001" s="4" t="str">
        <f t="shared" si="118"/>
        <v/>
      </c>
      <c r="AH1001" s="4" t="str">
        <f t="shared" si="119"/>
        <v/>
      </c>
      <c r="AI1001" s="2" t="str">
        <f t="shared" si="120"/>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14"/>
        <v/>
      </c>
      <c r="AD1002" s="4" t="str">
        <f t="shared" si="115"/>
        <v/>
      </c>
      <c r="AE1002" s="4" t="str">
        <f t="shared" si="116"/>
        <v/>
      </c>
      <c r="AF1002" s="4" t="str">
        <f t="shared" si="117"/>
        <v/>
      </c>
      <c r="AG1002" s="4" t="str">
        <f t="shared" si="118"/>
        <v/>
      </c>
      <c r="AH1002" s="4" t="str">
        <f t="shared" si="119"/>
        <v/>
      </c>
      <c r="AI1002" s="2" t="str">
        <f t="shared" si="120"/>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14"/>
        <v/>
      </c>
      <c r="AD1003" s="4" t="str">
        <f t="shared" si="115"/>
        <v/>
      </c>
      <c r="AE1003" s="4" t="str">
        <f t="shared" si="116"/>
        <v/>
      </c>
      <c r="AF1003" s="4" t="str">
        <f t="shared" si="117"/>
        <v/>
      </c>
      <c r="AG1003" s="4" t="str">
        <f t="shared" si="118"/>
        <v/>
      </c>
      <c r="AH1003" s="4" t="str">
        <f t="shared" si="119"/>
        <v/>
      </c>
      <c r="AI1003" s="2" t="str">
        <f t="shared" si="120"/>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14"/>
        <v/>
      </c>
      <c r="AD1004" s="4" t="str">
        <f t="shared" si="115"/>
        <v/>
      </c>
      <c r="AE1004" s="4" t="str">
        <f t="shared" si="116"/>
        <v/>
      </c>
      <c r="AF1004" s="4" t="str">
        <f t="shared" si="117"/>
        <v/>
      </c>
      <c r="AG1004" s="4" t="str">
        <f t="shared" si="118"/>
        <v/>
      </c>
      <c r="AH1004" s="4" t="str">
        <f t="shared" si="119"/>
        <v/>
      </c>
      <c r="AI1004" s="2" t="str">
        <f t="shared" si="120"/>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2:Z2"/>
    <mergeCell ref="AC2:AI2"/>
    <mergeCell ref="A1:AF1"/>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r:id="rId1"/>
  <customProperties>
    <customPr name="EpmWorksheetKeyString_GUID" r:id="rId2"/>
    <customPr name="IbpWorksheetKeyString_GU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election activeCell="D10" sqref="D10"/>
    </sheetView>
  </sheetViews>
  <sheetFormatPr defaultRowHeight="14.4"/>
  <cols>
    <col min="1" max="1" width="28" customWidth="1"/>
    <col min="2" max="2" width="18.109375" customWidth="1"/>
    <col min="3" max="5" width="18.33203125" customWidth="1"/>
    <col min="6" max="6" width="18.44140625" customWidth="1"/>
    <col min="7" max="7" width="18.33203125" customWidth="1"/>
  </cols>
  <sheetData>
    <row r="1" spans="1:7" ht="21">
      <c r="A1" s="195" t="s">
        <v>829</v>
      </c>
      <c r="B1" s="195"/>
      <c r="C1" s="195"/>
      <c r="D1" s="195"/>
      <c r="E1" s="195"/>
      <c r="F1" s="195"/>
      <c r="G1" s="195"/>
    </row>
    <row r="2" spans="1:7" ht="184.8" customHeight="1">
      <c r="A2" s="183" t="s">
        <v>830</v>
      </c>
      <c r="B2" s="183"/>
      <c r="C2" s="183"/>
      <c r="D2" s="183"/>
      <c r="E2" s="183"/>
      <c r="F2" s="183"/>
      <c r="G2" s="183"/>
    </row>
    <row r="3" spans="1:7">
      <c r="A3" s="97" t="s">
        <v>110</v>
      </c>
      <c r="B3" s="90" t="s">
        <v>827</v>
      </c>
    </row>
    <row r="4" spans="1:7">
      <c r="A4" s="30" t="str">
        <f>VLOOKUP(Read_First!B5,Items!A1:BI50,54,FALSE)</f>
        <v>Attractiveness</v>
      </c>
      <c r="B4" s="7">
        <f>SQRT(VAR(DT!AC4:AC1004))</f>
        <v>1.1425329033177742</v>
      </c>
    </row>
    <row r="5" spans="1:7">
      <c r="A5" s="30" t="str">
        <f>VLOOKUP(Read_First!B5,Items!A1:BI50,55,FALSE)</f>
        <v>Perspicuity</v>
      </c>
      <c r="B5" s="7">
        <f>SQRT(VAR(DT!AD4:AD1004))</f>
        <v>1.1379448835397832</v>
      </c>
    </row>
    <row r="6" spans="1:7">
      <c r="A6" s="30" t="str">
        <f>VLOOKUP(Read_First!B5,Items!A1:BI50,56,FALSE)</f>
        <v>Efficiency</v>
      </c>
      <c r="B6" s="7">
        <f>SQRT(VAR(DT!AE4:AE1004))</f>
        <v>1.0478709013847138</v>
      </c>
    </row>
    <row r="7" spans="1:7">
      <c r="A7" s="30" t="str">
        <f>VLOOKUP(Read_First!B5,Items!A1:BI50,57,FALSE)</f>
        <v>Dependability</v>
      </c>
      <c r="B7" s="7">
        <f>SQRT(VAR(DT!AF4:AF1004))</f>
        <v>0.9082961686068155</v>
      </c>
    </row>
    <row r="8" spans="1:7">
      <c r="A8" s="30" t="str">
        <f>VLOOKUP(Read_First!B5,Items!A1:BI50,58,FALSE)</f>
        <v>Stimulation</v>
      </c>
      <c r="B8" s="7">
        <f>SQRT(VAR(DT!AG4:AG1004))</f>
        <v>1.0610449331494458</v>
      </c>
    </row>
    <row r="9" spans="1:7">
      <c r="A9" s="30" t="str">
        <f>VLOOKUP(Read_First!B5,Items!A1:BI50,59,FALSE)</f>
        <v>Novelty</v>
      </c>
      <c r="B9" s="7">
        <f>SQRT(VAR(DT!AH4:AH1004))</f>
        <v>1.079486286997932</v>
      </c>
    </row>
    <row r="11" spans="1:7">
      <c r="A11" s="102" t="s">
        <v>828</v>
      </c>
      <c r="B11" s="98" t="str">
        <f>VLOOKUP(Read_First!B5,Items!A1:BI50,54,FALSE)</f>
        <v>Attractiveness</v>
      </c>
      <c r="C11" s="100" t="str">
        <f>VLOOKUP(Read_First!B5,Items!A1:BI50,55,FALSE)</f>
        <v>Perspicuity</v>
      </c>
      <c r="D11" s="100" t="str">
        <f>VLOOKUP(Read_First!B5,Items!A1:BI50,56,FALSE)</f>
        <v>Efficiency</v>
      </c>
      <c r="E11" s="101" t="str">
        <f>VLOOKUP(Read_First!B5,Items!A1:BI50,57,FALSE)</f>
        <v>Dependability</v>
      </c>
      <c r="F11" s="98" t="str">
        <f>VLOOKUP(Read_First!B5,Items!A1:BI50,58,FALSE)</f>
        <v>Stimulation</v>
      </c>
      <c r="G11" s="99" t="str">
        <f>VLOOKUP(Read_First!B5,Items!A1:BI50,59,FALSE)</f>
        <v>Novelty</v>
      </c>
    </row>
    <row r="12" spans="1:7">
      <c r="A12" s="104" t="s">
        <v>831</v>
      </c>
      <c r="B12" s="4">
        <f>POWER((1.65*B4)/0.5,2)</f>
        <v>14.215603828933155</v>
      </c>
      <c r="C12" s="4">
        <f>POWER((1.65*B5)/0.5,2)</f>
        <v>14.101663096340895</v>
      </c>
      <c r="D12" s="4">
        <f>POWER((1.65*B6)/0.5,2)</f>
        <v>11.957584008800371</v>
      </c>
      <c r="E12" s="4">
        <f>POWER((1.65*B7)/0.5,2)</f>
        <v>8.9842710166743842</v>
      </c>
      <c r="F12" s="4">
        <f>POWER((1.65*B8)/0.5,2)</f>
        <v>12.260140053265399</v>
      </c>
      <c r="G12" s="4">
        <f>POWER((1.65*B9)/0.5,2)</f>
        <v>12.690015111162573</v>
      </c>
    </row>
    <row r="13" spans="1:7">
      <c r="A13" s="104" t="s">
        <v>832</v>
      </c>
      <c r="B13" s="4">
        <f>POWER((1.96*B4)/0.5,2)</f>
        <v>20.059013285300132</v>
      </c>
      <c r="C13" s="4">
        <f>POWER((1.96*B5)/0.5,2)</f>
        <v>19.898236529257368</v>
      </c>
      <c r="D13" s="4">
        <f>POWER((1.96*B6)/0.5,2)</f>
        <v>16.872820836807161</v>
      </c>
      <c r="E13" s="4">
        <f>POWER((1.96*B7)/0.5,2)</f>
        <v>12.677309655704802</v>
      </c>
      <c r="F13" s="4">
        <f>POWER((1.96*B8)/0.5,2)</f>
        <v>17.299744363131076</v>
      </c>
      <c r="G13" s="4">
        <f>POWER((1.96*B9)/0.5,2)</f>
        <v>17.906322149143119</v>
      </c>
    </row>
    <row r="14" spans="1:7">
      <c r="A14" s="104" t="s">
        <v>833</v>
      </c>
      <c r="B14" s="4">
        <f>POWER((2.58*B4)/0.5,2)</f>
        <v>34.756563940095738</v>
      </c>
      <c r="C14" s="4">
        <f>POWER((2.58*B5)/0.5,2)</f>
        <v>34.477983557202407</v>
      </c>
      <c r="D14" s="4">
        <f>POWER((2.58*B6)/0.5,2)</f>
        <v>29.235798786475218</v>
      </c>
      <c r="E14" s="4">
        <f>POWER((2.58*B7)/0.5,2)</f>
        <v>21.96617138490042</v>
      </c>
      <c r="F14" s="4">
        <f>POWER((2.58*B8)/0.5,2)</f>
        <v>29.975535812876327</v>
      </c>
      <c r="G14" s="4">
        <f>POWER((2.58*B9)/0.5,2)</f>
        <v>31.026562566002781</v>
      </c>
    </row>
    <row r="15" spans="1:7">
      <c r="A15" s="104" t="s">
        <v>834</v>
      </c>
      <c r="B15" s="4">
        <f>POWER((1.65*B4)/0.25,2)</f>
        <v>56.862415315732619</v>
      </c>
      <c r="C15" s="4">
        <f>POWER((1.65*B5)/0.25,2)</f>
        <v>56.406652385363579</v>
      </c>
      <c r="D15" s="4">
        <f>POWER((1.65*B6)/0.25,2)</f>
        <v>47.830336035201483</v>
      </c>
      <c r="E15" s="4">
        <f>POWER((1.65*B7)/0.25,2)</f>
        <v>35.937084066697537</v>
      </c>
      <c r="F15" s="4">
        <f>POWER((1.65*B8)/0.25,2)</f>
        <v>49.040560213061596</v>
      </c>
      <c r="G15" s="4">
        <f>POWER((1.65*B9)/0.25,2)</f>
        <v>50.760060444650293</v>
      </c>
    </row>
    <row r="16" spans="1:7">
      <c r="A16" s="104" t="s">
        <v>835</v>
      </c>
      <c r="B16" s="4">
        <f>POWER((1.96*B4)/0.25,2)</f>
        <v>80.236053141200529</v>
      </c>
      <c r="C16" s="4">
        <f>POWER((1.96*B5)/0.25,2)</f>
        <v>79.59294611702947</v>
      </c>
      <c r="D16" s="4">
        <f>POWER((1.96*B6)/0.25,2)</f>
        <v>67.491283347228645</v>
      </c>
      <c r="E16" s="4">
        <f>POWER((1.96*B7)/0.25,2)</f>
        <v>50.709238622819207</v>
      </c>
      <c r="F16" s="4">
        <f>POWER((1.96*B8)/0.25,2)</f>
        <v>69.198977452524304</v>
      </c>
      <c r="G16" s="4">
        <f>POWER((1.96*B9)/0.25,2)</f>
        <v>71.625288596572474</v>
      </c>
    </row>
    <row r="17" spans="1:7">
      <c r="A17" s="104" t="s">
        <v>836</v>
      </c>
      <c r="B17" s="4">
        <f>POWER((2.58*B4)/0.25,2)</f>
        <v>139.02625576038295</v>
      </c>
      <c r="C17" s="4">
        <f>POWER((2.58*B5)/0.25,2)</f>
        <v>137.91193422880963</v>
      </c>
      <c r="D17" s="4">
        <f>POWER((2.58*B6)/0.25,2)</f>
        <v>116.94319514590087</v>
      </c>
      <c r="E17" s="4">
        <f>POWER((2.58*B7)/0.25,2)</f>
        <v>87.86468553960168</v>
      </c>
      <c r="F17" s="4">
        <f>POWER((2.58*B8)/0.25,2)</f>
        <v>119.90214325150531</v>
      </c>
      <c r="G17" s="4">
        <f>POWER((2.58*B9)/0.25,2)</f>
        <v>124.10625026401112</v>
      </c>
    </row>
    <row r="18" spans="1:7">
      <c r="A18" s="104" t="s">
        <v>837</v>
      </c>
      <c r="B18" s="4">
        <f>POWER((1.65*B4)/0.1,2)</f>
        <v>355.39009572332884</v>
      </c>
      <c r="C18" s="4">
        <f>POWER((1.65*B5)/0.1,2)</f>
        <v>352.54157740852236</v>
      </c>
      <c r="D18" s="4">
        <f>POWER((1.65*B6)/0.1,2)</f>
        <v>298.9396002200092</v>
      </c>
      <c r="E18" s="4">
        <f>POWER((1.65*B7)/0.1,2)</f>
        <v>224.60677541685959</v>
      </c>
      <c r="F18" s="4">
        <f>POWER((1.65*B8)/0.1,2)</f>
        <v>306.50350133163499</v>
      </c>
      <c r="G18" s="4">
        <f>POWER((1.65*B9)/0.1,2)</f>
        <v>317.25037777906425</v>
      </c>
    </row>
    <row r="19" spans="1:7">
      <c r="A19" s="104" t="s">
        <v>838</v>
      </c>
      <c r="B19" s="4">
        <f>POWER((1.96*B4)/0.1,2)</f>
        <v>501.47533213250324</v>
      </c>
      <c r="C19" s="4">
        <f>POWER((1.96*B5)/0.1,2)</f>
        <v>497.45591323143407</v>
      </c>
      <c r="D19" s="4">
        <f>POWER((1.96*B6)/0.1,2)</f>
        <v>421.82052092017892</v>
      </c>
      <c r="E19" s="4">
        <f>POWER((1.96*B7)/0.1,2)</f>
        <v>316.93274139262007</v>
      </c>
      <c r="F19" s="4">
        <f>POWER((1.96*B8)/0.1,2)</f>
        <v>432.49360907827685</v>
      </c>
      <c r="G19" s="4">
        <f>POWER((1.96*B9)/0.1,2)</f>
        <v>447.65805372857795</v>
      </c>
    </row>
    <row r="20" spans="1:7">
      <c r="A20" s="105" t="s">
        <v>839</v>
      </c>
      <c r="B20" s="4">
        <f>POWER((2.58*B4)/0.1,2)</f>
        <v>868.91409850239347</v>
      </c>
      <c r="C20" s="4">
        <f>POWER((2.58*B5)/0.1,2)</f>
        <v>861.94958893006014</v>
      </c>
      <c r="D20" s="4">
        <f>POWER((2.58*B6)/0.1,2)</f>
        <v>730.8949696618804</v>
      </c>
      <c r="E20" s="4">
        <f>POWER((2.58*B7)/0.1,2)</f>
        <v>549.15428462251043</v>
      </c>
      <c r="F20" s="4">
        <f>POWER((2.58*B8)/0.1,2)</f>
        <v>749.38839532190821</v>
      </c>
      <c r="G20" s="4">
        <f>POWER((2.58*B9)/0.1,2)</f>
        <v>775.66406415006941</v>
      </c>
    </row>
  </sheetData>
  <mergeCells count="2">
    <mergeCell ref="A1:G1"/>
    <mergeCell ref="A2:G2"/>
  </mergeCells>
  <pageMargins left="0.7" right="0.7" top="0.75" bottom="0.75" header="0.3" footer="0.3"/>
  <pageSetup paperSize="9" orientation="portrait" r:id="rId1"/>
  <customProperties>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topLeftCell="D1" workbookViewId="0">
      <selection activeCell="X21" sqref="X21"/>
    </sheetView>
  </sheetViews>
  <sheetFormatPr defaultRowHeight="14.4"/>
  <cols>
    <col min="1" max="6" width="12.77734375" customWidth="1"/>
    <col min="7" max="7" width="10.6640625" style="45" customWidth="1"/>
    <col min="8" max="8" width="11.109375" customWidth="1"/>
    <col min="9" max="11" width="12.77734375" customWidth="1"/>
    <col min="12" max="12" width="14.77734375" customWidth="1"/>
    <col min="13" max="13" width="13.44140625" customWidth="1"/>
    <col min="14" max="14" width="12.77734375" customWidth="1"/>
    <col min="17" max="17" width="12.77734375" customWidth="1"/>
    <col min="18" max="18" width="8.6640625" customWidth="1"/>
    <col min="19" max="19" width="10" customWidth="1"/>
    <col min="20" max="20" width="7.6640625" customWidth="1"/>
    <col min="21" max="21" width="10.5546875" customWidth="1"/>
  </cols>
  <sheetData>
    <row r="1" spans="1:23" s="45" customFormat="1" ht="133.19999999999999" customHeight="1">
      <c r="A1" s="183" t="s">
        <v>1263</v>
      </c>
      <c r="B1" s="177"/>
      <c r="C1" s="177"/>
      <c r="D1" s="177"/>
      <c r="E1" s="177"/>
      <c r="F1" s="177"/>
      <c r="H1" s="61"/>
      <c r="I1" s="133" t="s">
        <v>1250</v>
      </c>
      <c r="J1" s="128">
        <f>AVERAGE(O4:O1004)</f>
        <v>1.3462128321608129</v>
      </c>
      <c r="K1" s="129" t="s">
        <v>1262</v>
      </c>
      <c r="L1" s="130">
        <f>STDEV(O4:O1004)</f>
        <v>0.89363710279161734</v>
      </c>
      <c r="M1" s="131" t="s">
        <v>1264</v>
      </c>
      <c r="N1" s="132">
        <f>CONFIDENCE(0.05,L1,Results!E3)</f>
        <v>0.10968296770457567</v>
      </c>
      <c r="O1" s="134"/>
    </row>
    <row r="2" spans="1:23">
      <c r="A2" s="196" t="s">
        <v>1247</v>
      </c>
      <c r="B2" s="196"/>
      <c r="C2" s="196"/>
      <c r="D2" s="196"/>
      <c r="E2" s="196"/>
      <c r="F2" s="196"/>
      <c r="G2" s="50"/>
      <c r="I2" s="196" t="s">
        <v>1248</v>
      </c>
      <c r="J2" s="196"/>
      <c r="K2" s="196"/>
      <c r="L2" s="196"/>
      <c r="M2" s="196"/>
      <c r="N2" s="196"/>
      <c r="O2" s="1"/>
      <c r="P2" s="15"/>
      <c r="Q2" s="197" t="s">
        <v>1506</v>
      </c>
      <c r="R2" s="197"/>
      <c r="S2" s="197"/>
      <c r="T2" s="197"/>
      <c r="U2" s="197"/>
      <c r="V2" s="197"/>
      <c r="W2" s="197"/>
    </row>
    <row r="3" spans="1:23">
      <c r="A3" s="97" t="str">
        <f>VLOOKUP(Read_First!B5,Items!A1:BI50,54,FALSE)</f>
        <v>Attractiveness</v>
      </c>
      <c r="B3" s="91" t="str">
        <f>VLOOKUP(Read_First!B5,Items!A1:BI50,55,FALSE)</f>
        <v>Perspicuity</v>
      </c>
      <c r="C3" s="91" t="str">
        <f>VLOOKUP(Read_First!B5,Items!A1:BI50,56,FALSE)</f>
        <v>Efficiency</v>
      </c>
      <c r="D3" s="91" t="str">
        <f>VLOOKUP(Read_First!B5,Items!A1:BI50,57,FALSE)</f>
        <v>Dependability</v>
      </c>
      <c r="E3" s="91" t="str">
        <f>VLOOKUP(Read_First!B5,Items!A1:BI50,58,FALSE)</f>
        <v>Stimulation</v>
      </c>
      <c r="F3" s="91" t="str">
        <f>VLOOKUP(Read_First!B5,Items!A1:BI50,59,FALSE)</f>
        <v>Novelty</v>
      </c>
      <c r="G3" s="90" t="s">
        <v>1249</v>
      </c>
      <c r="I3" s="126" t="str">
        <f>VLOOKUP(Read_First!B5,Items!A1:BI50,54,FALSE)</f>
        <v>Attractiveness</v>
      </c>
      <c r="J3" s="89" t="str">
        <f>VLOOKUP(Read_First!B5,Items!A1:BI50,55,FALSE)</f>
        <v>Perspicuity</v>
      </c>
      <c r="K3" s="88" t="str">
        <f>VLOOKUP(Read_First!B5,Items!A1:BI50,56,FALSE)</f>
        <v>Efficiency</v>
      </c>
      <c r="L3" s="88" t="str">
        <f>VLOOKUP(Read_First!B5,Items!A1:BI50,57,FALSE)</f>
        <v>Dependability</v>
      </c>
      <c r="M3" s="88" t="str">
        <f>VLOOKUP(Read_First!B5,Items!A1:BI50,58,FALSE)</f>
        <v>Stimulation</v>
      </c>
      <c r="N3" s="88" t="str">
        <f>VLOOKUP(Read_First!B5,Items!A1:BI50,59,FALSE)</f>
        <v>Novelty</v>
      </c>
      <c r="O3" s="127" t="s">
        <v>1250</v>
      </c>
      <c r="P3" s="15"/>
      <c r="Q3" s="147" t="s">
        <v>1503</v>
      </c>
      <c r="R3" s="147" t="s">
        <v>106</v>
      </c>
      <c r="S3" s="147" t="s">
        <v>1504</v>
      </c>
      <c r="T3" s="147" t="s">
        <v>3</v>
      </c>
      <c r="U3" s="147" t="s">
        <v>112</v>
      </c>
      <c r="V3" s="188" t="s">
        <v>1505</v>
      </c>
      <c r="W3" s="188"/>
    </row>
    <row r="4" spans="1:23">
      <c r="A4" s="65">
        <v>5</v>
      </c>
      <c r="B4" s="65">
        <v>5</v>
      </c>
      <c r="C4" s="65">
        <v>7</v>
      </c>
      <c r="D4" s="65">
        <v>6</v>
      </c>
      <c r="E4" s="65">
        <v>6</v>
      </c>
      <c r="F4" s="65">
        <v>5</v>
      </c>
      <c r="G4" s="67">
        <f>SUM(A4:F4)</f>
        <v>34</v>
      </c>
      <c r="I4" s="68">
        <f t="shared" ref="I4:I49" si="0">IF(G4&gt;0,A4/G4,"")</f>
        <v>0.14705882352941177</v>
      </c>
      <c r="J4" s="68">
        <f t="shared" ref="J4:J49" si="1">IF(G4&gt;0,B4/G4,"")</f>
        <v>0.14705882352941177</v>
      </c>
      <c r="K4" s="68">
        <f t="shared" ref="K4:K49" si="2">IF(G4&gt;0,C4/G4,"")</f>
        <v>0.20588235294117646</v>
      </c>
      <c r="L4" s="68">
        <f t="shared" ref="L4:L49" si="3">IF(G4&gt;0,D4/G4,"")</f>
        <v>0.17647058823529413</v>
      </c>
      <c r="M4" s="68">
        <f t="shared" ref="M4:M49" si="4">IF(G4&gt;0,E4/G4,"")</f>
        <v>0.17647058823529413</v>
      </c>
      <c r="N4" s="68">
        <f t="shared" ref="N4:N49" si="5">IF(G4&gt;0,F4/G4,"")</f>
        <v>0.14705882352941177</v>
      </c>
      <c r="O4" s="103">
        <f>IF(G4&gt;0,DT!AC4*I4+DT!AD4*J4+DT!AE4*K4+DT!AF4*L4+DT!AG4*M4+DT!AH4*N4,"")</f>
        <v>1.9387254901960786</v>
      </c>
      <c r="P4" s="15"/>
      <c r="Q4" s="148" t="str">
        <f>VLOOKUP(Read_First!B5,Items!A1:BI50,54,FALSE)</f>
        <v>Attractiveness</v>
      </c>
      <c r="R4" s="7">
        <f>AVERAGE(A4:A1004)</f>
        <v>5.6431372549019612</v>
      </c>
      <c r="S4" s="7">
        <f>STDEV(A4:A1004)</f>
        <v>1.2110473930336247</v>
      </c>
      <c r="T4" s="1">
        <f>COUNTA(A4:A1004)</f>
        <v>255</v>
      </c>
      <c r="U4" s="7">
        <f t="shared" ref="U4:U9" si="6">CONFIDENCE(0.05, S4, T4)</f>
        <v>0.14864117848718272</v>
      </c>
      <c r="V4" s="7">
        <f>R4-U4</f>
        <v>5.4944960764147783</v>
      </c>
      <c r="W4" s="7">
        <f>R4+U4</f>
        <v>5.791778433389144</v>
      </c>
    </row>
    <row r="5" spans="1:23">
      <c r="A5" s="60">
        <v>7</v>
      </c>
      <c r="B5" s="60">
        <v>7</v>
      </c>
      <c r="C5" s="60">
        <v>7</v>
      </c>
      <c r="D5" s="60">
        <v>7</v>
      </c>
      <c r="E5" s="60">
        <v>7</v>
      </c>
      <c r="F5" s="60">
        <v>7</v>
      </c>
      <c r="G5" s="1">
        <f t="shared" ref="G5:G68" si="7">SUM(A5:F5)</f>
        <v>42</v>
      </c>
      <c r="I5" s="7">
        <f t="shared" si="0"/>
        <v>0.16666666666666666</v>
      </c>
      <c r="J5" s="7">
        <f t="shared" si="1"/>
        <v>0.16666666666666666</v>
      </c>
      <c r="K5" s="7">
        <f t="shared" si="2"/>
        <v>0.16666666666666666</v>
      </c>
      <c r="L5" s="7">
        <f t="shared" si="3"/>
        <v>0.16666666666666666</v>
      </c>
      <c r="M5" s="7">
        <f t="shared" si="4"/>
        <v>0.16666666666666666</v>
      </c>
      <c r="N5" s="7">
        <f t="shared" si="5"/>
        <v>0.16666666666666666</v>
      </c>
      <c r="O5" s="51">
        <f>IF(G5&gt;0,DT!AC5*I5+DT!AD5*J5+DT!AE5*K5+DT!AF5*L5+DT!AG5*M5+DT!AH5*N5,"")</f>
        <v>2.5</v>
      </c>
      <c r="P5" s="15"/>
      <c r="Q5" s="148" t="str">
        <f>VLOOKUP(Read_First!B5,Items!A1:BI50,55,FALSE)</f>
        <v>Perspicuity</v>
      </c>
      <c r="R5" s="7">
        <f>AVERAGE(B4:B1004)</f>
        <v>6.1490196078431376</v>
      </c>
      <c r="S5" s="7">
        <f>STDEV(B4:B1004)</f>
        <v>1.023997983246431</v>
      </c>
      <c r="T5" s="1">
        <f>COUNTA(B4:B1004)</f>
        <v>255</v>
      </c>
      <c r="U5" s="7">
        <f t="shared" si="6"/>
        <v>0.12568316308164648</v>
      </c>
      <c r="V5" s="7">
        <f t="shared" ref="V5:V9" si="8">R5-U5</f>
        <v>6.0233364447614912</v>
      </c>
      <c r="W5" s="7">
        <f t="shared" ref="W5:W9" si="9">R5+U5</f>
        <v>6.274702770924784</v>
      </c>
    </row>
    <row r="6" spans="1:23">
      <c r="A6" s="60">
        <v>6</v>
      </c>
      <c r="B6" s="60">
        <v>5</v>
      </c>
      <c r="C6" s="60">
        <v>7</v>
      </c>
      <c r="D6" s="60">
        <v>6</v>
      </c>
      <c r="E6" s="60">
        <v>6</v>
      </c>
      <c r="F6" s="60">
        <v>5</v>
      </c>
      <c r="G6" s="1">
        <f t="shared" si="7"/>
        <v>35</v>
      </c>
      <c r="I6" s="7">
        <f t="shared" si="0"/>
        <v>0.17142857142857143</v>
      </c>
      <c r="J6" s="7">
        <f t="shared" si="1"/>
        <v>0.14285714285714285</v>
      </c>
      <c r="K6" s="7">
        <f t="shared" si="2"/>
        <v>0.2</v>
      </c>
      <c r="L6" s="7">
        <f t="shared" si="3"/>
        <v>0.17142857142857143</v>
      </c>
      <c r="M6" s="7">
        <f t="shared" si="4"/>
        <v>0.17142857142857143</v>
      </c>
      <c r="N6" s="7">
        <f t="shared" si="5"/>
        <v>0.14285714285714285</v>
      </c>
      <c r="O6" s="51">
        <f>IF(G6&gt;0,DT!AC6*I6+DT!AD6*J6+DT!AE6*K6+DT!AF6*L6+DT!AG6*M6+DT!AH6*N6,"")</f>
        <v>1.7428571428571429</v>
      </c>
      <c r="P6" s="15"/>
      <c r="Q6" s="148" t="str">
        <f>VLOOKUP(Read_First!B5,Items!A1:BI50,56,FALSE)</f>
        <v>Efficiency</v>
      </c>
      <c r="R6" s="7">
        <f>AVERAGE(C4:C1004)</f>
        <v>6.43921568627451</v>
      </c>
      <c r="S6" s="7">
        <f>STDEV(C4:C1004)</f>
        <v>0.79071343031899199</v>
      </c>
      <c r="T6" s="1">
        <f>COUNTA(C4:C1004)</f>
        <v>255</v>
      </c>
      <c r="U6" s="7">
        <f t="shared" si="6"/>
        <v>9.7050352285424149E-2</v>
      </c>
      <c r="V6" s="7">
        <f t="shared" si="8"/>
        <v>6.3421653339890858</v>
      </c>
      <c r="W6" s="7">
        <f t="shared" si="9"/>
        <v>6.5362660385599343</v>
      </c>
    </row>
    <row r="7" spans="1:23">
      <c r="A7" s="60">
        <v>5</v>
      </c>
      <c r="B7" s="60">
        <v>5</v>
      </c>
      <c r="C7" s="60">
        <v>6</v>
      </c>
      <c r="D7" s="60">
        <v>6</v>
      </c>
      <c r="E7" s="60">
        <v>4</v>
      </c>
      <c r="F7" s="60">
        <v>4</v>
      </c>
      <c r="G7" s="1">
        <f t="shared" si="7"/>
        <v>30</v>
      </c>
      <c r="I7" s="7">
        <f t="shared" si="0"/>
        <v>0.16666666666666666</v>
      </c>
      <c r="J7" s="7">
        <f t="shared" si="1"/>
        <v>0.16666666666666666</v>
      </c>
      <c r="K7" s="7">
        <f t="shared" si="2"/>
        <v>0.2</v>
      </c>
      <c r="L7" s="7">
        <f t="shared" si="3"/>
        <v>0.2</v>
      </c>
      <c r="M7" s="7">
        <f t="shared" si="4"/>
        <v>0.13333333333333333</v>
      </c>
      <c r="N7" s="7">
        <f t="shared" si="5"/>
        <v>0.13333333333333333</v>
      </c>
      <c r="O7" s="51">
        <f>IF(G7&gt;0,DT!AC7*I7+DT!AD7*J7+DT!AE7*K7+DT!AF7*L7+DT!AG7*M7+DT!AH7*N7,"")</f>
        <v>1.7000000000000002</v>
      </c>
      <c r="P7" s="15"/>
      <c r="Q7" s="148" t="str">
        <f>VLOOKUP(Read_First!B5,Items!A1:BI50,57,FALSE)</f>
        <v>Dependability</v>
      </c>
      <c r="R7" s="7">
        <f>AVERAGE(D4:D1004)</f>
        <v>6.223529411764706</v>
      </c>
      <c r="S7" s="7">
        <f>STDEV(D4:D1004)</f>
        <v>0.93963224404700019</v>
      </c>
      <c r="T7" s="1">
        <f>COUNTA(D4:D1004)</f>
        <v>255</v>
      </c>
      <c r="U7" s="7">
        <f t="shared" si="6"/>
        <v>0.1153283058145556</v>
      </c>
      <c r="V7" s="7">
        <f t="shared" si="8"/>
        <v>6.1082011059501502</v>
      </c>
      <c r="W7" s="7">
        <f t="shared" si="9"/>
        <v>6.3388577175792618</v>
      </c>
    </row>
    <row r="8" spans="1:23">
      <c r="A8" s="60">
        <v>6</v>
      </c>
      <c r="B8" s="60">
        <v>6</v>
      </c>
      <c r="C8" s="60">
        <v>7</v>
      </c>
      <c r="D8" s="60">
        <v>7</v>
      </c>
      <c r="E8" s="60">
        <v>5</v>
      </c>
      <c r="F8" s="60">
        <v>5</v>
      </c>
      <c r="G8" s="1">
        <f t="shared" si="7"/>
        <v>36</v>
      </c>
      <c r="I8" s="7">
        <f t="shared" si="0"/>
        <v>0.16666666666666666</v>
      </c>
      <c r="J8" s="7">
        <f t="shared" si="1"/>
        <v>0.16666666666666666</v>
      </c>
      <c r="K8" s="7">
        <f t="shared" si="2"/>
        <v>0.19444444444444445</v>
      </c>
      <c r="L8" s="7">
        <f t="shared" si="3"/>
        <v>0.19444444444444445</v>
      </c>
      <c r="M8" s="7">
        <f t="shared" si="4"/>
        <v>0.1388888888888889</v>
      </c>
      <c r="N8" s="7">
        <f t="shared" si="5"/>
        <v>0.1388888888888889</v>
      </c>
      <c r="O8" s="51">
        <f>IF(G8&gt;0,DT!AC8*I8+DT!AD8*J8+DT!AE8*K8+DT!AF8*L8+DT!AG8*M8+DT!AH8*N8,"")</f>
        <v>1.0416666666666667</v>
      </c>
      <c r="P8" s="15"/>
      <c r="Q8" s="148" t="str">
        <f>VLOOKUP(Read_First!B5,Items!A1:BI50,58,FALSE)</f>
        <v>Stimulation</v>
      </c>
      <c r="R8" s="7">
        <f>AVERAGE(E4:E1004)</f>
        <v>5.0862745098039213</v>
      </c>
      <c r="S8" s="7">
        <f>STDEV(E4:E1004)</f>
        <v>1.4254464154793085</v>
      </c>
      <c r="T8" s="1">
        <f>COUNTA(E4:E1004)</f>
        <v>255</v>
      </c>
      <c r="U8" s="7">
        <f t="shared" si="6"/>
        <v>0.17495602260157941</v>
      </c>
      <c r="V8" s="7">
        <f t="shared" si="8"/>
        <v>4.9113184872023421</v>
      </c>
      <c r="W8" s="7">
        <f t="shared" si="9"/>
        <v>5.2612305324055004</v>
      </c>
    </row>
    <row r="9" spans="1:23">
      <c r="A9" s="60">
        <v>2</v>
      </c>
      <c r="B9" s="60">
        <v>7</v>
      </c>
      <c r="C9" s="60">
        <v>7</v>
      </c>
      <c r="D9" s="60">
        <v>7</v>
      </c>
      <c r="E9" s="60">
        <v>2</v>
      </c>
      <c r="F9" s="60">
        <v>2</v>
      </c>
      <c r="G9" s="1">
        <f t="shared" si="7"/>
        <v>27</v>
      </c>
      <c r="I9" s="7">
        <f t="shared" si="0"/>
        <v>7.407407407407407E-2</v>
      </c>
      <c r="J9" s="7">
        <f t="shared" si="1"/>
        <v>0.25925925925925924</v>
      </c>
      <c r="K9" s="7">
        <f t="shared" si="2"/>
        <v>0.25925925925925924</v>
      </c>
      <c r="L9" s="7">
        <f t="shared" si="3"/>
        <v>0.25925925925925924</v>
      </c>
      <c r="M9" s="7">
        <f t="shared" si="4"/>
        <v>7.407407407407407E-2</v>
      </c>
      <c r="N9" s="7">
        <f t="shared" si="5"/>
        <v>7.407407407407407E-2</v>
      </c>
      <c r="O9" s="51">
        <f>IF(G9&gt;0,DT!AC9*I9+DT!AD9*J9+DT!AE9*K9+DT!AF9*L9+DT!AG9*M9+DT!AH9*N9,"")</f>
        <v>0.54938271604938271</v>
      </c>
      <c r="P9" s="15"/>
      <c r="Q9" s="148" t="str">
        <f>VLOOKUP(Read_First!B5,Items!A1:BI50,59,FALSE)</f>
        <v>Novelty</v>
      </c>
      <c r="R9" s="7">
        <f>AVERAGE(F4:F1004)</f>
        <v>5.3215686274509801</v>
      </c>
      <c r="S9" s="7">
        <f>STDEV(F4:F1004)</f>
        <v>1.235357343419718</v>
      </c>
      <c r="T9" s="1">
        <f>COUNTA(F4:F1004)</f>
        <v>255</v>
      </c>
      <c r="U9" s="7">
        <f t="shared" si="6"/>
        <v>0.15162492602269598</v>
      </c>
      <c r="V9" s="7">
        <f t="shared" si="8"/>
        <v>5.1699437014282843</v>
      </c>
      <c r="W9" s="7">
        <f t="shared" si="9"/>
        <v>5.473193553473676</v>
      </c>
    </row>
    <row r="10" spans="1:23">
      <c r="A10" s="60">
        <v>7</v>
      </c>
      <c r="B10" s="60">
        <v>7</v>
      </c>
      <c r="C10" s="60">
        <v>7</v>
      </c>
      <c r="D10" s="60">
        <v>7</v>
      </c>
      <c r="E10" s="60">
        <v>3</v>
      </c>
      <c r="F10" s="60">
        <v>5</v>
      </c>
      <c r="G10" s="1">
        <f t="shared" si="7"/>
        <v>36</v>
      </c>
      <c r="I10" s="7">
        <f t="shared" si="0"/>
        <v>0.19444444444444445</v>
      </c>
      <c r="J10" s="7">
        <f t="shared" si="1"/>
        <v>0.19444444444444445</v>
      </c>
      <c r="K10" s="7">
        <f t="shared" si="2"/>
        <v>0.19444444444444445</v>
      </c>
      <c r="L10" s="7">
        <f t="shared" si="3"/>
        <v>0.19444444444444445</v>
      </c>
      <c r="M10" s="7">
        <f t="shared" si="4"/>
        <v>8.3333333333333329E-2</v>
      </c>
      <c r="N10" s="7">
        <f t="shared" si="5"/>
        <v>0.1388888888888889</v>
      </c>
      <c r="O10" s="51">
        <f>IF(G10&gt;0,DT!AC10*I10+DT!AD10*J10+DT!AE10*K10+DT!AF10*L10+DT!AG10*M10+DT!AH10*N10,"")</f>
        <v>1.6666666666666667</v>
      </c>
      <c r="P10" s="15"/>
    </row>
    <row r="11" spans="1:23">
      <c r="A11" s="60">
        <v>5</v>
      </c>
      <c r="B11" s="60">
        <v>5</v>
      </c>
      <c r="C11" s="60">
        <v>6</v>
      </c>
      <c r="D11" s="60">
        <v>7</v>
      </c>
      <c r="E11" s="60">
        <v>3</v>
      </c>
      <c r="F11" s="60">
        <v>4</v>
      </c>
      <c r="G11" s="1">
        <f t="shared" si="7"/>
        <v>30</v>
      </c>
      <c r="I11" s="7">
        <f t="shared" si="0"/>
        <v>0.16666666666666666</v>
      </c>
      <c r="J11" s="7">
        <f t="shared" si="1"/>
        <v>0.16666666666666666</v>
      </c>
      <c r="K11" s="7">
        <f t="shared" si="2"/>
        <v>0.2</v>
      </c>
      <c r="L11" s="7">
        <f t="shared" si="3"/>
        <v>0.23333333333333334</v>
      </c>
      <c r="M11" s="7">
        <f t="shared" si="4"/>
        <v>0.1</v>
      </c>
      <c r="N11" s="7">
        <f t="shared" si="5"/>
        <v>0.13333333333333333</v>
      </c>
      <c r="O11" s="51">
        <f>IF(G11&gt;0,DT!AC11*I11+DT!AD11*J11+DT!AE11*K11+DT!AF11*L11+DT!AG11*M11+DT!AH11*N11,"")</f>
        <v>1.3666666666666667</v>
      </c>
      <c r="P11" s="15"/>
    </row>
    <row r="12" spans="1:23">
      <c r="A12" s="60">
        <v>7</v>
      </c>
      <c r="B12" s="60">
        <v>6</v>
      </c>
      <c r="C12" s="60">
        <v>6</v>
      </c>
      <c r="D12" s="60">
        <v>7</v>
      </c>
      <c r="E12" s="60">
        <v>5</v>
      </c>
      <c r="F12" s="60">
        <v>6</v>
      </c>
      <c r="G12" s="1">
        <f t="shared" si="7"/>
        <v>37</v>
      </c>
      <c r="I12" s="7">
        <f t="shared" si="0"/>
        <v>0.1891891891891892</v>
      </c>
      <c r="J12" s="7">
        <f t="shared" si="1"/>
        <v>0.16216216216216217</v>
      </c>
      <c r="K12" s="7">
        <f t="shared" si="2"/>
        <v>0.16216216216216217</v>
      </c>
      <c r="L12" s="7">
        <f t="shared" si="3"/>
        <v>0.1891891891891892</v>
      </c>
      <c r="M12" s="7">
        <f t="shared" si="4"/>
        <v>0.13513513513513514</v>
      </c>
      <c r="N12" s="7">
        <f t="shared" si="5"/>
        <v>0.16216216216216217</v>
      </c>
      <c r="O12" s="51">
        <f>IF(G12&gt;0,DT!AC12*I12+DT!AD12*J12+DT!AE12*K12+DT!AF12*L12+DT!AG12*M12+DT!AH12*N12,"")</f>
        <v>2.1013513513513518</v>
      </c>
      <c r="P12" s="15"/>
    </row>
    <row r="13" spans="1:23">
      <c r="A13" s="60">
        <v>7</v>
      </c>
      <c r="B13" s="60">
        <v>6</v>
      </c>
      <c r="C13" s="60">
        <v>7</v>
      </c>
      <c r="D13" s="60">
        <v>7</v>
      </c>
      <c r="E13" s="60">
        <v>6</v>
      </c>
      <c r="F13" s="60">
        <v>6</v>
      </c>
      <c r="G13" s="1">
        <f t="shared" si="7"/>
        <v>39</v>
      </c>
      <c r="I13" s="7">
        <f t="shared" si="0"/>
        <v>0.17948717948717949</v>
      </c>
      <c r="J13" s="7">
        <f t="shared" si="1"/>
        <v>0.15384615384615385</v>
      </c>
      <c r="K13" s="7">
        <f t="shared" si="2"/>
        <v>0.17948717948717949</v>
      </c>
      <c r="L13" s="7">
        <f t="shared" si="3"/>
        <v>0.17948717948717949</v>
      </c>
      <c r="M13" s="7">
        <f t="shared" si="4"/>
        <v>0.15384615384615385</v>
      </c>
      <c r="N13" s="7">
        <f t="shared" si="5"/>
        <v>0.15384615384615385</v>
      </c>
      <c r="O13" s="51">
        <f>IF(G13&gt;0,DT!AC13*I13+DT!AD13*J13+DT!AE13*K13+DT!AF13*L13+DT!AG13*M13+DT!AH13*N13,"")</f>
        <v>1.1111111111111112</v>
      </c>
      <c r="P13" s="15"/>
    </row>
    <row r="14" spans="1:23">
      <c r="A14" s="60">
        <v>7</v>
      </c>
      <c r="B14" s="60">
        <v>7</v>
      </c>
      <c r="C14" s="60">
        <v>7</v>
      </c>
      <c r="D14" s="60">
        <v>6</v>
      </c>
      <c r="E14" s="60">
        <v>5</v>
      </c>
      <c r="F14" s="60">
        <v>7</v>
      </c>
      <c r="G14" s="1">
        <f t="shared" si="7"/>
        <v>39</v>
      </c>
      <c r="I14" s="7">
        <f t="shared" si="0"/>
        <v>0.17948717948717949</v>
      </c>
      <c r="J14" s="7">
        <f t="shared" si="1"/>
        <v>0.17948717948717949</v>
      </c>
      <c r="K14" s="7">
        <f t="shared" si="2"/>
        <v>0.17948717948717949</v>
      </c>
      <c r="L14" s="7">
        <f t="shared" si="3"/>
        <v>0.15384615384615385</v>
      </c>
      <c r="M14" s="7">
        <f t="shared" si="4"/>
        <v>0.12820512820512819</v>
      </c>
      <c r="N14" s="7">
        <f t="shared" si="5"/>
        <v>0.17948717948717949</v>
      </c>
      <c r="O14" s="51">
        <f>IF(G14&gt;0,DT!AC14*I14+DT!AD14*J14+DT!AE14*K14+DT!AF14*L14+DT!AG14*M14+DT!AH14*N14,"")</f>
        <v>0.70726495726495719</v>
      </c>
      <c r="P14" s="15"/>
    </row>
    <row r="15" spans="1:23">
      <c r="A15" s="60">
        <v>5</v>
      </c>
      <c r="B15" s="60">
        <v>5</v>
      </c>
      <c r="C15" s="60">
        <v>5</v>
      </c>
      <c r="D15" s="60">
        <v>5</v>
      </c>
      <c r="E15" s="60">
        <v>5</v>
      </c>
      <c r="F15" s="60">
        <v>5</v>
      </c>
      <c r="G15" s="1">
        <f t="shared" si="7"/>
        <v>30</v>
      </c>
      <c r="I15" s="7">
        <f t="shared" si="0"/>
        <v>0.16666666666666666</v>
      </c>
      <c r="J15" s="7">
        <f t="shared" si="1"/>
        <v>0.16666666666666666</v>
      </c>
      <c r="K15" s="7">
        <f t="shared" si="2"/>
        <v>0.16666666666666666</v>
      </c>
      <c r="L15" s="7">
        <f t="shared" si="3"/>
        <v>0.16666666666666666</v>
      </c>
      <c r="M15" s="7">
        <f t="shared" si="4"/>
        <v>0.16666666666666666</v>
      </c>
      <c r="N15" s="7">
        <f t="shared" si="5"/>
        <v>0.16666666666666666</v>
      </c>
      <c r="O15" s="51">
        <f>IF(G15&gt;0,DT!AC15*I15+DT!AD15*J15+DT!AE15*K15+DT!AF15*L15+DT!AG15*M15+DT!AH15*N15,"")</f>
        <v>0.94444444444444431</v>
      </c>
      <c r="P15" s="15"/>
    </row>
    <row r="16" spans="1:23">
      <c r="A16" s="60">
        <v>5</v>
      </c>
      <c r="B16" s="60">
        <v>6</v>
      </c>
      <c r="C16" s="60">
        <v>5</v>
      </c>
      <c r="D16" s="60">
        <v>5</v>
      </c>
      <c r="E16" s="60">
        <v>5</v>
      </c>
      <c r="F16" s="60">
        <v>5</v>
      </c>
      <c r="G16" s="1">
        <f t="shared" si="7"/>
        <v>31</v>
      </c>
      <c r="I16" s="7">
        <f t="shared" si="0"/>
        <v>0.16129032258064516</v>
      </c>
      <c r="J16" s="7">
        <f t="shared" si="1"/>
        <v>0.19354838709677419</v>
      </c>
      <c r="K16" s="7">
        <f t="shared" si="2"/>
        <v>0.16129032258064516</v>
      </c>
      <c r="L16" s="7">
        <f t="shared" si="3"/>
        <v>0.16129032258064516</v>
      </c>
      <c r="M16" s="7">
        <f t="shared" si="4"/>
        <v>0.16129032258064516</v>
      </c>
      <c r="N16" s="7">
        <f t="shared" si="5"/>
        <v>0.16129032258064516</v>
      </c>
      <c r="O16" s="51">
        <f>IF(G16&gt;0,DT!AC16*I16+DT!AD16*J16+DT!AE16*K16+DT!AF16*L16+DT!AG16*M16+DT!AH16*N16,"")</f>
        <v>1.1424731182795698</v>
      </c>
      <c r="P16" s="15"/>
    </row>
    <row r="17" spans="1:16">
      <c r="A17" s="60">
        <v>7</v>
      </c>
      <c r="B17" s="60">
        <v>7</v>
      </c>
      <c r="C17" s="60">
        <v>7</v>
      </c>
      <c r="D17" s="60">
        <v>7</v>
      </c>
      <c r="E17" s="60">
        <v>6</v>
      </c>
      <c r="F17" s="60">
        <v>6</v>
      </c>
      <c r="G17" s="1">
        <f t="shared" si="7"/>
        <v>40</v>
      </c>
      <c r="I17" s="7">
        <f t="shared" si="0"/>
        <v>0.17499999999999999</v>
      </c>
      <c r="J17" s="7">
        <f t="shared" si="1"/>
        <v>0.17499999999999999</v>
      </c>
      <c r="K17" s="7">
        <f t="shared" si="2"/>
        <v>0.17499999999999999</v>
      </c>
      <c r="L17" s="7">
        <f t="shared" si="3"/>
        <v>0.17499999999999999</v>
      </c>
      <c r="M17" s="7">
        <f t="shared" si="4"/>
        <v>0.15</v>
      </c>
      <c r="N17" s="7">
        <f t="shared" si="5"/>
        <v>0.15</v>
      </c>
      <c r="O17" s="51">
        <f>IF(G17&gt;0,DT!AC17*I17+DT!AD17*J17+DT!AE17*K17+DT!AF17*L17+DT!AG17*M17+DT!AH17*N17,"")</f>
        <v>1.7</v>
      </c>
      <c r="P17" s="15"/>
    </row>
    <row r="18" spans="1:16">
      <c r="A18" s="60">
        <v>7</v>
      </c>
      <c r="B18" s="60">
        <v>7</v>
      </c>
      <c r="C18" s="60">
        <v>7</v>
      </c>
      <c r="D18" s="60">
        <v>7</v>
      </c>
      <c r="E18" s="60">
        <v>1</v>
      </c>
      <c r="F18" s="60">
        <v>4</v>
      </c>
      <c r="G18" s="1">
        <f t="shared" si="7"/>
        <v>33</v>
      </c>
      <c r="I18" s="7">
        <f t="shared" si="0"/>
        <v>0.21212121212121213</v>
      </c>
      <c r="J18" s="7">
        <f t="shared" si="1"/>
        <v>0.21212121212121213</v>
      </c>
      <c r="K18" s="7">
        <f t="shared" si="2"/>
        <v>0.21212121212121213</v>
      </c>
      <c r="L18" s="7">
        <f t="shared" si="3"/>
        <v>0.21212121212121213</v>
      </c>
      <c r="M18" s="7">
        <f t="shared" si="4"/>
        <v>3.0303030303030304E-2</v>
      </c>
      <c r="N18" s="7">
        <f t="shared" si="5"/>
        <v>0.12121212121212122</v>
      </c>
      <c r="O18" s="51">
        <f>IF(G18&gt;0,DT!AC18*I18+DT!AD18*J18+DT!AE18*K18+DT!AF18*L18+DT!AG18*M18+DT!AH18*N18,"")</f>
        <v>2.4848484848484849</v>
      </c>
      <c r="P18" s="15"/>
    </row>
    <row r="19" spans="1:16">
      <c r="A19" s="60">
        <v>6</v>
      </c>
      <c r="B19" s="60">
        <v>7</v>
      </c>
      <c r="C19" s="60">
        <v>7</v>
      </c>
      <c r="D19" s="60">
        <v>7</v>
      </c>
      <c r="E19" s="60">
        <v>7</v>
      </c>
      <c r="F19" s="60">
        <v>6</v>
      </c>
      <c r="G19" s="1">
        <f t="shared" si="7"/>
        <v>40</v>
      </c>
      <c r="I19" s="7">
        <f t="shared" si="0"/>
        <v>0.15</v>
      </c>
      <c r="J19" s="7">
        <f t="shared" si="1"/>
        <v>0.17499999999999999</v>
      </c>
      <c r="K19" s="7">
        <f t="shared" si="2"/>
        <v>0.17499999999999999</v>
      </c>
      <c r="L19" s="7">
        <f t="shared" si="3"/>
        <v>0.17499999999999999</v>
      </c>
      <c r="M19" s="7">
        <f t="shared" si="4"/>
        <v>0.17499999999999999</v>
      </c>
      <c r="N19" s="7">
        <f t="shared" si="5"/>
        <v>0.15</v>
      </c>
      <c r="O19" s="51">
        <f>IF(G19&gt;0,DT!AC19*I19+DT!AD19*J19+DT!AE19*K19+DT!AF19*L19+DT!AG19*M19+DT!AH19*N19,"")</f>
        <v>2.4187500000000002</v>
      </c>
      <c r="P19" s="15"/>
    </row>
    <row r="20" spans="1:16">
      <c r="A20" s="60">
        <v>2</v>
      </c>
      <c r="B20" s="60">
        <v>6</v>
      </c>
      <c r="C20" s="60">
        <v>6</v>
      </c>
      <c r="D20" s="60">
        <v>7</v>
      </c>
      <c r="E20" s="60">
        <v>4</v>
      </c>
      <c r="F20" s="60">
        <v>5</v>
      </c>
      <c r="G20" s="1">
        <f t="shared" si="7"/>
        <v>30</v>
      </c>
      <c r="I20" s="7">
        <f t="shared" si="0"/>
        <v>6.6666666666666666E-2</v>
      </c>
      <c r="J20" s="7">
        <f t="shared" si="1"/>
        <v>0.2</v>
      </c>
      <c r="K20" s="7">
        <f t="shared" si="2"/>
        <v>0.2</v>
      </c>
      <c r="L20" s="7">
        <f t="shared" si="3"/>
        <v>0.23333333333333334</v>
      </c>
      <c r="M20" s="7">
        <f t="shared" si="4"/>
        <v>0.13333333333333333</v>
      </c>
      <c r="N20" s="7">
        <f t="shared" si="5"/>
        <v>0.16666666666666666</v>
      </c>
      <c r="O20" s="51">
        <f>IF(G20&gt;0,DT!AC20*I20+DT!AD20*J20+DT!AE20*K20+DT!AF20*L20+DT!AG20*M20+DT!AH20*N20,"")</f>
        <v>0.5277777777777779</v>
      </c>
      <c r="P20" s="15"/>
    </row>
    <row r="21" spans="1:16">
      <c r="A21" s="60">
        <v>7</v>
      </c>
      <c r="B21" s="60">
        <v>6</v>
      </c>
      <c r="C21" s="60">
        <v>6</v>
      </c>
      <c r="D21" s="60">
        <v>5</v>
      </c>
      <c r="E21" s="60">
        <v>6</v>
      </c>
      <c r="F21" s="60">
        <v>4</v>
      </c>
      <c r="G21" s="1">
        <f t="shared" si="7"/>
        <v>34</v>
      </c>
      <c r="I21" s="7">
        <f t="shared" si="0"/>
        <v>0.20588235294117646</v>
      </c>
      <c r="J21" s="7">
        <f t="shared" si="1"/>
        <v>0.17647058823529413</v>
      </c>
      <c r="K21" s="7">
        <f t="shared" si="2"/>
        <v>0.17647058823529413</v>
      </c>
      <c r="L21" s="7">
        <f t="shared" si="3"/>
        <v>0.14705882352941177</v>
      </c>
      <c r="M21" s="7">
        <f t="shared" si="4"/>
        <v>0.17647058823529413</v>
      </c>
      <c r="N21" s="7">
        <f t="shared" si="5"/>
        <v>0.11764705882352941</v>
      </c>
      <c r="O21" s="51">
        <f>IF(G21&gt;0,DT!AC21*I21+DT!AD21*J21+DT!AE21*K21+DT!AF21*L21+DT!AG21*M21+DT!AH21*N21,"")</f>
        <v>1.4068627450980393</v>
      </c>
      <c r="P21" s="15"/>
    </row>
    <row r="22" spans="1:16">
      <c r="A22" s="60">
        <v>6</v>
      </c>
      <c r="B22" s="60">
        <v>6</v>
      </c>
      <c r="C22" s="60">
        <v>7</v>
      </c>
      <c r="D22" s="60">
        <v>7</v>
      </c>
      <c r="E22" s="60">
        <v>6</v>
      </c>
      <c r="F22" s="60">
        <v>5</v>
      </c>
      <c r="G22" s="1">
        <f t="shared" si="7"/>
        <v>37</v>
      </c>
      <c r="I22" s="7">
        <f t="shared" si="0"/>
        <v>0.16216216216216217</v>
      </c>
      <c r="J22" s="7">
        <f t="shared" si="1"/>
        <v>0.16216216216216217</v>
      </c>
      <c r="K22" s="7">
        <f t="shared" si="2"/>
        <v>0.1891891891891892</v>
      </c>
      <c r="L22" s="7">
        <f t="shared" si="3"/>
        <v>0.1891891891891892</v>
      </c>
      <c r="M22" s="7">
        <f t="shared" si="4"/>
        <v>0.16216216216216217</v>
      </c>
      <c r="N22" s="7">
        <f t="shared" si="5"/>
        <v>0.13513513513513514</v>
      </c>
      <c r="O22" s="51">
        <f>IF(G22&gt;0,DT!AC22*I22+DT!AD22*J22+DT!AE22*K22+DT!AF22*L22+DT!AG22*M22+DT!AH22*N22,"")</f>
        <v>1.9932432432432432</v>
      </c>
      <c r="P22" s="15"/>
    </row>
    <row r="23" spans="1:16">
      <c r="A23" s="60">
        <v>6</v>
      </c>
      <c r="B23" s="60">
        <v>7</v>
      </c>
      <c r="C23" s="60">
        <v>7</v>
      </c>
      <c r="D23" s="60">
        <v>7</v>
      </c>
      <c r="E23" s="60">
        <v>6</v>
      </c>
      <c r="F23" s="60">
        <v>6</v>
      </c>
      <c r="G23" s="1">
        <f t="shared" si="7"/>
        <v>39</v>
      </c>
      <c r="I23" s="7">
        <f t="shared" si="0"/>
        <v>0.15384615384615385</v>
      </c>
      <c r="J23" s="7">
        <f t="shared" si="1"/>
        <v>0.17948717948717949</v>
      </c>
      <c r="K23" s="7">
        <f t="shared" si="2"/>
        <v>0.17948717948717949</v>
      </c>
      <c r="L23" s="7">
        <f t="shared" si="3"/>
        <v>0.17948717948717949</v>
      </c>
      <c r="M23" s="7">
        <f t="shared" si="4"/>
        <v>0.15384615384615385</v>
      </c>
      <c r="N23" s="7">
        <f t="shared" si="5"/>
        <v>0.15384615384615385</v>
      </c>
      <c r="O23" s="51">
        <f>IF(G23&gt;0,DT!AC23*I23+DT!AD23*J23+DT!AE23*K23+DT!AF23*L23+DT!AG23*M23+DT!AH23*N23,"")</f>
        <v>2.0769230769230766</v>
      </c>
      <c r="P23" s="15"/>
    </row>
    <row r="24" spans="1:16">
      <c r="A24" s="60">
        <v>5</v>
      </c>
      <c r="B24" s="60">
        <v>6</v>
      </c>
      <c r="C24" s="60">
        <v>6</v>
      </c>
      <c r="D24" s="60">
        <v>5</v>
      </c>
      <c r="E24" s="60">
        <v>6</v>
      </c>
      <c r="F24" s="60">
        <v>3</v>
      </c>
      <c r="G24" s="1">
        <f t="shared" si="7"/>
        <v>31</v>
      </c>
      <c r="I24" s="7">
        <f t="shared" si="0"/>
        <v>0.16129032258064516</v>
      </c>
      <c r="J24" s="7">
        <f t="shared" si="1"/>
        <v>0.19354838709677419</v>
      </c>
      <c r="K24" s="7">
        <f t="shared" si="2"/>
        <v>0.19354838709677419</v>
      </c>
      <c r="L24" s="7">
        <f t="shared" si="3"/>
        <v>0.16129032258064516</v>
      </c>
      <c r="M24" s="7">
        <f t="shared" si="4"/>
        <v>0.19354838709677419</v>
      </c>
      <c r="N24" s="7">
        <f t="shared" si="5"/>
        <v>9.6774193548387094E-2</v>
      </c>
      <c r="O24" s="51">
        <f>IF(G24&gt;0,DT!AC24*I24+DT!AD24*J24+DT!AE24*K24+DT!AF24*L24+DT!AG24*M24+DT!AH24*N24,"")</f>
        <v>1.7741935483870965</v>
      </c>
      <c r="P24" s="15"/>
    </row>
    <row r="25" spans="1:16">
      <c r="A25" s="60">
        <v>6</v>
      </c>
      <c r="B25" s="60">
        <v>7</v>
      </c>
      <c r="C25" s="60">
        <v>6</v>
      </c>
      <c r="D25" s="60">
        <v>6</v>
      </c>
      <c r="E25" s="60">
        <v>6</v>
      </c>
      <c r="F25" s="60">
        <v>6</v>
      </c>
      <c r="G25" s="1">
        <f t="shared" si="7"/>
        <v>37</v>
      </c>
      <c r="I25" s="7">
        <f t="shared" si="0"/>
        <v>0.16216216216216217</v>
      </c>
      <c r="J25" s="7">
        <f t="shared" si="1"/>
        <v>0.1891891891891892</v>
      </c>
      <c r="K25" s="7">
        <f t="shared" si="2"/>
        <v>0.16216216216216217</v>
      </c>
      <c r="L25" s="7">
        <f t="shared" si="3"/>
        <v>0.16216216216216217</v>
      </c>
      <c r="M25" s="7">
        <f t="shared" si="4"/>
        <v>0.16216216216216217</v>
      </c>
      <c r="N25" s="7">
        <f t="shared" si="5"/>
        <v>0.16216216216216217</v>
      </c>
      <c r="O25" s="51">
        <f>IF(G25&gt;0,DT!AC25*I25+DT!AD25*J25+DT!AE25*K25+DT!AF25*L25+DT!AG25*M25+DT!AH25*N25,"")</f>
        <v>2.1418918918918921</v>
      </c>
      <c r="P25" s="15"/>
    </row>
    <row r="26" spans="1:16">
      <c r="A26" s="60">
        <v>6</v>
      </c>
      <c r="B26" s="60">
        <v>6</v>
      </c>
      <c r="C26" s="60">
        <v>5</v>
      </c>
      <c r="D26" s="60">
        <v>7</v>
      </c>
      <c r="E26" s="60">
        <v>5</v>
      </c>
      <c r="F26" s="60">
        <v>5</v>
      </c>
      <c r="G26" s="1">
        <f t="shared" si="7"/>
        <v>34</v>
      </c>
      <c r="I26" s="7">
        <f t="shared" si="0"/>
        <v>0.17647058823529413</v>
      </c>
      <c r="J26" s="7">
        <f t="shared" si="1"/>
        <v>0.17647058823529413</v>
      </c>
      <c r="K26" s="7">
        <f t="shared" si="2"/>
        <v>0.14705882352941177</v>
      </c>
      <c r="L26" s="7">
        <f t="shared" si="3"/>
        <v>0.20588235294117646</v>
      </c>
      <c r="M26" s="7">
        <f t="shared" si="4"/>
        <v>0.14705882352941177</v>
      </c>
      <c r="N26" s="7">
        <f t="shared" si="5"/>
        <v>0.14705882352941177</v>
      </c>
      <c r="O26" s="51">
        <f>IF(G26&gt;0,DT!AC26*I26+DT!AD26*J26+DT!AE26*K26+DT!AF26*L26+DT!AG26*M26+DT!AH26*N26,"")</f>
        <v>2.0661764705882355</v>
      </c>
      <c r="P26" s="15"/>
    </row>
    <row r="27" spans="1:16">
      <c r="A27" s="60">
        <v>6</v>
      </c>
      <c r="B27" s="60">
        <v>6</v>
      </c>
      <c r="C27" s="60">
        <v>7</v>
      </c>
      <c r="D27" s="60">
        <v>7</v>
      </c>
      <c r="E27" s="60">
        <v>5</v>
      </c>
      <c r="F27" s="60">
        <v>5</v>
      </c>
      <c r="G27" s="1">
        <f t="shared" si="7"/>
        <v>36</v>
      </c>
      <c r="I27" s="7">
        <f t="shared" si="0"/>
        <v>0.16666666666666666</v>
      </c>
      <c r="J27" s="7">
        <f t="shared" si="1"/>
        <v>0.16666666666666666</v>
      </c>
      <c r="K27" s="7">
        <f t="shared" si="2"/>
        <v>0.19444444444444445</v>
      </c>
      <c r="L27" s="7">
        <f t="shared" si="3"/>
        <v>0.19444444444444445</v>
      </c>
      <c r="M27" s="7">
        <f t="shared" si="4"/>
        <v>0.1388888888888889</v>
      </c>
      <c r="N27" s="7">
        <f t="shared" si="5"/>
        <v>0.1388888888888889</v>
      </c>
      <c r="O27" s="51">
        <f>IF(G27&gt;0,DT!AC27*I27+DT!AD27*J27+DT!AE27*K27+DT!AF27*L27+DT!AG27*M27+DT!AH27*N27,"")</f>
        <v>1.7569444444444442</v>
      </c>
      <c r="P27" s="15"/>
    </row>
    <row r="28" spans="1:16">
      <c r="A28" s="60">
        <v>6</v>
      </c>
      <c r="B28" s="60">
        <v>6</v>
      </c>
      <c r="C28" s="60">
        <v>6</v>
      </c>
      <c r="D28" s="60">
        <v>7</v>
      </c>
      <c r="E28" s="60">
        <v>7</v>
      </c>
      <c r="F28" s="60">
        <v>6</v>
      </c>
      <c r="G28" s="1">
        <f t="shared" si="7"/>
        <v>38</v>
      </c>
      <c r="I28" s="7">
        <f t="shared" si="0"/>
        <v>0.15789473684210525</v>
      </c>
      <c r="J28" s="7">
        <f t="shared" si="1"/>
        <v>0.15789473684210525</v>
      </c>
      <c r="K28" s="7">
        <f t="shared" si="2"/>
        <v>0.15789473684210525</v>
      </c>
      <c r="L28" s="7">
        <f t="shared" si="3"/>
        <v>0.18421052631578946</v>
      </c>
      <c r="M28" s="7">
        <f t="shared" si="4"/>
        <v>0.18421052631578946</v>
      </c>
      <c r="N28" s="7">
        <f t="shared" si="5"/>
        <v>0.15789473684210525</v>
      </c>
      <c r="O28" s="51">
        <f>IF(G28&gt;0,DT!AC28*I28+DT!AD28*J28+DT!AE28*K28+DT!AF28*L28+DT!AG28*M28+DT!AH28*N28,"")</f>
        <v>1.0592105263157894</v>
      </c>
      <c r="P28" s="15"/>
    </row>
    <row r="29" spans="1:16">
      <c r="A29" s="60">
        <v>5</v>
      </c>
      <c r="B29" s="60">
        <v>5</v>
      </c>
      <c r="C29" s="60">
        <v>6</v>
      </c>
      <c r="D29" s="60">
        <v>6</v>
      </c>
      <c r="E29" s="60">
        <v>5</v>
      </c>
      <c r="F29" s="60">
        <v>5</v>
      </c>
      <c r="G29" s="1">
        <f t="shared" si="7"/>
        <v>32</v>
      </c>
      <c r="I29" s="7">
        <f t="shared" si="0"/>
        <v>0.15625</v>
      </c>
      <c r="J29" s="7">
        <f t="shared" si="1"/>
        <v>0.15625</v>
      </c>
      <c r="K29" s="7">
        <f t="shared" si="2"/>
        <v>0.1875</v>
      </c>
      <c r="L29" s="7">
        <f t="shared" si="3"/>
        <v>0.1875</v>
      </c>
      <c r="M29" s="7">
        <f t="shared" si="4"/>
        <v>0.15625</v>
      </c>
      <c r="N29" s="7">
        <f t="shared" si="5"/>
        <v>0.15625</v>
      </c>
      <c r="O29" s="51">
        <f>IF(G29&gt;0,DT!AC29*I29+DT!AD29*J29+DT!AE29*K29+DT!AF29*L29+DT!AG29*M29+DT!AH29*N29,"")</f>
        <v>2.0885416666666665</v>
      </c>
      <c r="P29" s="15"/>
    </row>
    <row r="30" spans="1:16">
      <c r="A30" s="60">
        <v>5</v>
      </c>
      <c r="B30" s="60">
        <v>1</v>
      </c>
      <c r="C30" s="60">
        <v>7</v>
      </c>
      <c r="D30" s="60">
        <v>7</v>
      </c>
      <c r="E30" s="60">
        <v>2</v>
      </c>
      <c r="F30" s="60">
        <v>4</v>
      </c>
      <c r="G30" s="1">
        <f t="shared" si="7"/>
        <v>26</v>
      </c>
      <c r="I30" s="7">
        <f t="shared" si="0"/>
        <v>0.19230769230769232</v>
      </c>
      <c r="J30" s="7">
        <f t="shared" si="1"/>
        <v>3.8461538461538464E-2</v>
      </c>
      <c r="K30" s="7">
        <f t="shared" si="2"/>
        <v>0.26923076923076922</v>
      </c>
      <c r="L30" s="7">
        <f t="shared" si="3"/>
        <v>0.26923076923076922</v>
      </c>
      <c r="M30" s="7">
        <f t="shared" si="4"/>
        <v>7.6923076923076927E-2</v>
      </c>
      <c r="N30" s="7">
        <f t="shared" si="5"/>
        <v>0.15384615384615385</v>
      </c>
      <c r="O30" s="51">
        <f>IF(G30&gt;0,DT!AC30*I30+DT!AD30*J30+DT!AE30*K30+DT!AF30*L30+DT!AG30*M30+DT!AH30*N30,"")</f>
        <v>1.8525641025641026</v>
      </c>
      <c r="P30" s="15"/>
    </row>
    <row r="31" spans="1:16">
      <c r="A31" s="60">
        <v>7</v>
      </c>
      <c r="B31" s="60">
        <v>5</v>
      </c>
      <c r="C31" s="60">
        <v>7</v>
      </c>
      <c r="D31" s="60">
        <v>7</v>
      </c>
      <c r="E31" s="60">
        <v>7</v>
      </c>
      <c r="F31" s="60">
        <v>6</v>
      </c>
      <c r="G31" s="1">
        <f t="shared" si="7"/>
        <v>39</v>
      </c>
      <c r="I31" s="7">
        <f t="shared" si="0"/>
        <v>0.17948717948717949</v>
      </c>
      <c r="J31" s="7">
        <f t="shared" si="1"/>
        <v>0.12820512820512819</v>
      </c>
      <c r="K31" s="7">
        <f t="shared" si="2"/>
        <v>0.17948717948717949</v>
      </c>
      <c r="L31" s="7">
        <f t="shared" si="3"/>
        <v>0.17948717948717949</v>
      </c>
      <c r="M31" s="7">
        <f t="shared" si="4"/>
        <v>0.17948717948717949</v>
      </c>
      <c r="N31" s="7">
        <f t="shared" si="5"/>
        <v>0.15384615384615385</v>
      </c>
      <c r="O31" s="51">
        <f>IF(G31&gt;0,DT!AC31*I31+DT!AD31*J31+DT!AE31*K31+DT!AF31*L31+DT!AG31*M31+DT!AH31*N31,"")</f>
        <v>-1.408119658119658</v>
      </c>
      <c r="P31" s="15"/>
    </row>
    <row r="32" spans="1:16">
      <c r="A32" s="60">
        <v>7</v>
      </c>
      <c r="B32" s="60">
        <v>7</v>
      </c>
      <c r="C32" s="60">
        <v>7</v>
      </c>
      <c r="D32" s="60">
        <v>5</v>
      </c>
      <c r="E32" s="60">
        <v>7</v>
      </c>
      <c r="F32" s="60">
        <v>7</v>
      </c>
      <c r="G32" s="1">
        <f t="shared" si="7"/>
        <v>40</v>
      </c>
      <c r="I32" s="7">
        <f t="shared" si="0"/>
        <v>0.17499999999999999</v>
      </c>
      <c r="J32" s="7">
        <f t="shared" si="1"/>
        <v>0.17499999999999999</v>
      </c>
      <c r="K32" s="7">
        <f t="shared" si="2"/>
        <v>0.17499999999999999</v>
      </c>
      <c r="L32" s="7">
        <f t="shared" si="3"/>
        <v>0.125</v>
      </c>
      <c r="M32" s="7">
        <f t="shared" si="4"/>
        <v>0.17499999999999999</v>
      </c>
      <c r="N32" s="7">
        <f t="shared" si="5"/>
        <v>0.17499999999999999</v>
      </c>
      <c r="O32" s="51">
        <f>IF(G32&gt;0,DT!AC32*I32+DT!AD32*J32+DT!AE32*K32+DT!AF32*L32+DT!AG32*M32+DT!AH32*N32,"")</f>
        <v>2.5562499999999995</v>
      </c>
      <c r="P32" s="15"/>
    </row>
    <row r="33" spans="1:16">
      <c r="A33" s="60">
        <v>6</v>
      </c>
      <c r="B33" s="60">
        <v>7</v>
      </c>
      <c r="C33" s="60">
        <v>7</v>
      </c>
      <c r="D33" s="60">
        <v>7</v>
      </c>
      <c r="E33" s="60">
        <v>6</v>
      </c>
      <c r="F33" s="60">
        <v>7</v>
      </c>
      <c r="G33" s="1">
        <f t="shared" si="7"/>
        <v>40</v>
      </c>
      <c r="I33" s="7">
        <f t="shared" si="0"/>
        <v>0.15</v>
      </c>
      <c r="J33" s="7">
        <f t="shared" si="1"/>
        <v>0.17499999999999999</v>
      </c>
      <c r="K33" s="7">
        <f t="shared" si="2"/>
        <v>0.17499999999999999</v>
      </c>
      <c r="L33" s="7">
        <f t="shared" si="3"/>
        <v>0.17499999999999999</v>
      </c>
      <c r="M33" s="7">
        <f t="shared" si="4"/>
        <v>0.15</v>
      </c>
      <c r="N33" s="7">
        <f t="shared" si="5"/>
        <v>0.17499999999999999</v>
      </c>
      <c r="O33" s="51">
        <f>IF(G33&gt;0,DT!AC33*I33+DT!AD33*J33+DT!AE33*K33+DT!AF33*L33+DT!AG33*M33+DT!AH33*N33,"")</f>
        <v>1.2500000000000011E-2</v>
      </c>
      <c r="P33" s="15"/>
    </row>
    <row r="34" spans="1:16">
      <c r="A34" s="60">
        <v>6</v>
      </c>
      <c r="B34" s="60">
        <v>6</v>
      </c>
      <c r="C34" s="60">
        <v>6</v>
      </c>
      <c r="D34" s="60">
        <v>7</v>
      </c>
      <c r="E34" s="60">
        <v>6</v>
      </c>
      <c r="F34" s="60">
        <v>7</v>
      </c>
      <c r="G34" s="1">
        <f t="shared" si="7"/>
        <v>38</v>
      </c>
      <c r="I34" s="7">
        <f t="shared" si="0"/>
        <v>0.15789473684210525</v>
      </c>
      <c r="J34" s="7">
        <f t="shared" si="1"/>
        <v>0.15789473684210525</v>
      </c>
      <c r="K34" s="7">
        <f t="shared" si="2"/>
        <v>0.15789473684210525</v>
      </c>
      <c r="L34" s="7">
        <f t="shared" si="3"/>
        <v>0.18421052631578946</v>
      </c>
      <c r="M34" s="7">
        <f t="shared" si="4"/>
        <v>0.15789473684210525</v>
      </c>
      <c r="N34" s="7">
        <f t="shared" si="5"/>
        <v>0.18421052631578946</v>
      </c>
      <c r="O34" s="51">
        <f>IF(G34&gt;0,DT!AC34*I34+DT!AD34*J34+DT!AE34*K34+DT!AF34*L34+DT!AG34*M34+DT!AH34*N34,"")</f>
        <v>1.993421052631579</v>
      </c>
      <c r="P34" s="15"/>
    </row>
    <row r="35" spans="1:16">
      <c r="A35" s="60">
        <v>7</v>
      </c>
      <c r="B35" s="60">
        <v>5</v>
      </c>
      <c r="C35" s="60">
        <v>6</v>
      </c>
      <c r="D35" s="60">
        <v>5</v>
      </c>
      <c r="E35" s="60">
        <v>4</v>
      </c>
      <c r="F35" s="60">
        <v>6</v>
      </c>
      <c r="G35" s="1">
        <f t="shared" si="7"/>
        <v>33</v>
      </c>
      <c r="I35" s="7">
        <f t="shared" si="0"/>
        <v>0.21212121212121213</v>
      </c>
      <c r="J35" s="7">
        <f t="shared" si="1"/>
        <v>0.15151515151515152</v>
      </c>
      <c r="K35" s="7">
        <f t="shared" si="2"/>
        <v>0.18181818181818182</v>
      </c>
      <c r="L35" s="7">
        <f t="shared" si="3"/>
        <v>0.15151515151515152</v>
      </c>
      <c r="M35" s="7">
        <f t="shared" si="4"/>
        <v>0.12121212121212122</v>
      </c>
      <c r="N35" s="7">
        <f t="shared" si="5"/>
        <v>0.18181818181818182</v>
      </c>
      <c r="O35" s="51">
        <f>IF(G35&gt;0,DT!AC35*I35+DT!AD35*J35+DT!AE35*K35+DT!AF35*L35+DT!AG35*M35+DT!AH35*N35,"")</f>
        <v>0.51262626262626265</v>
      </c>
      <c r="P35" s="15"/>
    </row>
    <row r="36" spans="1:16">
      <c r="A36" s="60">
        <v>7</v>
      </c>
      <c r="B36" s="60">
        <v>7</v>
      </c>
      <c r="C36" s="60">
        <v>7</v>
      </c>
      <c r="D36" s="60">
        <v>7</v>
      </c>
      <c r="E36" s="60">
        <v>7</v>
      </c>
      <c r="F36" s="60">
        <v>7</v>
      </c>
      <c r="G36" s="1">
        <f t="shared" si="7"/>
        <v>42</v>
      </c>
      <c r="I36" s="7">
        <f t="shared" si="0"/>
        <v>0.16666666666666666</v>
      </c>
      <c r="J36" s="7">
        <f t="shared" si="1"/>
        <v>0.16666666666666666</v>
      </c>
      <c r="K36" s="7">
        <f t="shared" si="2"/>
        <v>0.16666666666666666</v>
      </c>
      <c r="L36" s="7">
        <f t="shared" si="3"/>
        <v>0.16666666666666666</v>
      </c>
      <c r="M36" s="7">
        <f t="shared" si="4"/>
        <v>0.16666666666666666</v>
      </c>
      <c r="N36" s="7">
        <f t="shared" si="5"/>
        <v>0.16666666666666666</v>
      </c>
      <c r="O36" s="51">
        <f>IF(G36&gt;0,DT!AC36*I36+DT!AD36*J36+DT!AE36*K36+DT!AF36*L36+DT!AG36*M36+DT!AH36*N36,"")</f>
        <v>2.7083333333333335</v>
      </c>
      <c r="P36" s="15"/>
    </row>
    <row r="37" spans="1:16">
      <c r="A37" s="60">
        <v>7</v>
      </c>
      <c r="B37" s="60">
        <v>7</v>
      </c>
      <c r="C37" s="60">
        <v>7</v>
      </c>
      <c r="D37" s="60">
        <v>7</v>
      </c>
      <c r="E37" s="60">
        <v>7</v>
      </c>
      <c r="F37" s="60">
        <v>7</v>
      </c>
      <c r="G37" s="1">
        <f t="shared" si="7"/>
        <v>42</v>
      </c>
      <c r="I37" s="7">
        <f t="shared" si="0"/>
        <v>0.16666666666666666</v>
      </c>
      <c r="J37" s="7">
        <f t="shared" si="1"/>
        <v>0.16666666666666666</v>
      </c>
      <c r="K37" s="7">
        <f t="shared" si="2"/>
        <v>0.16666666666666666</v>
      </c>
      <c r="L37" s="7">
        <f t="shared" si="3"/>
        <v>0.16666666666666666</v>
      </c>
      <c r="M37" s="7">
        <f t="shared" si="4"/>
        <v>0.16666666666666666</v>
      </c>
      <c r="N37" s="7">
        <f t="shared" si="5"/>
        <v>0.16666666666666666</v>
      </c>
      <c r="O37" s="51">
        <f>IF(G37&gt;0,DT!AC37*I37+DT!AD37*J37+DT!AE37*K37+DT!AF37*L37+DT!AG37*M37+DT!AH37*N37,"")</f>
        <v>2.0416666666666665</v>
      </c>
      <c r="P37" s="15"/>
    </row>
    <row r="38" spans="1:16">
      <c r="A38" s="60">
        <v>6</v>
      </c>
      <c r="B38" s="60">
        <v>7</v>
      </c>
      <c r="C38" s="60">
        <v>7</v>
      </c>
      <c r="D38" s="60">
        <v>7</v>
      </c>
      <c r="E38" s="60">
        <v>5</v>
      </c>
      <c r="F38" s="60">
        <v>5</v>
      </c>
      <c r="G38" s="1">
        <f t="shared" si="7"/>
        <v>37</v>
      </c>
      <c r="I38" s="7">
        <f t="shared" si="0"/>
        <v>0.16216216216216217</v>
      </c>
      <c r="J38" s="7">
        <f t="shared" si="1"/>
        <v>0.1891891891891892</v>
      </c>
      <c r="K38" s="7">
        <f t="shared" si="2"/>
        <v>0.1891891891891892</v>
      </c>
      <c r="L38" s="7">
        <f t="shared" si="3"/>
        <v>0.1891891891891892</v>
      </c>
      <c r="M38" s="7">
        <f t="shared" si="4"/>
        <v>0.13513513513513514</v>
      </c>
      <c r="N38" s="7">
        <f t="shared" si="5"/>
        <v>0.13513513513513514</v>
      </c>
      <c r="O38" s="51">
        <f>IF(G38&gt;0,DT!AC38*I38+DT!AD38*J38+DT!AE38*K38+DT!AF38*L38+DT!AG38*M38+DT!AH38*N38,"")</f>
        <v>1.0202702702702702</v>
      </c>
      <c r="P38" s="15"/>
    </row>
    <row r="39" spans="1:16">
      <c r="A39" s="60">
        <v>6</v>
      </c>
      <c r="B39" s="60">
        <v>7</v>
      </c>
      <c r="C39" s="60">
        <v>7</v>
      </c>
      <c r="D39" s="60">
        <v>7</v>
      </c>
      <c r="E39" s="60">
        <v>7</v>
      </c>
      <c r="F39" s="60">
        <v>7</v>
      </c>
      <c r="G39" s="1">
        <f t="shared" si="7"/>
        <v>41</v>
      </c>
      <c r="I39" s="7">
        <f t="shared" si="0"/>
        <v>0.14634146341463414</v>
      </c>
      <c r="J39" s="7">
        <f t="shared" si="1"/>
        <v>0.17073170731707318</v>
      </c>
      <c r="K39" s="7">
        <f t="shared" si="2"/>
        <v>0.17073170731707318</v>
      </c>
      <c r="L39" s="7">
        <f t="shared" si="3"/>
        <v>0.17073170731707318</v>
      </c>
      <c r="M39" s="7">
        <f t="shared" si="4"/>
        <v>0.17073170731707318</v>
      </c>
      <c r="N39" s="7">
        <f t="shared" si="5"/>
        <v>0.17073170731707318</v>
      </c>
      <c r="O39" s="51">
        <f>IF(G39&gt;0,DT!AC39*I39+DT!AD39*J39+DT!AE39*K39+DT!AF39*L39+DT!AG39*M39+DT!AH39*N39,"")</f>
        <v>2.74390243902439</v>
      </c>
      <c r="P39" s="15"/>
    </row>
    <row r="40" spans="1:16">
      <c r="A40" s="60">
        <v>6</v>
      </c>
      <c r="B40" s="60">
        <v>6</v>
      </c>
      <c r="C40" s="60">
        <v>7</v>
      </c>
      <c r="D40" s="60">
        <v>7</v>
      </c>
      <c r="E40" s="60">
        <v>5</v>
      </c>
      <c r="F40" s="60">
        <v>6</v>
      </c>
      <c r="G40" s="1">
        <f t="shared" si="7"/>
        <v>37</v>
      </c>
      <c r="I40" s="7">
        <f t="shared" si="0"/>
        <v>0.16216216216216217</v>
      </c>
      <c r="J40" s="7">
        <f t="shared" si="1"/>
        <v>0.16216216216216217</v>
      </c>
      <c r="K40" s="7">
        <f t="shared" si="2"/>
        <v>0.1891891891891892</v>
      </c>
      <c r="L40" s="7">
        <f t="shared" si="3"/>
        <v>0.1891891891891892</v>
      </c>
      <c r="M40" s="7">
        <f t="shared" si="4"/>
        <v>0.13513513513513514</v>
      </c>
      <c r="N40" s="7">
        <f t="shared" si="5"/>
        <v>0.16216216216216217</v>
      </c>
      <c r="O40" s="51">
        <f>IF(G40&gt;0,DT!AC40*I40+DT!AD40*J40+DT!AE40*K40+DT!AF40*L40+DT!AG40*M40+DT!AH40*N40,"")</f>
        <v>2.3040540540540539</v>
      </c>
      <c r="P40" s="15"/>
    </row>
    <row r="41" spans="1:16">
      <c r="A41" s="60">
        <v>5</v>
      </c>
      <c r="B41" s="60">
        <v>5</v>
      </c>
      <c r="C41" s="60">
        <v>7</v>
      </c>
      <c r="D41" s="60">
        <v>7</v>
      </c>
      <c r="E41" s="60">
        <v>5</v>
      </c>
      <c r="F41" s="60">
        <v>6</v>
      </c>
      <c r="G41" s="1">
        <f t="shared" si="7"/>
        <v>35</v>
      </c>
      <c r="I41" s="7">
        <f t="shared" si="0"/>
        <v>0.14285714285714285</v>
      </c>
      <c r="J41" s="7">
        <f t="shared" si="1"/>
        <v>0.14285714285714285</v>
      </c>
      <c r="K41" s="7">
        <f t="shared" si="2"/>
        <v>0.2</v>
      </c>
      <c r="L41" s="7">
        <f t="shared" si="3"/>
        <v>0.2</v>
      </c>
      <c r="M41" s="7">
        <f t="shared" si="4"/>
        <v>0.14285714285714285</v>
      </c>
      <c r="N41" s="7">
        <f t="shared" si="5"/>
        <v>0.17142857142857143</v>
      </c>
      <c r="O41" s="51">
        <f>IF(G41&gt;0,DT!AC41*I41+DT!AD41*J41+DT!AE41*K41+DT!AF41*L41+DT!AG41*M41+DT!AH41*N41,"")</f>
        <v>2.388095238095238</v>
      </c>
      <c r="P41" s="15"/>
    </row>
    <row r="42" spans="1:16">
      <c r="A42" s="60">
        <v>7</v>
      </c>
      <c r="B42" s="60">
        <v>7</v>
      </c>
      <c r="C42" s="60">
        <v>7</v>
      </c>
      <c r="D42" s="60">
        <v>7</v>
      </c>
      <c r="E42" s="60">
        <v>7</v>
      </c>
      <c r="F42" s="60">
        <v>7</v>
      </c>
      <c r="G42" s="1">
        <f t="shared" si="7"/>
        <v>42</v>
      </c>
      <c r="I42" s="7">
        <f t="shared" si="0"/>
        <v>0.16666666666666666</v>
      </c>
      <c r="J42" s="7">
        <f t="shared" si="1"/>
        <v>0.16666666666666666</v>
      </c>
      <c r="K42" s="7">
        <f t="shared" si="2"/>
        <v>0.16666666666666666</v>
      </c>
      <c r="L42" s="7">
        <f t="shared" si="3"/>
        <v>0.16666666666666666</v>
      </c>
      <c r="M42" s="7">
        <f t="shared" si="4"/>
        <v>0.16666666666666666</v>
      </c>
      <c r="N42" s="7">
        <f t="shared" si="5"/>
        <v>0.16666666666666666</v>
      </c>
      <c r="O42" s="51">
        <f>IF(G42&gt;0,DT!AC42*I42+DT!AD42*J42+DT!AE42*K42+DT!AF42*L42+DT!AG42*M42+DT!AH42*N42,"")</f>
        <v>2.25</v>
      </c>
      <c r="P42" s="15"/>
    </row>
    <row r="43" spans="1:16">
      <c r="A43" s="60">
        <v>5</v>
      </c>
      <c r="B43" s="60">
        <v>6</v>
      </c>
      <c r="C43" s="60">
        <v>6</v>
      </c>
      <c r="D43" s="60">
        <v>6</v>
      </c>
      <c r="E43" s="60">
        <v>6</v>
      </c>
      <c r="F43" s="60">
        <v>5</v>
      </c>
      <c r="G43" s="1">
        <f t="shared" si="7"/>
        <v>34</v>
      </c>
      <c r="I43" s="7">
        <f t="shared" si="0"/>
        <v>0.14705882352941177</v>
      </c>
      <c r="J43" s="7">
        <f t="shared" si="1"/>
        <v>0.17647058823529413</v>
      </c>
      <c r="K43" s="7">
        <f t="shared" si="2"/>
        <v>0.17647058823529413</v>
      </c>
      <c r="L43" s="7">
        <f t="shared" si="3"/>
        <v>0.17647058823529413</v>
      </c>
      <c r="M43" s="7">
        <f t="shared" si="4"/>
        <v>0.17647058823529413</v>
      </c>
      <c r="N43" s="7">
        <f t="shared" si="5"/>
        <v>0.14705882352941177</v>
      </c>
      <c r="O43" s="51">
        <f>IF(G43&gt;0,DT!AC43*I43+DT!AD43*J43+DT!AE43*K43+DT!AF43*L43+DT!AG43*M43+DT!AH43*N43,"")</f>
        <v>1.1274509803921569</v>
      </c>
      <c r="P43" s="15"/>
    </row>
    <row r="44" spans="1:16">
      <c r="A44" s="60">
        <v>5</v>
      </c>
      <c r="B44" s="60">
        <v>5</v>
      </c>
      <c r="C44" s="60">
        <v>5</v>
      </c>
      <c r="D44" s="60">
        <v>5</v>
      </c>
      <c r="E44" s="60">
        <v>5</v>
      </c>
      <c r="F44" s="60">
        <v>5</v>
      </c>
      <c r="G44" s="1">
        <f t="shared" si="7"/>
        <v>30</v>
      </c>
      <c r="I44" s="7">
        <f t="shared" si="0"/>
        <v>0.16666666666666666</v>
      </c>
      <c r="J44" s="7">
        <f t="shared" si="1"/>
        <v>0.16666666666666666</v>
      </c>
      <c r="K44" s="7">
        <f t="shared" si="2"/>
        <v>0.16666666666666666</v>
      </c>
      <c r="L44" s="7">
        <f t="shared" si="3"/>
        <v>0.16666666666666666</v>
      </c>
      <c r="M44" s="7">
        <f t="shared" si="4"/>
        <v>0.16666666666666666</v>
      </c>
      <c r="N44" s="7">
        <f t="shared" si="5"/>
        <v>0.16666666666666666</v>
      </c>
      <c r="O44" s="51">
        <f>IF(G44&gt;0,DT!AC44*I44+DT!AD44*J44+DT!AE44*K44+DT!AF44*L44+DT!AG44*M44+DT!AH44*N44,"")</f>
        <v>0.66666666666666663</v>
      </c>
      <c r="P44" s="15"/>
    </row>
    <row r="45" spans="1:16">
      <c r="A45" s="60">
        <v>7</v>
      </c>
      <c r="B45" s="60">
        <v>7</v>
      </c>
      <c r="C45" s="60">
        <v>7</v>
      </c>
      <c r="D45" s="60">
        <v>7</v>
      </c>
      <c r="E45" s="60">
        <v>7</v>
      </c>
      <c r="F45" s="60">
        <v>7</v>
      </c>
      <c r="G45" s="1">
        <f t="shared" si="7"/>
        <v>42</v>
      </c>
      <c r="I45" s="7">
        <f t="shared" si="0"/>
        <v>0.16666666666666666</v>
      </c>
      <c r="J45" s="7">
        <f t="shared" si="1"/>
        <v>0.16666666666666666</v>
      </c>
      <c r="K45" s="7">
        <f t="shared" si="2"/>
        <v>0.16666666666666666</v>
      </c>
      <c r="L45" s="7">
        <f t="shared" si="3"/>
        <v>0.16666666666666666</v>
      </c>
      <c r="M45" s="7">
        <f t="shared" si="4"/>
        <v>0.16666666666666666</v>
      </c>
      <c r="N45" s="7">
        <f t="shared" si="5"/>
        <v>0.16666666666666666</v>
      </c>
      <c r="O45" s="51">
        <f>IF(G45&gt;0,DT!AC45*I45+DT!AD45*J45+DT!AE45*K45+DT!AF45*L45+DT!AG45*M45+DT!AH45*N45,"")</f>
        <v>1.7222222222222221</v>
      </c>
      <c r="P45" s="15"/>
    </row>
    <row r="46" spans="1:16">
      <c r="A46" s="60">
        <v>7</v>
      </c>
      <c r="B46" s="60">
        <v>6</v>
      </c>
      <c r="C46" s="60">
        <v>7</v>
      </c>
      <c r="D46" s="60">
        <v>5</v>
      </c>
      <c r="E46" s="60">
        <v>6</v>
      </c>
      <c r="F46" s="60">
        <v>6</v>
      </c>
      <c r="G46" s="1">
        <f t="shared" si="7"/>
        <v>37</v>
      </c>
      <c r="I46" s="7">
        <f t="shared" si="0"/>
        <v>0.1891891891891892</v>
      </c>
      <c r="J46" s="7">
        <f t="shared" si="1"/>
        <v>0.16216216216216217</v>
      </c>
      <c r="K46" s="7">
        <f t="shared" si="2"/>
        <v>0.1891891891891892</v>
      </c>
      <c r="L46" s="7">
        <f t="shared" si="3"/>
        <v>0.13513513513513514</v>
      </c>
      <c r="M46" s="7">
        <f t="shared" si="4"/>
        <v>0.16216216216216217</v>
      </c>
      <c r="N46" s="7">
        <f t="shared" si="5"/>
        <v>0.16216216216216217</v>
      </c>
      <c r="O46" s="51">
        <f>IF(G46&gt;0,DT!AC46*I46+DT!AD46*J46+DT!AE46*K46+DT!AF46*L46+DT!AG46*M46+DT!AH46*N46,"")</f>
        <v>1.4256756756756754</v>
      </c>
      <c r="P46" s="15"/>
    </row>
    <row r="47" spans="1:16">
      <c r="A47" s="60">
        <v>7</v>
      </c>
      <c r="B47" s="60">
        <v>7</v>
      </c>
      <c r="C47" s="60">
        <v>7</v>
      </c>
      <c r="D47" s="60">
        <v>7</v>
      </c>
      <c r="E47" s="60">
        <v>7</v>
      </c>
      <c r="F47" s="60">
        <v>7</v>
      </c>
      <c r="G47" s="1">
        <f t="shared" si="7"/>
        <v>42</v>
      </c>
      <c r="I47" s="7">
        <f t="shared" si="0"/>
        <v>0.16666666666666666</v>
      </c>
      <c r="J47" s="7">
        <f t="shared" si="1"/>
        <v>0.16666666666666666</v>
      </c>
      <c r="K47" s="7">
        <f t="shared" si="2"/>
        <v>0.16666666666666666</v>
      </c>
      <c r="L47" s="7">
        <f t="shared" si="3"/>
        <v>0.16666666666666666</v>
      </c>
      <c r="M47" s="7">
        <f t="shared" si="4"/>
        <v>0.16666666666666666</v>
      </c>
      <c r="N47" s="7">
        <f t="shared" si="5"/>
        <v>0.16666666666666666</v>
      </c>
      <c r="O47" s="51">
        <f>IF(G47&gt;0,DT!AC47*I47+DT!AD47*J47+DT!AE47*K47+DT!AF47*L47+DT!AG47*M47+DT!AH47*N47,"")</f>
        <v>2.4722222222222223</v>
      </c>
      <c r="P47" s="15"/>
    </row>
    <row r="48" spans="1:16">
      <c r="A48" s="60">
        <v>7</v>
      </c>
      <c r="B48" s="60">
        <v>7</v>
      </c>
      <c r="C48" s="60">
        <v>7</v>
      </c>
      <c r="D48" s="60">
        <v>7</v>
      </c>
      <c r="E48" s="60">
        <v>7</v>
      </c>
      <c r="F48" s="60">
        <v>7</v>
      </c>
      <c r="G48" s="1">
        <f t="shared" si="7"/>
        <v>42</v>
      </c>
      <c r="I48" s="7">
        <f t="shared" si="0"/>
        <v>0.16666666666666666</v>
      </c>
      <c r="J48" s="7">
        <f t="shared" si="1"/>
        <v>0.16666666666666666</v>
      </c>
      <c r="K48" s="7">
        <f t="shared" si="2"/>
        <v>0.16666666666666666</v>
      </c>
      <c r="L48" s="7">
        <f t="shared" si="3"/>
        <v>0.16666666666666666</v>
      </c>
      <c r="M48" s="7">
        <f t="shared" si="4"/>
        <v>0.16666666666666666</v>
      </c>
      <c r="N48" s="7">
        <f t="shared" si="5"/>
        <v>0.16666666666666666</v>
      </c>
      <c r="O48" s="51">
        <f>IF(G48&gt;0,DT!AC48*I48+DT!AD48*J48+DT!AE48*K48+DT!AF48*L48+DT!AG48*M48+DT!AH48*N48,"")</f>
        <v>2.5</v>
      </c>
      <c r="P48" s="15"/>
    </row>
    <row r="49" spans="1:16">
      <c r="A49" s="60">
        <v>7</v>
      </c>
      <c r="B49" s="60">
        <v>6</v>
      </c>
      <c r="C49" s="60">
        <v>6</v>
      </c>
      <c r="D49" s="60">
        <v>6</v>
      </c>
      <c r="E49" s="60">
        <v>5</v>
      </c>
      <c r="F49" s="60">
        <v>6</v>
      </c>
      <c r="G49" s="1">
        <f t="shared" si="7"/>
        <v>36</v>
      </c>
      <c r="I49" s="7">
        <f t="shared" si="0"/>
        <v>0.19444444444444445</v>
      </c>
      <c r="J49" s="7">
        <f t="shared" si="1"/>
        <v>0.16666666666666666</v>
      </c>
      <c r="K49" s="7">
        <f t="shared" si="2"/>
        <v>0.16666666666666666</v>
      </c>
      <c r="L49" s="7">
        <f t="shared" si="3"/>
        <v>0.16666666666666666</v>
      </c>
      <c r="M49" s="7">
        <f t="shared" si="4"/>
        <v>0.1388888888888889</v>
      </c>
      <c r="N49" s="7">
        <f t="shared" si="5"/>
        <v>0.16666666666666666</v>
      </c>
      <c r="O49" s="51">
        <f>IF(G49&gt;0,DT!AC49*I49+DT!AD49*J49+DT!AE49*K49+DT!AF49*L49+DT!AG49*M49+DT!AH49*N49,"")</f>
        <v>1.4374999999999998</v>
      </c>
      <c r="P49" s="15"/>
    </row>
    <row r="50" spans="1:16">
      <c r="A50" s="60">
        <v>6</v>
      </c>
      <c r="B50" s="60">
        <v>7</v>
      </c>
      <c r="C50" s="60">
        <v>7</v>
      </c>
      <c r="D50" s="60">
        <v>6</v>
      </c>
      <c r="E50" s="60">
        <v>6</v>
      </c>
      <c r="F50" s="60">
        <v>7</v>
      </c>
      <c r="G50" s="1">
        <f t="shared" si="7"/>
        <v>39</v>
      </c>
      <c r="I50" s="7">
        <f>IF(G50&gt;0,A50/G50,"")</f>
        <v>0.15384615384615385</v>
      </c>
      <c r="J50" s="7">
        <f>IF(G50&gt;0,B50/G50,"")</f>
        <v>0.17948717948717949</v>
      </c>
      <c r="K50" s="7">
        <f>IF(G50&gt;0,C50/G50,"")</f>
        <v>0.17948717948717949</v>
      </c>
      <c r="L50" s="7">
        <f>IF(G50&gt;0,D50/G50,"")</f>
        <v>0.15384615384615385</v>
      </c>
      <c r="M50" s="7">
        <f>IF(G50&gt;0,E50/G50,"")</f>
        <v>0.15384615384615385</v>
      </c>
      <c r="N50" s="7">
        <f>IF(G50&gt;0,F50/G50,"")</f>
        <v>0.17948717948717949</v>
      </c>
      <c r="O50" s="51">
        <f>IF(G50&gt;0,DT!AC50*I50+DT!AD50*J50+DT!AE50*K50+DT!AF50*L50+DT!AG50*M50+DT!AH50*N50,"")</f>
        <v>1.4743589743589745</v>
      </c>
      <c r="P50" s="15"/>
    </row>
    <row r="51" spans="1:16">
      <c r="A51" s="60">
        <v>5</v>
      </c>
      <c r="B51" s="60">
        <v>7</v>
      </c>
      <c r="C51" s="60">
        <v>6</v>
      </c>
      <c r="D51" s="60">
        <v>7</v>
      </c>
      <c r="E51" s="60">
        <v>4</v>
      </c>
      <c r="F51" s="60">
        <v>3</v>
      </c>
      <c r="G51" s="1">
        <f t="shared" si="7"/>
        <v>32</v>
      </c>
      <c r="I51" s="7">
        <f>IF(G51&gt;0,A51/G51,"")</f>
        <v>0.15625</v>
      </c>
      <c r="J51" s="7">
        <f>IF(G51&gt;0,B51/G51,"")</f>
        <v>0.21875</v>
      </c>
      <c r="K51" s="7">
        <f>IF(G51&gt;0,C51/G51,"")</f>
        <v>0.1875</v>
      </c>
      <c r="L51" s="7">
        <f>IF(G51&gt;0,D51/G51,"")</f>
        <v>0.21875</v>
      </c>
      <c r="M51" s="7">
        <f>IF(G51&gt;0,E51/G51,"")</f>
        <v>0.125</v>
      </c>
      <c r="N51" s="7">
        <f>IF(G51&gt;0,F51/G51,"")</f>
        <v>9.375E-2</v>
      </c>
      <c r="O51" s="51">
        <f>IF(G51&gt;0,DT!AC51*I51+DT!AD51*J51+DT!AE51*K51+DT!AF51*L51+DT!AG51*M51+DT!AH51*N51,"")</f>
        <v>0.88802083333333337</v>
      </c>
      <c r="P51" s="15"/>
    </row>
    <row r="52" spans="1:16">
      <c r="A52" s="60">
        <v>6</v>
      </c>
      <c r="B52" s="60">
        <v>7</v>
      </c>
      <c r="C52" s="60">
        <v>7</v>
      </c>
      <c r="D52" s="60">
        <v>6</v>
      </c>
      <c r="E52" s="60">
        <v>7</v>
      </c>
      <c r="F52" s="60">
        <v>7</v>
      </c>
      <c r="G52" s="1">
        <f t="shared" si="7"/>
        <v>40</v>
      </c>
      <c r="I52" s="7">
        <f t="shared" ref="I52:I115" si="10">IF(G52&gt;0,A52/G52,"")</f>
        <v>0.15</v>
      </c>
      <c r="J52" s="7">
        <f t="shared" ref="J52:J115" si="11">IF(G52&gt;0,B52/G52,"")</f>
        <v>0.17499999999999999</v>
      </c>
      <c r="K52" s="7">
        <f t="shared" ref="K52:K115" si="12">IF(G52&gt;0,C52/G52,"")</f>
        <v>0.17499999999999999</v>
      </c>
      <c r="L52" s="7">
        <f t="shared" ref="L52:L115" si="13">IF(G52&gt;0,D52/G52,"")</f>
        <v>0.15</v>
      </c>
      <c r="M52" s="7">
        <f t="shared" ref="M52:M115" si="14">IF(G52&gt;0,E52/G52,"")</f>
        <v>0.17499999999999999</v>
      </c>
      <c r="N52" s="7">
        <f t="shared" ref="N52:N115" si="15">IF(G52&gt;0,F52/G52,"")</f>
        <v>0.17499999999999999</v>
      </c>
      <c r="O52" s="51">
        <f>IF(G52&gt;0,DT!AC52*I52+DT!AD52*J52+DT!AE52*K52+DT!AF52*L52+DT!AG52*M52+DT!AH52*N52,"")</f>
        <v>1.1124999999999998</v>
      </c>
      <c r="P52" s="15"/>
    </row>
    <row r="53" spans="1:16">
      <c r="A53" s="60">
        <v>4</v>
      </c>
      <c r="B53" s="60">
        <v>4</v>
      </c>
      <c r="C53" s="60">
        <v>4</v>
      </c>
      <c r="D53" s="60">
        <v>5</v>
      </c>
      <c r="E53" s="60">
        <v>5</v>
      </c>
      <c r="F53" s="60">
        <v>5</v>
      </c>
      <c r="G53" s="1">
        <f t="shared" si="7"/>
        <v>27</v>
      </c>
      <c r="I53" s="7">
        <f t="shared" si="10"/>
        <v>0.14814814814814814</v>
      </c>
      <c r="J53" s="7">
        <f t="shared" si="11"/>
        <v>0.14814814814814814</v>
      </c>
      <c r="K53" s="7">
        <f t="shared" si="12"/>
        <v>0.14814814814814814</v>
      </c>
      <c r="L53" s="7">
        <f t="shared" si="13"/>
        <v>0.18518518518518517</v>
      </c>
      <c r="M53" s="7">
        <f t="shared" si="14"/>
        <v>0.18518518518518517</v>
      </c>
      <c r="N53" s="7">
        <f t="shared" si="15"/>
        <v>0.18518518518518517</v>
      </c>
      <c r="O53" s="51">
        <f>IF(G53&gt;0,DT!AC53*I53+DT!AD53*J53+DT!AE53*K53+DT!AF53*L53+DT!AG53*M53+DT!AH53*N53,"")</f>
        <v>-0.70679012345679015</v>
      </c>
      <c r="P53" s="15"/>
    </row>
    <row r="54" spans="1:16">
      <c r="A54" s="60">
        <v>4</v>
      </c>
      <c r="B54" s="60">
        <v>5</v>
      </c>
      <c r="C54" s="60">
        <v>3</v>
      </c>
      <c r="D54" s="60">
        <v>5</v>
      </c>
      <c r="E54" s="60">
        <v>4</v>
      </c>
      <c r="F54" s="60">
        <v>4</v>
      </c>
      <c r="G54" s="1">
        <f t="shared" si="7"/>
        <v>25</v>
      </c>
      <c r="I54" s="7">
        <f t="shared" si="10"/>
        <v>0.16</v>
      </c>
      <c r="J54" s="7">
        <f t="shared" si="11"/>
        <v>0.2</v>
      </c>
      <c r="K54" s="7">
        <f t="shared" si="12"/>
        <v>0.12</v>
      </c>
      <c r="L54" s="7">
        <f t="shared" si="13"/>
        <v>0.2</v>
      </c>
      <c r="M54" s="7">
        <f t="shared" si="14"/>
        <v>0.16</v>
      </c>
      <c r="N54" s="7">
        <f t="shared" si="15"/>
        <v>0.16</v>
      </c>
      <c r="O54" s="51">
        <f>IF(G54&gt;0,DT!AC54*I54+DT!AD54*J54+DT!AE54*K54+DT!AF54*L54+DT!AG54*M54+DT!AH54*N54,"")</f>
        <v>0.21000000000000002</v>
      </c>
      <c r="P54" s="15"/>
    </row>
    <row r="55" spans="1:16">
      <c r="A55" s="60">
        <v>6</v>
      </c>
      <c r="B55" s="60">
        <v>6</v>
      </c>
      <c r="C55" s="60">
        <v>7</v>
      </c>
      <c r="D55" s="60">
        <v>6</v>
      </c>
      <c r="E55" s="60">
        <v>6</v>
      </c>
      <c r="F55" s="60">
        <v>5</v>
      </c>
      <c r="G55" s="1">
        <f t="shared" si="7"/>
        <v>36</v>
      </c>
      <c r="I55" s="7">
        <f t="shared" si="10"/>
        <v>0.16666666666666666</v>
      </c>
      <c r="J55" s="7">
        <f t="shared" si="11"/>
        <v>0.16666666666666666</v>
      </c>
      <c r="K55" s="7">
        <f t="shared" si="12"/>
        <v>0.19444444444444445</v>
      </c>
      <c r="L55" s="7">
        <f t="shared" si="13"/>
        <v>0.16666666666666666</v>
      </c>
      <c r="M55" s="7">
        <f t="shared" si="14"/>
        <v>0.16666666666666666</v>
      </c>
      <c r="N55" s="7">
        <f t="shared" si="15"/>
        <v>0.1388888888888889</v>
      </c>
      <c r="O55" s="51">
        <f>IF(G55&gt;0,DT!AC55*I55+DT!AD55*J55+DT!AE55*K55+DT!AF55*L55+DT!AG55*M55+DT!AH55*N55,"")</f>
        <v>1.9861111111111112</v>
      </c>
      <c r="P55" s="15"/>
    </row>
    <row r="56" spans="1:16">
      <c r="A56" s="60">
        <v>7</v>
      </c>
      <c r="B56" s="60">
        <v>7</v>
      </c>
      <c r="C56" s="60">
        <v>7</v>
      </c>
      <c r="D56" s="60">
        <v>6</v>
      </c>
      <c r="E56" s="60">
        <v>7</v>
      </c>
      <c r="F56" s="60">
        <v>5</v>
      </c>
      <c r="G56" s="1">
        <f t="shared" si="7"/>
        <v>39</v>
      </c>
      <c r="I56" s="7">
        <f t="shared" si="10"/>
        <v>0.17948717948717949</v>
      </c>
      <c r="J56" s="7">
        <f t="shared" si="11"/>
        <v>0.17948717948717949</v>
      </c>
      <c r="K56" s="7">
        <f t="shared" si="12"/>
        <v>0.17948717948717949</v>
      </c>
      <c r="L56" s="7">
        <f t="shared" si="13"/>
        <v>0.15384615384615385</v>
      </c>
      <c r="M56" s="7">
        <f t="shared" si="14"/>
        <v>0.17948717948717949</v>
      </c>
      <c r="N56" s="7">
        <f t="shared" si="15"/>
        <v>0.12820512820512819</v>
      </c>
      <c r="O56" s="51">
        <f>IF(G56&gt;0,DT!AC56*I56+DT!AD56*J56+DT!AE56*K56+DT!AF56*L56+DT!AG56*M56+DT!AH56*N56,"")</f>
        <v>9.4017094017094044E-2</v>
      </c>
      <c r="P56" s="15"/>
    </row>
    <row r="57" spans="1:16">
      <c r="A57" s="60">
        <v>6</v>
      </c>
      <c r="B57" s="60">
        <v>7</v>
      </c>
      <c r="C57" s="60">
        <v>7</v>
      </c>
      <c r="D57" s="60">
        <v>7</v>
      </c>
      <c r="E57" s="60">
        <v>6</v>
      </c>
      <c r="F57" s="60">
        <v>6</v>
      </c>
      <c r="G57" s="1">
        <f t="shared" si="7"/>
        <v>39</v>
      </c>
      <c r="I57" s="7">
        <f t="shared" si="10"/>
        <v>0.15384615384615385</v>
      </c>
      <c r="J57" s="7">
        <f t="shared" si="11"/>
        <v>0.17948717948717949</v>
      </c>
      <c r="K57" s="7">
        <f t="shared" si="12"/>
        <v>0.17948717948717949</v>
      </c>
      <c r="L57" s="7">
        <f t="shared" si="13"/>
        <v>0.17948717948717949</v>
      </c>
      <c r="M57" s="7">
        <f t="shared" si="14"/>
        <v>0.15384615384615385</v>
      </c>
      <c r="N57" s="7">
        <f t="shared" si="15"/>
        <v>0.15384615384615385</v>
      </c>
      <c r="O57" s="51">
        <f>IF(G57&gt;0,DT!AC57*I57+DT!AD57*J57+DT!AE57*K57+DT!AF57*L57+DT!AG57*M57+DT!AH57*N57,"")</f>
        <v>2.5641025641025643</v>
      </c>
      <c r="P57" s="15"/>
    </row>
    <row r="58" spans="1:16">
      <c r="A58" s="60">
        <v>7</v>
      </c>
      <c r="B58" s="60">
        <v>7</v>
      </c>
      <c r="C58" s="60">
        <v>7</v>
      </c>
      <c r="D58" s="60">
        <v>7</v>
      </c>
      <c r="E58" s="60">
        <v>7</v>
      </c>
      <c r="F58" s="60">
        <v>7</v>
      </c>
      <c r="G58" s="1">
        <f t="shared" si="7"/>
        <v>42</v>
      </c>
      <c r="I58" s="7">
        <f t="shared" si="10"/>
        <v>0.16666666666666666</v>
      </c>
      <c r="J58" s="7">
        <f t="shared" si="11"/>
        <v>0.16666666666666666</v>
      </c>
      <c r="K58" s="7">
        <f t="shared" si="12"/>
        <v>0.16666666666666666</v>
      </c>
      <c r="L58" s="7">
        <f t="shared" si="13"/>
        <v>0.16666666666666666</v>
      </c>
      <c r="M58" s="7">
        <f t="shared" si="14"/>
        <v>0.16666666666666666</v>
      </c>
      <c r="N58" s="7">
        <f t="shared" si="15"/>
        <v>0.16666666666666666</v>
      </c>
      <c r="O58" s="51">
        <f>IF(G58&gt;0,DT!AC58*I58+DT!AD58*J58+DT!AE58*K58+DT!AF58*L58+DT!AG58*M58+DT!AH58*N58,"")</f>
        <v>2.75</v>
      </c>
      <c r="P58" s="15"/>
    </row>
    <row r="59" spans="1:16">
      <c r="A59" s="60">
        <v>6</v>
      </c>
      <c r="B59" s="60">
        <v>7</v>
      </c>
      <c r="C59" s="60">
        <v>7</v>
      </c>
      <c r="D59" s="60">
        <v>6</v>
      </c>
      <c r="E59" s="60">
        <v>4</v>
      </c>
      <c r="F59" s="60">
        <v>5</v>
      </c>
      <c r="G59" s="1">
        <f t="shared" si="7"/>
        <v>35</v>
      </c>
      <c r="I59" s="7">
        <f t="shared" si="10"/>
        <v>0.17142857142857143</v>
      </c>
      <c r="J59" s="7">
        <f t="shared" si="11"/>
        <v>0.2</v>
      </c>
      <c r="K59" s="7">
        <f t="shared" si="12"/>
        <v>0.2</v>
      </c>
      <c r="L59" s="7">
        <f t="shared" si="13"/>
        <v>0.17142857142857143</v>
      </c>
      <c r="M59" s="7">
        <f t="shared" si="14"/>
        <v>0.11428571428571428</v>
      </c>
      <c r="N59" s="7">
        <f t="shared" si="15"/>
        <v>0.14285714285714285</v>
      </c>
      <c r="O59" s="51">
        <f>IF(G59&gt;0,DT!AC59*I59+DT!AD59*J59+DT!AE59*K59+DT!AF59*L59+DT!AG59*M59+DT!AH59*N59,"")</f>
        <v>2.3857142857142857</v>
      </c>
      <c r="P59" s="15"/>
    </row>
    <row r="60" spans="1:16">
      <c r="A60" s="60">
        <v>6</v>
      </c>
      <c r="B60" s="60">
        <v>7</v>
      </c>
      <c r="C60" s="60">
        <v>6</v>
      </c>
      <c r="D60" s="60">
        <v>7</v>
      </c>
      <c r="E60" s="60">
        <v>5</v>
      </c>
      <c r="F60" s="60">
        <v>6</v>
      </c>
      <c r="G60" s="1">
        <f t="shared" si="7"/>
        <v>37</v>
      </c>
      <c r="I60" s="7">
        <f t="shared" si="10"/>
        <v>0.16216216216216217</v>
      </c>
      <c r="J60" s="7">
        <f t="shared" si="11"/>
        <v>0.1891891891891892</v>
      </c>
      <c r="K60" s="7">
        <f t="shared" si="12"/>
        <v>0.16216216216216217</v>
      </c>
      <c r="L60" s="7">
        <f t="shared" si="13"/>
        <v>0.1891891891891892</v>
      </c>
      <c r="M60" s="7">
        <f t="shared" si="14"/>
        <v>0.13513513513513514</v>
      </c>
      <c r="N60" s="7">
        <f t="shared" si="15"/>
        <v>0.16216216216216217</v>
      </c>
      <c r="O60" s="51">
        <f>IF(G60&gt;0,DT!AC60*I60+DT!AD60*J60+DT!AE60*K60+DT!AF60*L60+DT!AG60*M60+DT!AH60*N60,"")</f>
        <v>1.1351351351351353</v>
      </c>
      <c r="P60" s="15"/>
    </row>
    <row r="61" spans="1:16">
      <c r="A61" s="60">
        <v>6</v>
      </c>
      <c r="B61" s="60">
        <v>6</v>
      </c>
      <c r="C61" s="60">
        <v>4</v>
      </c>
      <c r="D61" s="60">
        <v>7</v>
      </c>
      <c r="E61" s="60">
        <v>5</v>
      </c>
      <c r="F61" s="60">
        <v>6</v>
      </c>
      <c r="G61" s="1">
        <f t="shared" si="7"/>
        <v>34</v>
      </c>
      <c r="I61" s="7">
        <f t="shared" si="10"/>
        <v>0.17647058823529413</v>
      </c>
      <c r="J61" s="7">
        <f t="shared" si="11"/>
        <v>0.17647058823529413</v>
      </c>
      <c r="K61" s="7">
        <f t="shared" si="12"/>
        <v>0.11764705882352941</v>
      </c>
      <c r="L61" s="7">
        <f t="shared" si="13"/>
        <v>0.20588235294117646</v>
      </c>
      <c r="M61" s="7">
        <f t="shared" si="14"/>
        <v>0.14705882352941177</v>
      </c>
      <c r="N61" s="7">
        <f t="shared" si="15"/>
        <v>0.17647058823529413</v>
      </c>
      <c r="O61" s="51">
        <f>IF(G61&gt;0,DT!AC61*I61+DT!AD61*J61+DT!AE61*K61+DT!AF61*L61+DT!AG61*M61+DT!AH61*N61,"")</f>
        <v>-3.6764705882352929E-2</v>
      </c>
      <c r="P61" s="15"/>
    </row>
    <row r="62" spans="1:16">
      <c r="A62" s="60">
        <v>7</v>
      </c>
      <c r="B62" s="60">
        <v>7</v>
      </c>
      <c r="C62" s="60">
        <v>7</v>
      </c>
      <c r="D62" s="60">
        <v>7</v>
      </c>
      <c r="E62" s="60">
        <v>7</v>
      </c>
      <c r="F62" s="60">
        <v>7</v>
      </c>
      <c r="G62" s="1">
        <f t="shared" si="7"/>
        <v>42</v>
      </c>
      <c r="I62" s="7">
        <f t="shared" si="10"/>
        <v>0.16666666666666666</v>
      </c>
      <c r="J62" s="7">
        <f t="shared" si="11"/>
        <v>0.16666666666666666</v>
      </c>
      <c r="K62" s="7">
        <f t="shared" si="12"/>
        <v>0.16666666666666666</v>
      </c>
      <c r="L62" s="7">
        <f t="shared" si="13"/>
        <v>0.16666666666666666</v>
      </c>
      <c r="M62" s="7">
        <f t="shared" si="14"/>
        <v>0.16666666666666666</v>
      </c>
      <c r="N62" s="7">
        <f t="shared" si="15"/>
        <v>0.16666666666666666</v>
      </c>
      <c r="O62" s="51">
        <f>IF(G62&gt;0,DT!AC62*I62+DT!AD62*J62+DT!AE62*K62+DT!AF62*L62+DT!AG62*M62+DT!AH62*N62,"")</f>
        <v>2.625</v>
      </c>
      <c r="P62" s="15"/>
    </row>
    <row r="63" spans="1:16">
      <c r="A63" s="60">
        <v>7</v>
      </c>
      <c r="B63" s="60">
        <v>7</v>
      </c>
      <c r="C63" s="60">
        <v>7</v>
      </c>
      <c r="D63" s="60">
        <v>7</v>
      </c>
      <c r="E63" s="60">
        <v>6</v>
      </c>
      <c r="F63" s="60">
        <v>6</v>
      </c>
      <c r="G63" s="1">
        <f t="shared" si="7"/>
        <v>40</v>
      </c>
      <c r="I63" s="7">
        <f t="shared" si="10"/>
        <v>0.17499999999999999</v>
      </c>
      <c r="J63" s="7">
        <f t="shared" si="11"/>
        <v>0.17499999999999999</v>
      </c>
      <c r="K63" s="7">
        <f t="shared" si="12"/>
        <v>0.17499999999999999</v>
      </c>
      <c r="L63" s="7">
        <f t="shared" si="13"/>
        <v>0.17499999999999999</v>
      </c>
      <c r="M63" s="7">
        <f t="shared" si="14"/>
        <v>0.15</v>
      </c>
      <c r="N63" s="7">
        <f t="shared" si="15"/>
        <v>0.15</v>
      </c>
      <c r="O63" s="51">
        <f>IF(G63&gt;0,DT!AC63*I63+DT!AD63*J63+DT!AE63*K63+DT!AF63*L63+DT!AG63*M63+DT!AH63*N63,"")</f>
        <v>2.3291666666666666</v>
      </c>
      <c r="P63" s="15"/>
    </row>
    <row r="64" spans="1:16">
      <c r="A64" s="60">
        <v>6</v>
      </c>
      <c r="B64" s="60">
        <v>7</v>
      </c>
      <c r="C64" s="60">
        <v>7</v>
      </c>
      <c r="D64" s="60">
        <v>7</v>
      </c>
      <c r="E64" s="60">
        <v>6</v>
      </c>
      <c r="F64" s="60">
        <v>6</v>
      </c>
      <c r="G64" s="1">
        <f t="shared" si="7"/>
        <v>39</v>
      </c>
      <c r="I64" s="7">
        <f t="shared" si="10"/>
        <v>0.15384615384615385</v>
      </c>
      <c r="J64" s="7">
        <f t="shared" si="11"/>
        <v>0.17948717948717949</v>
      </c>
      <c r="K64" s="7">
        <f t="shared" si="12"/>
        <v>0.17948717948717949</v>
      </c>
      <c r="L64" s="7">
        <f t="shared" si="13"/>
        <v>0.17948717948717949</v>
      </c>
      <c r="M64" s="7">
        <f t="shared" si="14"/>
        <v>0.15384615384615385</v>
      </c>
      <c r="N64" s="7">
        <f t="shared" si="15"/>
        <v>0.15384615384615385</v>
      </c>
      <c r="O64" s="51">
        <f>IF(G64&gt;0,DT!AC64*I64+DT!AD64*J64+DT!AE64*K64+DT!AF64*L64+DT!AG64*M64+DT!AH64*N64,"")</f>
        <v>2.0833333333333335</v>
      </c>
      <c r="P64" s="15"/>
    </row>
    <row r="65" spans="1:16">
      <c r="A65" s="60">
        <v>6</v>
      </c>
      <c r="B65" s="60">
        <v>7</v>
      </c>
      <c r="C65" s="60">
        <v>7</v>
      </c>
      <c r="D65" s="60">
        <v>7</v>
      </c>
      <c r="E65" s="60">
        <v>5</v>
      </c>
      <c r="F65" s="60">
        <v>6</v>
      </c>
      <c r="G65" s="1">
        <f t="shared" si="7"/>
        <v>38</v>
      </c>
      <c r="I65" s="7">
        <f t="shared" si="10"/>
        <v>0.15789473684210525</v>
      </c>
      <c r="J65" s="7">
        <f t="shared" si="11"/>
        <v>0.18421052631578946</v>
      </c>
      <c r="K65" s="7">
        <f t="shared" si="12"/>
        <v>0.18421052631578946</v>
      </c>
      <c r="L65" s="7">
        <f t="shared" si="13"/>
        <v>0.18421052631578946</v>
      </c>
      <c r="M65" s="7">
        <f t="shared" si="14"/>
        <v>0.13157894736842105</v>
      </c>
      <c r="N65" s="7">
        <f t="shared" si="15"/>
        <v>0.15789473684210525</v>
      </c>
      <c r="O65" s="51">
        <f>IF(G65&gt;0,DT!AC65*I65+DT!AD65*J65+DT!AE65*K65+DT!AF65*L65+DT!AG65*M65+DT!AH65*N65,"")</f>
        <v>1.6644736842105261</v>
      </c>
      <c r="P65" s="15"/>
    </row>
    <row r="66" spans="1:16">
      <c r="A66" s="60">
        <v>5</v>
      </c>
      <c r="B66" s="60">
        <v>5</v>
      </c>
      <c r="C66" s="60">
        <v>4</v>
      </c>
      <c r="D66" s="60">
        <v>4</v>
      </c>
      <c r="E66" s="60">
        <v>4</v>
      </c>
      <c r="F66" s="60">
        <v>4</v>
      </c>
      <c r="G66" s="1">
        <f t="shared" si="7"/>
        <v>26</v>
      </c>
      <c r="I66" s="7">
        <f t="shared" si="10"/>
        <v>0.19230769230769232</v>
      </c>
      <c r="J66" s="7">
        <f t="shared" si="11"/>
        <v>0.19230769230769232</v>
      </c>
      <c r="K66" s="7">
        <f t="shared" si="12"/>
        <v>0.15384615384615385</v>
      </c>
      <c r="L66" s="7">
        <f t="shared" si="13"/>
        <v>0.15384615384615385</v>
      </c>
      <c r="M66" s="7">
        <f t="shared" si="14"/>
        <v>0.15384615384615385</v>
      </c>
      <c r="N66" s="7">
        <f t="shared" si="15"/>
        <v>0.15384615384615385</v>
      </c>
      <c r="O66" s="51">
        <f>IF(G66&gt;0,DT!AC66*I66+DT!AD66*J66+DT!AE66*K66+DT!AF66*L66+DT!AG66*M66+DT!AH66*N66,"")</f>
        <v>8.974358974358973E-2</v>
      </c>
      <c r="P66" s="15"/>
    </row>
    <row r="67" spans="1:16">
      <c r="A67" s="60">
        <v>6</v>
      </c>
      <c r="B67" s="60">
        <v>7</v>
      </c>
      <c r="C67" s="60">
        <v>6</v>
      </c>
      <c r="D67" s="60">
        <v>5</v>
      </c>
      <c r="E67" s="60">
        <v>6</v>
      </c>
      <c r="F67" s="60">
        <v>6</v>
      </c>
      <c r="G67" s="1">
        <f t="shared" si="7"/>
        <v>36</v>
      </c>
      <c r="I67" s="7">
        <f t="shared" si="10"/>
        <v>0.16666666666666666</v>
      </c>
      <c r="J67" s="7">
        <f t="shared" si="11"/>
        <v>0.19444444444444445</v>
      </c>
      <c r="K67" s="7">
        <f t="shared" si="12"/>
        <v>0.16666666666666666</v>
      </c>
      <c r="L67" s="7">
        <f t="shared" si="13"/>
        <v>0.1388888888888889</v>
      </c>
      <c r="M67" s="7">
        <f t="shared" si="14"/>
        <v>0.16666666666666666</v>
      </c>
      <c r="N67" s="7">
        <f t="shared" si="15"/>
        <v>0.16666666666666666</v>
      </c>
      <c r="O67" s="51">
        <f>IF(G67&gt;0,DT!AC67*I67+DT!AD67*J67+DT!AE67*K67+DT!AF67*L67+DT!AG67*M67+DT!AH67*N67,"")</f>
        <v>2.1249999999999996</v>
      </c>
      <c r="P67" s="15"/>
    </row>
    <row r="68" spans="1:16">
      <c r="A68" s="60">
        <v>4</v>
      </c>
      <c r="B68" s="60">
        <v>7</v>
      </c>
      <c r="C68" s="60">
        <v>7</v>
      </c>
      <c r="D68" s="60">
        <v>7</v>
      </c>
      <c r="E68" s="60">
        <v>6</v>
      </c>
      <c r="F68" s="60">
        <v>7</v>
      </c>
      <c r="G68" s="1">
        <f t="shared" si="7"/>
        <v>38</v>
      </c>
      <c r="I68" s="7">
        <f t="shared" si="10"/>
        <v>0.10526315789473684</v>
      </c>
      <c r="J68" s="7">
        <f t="shared" si="11"/>
        <v>0.18421052631578946</v>
      </c>
      <c r="K68" s="7">
        <f t="shared" si="12"/>
        <v>0.18421052631578946</v>
      </c>
      <c r="L68" s="7">
        <f t="shared" si="13"/>
        <v>0.18421052631578946</v>
      </c>
      <c r="M68" s="7">
        <f t="shared" si="14"/>
        <v>0.15789473684210525</v>
      </c>
      <c r="N68" s="7">
        <f t="shared" si="15"/>
        <v>0.18421052631578946</v>
      </c>
      <c r="O68" s="51">
        <f>IF(G68&gt;0,DT!AC68*I68+DT!AD68*J68+DT!AE68*K68+DT!AF68*L68+DT!AG68*M68+DT!AH68*N68,"")</f>
        <v>1.8486842105263157</v>
      </c>
      <c r="P68" s="15"/>
    </row>
    <row r="69" spans="1:16">
      <c r="A69" s="60">
        <v>4</v>
      </c>
      <c r="B69" s="60">
        <v>7</v>
      </c>
      <c r="C69" s="60">
        <v>7</v>
      </c>
      <c r="D69" s="60">
        <v>6</v>
      </c>
      <c r="E69" s="60">
        <v>4</v>
      </c>
      <c r="F69" s="60">
        <v>4</v>
      </c>
      <c r="G69" s="1">
        <f t="shared" ref="G69:G132" si="16">SUM(A69:F69)</f>
        <v>32</v>
      </c>
      <c r="I69" s="7">
        <f t="shared" si="10"/>
        <v>0.125</v>
      </c>
      <c r="J69" s="7">
        <f t="shared" si="11"/>
        <v>0.21875</v>
      </c>
      <c r="K69" s="7">
        <f t="shared" si="12"/>
        <v>0.21875</v>
      </c>
      <c r="L69" s="7">
        <f t="shared" si="13"/>
        <v>0.1875</v>
      </c>
      <c r="M69" s="7">
        <f t="shared" si="14"/>
        <v>0.125</v>
      </c>
      <c r="N69" s="7">
        <f t="shared" si="15"/>
        <v>0.125</v>
      </c>
      <c r="O69" s="51">
        <f>IF(G69&gt;0,DT!AC69*I69+DT!AD69*J69+DT!AE69*K69+DT!AF69*L69+DT!AG69*M69+DT!AH69*N69,"")</f>
        <v>1.3489583333333335</v>
      </c>
      <c r="P69" s="15"/>
    </row>
    <row r="70" spans="1:16">
      <c r="A70" s="60">
        <v>2</v>
      </c>
      <c r="B70" s="60">
        <v>5</v>
      </c>
      <c r="C70" s="60">
        <v>6</v>
      </c>
      <c r="D70" s="60">
        <v>5</v>
      </c>
      <c r="E70" s="60">
        <v>5</v>
      </c>
      <c r="F70" s="60">
        <v>4</v>
      </c>
      <c r="G70" s="1">
        <f t="shared" si="16"/>
        <v>27</v>
      </c>
      <c r="I70" s="7">
        <f t="shared" si="10"/>
        <v>7.407407407407407E-2</v>
      </c>
      <c r="J70" s="7">
        <f t="shared" si="11"/>
        <v>0.18518518518518517</v>
      </c>
      <c r="K70" s="7">
        <f t="shared" si="12"/>
        <v>0.22222222222222221</v>
      </c>
      <c r="L70" s="7">
        <f t="shared" si="13"/>
        <v>0.18518518518518517</v>
      </c>
      <c r="M70" s="7">
        <f t="shared" si="14"/>
        <v>0.18518518518518517</v>
      </c>
      <c r="N70" s="7">
        <f t="shared" si="15"/>
        <v>0.14814814814814814</v>
      </c>
      <c r="O70" s="51">
        <f>IF(G70&gt;0,DT!AC70*I70+DT!AD70*J70+DT!AE70*K70+DT!AF70*L70+DT!AG70*M70+DT!AH70*N70,"")</f>
        <v>1.4228395061728394</v>
      </c>
      <c r="P70" s="15"/>
    </row>
    <row r="71" spans="1:16">
      <c r="A71" s="60">
        <v>3</v>
      </c>
      <c r="B71" s="60">
        <v>7</v>
      </c>
      <c r="C71" s="60">
        <v>7</v>
      </c>
      <c r="D71" s="60">
        <v>7</v>
      </c>
      <c r="E71" s="60">
        <v>1</v>
      </c>
      <c r="F71" s="60">
        <v>4</v>
      </c>
      <c r="G71" s="1">
        <f t="shared" si="16"/>
        <v>29</v>
      </c>
      <c r="I71" s="7">
        <f t="shared" si="10"/>
        <v>0.10344827586206896</v>
      </c>
      <c r="J71" s="7">
        <f t="shared" si="11"/>
        <v>0.2413793103448276</v>
      </c>
      <c r="K71" s="7">
        <f t="shared" si="12"/>
        <v>0.2413793103448276</v>
      </c>
      <c r="L71" s="7">
        <f t="shared" si="13"/>
        <v>0.2413793103448276</v>
      </c>
      <c r="M71" s="7">
        <f t="shared" si="14"/>
        <v>3.4482758620689655E-2</v>
      </c>
      <c r="N71" s="7">
        <f t="shared" si="15"/>
        <v>0.13793103448275862</v>
      </c>
      <c r="O71" s="51">
        <f>IF(G71&gt;0,DT!AC71*I71+DT!AD71*J71+DT!AE71*K71+DT!AF71*L71+DT!AG71*M71+DT!AH71*N71,"")</f>
        <v>0.68965517241379315</v>
      </c>
      <c r="P71" s="15"/>
    </row>
    <row r="72" spans="1:16">
      <c r="A72" s="60">
        <v>2</v>
      </c>
      <c r="B72" s="60">
        <v>5</v>
      </c>
      <c r="C72" s="60">
        <v>4</v>
      </c>
      <c r="D72" s="60">
        <v>3</v>
      </c>
      <c r="E72" s="60">
        <v>2</v>
      </c>
      <c r="F72" s="60">
        <v>2</v>
      </c>
      <c r="G72" s="1">
        <f t="shared" si="16"/>
        <v>18</v>
      </c>
      <c r="I72" s="7">
        <f t="shared" si="10"/>
        <v>0.1111111111111111</v>
      </c>
      <c r="J72" s="7">
        <f t="shared" si="11"/>
        <v>0.27777777777777779</v>
      </c>
      <c r="K72" s="7">
        <f t="shared" si="12"/>
        <v>0.22222222222222221</v>
      </c>
      <c r="L72" s="7">
        <f t="shared" si="13"/>
        <v>0.16666666666666666</v>
      </c>
      <c r="M72" s="7">
        <f t="shared" si="14"/>
        <v>0.1111111111111111</v>
      </c>
      <c r="N72" s="7">
        <f t="shared" si="15"/>
        <v>0.1111111111111111</v>
      </c>
      <c r="O72" s="51">
        <f>IF(G72&gt;0,DT!AC72*I72+DT!AD72*J72+DT!AE72*K72+DT!AF72*L72+DT!AG72*M72+DT!AH72*N72,"")</f>
        <v>0.8657407407407407</v>
      </c>
      <c r="P72" s="15"/>
    </row>
    <row r="73" spans="1:16">
      <c r="A73" s="60">
        <v>5</v>
      </c>
      <c r="B73" s="60">
        <v>5</v>
      </c>
      <c r="C73" s="60">
        <v>6</v>
      </c>
      <c r="D73" s="60">
        <v>3</v>
      </c>
      <c r="E73" s="60">
        <v>4</v>
      </c>
      <c r="F73" s="60">
        <v>4</v>
      </c>
      <c r="G73" s="1">
        <f t="shared" si="16"/>
        <v>27</v>
      </c>
      <c r="I73" s="7">
        <f t="shared" si="10"/>
        <v>0.18518518518518517</v>
      </c>
      <c r="J73" s="7">
        <f t="shared" si="11"/>
        <v>0.18518518518518517</v>
      </c>
      <c r="K73" s="7">
        <f t="shared" si="12"/>
        <v>0.22222222222222221</v>
      </c>
      <c r="L73" s="7">
        <f t="shared" si="13"/>
        <v>0.1111111111111111</v>
      </c>
      <c r="M73" s="7">
        <f t="shared" si="14"/>
        <v>0.14814814814814814</v>
      </c>
      <c r="N73" s="7">
        <f t="shared" si="15"/>
        <v>0.14814814814814814</v>
      </c>
      <c r="O73" s="51">
        <f>IF(G73&gt;0,DT!AC73*I73+DT!AD73*J73+DT!AE73*K73+DT!AF73*L73+DT!AG73*M73+DT!AH73*N73,"")</f>
        <v>0.76851851851851849</v>
      </c>
      <c r="P73" s="15"/>
    </row>
    <row r="74" spans="1:16">
      <c r="A74" s="60">
        <v>6</v>
      </c>
      <c r="B74" s="60">
        <v>6</v>
      </c>
      <c r="C74" s="60">
        <v>7</v>
      </c>
      <c r="D74" s="60">
        <v>7</v>
      </c>
      <c r="E74" s="60">
        <v>6</v>
      </c>
      <c r="F74" s="60">
        <v>6</v>
      </c>
      <c r="G74" s="1">
        <f t="shared" si="16"/>
        <v>38</v>
      </c>
      <c r="I74" s="7">
        <f t="shared" si="10"/>
        <v>0.15789473684210525</v>
      </c>
      <c r="J74" s="7">
        <f t="shared" si="11"/>
        <v>0.15789473684210525</v>
      </c>
      <c r="K74" s="7">
        <f t="shared" si="12"/>
        <v>0.18421052631578946</v>
      </c>
      <c r="L74" s="7">
        <f t="shared" si="13"/>
        <v>0.18421052631578946</v>
      </c>
      <c r="M74" s="7">
        <f t="shared" si="14"/>
        <v>0.15789473684210525</v>
      </c>
      <c r="N74" s="7">
        <f t="shared" si="15"/>
        <v>0.15789473684210525</v>
      </c>
      <c r="O74" s="51">
        <f>IF(G74&gt;0,DT!AC74*I74+DT!AD74*J74+DT!AE74*K74+DT!AF74*L74+DT!AG74*M74+DT!AH74*N74,"")</f>
        <v>1.4934210526315785</v>
      </c>
      <c r="P74" s="15"/>
    </row>
    <row r="75" spans="1:16">
      <c r="A75" s="60">
        <v>5</v>
      </c>
      <c r="B75" s="60">
        <v>7</v>
      </c>
      <c r="C75" s="60">
        <v>7</v>
      </c>
      <c r="D75" s="60">
        <v>7</v>
      </c>
      <c r="E75" s="60">
        <v>6</v>
      </c>
      <c r="F75" s="60">
        <v>5</v>
      </c>
      <c r="G75" s="1">
        <f t="shared" si="16"/>
        <v>37</v>
      </c>
      <c r="I75" s="7">
        <f t="shared" si="10"/>
        <v>0.13513513513513514</v>
      </c>
      <c r="J75" s="7">
        <f t="shared" si="11"/>
        <v>0.1891891891891892</v>
      </c>
      <c r="K75" s="7">
        <f t="shared" si="12"/>
        <v>0.1891891891891892</v>
      </c>
      <c r="L75" s="7">
        <f t="shared" si="13"/>
        <v>0.1891891891891892</v>
      </c>
      <c r="M75" s="7">
        <f t="shared" si="14"/>
        <v>0.16216216216216217</v>
      </c>
      <c r="N75" s="7">
        <f t="shared" si="15"/>
        <v>0.13513513513513514</v>
      </c>
      <c r="O75" s="51">
        <f>IF(G75&gt;0,DT!AC75*I75+DT!AD75*J75+DT!AE75*K75+DT!AF75*L75+DT!AG75*M75+DT!AH75*N75,"")</f>
        <v>2.6689189189189189</v>
      </c>
      <c r="P75" s="15"/>
    </row>
    <row r="76" spans="1:16">
      <c r="A76" s="60">
        <v>5</v>
      </c>
      <c r="B76" s="60">
        <v>5</v>
      </c>
      <c r="C76" s="60">
        <v>7</v>
      </c>
      <c r="D76" s="60">
        <v>7</v>
      </c>
      <c r="E76" s="60">
        <v>5</v>
      </c>
      <c r="F76" s="60">
        <v>4</v>
      </c>
      <c r="G76" s="1">
        <f t="shared" si="16"/>
        <v>33</v>
      </c>
      <c r="I76" s="7">
        <f t="shared" si="10"/>
        <v>0.15151515151515152</v>
      </c>
      <c r="J76" s="7">
        <f t="shared" si="11"/>
        <v>0.15151515151515152</v>
      </c>
      <c r="K76" s="7">
        <f t="shared" si="12"/>
        <v>0.21212121212121213</v>
      </c>
      <c r="L76" s="7">
        <f t="shared" si="13"/>
        <v>0.21212121212121213</v>
      </c>
      <c r="M76" s="7">
        <f t="shared" si="14"/>
        <v>0.15151515151515152</v>
      </c>
      <c r="N76" s="7">
        <f t="shared" si="15"/>
        <v>0.12121212121212122</v>
      </c>
      <c r="O76" s="51">
        <f>IF(G76&gt;0,DT!AC76*I76+DT!AD76*J76+DT!AE76*K76+DT!AF76*L76+DT!AG76*M76+DT!AH76*N76,"")</f>
        <v>1.7904040404040407</v>
      </c>
      <c r="P76" s="15"/>
    </row>
    <row r="77" spans="1:16">
      <c r="A77" s="60">
        <v>7</v>
      </c>
      <c r="B77" s="60">
        <v>6</v>
      </c>
      <c r="C77" s="60">
        <v>7</v>
      </c>
      <c r="D77" s="60">
        <v>6</v>
      </c>
      <c r="E77" s="60">
        <v>6</v>
      </c>
      <c r="F77" s="60">
        <v>6</v>
      </c>
      <c r="G77" s="1">
        <f t="shared" si="16"/>
        <v>38</v>
      </c>
      <c r="I77" s="7">
        <f t="shared" si="10"/>
        <v>0.18421052631578946</v>
      </c>
      <c r="J77" s="7">
        <f t="shared" si="11"/>
        <v>0.15789473684210525</v>
      </c>
      <c r="K77" s="7">
        <f t="shared" si="12"/>
        <v>0.18421052631578946</v>
      </c>
      <c r="L77" s="7">
        <f t="shared" si="13"/>
        <v>0.15789473684210525</v>
      </c>
      <c r="M77" s="7">
        <f t="shared" si="14"/>
        <v>0.15789473684210525</v>
      </c>
      <c r="N77" s="7">
        <f t="shared" si="15"/>
        <v>0.15789473684210525</v>
      </c>
      <c r="O77" s="51">
        <f>IF(G77&gt;0,DT!AC77*I77+DT!AD77*J77+DT!AE77*K77+DT!AF77*L77+DT!AG77*M77+DT!AH77*N77,"")</f>
        <v>1.4605263157894737</v>
      </c>
      <c r="P77" s="15"/>
    </row>
    <row r="78" spans="1:16">
      <c r="A78" s="60">
        <v>6</v>
      </c>
      <c r="B78" s="60">
        <v>6</v>
      </c>
      <c r="C78" s="60">
        <v>7</v>
      </c>
      <c r="D78" s="60">
        <v>5</v>
      </c>
      <c r="E78" s="60">
        <v>3</v>
      </c>
      <c r="F78" s="60">
        <v>2</v>
      </c>
      <c r="G78" s="1">
        <f t="shared" si="16"/>
        <v>29</v>
      </c>
      <c r="I78" s="7">
        <f t="shared" si="10"/>
        <v>0.20689655172413793</v>
      </c>
      <c r="J78" s="7">
        <f t="shared" si="11"/>
        <v>0.20689655172413793</v>
      </c>
      <c r="K78" s="7">
        <f t="shared" si="12"/>
        <v>0.2413793103448276</v>
      </c>
      <c r="L78" s="7">
        <f t="shared" si="13"/>
        <v>0.17241379310344829</v>
      </c>
      <c r="M78" s="7">
        <f t="shared" si="14"/>
        <v>0.10344827586206896</v>
      </c>
      <c r="N78" s="7">
        <f t="shared" si="15"/>
        <v>6.8965517241379309E-2</v>
      </c>
      <c r="O78" s="51">
        <f>IF(G78&gt;0,DT!AC78*I78+DT!AD78*J78+DT!AE78*K78+DT!AF78*L78+DT!AG78*M78+DT!AH78*N78,"")</f>
        <v>0.76724137931034486</v>
      </c>
      <c r="P78" s="15"/>
    </row>
    <row r="79" spans="1:16">
      <c r="A79" s="60">
        <v>7</v>
      </c>
      <c r="B79" s="60">
        <v>7</v>
      </c>
      <c r="C79" s="60">
        <v>7</v>
      </c>
      <c r="D79" s="60">
        <v>7</v>
      </c>
      <c r="E79" s="60">
        <v>7</v>
      </c>
      <c r="F79" s="60">
        <v>7</v>
      </c>
      <c r="G79" s="1">
        <f t="shared" si="16"/>
        <v>42</v>
      </c>
      <c r="I79" s="7">
        <f t="shared" si="10"/>
        <v>0.16666666666666666</v>
      </c>
      <c r="J79" s="7">
        <f t="shared" si="11"/>
        <v>0.16666666666666666</v>
      </c>
      <c r="K79" s="7">
        <f t="shared" si="12"/>
        <v>0.16666666666666666</v>
      </c>
      <c r="L79" s="7">
        <f t="shared" si="13"/>
        <v>0.16666666666666666</v>
      </c>
      <c r="M79" s="7">
        <f t="shared" si="14"/>
        <v>0.16666666666666666</v>
      </c>
      <c r="N79" s="7">
        <f t="shared" si="15"/>
        <v>0.16666666666666666</v>
      </c>
      <c r="O79" s="51">
        <f>IF(G79&gt;0,DT!AC79*I79+DT!AD79*J79+DT!AE79*K79+DT!AF79*L79+DT!AG79*M79+DT!AH79*N79,"")</f>
        <v>2.6666666666666665</v>
      </c>
      <c r="P79" s="15"/>
    </row>
    <row r="80" spans="1:16">
      <c r="A80" s="60">
        <v>5</v>
      </c>
      <c r="B80" s="60">
        <v>6</v>
      </c>
      <c r="C80" s="60">
        <v>7</v>
      </c>
      <c r="D80" s="60">
        <v>5</v>
      </c>
      <c r="E80" s="60">
        <v>5</v>
      </c>
      <c r="F80" s="60">
        <v>5</v>
      </c>
      <c r="G80" s="1">
        <f t="shared" si="16"/>
        <v>33</v>
      </c>
      <c r="I80" s="7">
        <f t="shared" si="10"/>
        <v>0.15151515151515152</v>
      </c>
      <c r="J80" s="7">
        <f t="shared" si="11"/>
        <v>0.18181818181818182</v>
      </c>
      <c r="K80" s="7">
        <f t="shared" si="12"/>
        <v>0.21212121212121213</v>
      </c>
      <c r="L80" s="7">
        <f t="shared" si="13"/>
        <v>0.15151515151515152</v>
      </c>
      <c r="M80" s="7">
        <f t="shared" si="14"/>
        <v>0.15151515151515152</v>
      </c>
      <c r="N80" s="7">
        <f t="shared" si="15"/>
        <v>0.15151515151515152</v>
      </c>
      <c r="O80" s="51">
        <f>IF(G80&gt;0,DT!AC80*I80+DT!AD80*J80+DT!AE80*K80+DT!AF80*L80+DT!AG80*M80+DT!AH80*N80,"")</f>
        <v>0.95454545454545459</v>
      </c>
      <c r="P80" s="15"/>
    </row>
    <row r="81" spans="1:16">
      <c r="A81" s="60">
        <v>7</v>
      </c>
      <c r="B81" s="60">
        <v>7</v>
      </c>
      <c r="C81" s="60">
        <v>6</v>
      </c>
      <c r="D81" s="60">
        <v>7</v>
      </c>
      <c r="E81" s="60">
        <v>7</v>
      </c>
      <c r="F81" s="60">
        <v>7</v>
      </c>
      <c r="G81" s="1">
        <f t="shared" si="16"/>
        <v>41</v>
      </c>
      <c r="I81" s="7">
        <f t="shared" si="10"/>
        <v>0.17073170731707318</v>
      </c>
      <c r="J81" s="7">
        <f t="shared" si="11"/>
        <v>0.17073170731707318</v>
      </c>
      <c r="K81" s="7">
        <f t="shared" si="12"/>
        <v>0.14634146341463414</v>
      </c>
      <c r="L81" s="7">
        <f t="shared" si="13"/>
        <v>0.17073170731707318</v>
      </c>
      <c r="M81" s="7">
        <f t="shared" si="14"/>
        <v>0.17073170731707318</v>
      </c>
      <c r="N81" s="7">
        <f t="shared" si="15"/>
        <v>0.17073170731707318</v>
      </c>
      <c r="O81" s="51">
        <f>IF(G81&gt;0,DT!AC81*I81+DT!AD81*J81+DT!AE81*K81+DT!AF81*L81+DT!AG81*M81+DT!AH81*N81,"")</f>
        <v>1.1402439024390245</v>
      </c>
      <c r="P81" s="15"/>
    </row>
    <row r="82" spans="1:16">
      <c r="A82" s="60">
        <v>6</v>
      </c>
      <c r="B82" s="60">
        <v>6</v>
      </c>
      <c r="C82" s="60">
        <v>7</v>
      </c>
      <c r="D82" s="60">
        <v>7</v>
      </c>
      <c r="E82" s="60">
        <v>5</v>
      </c>
      <c r="F82" s="60">
        <v>5</v>
      </c>
      <c r="G82" s="1">
        <f t="shared" si="16"/>
        <v>36</v>
      </c>
      <c r="I82" s="7">
        <f t="shared" si="10"/>
        <v>0.16666666666666666</v>
      </c>
      <c r="J82" s="7">
        <f t="shared" si="11"/>
        <v>0.16666666666666666</v>
      </c>
      <c r="K82" s="7">
        <f t="shared" si="12"/>
        <v>0.19444444444444445</v>
      </c>
      <c r="L82" s="7">
        <f t="shared" si="13"/>
        <v>0.19444444444444445</v>
      </c>
      <c r="M82" s="7">
        <f t="shared" si="14"/>
        <v>0.1388888888888889</v>
      </c>
      <c r="N82" s="7">
        <f t="shared" si="15"/>
        <v>0.1388888888888889</v>
      </c>
      <c r="O82" s="51">
        <f>IF(G82&gt;0,DT!AC82*I82+DT!AD82*J82+DT!AE82*K82+DT!AF82*L82+DT!AG82*M82+DT!AH82*N82,"")</f>
        <v>1.0138888888888888</v>
      </c>
      <c r="P82" s="15"/>
    </row>
    <row r="83" spans="1:16">
      <c r="A83" s="60">
        <v>5</v>
      </c>
      <c r="B83" s="60">
        <v>4</v>
      </c>
      <c r="C83" s="60">
        <v>6</v>
      </c>
      <c r="D83" s="60">
        <v>6</v>
      </c>
      <c r="E83" s="60">
        <v>4</v>
      </c>
      <c r="F83" s="60">
        <v>5</v>
      </c>
      <c r="G83" s="1">
        <f t="shared" si="16"/>
        <v>30</v>
      </c>
      <c r="I83" s="7">
        <f t="shared" si="10"/>
        <v>0.16666666666666666</v>
      </c>
      <c r="J83" s="7">
        <f t="shared" si="11"/>
        <v>0.13333333333333333</v>
      </c>
      <c r="K83" s="7">
        <f t="shared" si="12"/>
        <v>0.2</v>
      </c>
      <c r="L83" s="7">
        <f t="shared" si="13"/>
        <v>0.2</v>
      </c>
      <c r="M83" s="7">
        <f t="shared" si="14"/>
        <v>0.13333333333333333</v>
      </c>
      <c r="N83" s="7">
        <f t="shared" si="15"/>
        <v>0.16666666666666666</v>
      </c>
      <c r="O83" s="51">
        <f>IF(G83&gt;0,DT!AC83*I83+DT!AD83*J83+DT!AE83*K83+DT!AF83*L83+DT!AG83*M83+DT!AH83*N83,"")</f>
        <v>0.9</v>
      </c>
      <c r="P83" s="15"/>
    </row>
    <row r="84" spans="1:16">
      <c r="A84" s="60">
        <v>7</v>
      </c>
      <c r="B84" s="60">
        <v>7</v>
      </c>
      <c r="C84" s="60">
        <v>7</v>
      </c>
      <c r="D84" s="60">
        <v>7</v>
      </c>
      <c r="E84" s="60">
        <v>7</v>
      </c>
      <c r="F84" s="60">
        <v>6</v>
      </c>
      <c r="G84" s="1">
        <f t="shared" si="16"/>
        <v>41</v>
      </c>
      <c r="I84" s="7">
        <f t="shared" si="10"/>
        <v>0.17073170731707318</v>
      </c>
      <c r="J84" s="7">
        <f t="shared" si="11"/>
        <v>0.17073170731707318</v>
      </c>
      <c r="K84" s="7">
        <f t="shared" si="12"/>
        <v>0.17073170731707318</v>
      </c>
      <c r="L84" s="7">
        <f t="shared" si="13"/>
        <v>0.17073170731707318</v>
      </c>
      <c r="M84" s="7">
        <f t="shared" si="14"/>
        <v>0.17073170731707318</v>
      </c>
      <c r="N84" s="7">
        <f t="shared" si="15"/>
        <v>0.14634146341463414</v>
      </c>
      <c r="O84" s="51">
        <f>IF(G84&gt;0,DT!AC84*I84+DT!AD84*J84+DT!AE84*K84+DT!AF84*L84+DT!AG84*M84+DT!AH84*N84,"")</f>
        <v>1.5040650406504068</v>
      </c>
      <c r="P84" s="15"/>
    </row>
    <row r="85" spans="1:16">
      <c r="A85" s="60">
        <v>7</v>
      </c>
      <c r="B85" s="60">
        <v>7</v>
      </c>
      <c r="C85" s="60">
        <v>7</v>
      </c>
      <c r="D85" s="60">
        <v>7</v>
      </c>
      <c r="E85" s="60">
        <v>7</v>
      </c>
      <c r="F85" s="60">
        <v>7</v>
      </c>
      <c r="G85" s="1">
        <f t="shared" si="16"/>
        <v>42</v>
      </c>
      <c r="I85" s="7">
        <f t="shared" si="10"/>
        <v>0.16666666666666666</v>
      </c>
      <c r="J85" s="7">
        <f t="shared" si="11"/>
        <v>0.16666666666666666</v>
      </c>
      <c r="K85" s="7">
        <f t="shared" si="12"/>
        <v>0.16666666666666666</v>
      </c>
      <c r="L85" s="7">
        <f t="shared" si="13"/>
        <v>0.16666666666666666</v>
      </c>
      <c r="M85" s="7">
        <f t="shared" si="14"/>
        <v>0.16666666666666666</v>
      </c>
      <c r="N85" s="7">
        <f t="shared" si="15"/>
        <v>0.16666666666666666</v>
      </c>
      <c r="O85" s="51">
        <f>IF(G85&gt;0,DT!AC85*I85+DT!AD85*J85+DT!AE85*K85+DT!AF85*L85+DT!AG85*M85+DT!AH85*N85,"")</f>
        <v>1.4583333333333335</v>
      </c>
      <c r="P85" s="15"/>
    </row>
    <row r="86" spans="1:16">
      <c r="A86" s="60">
        <v>7</v>
      </c>
      <c r="B86" s="60">
        <v>6</v>
      </c>
      <c r="C86" s="60">
        <v>6</v>
      </c>
      <c r="D86" s="60">
        <v>7</v>
      </c>
      <c r="E86" s="60">
        <v>5</v>
      </c>
      <c r="F86" s="60">
        <v>6</v>
      </c>
      <c r="G86" s="1">
        <f t="shared" si="16"/>
        <v>37</v>
      </c>
      <c r="I86" s="7">
        <f t="shared" si="10"/>
        <v>0.1891891891891892</v>
      </c>
      <c r="J86" s="7">
        <f t="shared" si="11"/>
        <v>0.16216216216216217</v>
      </c>
      <c r="K86" s="7">
        <f t="shared" si="12"/>
        <v>0.16216216216216217</v>
      </c>
      <c r="L86" s="7">
        <f t="shared" si="13"/>
        <v>0.1891891891891892</v>
      </c>
      <c r="M86" s="7">
        <f t="shared" si="14"/>
        <v>0.13513513513513514</v>
      </c>
      <c r="N86" s="7">
        <f t="shared" si="15"/>
        <v>0.16216216216216217</v>
      </c>
      <c r="O86" s="51">
        <f>IF(G86&gt;0,DT!AC86*I86+DT!AD86*J86+DT!AE86*K86+DT!AF86*L86+DT!AG86*M86+DT!AH86*N86,"")</f>
        <v>-0.77927927927927931</v>
      </c>
      <c r="P86" s="15"/>
    </row>
    <row r="87" spans="1:16">
      <c r="A87" s="60">
        <v>6</v>
      </c>
      <c r="B87" s="60">
        <v>6</v>
      </c>
      <c r="C87" s="60">
        <v>7</v>
      </c>
      <c r="D87" s="60">
        <v>6</v>
      </c>
      <c r="E87" s="60">
        <v>7</v>
      </c>
      <c r="F87" s="60">
        <v>7</v>
      </c>
      <c r="G87" s="1">
        <f t="shared" si="16"/>
        <v>39</v>
      </c>
      <c r="I87" s="7">
        <f t="shared" si="10"/>
        <v>0.15384615384615385</v>
      </c>
      <c r="J87" s="7">
        <f t="shared" si="11"/>
        <v>0.15384615384615385</v>
      </c>
      <c r="K87" s="7">
        <f t="shared" si="12"/>
        <v>0.17948717948717949</v>
      </c>
      <c r="L87" s="7">
        <f t="shared" si="13"/>
        <v>0.15384615384615385</v>
      </c>
      <c r="M87" s="7">
        <f t="shared" si="14"/>
        <v>0.17948717948717949</v>
      </c>
      <c r="N87" s="7">
        <f t="shared" si="15"/>
        <v>0.17948717948717949</v>
      </c>
      <c r="O87" s="51">
        <f>IF(G87&gt;0,DT!AC87*I87+DT!AD87*J87+DT!AE87*K87+DT!AF87*L87+DT!AG87*M87+DT!AH87*N87,"")</f>
        <v>2.134615384615385</v>
      </c>
      <c r="P87" s="15"/>
    </row>
    <row r="88" spans="1:16">
      <c r="A88" s="60">
        <v>6</v>
      </c>
      <c r="B88" s="60">
        <v>5</v>
      </c>
      <c r="C88" s="60">
        <v>6</v>
      </c>
      <c r="D88" s="60">
        <v>6</v>
      </c>
      <c r="E88" s="60">
        <v>5</v>
      </c>
      <c r="F88" s="60">
        <v>5</v>
      </c>
      <c r="G88" s="1">
        <f t="shared" si="16"/>
        <v>33</v>
      </c>
      <c r="I88" s="7">
        <f t="shared" si="10"/>
        <v>0.18181818181818182</v>
      </c>
      <c r="J88" s="7">
        <f t="shared" si="11"/>
        <v>0.15151515151515152</v>
      </c>
      <c r="K88" s="7">
        <f t="shared" si="12"/>
        <v>0.18181818181818182</v>
      </c>
      <c r="L88" s="7">
        <f t="shared" si="13"/>
        <v>0.18181818181818182</v>
      </c>
      <c r="M88" s="7">
        <f t="shared" si="14"/>
        <v>0.15151515151515152</v>
      </c>
      <c r="N88" s="7">
        <f t="shared" si="15"/>
        <v>0.15151515151515152</v>
      </c>
      <c r="O88" s="51">
        <f>IF(G88&gt;0,DT!AC88*I88+DT!AD88*J88+DT!AE88*K88+DT!AF88*L88+DT!AG88*M88+DT!AH88*N88,"")</f>
        <v>1.3181818181818181</v>
      </c>
      <c r="P88" s="15"/>
    </row>
    <row r="89" spans="1:16">
      <c r="A89" s="60">
        <v>7</v>
      </c>
      <c r="B89" s="60">
        <v>7</v>
      </c>
      <c r="C89" s="60">
        <v>7</v>
      </c>
      <c r="D89" s="60">
        <v>7</v>
      </c>
      <c r="E89" s="60">
        <v>7</v>
      </c>
      <c r="F89" s="60">
        <v>7</v>
      </c>
      <c r="G89" s="1">
        <f t="shared" si="16"/>
        <v>42</v>
      </c>
      <c r="I89" s="7">
        <f t="shared" si="10"/>
        <v>0.16666666666666666</v>
      </c>
      <c r="J89" s="7">
        <f t="shared" si="11"/>
        <v>0.16666666666666666</v>
      </c>
      <c r="K89" s="7">
        <f t="shared" si="12"/>
        <v>0.16666666666666666</v>
      </c>
      <c r="L89" s="7">
        <f t="shared" si="13"/>
        <v>0.16666666666666666</v>
      </c>
      <c r="M89" s="7">
        <f t="shared" si="14"/>
        <v>0.16666666666666666</v>
      </c>
      <c r="N89" s="7">
        <f t="shared" si="15"/>
        <v>0.16666666666666666</v>
      </c>
      <c r="O89" s="51">
        <f>IF(G89&gt;0,DT!AC89*I89+DT!AD89*J89+DT!AE89*K89+DT!AF89*L89+DT!AG89*M89+DT!AH89*N89,"")</f>
        <v>1.9583333333333333</v>
      </c>
      <c r="P89" s="15"/>
    </row>
    <row r="90" spans="1:16">
      <c r="A90" s="60">
        <v>3</v>
      </c>
      <c r="B90" s="60">
        <v>7</v>
      </c>
      <c r="C90" s="60">
        <v>7</v>
      </c>
      <c r="D90" s="60">
        <v>7</v>
      </c>
      <c r="E90" s="60">
        <v>4</v>
      </c>
      <c r="F90" s="60">
        <v>5</v>
      </c>
      <c r="G90" s="1">
        <f t="shared" si="16"/>
        <v>33</v>
      </c>
      <c r="I90" s="7">
        <f t="shared" si="10"/>
        <v>9.0909090909090912E-2</v>
      </c>
      <c r="J90" s="7">
        <f t="shared" si="11"/>
        <v>0.21212121212121213</v>
      </c>
      <c r="K90" s="7">
        <f t="shared" si="12"/>
        <v>0.21212121212121213</v>
      </c>
      <c r="L90" s="7">
        <f t="shared" si="13"/>
        <v>0.21212121212121213</v>
      </c>
      <c r="M90" s="7">
        <f t="shared" si="14"/>
        <v>0.12121212121212122</v>
      </c>
      <c r="N90" s="7">
        <f t="shared" si="15"/>
        <v>0.15151515151515152</v>
      </c>
      <c r="O90" s="51">
        <f>IF(G90&gt;0,DT!AC90*I90+DT!AD90*J90+DT!AE90*K90+DT!AF90*L90+DT!AG90*M90+DT!AH90*N90,"")</f>
        <v>0.53030303030303039</v>
      </c>
      <c r="P90" s="15"/>
    </row>
    <row r="91" spans="1:16">
      <c r="A91" s="60">
        <v>6</v>
      </c>
      <c r="B91" s="60">
        <v>7</v>
      </c>
      <c r="C91" s="60">
        <v>7</v>
      </c>
      <c r="D91" s="60">
        <v>7</v>
      </c>
      <c r="E91" s="60">
        <v>5</v>
      </c>
      <c r="F91" s="60">
        <v>5</v>
      </c>
      <c r="G91" s="1">
        <f t="shared" si="16"/>
        <v>37</v>
      </c>
      <c r="I91" s="7">
        <f t="shared" si="10"/>
        <v>0.16216216216216217</v>
      </c>
      <c r="J91" s="7">
        <f t="shared" si="11"/>
        <v>0.1891891891891892</v>
      </c>
      <c r="K91" s="7">
        <f t="shared" si="12"/>
        <v>0.1891891891891892</v>
      </c>
      <c r="L91" s="7">
        <f t="shared" si="13"/>
        <v>0.1891891891891892</v>
      </c>
      <c r="M91" s="7">
        <f t="shared" si="14"/>
        <v>0.13513513513513514</v>
      </c>
      <c r="N91" s="7">
        <f t="shared" si="15"/>
        <v>0.13513513513513514</v>
      </c>
      <c r="O91" s="51">
        <f>IF(G91&gt;0,DT!AC91*I91+DT!AD91*J91+DT!AE91*K91+DT!AF91*L91+DT!AG91*M91+DT!AH91*N91,"")</f>
        <v>1.3648648648648647</v>
      </c>
      <c r="P91" s="15"/>
    </row>
    <row r="92" spans="1:16">
      <c r="A92" s="60">
        <v>7</v>
      </c>
      <c r="B92" s="60">
        <v>7</v>
      </c>
      <c r="C92" s="60">
        <v>7</v>
      </c>
      <c r="D92" s="60">
        <v>7</v>
      </c>
      <c r="E92" s="60">
        <v>5</v>
      </c>
      <c r="F92" s="60">
        <v>6</v>
      </c>
      <c r="G92" s="1">
        <f t="shared" si="16"/>
        <v>39</v>
      </c>
      <c r="I92" s="7">
        <f t="shared" si="10"/>
        <v>0.17948717948717949</v>
      </c>
      <c r="J92" s="7">
        <f t="shared" si="11"/>
        <v>0.17948717948717949</v>
      </c>
      <c r="K92" s="7">
        <f t="shared" si="12"/>
        <v>0.17948717948717949</v>
      </c>
      <c r="L92" s="7">
        <f t="shared" si="13"/>
        <v>0.17948717948717949</v>
      </c>
      <c r="M92" s="7">
        <f t="shared" si="14"/>
        <v>0.12820512820512819</v>
      </c>
      <c r="N92" s="7">
        <f t="shared" si="15"/>
        <v>0.15384615384615385</v>
      </c>
      <c r="O92" s="51">
        <f>IF(G92&gt;0,DT!AC92*I92+DT!AD92*J92+DT!AE92*K92+DT!AF92*L92+DT!AG92*M92+DT!AH92*N92,"")</f>
        <v>2.5961538461538463</v>
      </c>
      <c r="P92" s="15"/>
    </row>
    <row r="93" spans="1:16">
      <c r="A93" s="60">
        <v>7</v>
      </c>
      <c r="B93" s="60">
        <v>7</v>
      </c>
      <c r="C93" s="60">
        <v>7</v>
      </c>
      <c r="D93" s="60">
        <v>7</v>
      </c>
      <c r="E93" s="60">
        <v>5</v>
      </c>
      <c r="F93" s="60">
        <v>5</v>
      </c>
      <c r="G93" s="1">
        <f t="shared" si="16"/>
        <v>38</v>
      </c>
      <c r="I93" s="7">
        <f t="shared" si="10"/>
        <v>0.18421052631578946</v>
      </c>
      <c r="J93" s="7">
        <f t="shared" si="11"/>
        <v>0.18421052631578946</v>
      </c>
      <c r="K93" s="7">
        <f t="shared" si="12"/>
        <v>0.18421052631578946</v>
      </c>
      <c r="L93" s="7">
        <f t="shared" si="13"/>
        <v>0.18421052631578946</v>
      </c>
      <c r="M93" s="7">
        <f t="shared" si="14"/>
        <v>0.13157894736842105</v>
      </c>
      <c r="N93" s="7">
        <f t="shared" si="15"/>
        <v>0.13157894736842105</v>
      </c>
      <c r="O93" s="51">
        <f>IF(G93&gt;0,DT!AC93*I93+DT!AD93*J93+DT!AE93*K93+DT!AF93*L93+DT!AG93*M93+DT!AH93*N93,"")</f>
        <v>-0.63377192982456132</v>
      </c>
      <c r="P93" s="15"/>
    </row>
    <row r="94" spans="1:16">
      <c r="A94" s="60">
        <v>3</v>
      </c>
      <c r="B94" s="60">
        <v>6</v>
      </c>
      <c r="C94" s="60">
        <v>7</v>
      </c>
      <c r="D94" s="60">
        <v>7</v>
      </c>
      <c r="E94" s="60">
        <v>3</v>
      </c>
      <c r="F94" s="60">
        <v>3</v>
      </c>
      <c r="G94" s="1">
        <f t="shared" si="16"/>
        <v>29</v>
      </c>
      <c r="I94" s="7">
        <f t="shared" si="10"/>
        <v>0.10344827586206896</v>
      </c>
      <c r="J94" s="7">
        <f t="shared" si="11"/>
        <v>0.20689655172413793</v>
      </c>
      <c r="K94" s="7">
        <f t="shared" si="12"/>
        <v>0.2413793103448276</v>
      </c>
      <c r="L94" s="7">
        <f t="shared" si="13"/>
        <v>0.2413793103448276</v>
      </c>
      <c r="M94" s="7">
        <f t="shared" si="14"/>
        <v>0.10344827586206896</v>
      </c>
      <c r="N94" s="7">
        <f t="shared" si="15"/>
        <v>0.10344827586206896</v>
      </c>
      <c r="O94" s="51">
        <f>IF(G94&gt;0,DT!AC94*I94+DT!AD94*J94+DT!AE94*K94+DT!AF94*L94+DT!AG94*M94+DT!AH94*N94,"")</f>
        <v>1.1293103448275863</v>
      </c>
      <c r="P94" s="15"/>
    </row>
    <row r="95" spans="1:16">
      <c r="A95" s="60">
        <v>7</v>
      </c>
      <c r="B95" s="60">
        <v>7</v>
      </c>
      <c r="C95" s="60">
        <v>7</v>
      </c>
      <c r="D95" s="60">
        <v>7</v>
      </c>
      <c r="E95" s="60">
        <v>7</v>
      </c>
      <c r="F95" s="60">
        <v>7</v>
      </c>
      <c r="G95" s="1">
        <f t="shared" si="16"/>
        <v>42</v>
      </c>
      <c r="I95" s="7">
        <f t="shared" si="10"/>
        <v>0.16666666666666666</v>
      </c>
      <c r="J95" s="7">
        <f t="shared" si="11"/>
        <v>0.16666666666666666</v>
      </c>
      <c r="K95" s="7">
        <f t="shared" si="12"/>
        <v>0.16666666666666666</v>
      </c>
      <c r="L95" s="7">
        <f t="shared" si="13"/>
        <v>0.16666666666666666</v>
      </c>
      <c r="M95" s="7">
        <f t="shared" si="14"/>
        <v>0.16666666666666666</v>
      </c>
      <c r="N95" s="7">
        <f t="shared" si="15"/>
        <v>0.16666666666666666</v>
      </c>
      <c r="O95" s="51">
        <f>IF(G95&gt;0,DT!AC95*I95+DT!AD95*J95+DT!AE95*K95+DT!AF95*L95+DT!AG95*M95+DT!AH95*N95,"")</f>
        <v>2.375</v>
      </c>
      <c r="P95" s="15"/>
    </row>
    <row r="96" spans="1:16">
      <c r="A96" s="60">
        <v>3</v>
      </c>
      <c r="B96" s="60">
        <v>6</v>
      </c>
      <c r="C96" s="60">
        <v>7</v>
      </c>
      <c r="D96" s="60">
        <v>6</v>
      </c>
      <c r="E96" s="60">
        <v>2</v>
      </c>
      <c r="F96" s="60">
        <v>3</v>
      </c>
      <c r="G96" s="1">
        <f t="shared" si="16"/>
        <v>27</v>
      </c>
      <c r="I96" s="7">
        <f t="shared" si="10"/>
        <v>0.1111111111111111</v>
      </c>
      <c r="J96" s="7">
        <f t="shared" si="11"/>
        <v>0.22222222222222221</v>
      </c>
      <c r="K96" s="7">
        <f t="shared" si="12"/>
        <v>0.25925925925925924</v>
      </c>
      <c r="L96" s="7">
        <f t="shared" si="13"/>
        <v>0.22222222222222221</v>
      </c>
      <c r="M96" s="7">
        <f t="shared" si="14"/>
        <v>7.407407407407407E-2</v>
      </c>
      <c r="N96" s="7">
        <f t="shared" si="15"/>
        <v>0.1111111111111111</v>
      </c>
      <c r="O96" s="51">
        <f>IF(G96&gt;0,DT!AC96*I96+DT!AD96*J96+DT!AE96*K96+DT!AF96*L96+DT!AG96*M96+DT!AH96*N96,"")</f>
        <v>1.6851851851851851</v>
      </c>
      <c r="P96" s="15"/>
    </row>
    <row r="97" spans="1:16">
      <c r="A97" s="60">
        <v>6</v>
      </c>
      <c r="B97" s="60">
        <v>7</v>
      </c>
      <c r="C97" s="60">
        <v>7</v>
      </c>
      <c r="D97" s="60">
        <v>6</v>
      </c>
      <c r="E97" s="60">
        <v>6</v>
      </c>
      <c r="F97" s="60">
        <v>6</v>
      </c>
      <c r="G97" s="1">
        <f t="shared" si="16"/>
        <v>38</v>
      </c>
      <c r="I97" s="7">
        <f t="shared" si="10"/>
        <v>0.15789473684210525</v>
      </c>
      <c r="J97" s="7">
        <f t="shared" si="11"/>
        <v>0.18421052631578946</v>
      </c>
      <c r="K97" s="7">
        <f t="shared" si="12"/>
        <v>0.18421052631578946</v>
      </c>
      <c r="L97" s="7">
        <f t="shared" si="13"/>
        <v>0.15789473684210525</v>
      </c>
      <c r="M97" s="7">
        <f t="shared" si="14"/>
        <v>0.15789473684210525</v>
      </c>
      <c r="N97" s="7">
        <f t="shared" si="15"/>
        <v>0.15789473684210525</v>
      </c>
      <c r="O97" s="51">
        <f>IF(G97&gt;0,DT!AC97*I97+DT!AD97*J97+DT!AE97*K97+DT!AF97*L97+DT!AG97*M97+DT!AH97*N97,"")</f>
        <v>2.0460526315789473</v>
      </c>
      <c r="P97" s="15"/>
    </row>
    <row r="98" spans="1:16">
      <c r="A98" s="60">
        <v>7</v>
      </c>
      <c r="B98" s="60">
        <v>7</v>
      </c>
      <c r="C98" s="60">
        <v>7</v>
      </c>
      <c r="D98" s="60">
        <v>7</v>
      </c>
      <c r="E98" s="60">
        <v>4</v>
      </c>
      <c r="F98" s="60">
        <v>7</v>
      </c>
      <c r="G98" s="1">
        <f t="shared" si="16"/>
        <v>39</v>
      </c>
      <c r="I98" s="7">
        <f t="shared" si="10"/>
        <v>0.17948717948717949</v>
      </c>
      <c r="J98" s="7">
        <f t="shared" si="11"/>
        <v>0.17948717948717949</v>
      </c>
      <c r="K98" s="7">
        <f t="shared" si="12"/>
        <v>0.17948717948717949</v>
      </c>
      <c r="L98" s="7">
        <f t="shared" si="13"/>
        <v>0.17948717948717949</v>
      </c>
      <c r="M98" s="7">
        <f t="shared" si="14"/>
        <v>0.10256410256410256</v>
      </c>
      <c r="N98" s="7">
        <f t="shared" si="15"/>
        <v>0.17948717948717949</v>
      </c>
      <c r="O98" s="51">
        <f>IF(G98&gt;0,DT!AC98*I98+DT!AD98*J98+DT!AE98*K98+DT!AF98*L98+DT!AG98*M98+DT!AH98*N98,"")</f>
        <v>2.5341880341880341</v>
      </c>
      <c r="P98" s="15"/>
    </row>
    <row r="99" spans="1:16">
      <c r="A99" s="60">
        <v>7</v>
      </c>
      <c r="B99" s="60">
        <v>7</v>
      </c>
      <c r="C99" s="60">
        <v>6</v>
      </c>
      <c r="D99" s="60">
        <v>4</v>
      </c>
      <c r="E99" s="60">
        <v>4</v>
      </c>
      <c r="F99" s="60">
        <v>5</v>
      </c>
      <c r="G99" s="1">
        <f t="shared" si="16"/>
        <v>33</v>
      </c>
      <c r="I99" s="7">
        <f t="shared" si="10"/>
        <v>0.21212121212121213</v>
      </c>
      <c r="J99" s="7">
        <f t="shared" si="11"/>
        <v>0.21212121212121213</v>
      </c>
      <c r="K99" s="7">
        <f t="shared" si="12"/>
        <v>0.18181818181818182</v>
      </c>
      <c r="L99" s="7">
        <f t="shared" si="13"/>
        <v>0.12121212121212122</v>
      </c>
      <c r="M99" s="7">
        <f t="shared" si="14"/>
        <v>0.12121212121212122</v>
      </c>
      <c r="N99" s="7">
        <f t="shared" si="15"/>
        <v>0.15151515151515152</v>
      </c>
      <c r="O99" s="51">
        <f>IF(G99&gt;0,DT!AC99*I99+DT!AD99*J99+DT!AE99*K99+DT!AF99*L99+DT!AG99*M99+DT!AH99*N99,"")</f>
        <v>2.2828282828282829</v>
      </c>
      <c r="P99" s="15"/>
    </row>
    <row r="100" spans="1:16">
      <c r="A100" s="60">
        <v>5</v>
      </c>
      <c r="B100" s="60">
        <v>7</v>
      </c>
      <c r="C100" s="60">
        <v>6</v>
      </c>
      <c r="D100" s="60">
        <v>7</v>
      </c>
      <c r="E100" s="60">
        <v>4</v>
      </c>
      <c r="F100" s="60">
        <v>3</v>
      </c>
      <c r="G100" s="1">
        <f t="shared" si="16"/>
        <v>32</v>
      </c>
      <c r="I100" s="7">
        <f t="shared" si="10"/>
        <v>0.15625</v>
      </c>
      <c r="J100" s="7">
        <f t="shared" si="11"/>
        <v>0.21875</v>
      </c>
      <c r="K100" s="7">
        <f t="shared" si="12"/>
        <v>0.1875</v>
      </c>
      <c r="L100" s="7">
        <f t="shared" si="13"/>
        <v>0.21875</v>
      </c>
      <c r="M100" s="7">
        <f t="shared" si="14"/>
        <v>0.125</v>
      </c>
      <c r="N100" s="7">
        <f t="shared" si="15"/>
        <v>9.375E-2</v>
      </c>
      <c r="O100" s="51">
        <f>IF(G100&gt;0,DT!AC100*I100+DT!AD100*J100+DT!AE100*K100+DT!AF100*L100+DT!AG100*M100+DT!AH100*N100,"")</f>
        <v>1.2239583333333333</v>
      </c>
      <c r="P100" s="15"/>
    </row>
    <row r="101" spans="1:16">
      <c r="A101" s="60">
        <v>5</v>
      </c>
      <c r="B101" s="60">
        <v>7</v>
      </c>
      <c r="C101" s="60">
        <v>6</v>
      </c>
      <c r="D101" s="60">
        <v>7</v>
      </c>
      <c r="E101" s="60">
        <v>4</v>
      </c>
      <c r="F101" s="60">
        <v>5</v>
      </c>
      <c r="G101" s="1">
        <f t="shared" si="16"/>
        <v>34</v>
      </c>
      <c r="I101" s="7">
        <f t="shared" si="10"/>
        <v>0.14705882352941177</v>
      </c>
      <c r="J101" s="7">
        <f t="shared" si="11"/>
        <v>0.20588235294117646</v>
      </c>
      <c r="K101" s="7">
        <f t="shared" si="12"/>
        <v>0.17647058823529413</v>
      </c>
      <c r="L101" s="7">
        <f t="shared" si="13"/>
        <v>0.20588235294117646</v>
      </c>
      <c r="M101" s="7">
        <f t="shared" si="14"/>
        <v>0.11764705882352941</v>
      </c>
      <c r="N101" s="7">
        <f t="shared" si="15"/>
        <v>0.14705882352941177</v>
      </c>
      <c r="O101" s="51">
        <f>IF(G101&gt;0,DT!AC101*I101+DT!AD101*J101+DT!AE101*K101+DT!AF101*L101+DT!AG101*M101+DT!AH101*N101,"")</f>
        <v>0.89460784313725494</v>
      </c>
      <c r="P101" s="15"/>
    </row>
    <row r="102" spans="1:16">
      <c r="A102" s="60">
        <v>6</v>
      </c>
      <c r="B102" s="60">
        <v>3</v>
      </c>
      <c r="C102" s="60">
        <v>7</v>
      </c>
      <c r="D102" s="60">
        <v>5</v>
      </c>
      <c r="E102" s="60">
        <v>6</v>
      </c>
      <c r="F102" s="60">
        <v>5</v>
      </c>
      <c r="G102" s="1">
        <f t="shared" si="16"/>
        <v>32</v>
      </c>
      <c r="I102" s="7">
        <f t="shared" si="10"/>
        <v>0.1875</v>
      </c>
      <c r="J102" s="7">
        <f t="shared" si="11"/>
        <v>9.375E-2</v>
      </c>
      <c r="K102" s="7">
        <f t="shared" si="12"/>
        <v>0.21875</v>
      </c>
      <c r="L102" s="7">
        <f t="shared" si="13"/>
        <v>0.15625</v>
      </c>
      <c r="M102" s="7">
        <f t="shared" si="14"/>
        <v>0.1875</v>
      </c>
      <c r="N102" s="7">
        <f t="shared" si="15"/>
        <v>0.15625</v>
      </c>
      <c r="O102" s="51">
        <f>IF(G102&gt;0,DT!AC102*I102+DT!AD102*J102+DT!AE102*K102+DT!AF102*L102+DT!AG102*M102+DT!AH102*N102,"")</f>
        <v>2.2265625</v>
      </c>
      <c r="P102" s="15"/>
    </row>
    <row r="103" spans="1:16">
      <c r="A103" s="60">
        <v>6</v>
      </c>
      <c r="B103" s="60">
        <v>7</v>
      </c>
      <c r="C103" s="60">
        <v>6</v>
      </c>
      <c r="D103" s="60">
        <v>7</v>
      </c>
      <c r="E103" s="60">
        <v>5</v>
      </c>
      <c r="F103" s="60">
        <v>5</v>
      </c>
      <c r="G103" s="1">
        <f t="shared" si="16"/>
        <v>36</v>
      </c>
      <c r="I103" s="7">
        <f t="shared" si="10"/>
        <v>0.16666666666666666</v>
      </c>
      <c r="J103" s="7">
        <f t="shared" si="11"/>
        <v>0.19444444444444445</v>
      </c>
      <c r="K103" s="7">
        <f t="shared" si="12"/>
        <v>0.16666666666666666</v>
      </c>
      <c r="L103" s="7">
        <f t="shared" si="13"/>
        <v>0.19444444444444445</v>
      </c>
      <c r="M103" s="7">
        <f t="shared" si="14"/>
        <v>0.1388888888888889</v>
      </c>
      <c r="N103" s="7">
        <f t="shared" si="15"/>
        <v>0.1388888888888889</v>
      </c>
      <c r="O103" s="51">
        <f>IF(G103&gt;0,DT!AC103*I103+DT!AD103*J103+DT!AE103*K103+DT!AF103*L103+DT!AG103*M103+DT!AH103*N103,"")</f>
        <v>0.9375</v>
      </c>
      <c r="P103" s="15"/>
    </row>
    <row r="104" spans="1:16">
      <c r="A104" s="60">
        <v>5</v>
      </c>
      <c r="B104" s="60">
        <v>7</v>
      </c>
      <c r="C104" s="60">
        <v>7</v>
      </c>
      <c r="D104" s="60">
        <v>7</v>
      </c>
      <c r="E104" s="60">
        <v>3</v>
      </c>
      <c r="F104" s="60">
        <v>5</v>
      </c>
      <c r="G104" s="1">
        <f t="shared" si="16"/>
        <v>34</v>
      </c>
      <c r="I104" s="7">
        <f t="shared" si="10"/>
        <v>0.14705882352941177</v>
      </c>
      <c r="J104" s="7">
        <f t="shared" si="11"/>
        <v>0.20588235294117646</v>
      </c>
      <c r="K104" s="7">
        <f t="shared" si="12"/>
        <v>0.20588235294117646</v>
      </c>
      <c r="L104" s="7">
        <f t="shared" si="13"/>
        <v>0.20588235294117646</v>
      </c>
      <c r="M104" s="7">
        <f t="shared" si="14"/>
        <v>8.8235294117647065E-2</v>
      </c>
      <c r="N104" s="7">
        <f t="shared" si="15"/>
        <v>0.14705882352941177</v>
      </c>
      <c r="O104" s="51">
        <f>IF(G104&gt;0,DT!AC104*I104+DT!AD104*J104+DT!AE104*K104+DT!AF104*L104+DT!AG104*M104+DT!AH104*N104,"")</f>
        <v>1.7573529411764706</v>
      </c>
      <c r="P104" s="15"/>
    </row>
    <row r="105" spans="1:16">
      <c r="A105" s="60">
        <v>7</v>
      </c>
      <c r="B105" s="60">
        <v>7</v>
      </c>
      <c r="C105" s="60">
        <v>7</v>
      </c>
      <c r="D105" s="60">
        <v>7</v>
      </c>
      <c r="E105" s="60">
        <v>7</v>
      </c>
      <c r="F105" s="60">
        <v>7</v>
      </c>
      <c r="G105" s="1">
        <f t="shared" si="16"/>
        <v>42</v>
      </c>
      <c r="I105" s="7">
        <f t="shared" si="10"/>
        <v>0.16666666666666666</v>
      </c>
      <c r="J105" s="7">
        <f t="shared" si="11"/>
        <v>0.16666666666666666</v>
      </c>
      <c r="K105" s="7">
        <f t="shared" si="12"/>
        <v>0.16666666666666666</v>
      </c>
      <c r="L105" s="7">
        <f t="shared" si="13"/>
        <v>0.16666666666666666</v>
      </c>
      <c r="M105" s="7">
        <f t="shared" si="14"/>
        <v>0.16666666666666666</v>
      </c>
      <c r="N105" s="7">
        <f t="shared" si="15"/>
        <v>0.16666666666666666</v>
      </c>
      <c r="O105" s="51">
        <f>IF(G105&gt;0,DT!AC105*I105+DT!AD105*J105+DT!AE105*K105+DT!AF105*L105+DT!AG105*M105+DT!AH105*N105,"")</f>
        <v>1.1805555555555554</v>
      </c>
      <c r="P105" s="15"/>
    </row>
    <row r="106" spans="1:16">
      <c r="A106" s="60">
        <v>7</v>
      </c>
      <c r="B106" s="60">
        <v>7</v>
      </c>
      <c r="C106" s="60">
        <v>7</v>
      </c>
      <c r="D106" s="60">
        <v>7</v>
      </c>
      <c r="E106" s="60">
        <v>7</v>
      </c>
      <c r="F106" s="60">
        <v>7</v>
      </c>
      <c r="G106" s="1">
        <f t="shared" si="16"/>
        <v>42</v>
      </c>
      <c r="I106" s="7">
        <f t="shared" si="10"/>
        <v>0.16666666666666666</v>
      </c>
      <c r="J106" s="7">
        <f t="shared" si="11"/>
        <v>0.16666666666666666</v>
      </c>
      <c r="K106" s="7">
        <f t="shared" si="12"/>
        <v>0.16666666666666666</v>
      </c>
      <c r="L106" s="7">
        <f t="shared" si="13"/>
        <v>0.16666666666666666</v>
      </c>
      <c r="M106" s="7">
        <f t="shared" si="14"/>
        <v>0.16666666666666666</v>
      </c>
      <c r="N106" s="7">
        <f t="shared" si="15"/>
        <v>0.16666666666666666</v>
      </c>
      <c r="O106" s="51">
        <f>IF(G106&gt;0,DT!AC106*I106+DT!AD106*J106+DT!AE106*K106+DT!AF106*L106+DT!AG106*M106+DT!AH106*N106,"")</f>
        <v>2.75</v>
      </c>
      <c r="P106" s="15"/>
    </row>
    <row r="107" spans="1:16">
      <c r="A107" s="60">
        <v>6</v>
      </c>
      <c r="B107" s="60">
        <v>7</v>
      </c>
      <c r="C107" s="60">
        <v>7</v>
      </c>
      <c r="D107" s="60">
        <v>6</v>
      </c>
      <c r="E107" s="60">
        <v>5</v>
      </c>
      <c r="F107" s="60">
        <v>6</v>
      </c>
      <c r="G107" s="1">
        <f t="shared" si="16"/>
        <v>37</v>
      </c>
      <c r="I107" s="7">
        <f t="shared" si="10"/>
        <v>0.16216216216216217</v>
      </c>
      <c r="J107" s="7">
        <f t="shared" si="11"/>
        <v>0.1891891891891892</v>
      </c>
      <c r="K107" s="7">
        <f t="shared" si="12"/>
        <v>0.1891891891891892</v>
      </c>
      <c r="L107" s="7">
        <f t="shared" si="13"/>
        <v>0.16216216216216217</v>
      </c>
      <c r="M107" s="7">
        <f t="shared" si="14"/>
        <v>0.13513513513513514</v>
      </c>
      <c r="N107" s="7">
        <f t="shared" si="15"/>
        <v>0.16216216216216217</v>
      </c>
      <c r="O107" s="51">
        <f>IF(G107&gt;0,DT!AC107*I107+DT!AD107*J107+DT!AE107*K107+DT!AF107*L107+DT!AG107*M107+DT!AH107*N107,"")</f>
        <v>2.0608108108108105</v>
      </c>
      <c r="P107" s="15"/>
    </row>
    <row r="108" spans="1:16">
      <c r="A108" s="60">
        <v>5</v>
      </c>
      <c r="B108" s="60">
        <v>7</v>
      </c>
      <c r="C108" s="60">
        <v>7</v>
      </c>
      <c r="D108" s="60">
        <v>5</v>
      </c>
      <c r="E108" s="60">
        <v>4</v>
      </c>
      <c r="F108" s="60">
        <v>6</v>
      </c>
      <c r="G108" s="1">
        <f t="shared" si="16"/>
        <v>34</v>
      </c>
      <c r="I108" s="7">
        <f t="shared" si="10"/>
        <v>0.14705882352941177</v>
      </c>
      <c r="J108" s="7">
        <f t="shared" si="11"/>
        <v>0.20588235294117646</v>
      </c>
      <c r="K108" s="7">
        <f t="shared" si="12"/>
        <v>0.20588235294117646</v>
      </c>
      <c r="L108" s="7">
        <f t="shared" si="13"/>
        <v>0.14705882352941177</v>
      </c>
      <c r="M108" s="7">
        <f t="shared" si="14"/>
        <v>0.11764705882352941</v>
      </c>
      <c r="N108" s="7">
        <f t="shared" si="15"/>
        <v>0.17647058823529413</v>
      </c>
      <c r="O108" s="51">
        <f>IF(G108&gt;0,DT!AC108*I108+DT!AD108*J108+DT!AE108*K108+DT!AF108*L108+DT!AG108*M108+DT!AH108*N108,"")</f>
        <v>1.9191176470588236</v>
      </c>
      <c r="P108" s="15"/>
    </row>
    <row r="109" spans="1:16">
      <c r="A109" s="60">
        <v>5</v>
      </c>
      <c r="B109" s="60">
        <v>7</v>
      </c>
      <c r="C109" s="60">
        <v>6</v>
      </c>
      <c r="D109" s="60">
        <v>7</v>
      </c>
      <c r="E109" s="60">
        <v>6</v>
      </c>
      <c r="F109" s="60">
        <v>7</v>
      </c>
      <c r="G109" s="1">
        <f t="shared" si="16"/>
        <v>38</v>
      </c>
      <c r="I109" s="7">
        <f t="shared" si="10"/>
        <v>0.13157894736842105</v>
      </c>
      <c r="J109" s="7">
        <f t="shared" si="11"/>
        <v>0.18421052631578946</v>
      </c>
      <c r="K109" s="7">
        <f t="shared" si="12"/>
        <v>0.15789473684210525</v>
      </c>
      <c r="L109" s="7">
        <f t="shared" si="13"/>
        <v>0.18421052631578946</v>
      </c>
      <c r="M109" s="7">
        <f t="shared" si="14"/>
        <v>0.15789473684210525</v>
      </c>
      <c r="N109" s="7">
        <f t="shared" si="15"/>
        <v>0.18421052631578946</v>
      </c>
      <c r="O109" s="51">
        <f>IF(G109&gt;0,DT!AC109*I109+DT!AD109*J109+DT!AE109*K109+DT!AF109*L109+DT!AG109*M109+DT!AH109*N109,"")</f>
        <v>2.083333333333333</v>
      </c>
      <c r="P109" s="15"/>
    </row>
    <row r="110" spans="1:16">
      <c r="A110" s="60">
        <v>2</v>
      </c>
      <c r="B110" s="60">
        <v>7</v>
      </c>
      <c r="C110" s="60">
        <v>7</v>
      </c>
      <c r="D110" s="60">
        <v>7</v>
      </c>
      <c r="E110" s="60">
        <v>5</v>
      </c>
      <c r="F110" s="60">
        <v>6</v>
      </c>
      <c r="G110" s="1">
        <f t="shared" si="16"/>
        <v>34</v>
      </c>
      <c r="I110" s="7">
        <f t="shared" si="10"/>
        <v>5.8823529411764705E-2</v>
      </c>
      <c r="J110" s="7">
        <f t="shared" si="11"/>
        <v>0.20588235294117646</v>
      </c>
      <c r="K110" s="7">
        <f t="shared" si="12"/>
        <v>0.20588235294117646</v>
      </c>
      <c r="L110" s="7">
        <f t="shared" si="13"/>
        <v>0.20588235294117646</v>
      </c>
      <c r="M110" s="7">
        <f t="shared" si="14"/>
        <v>0.14705882352941177</v>
      </c>
      <c r="N110" s="7">
        <f t="shared" si="15"/>
        <v>0.17647058823529413</v>
      </c>
      <c r="O110" s="51">
        <f>IF(G110&gt;0,DT!AC110*I110+DT!AD110*J110+DT!AE110*K110+DT!AF110*L110+DT!AG110*M110+DT!AH110*N110,"")</f>
        <v>2.5</v>
      </c>
      <c r="P110" s="15"/>
    </row>
    <row r="111" spans="1:16">
      <c r="A111" s="60">
        <v>3</v>
      </c>
      <c r="B111" s="60">
        <v>7</v>
      </c>
      <c r="C111" s="60">
        <v>7</v>
      </c>
      <c r="D111" s="60">
        <v>5</v>
      </c>
      <c r="E111" s="60">
        <v>4</v>
      </c>
      <c r="F111" s="60">
        <v>3</v>
      </c>
      <c r="G111" s="1">
        <f t="shared" si="16"/>
        <v>29</v>
      </c>
      <c r="I111" s="7">
        <f t="shared" si="10"/>
        <v>0.10344827586206896</v>
      </c>
      <c r="J111" s="7">
        <f t="shared" si="11"/>
        <v>0.2413793103448276</v>
      </c>
      <c r="K111" s="7">
        <f t="shared" si="12"/>
        <v>0.2413793103448276</v>
      </c>
      <c r="L111" s="7">
        <f t="shared" si="13"/>
        <v>0.17241379310344829</v>
      </c>
      <c r="M111" s="7">
        <f t="shared" si="14"/>
        <v>0.13793103448275862</v>
      </c>
      <c r="N111" s="7">
        <f t="shared" si="15"/>
        <v>0.10344827586206896</v>
      </c>
      <c r="O111" s="51">
        <f>IF(G111&gt;0,DT!AC111*I111+DT!AD111*J111+DT!AE111*K111+DT!AF111*L111+DT!AG111*M111+DT!AH111*N111,"")</f>
        <v>1.3017241379310345</v>
      </c>
      <c r="P111" s="15"/>
    </row>
    <row r="112" spans="1:16">
      <c r="A112" s="60">
        <v>6</v>
      </c>
      <c r="B112" s="60">
        <v>7</v>
      </c>
      <c r="C112" s="60">
        <v>7</v>
      </c>
      <c r="D112" s="60">
        <v>6</v>
      </c>
      <c r="E112" s="60">
        <v>5</v>
      </c>
      <c r="F112" s="60">
        <v>6</v>
      </c>
      <c r="G112" s="1">
        <f t="shared" si="16"/>
        <v>37</v>
      </c>
      <c r="I112" s="7">
        <f t="shared" si="10"/>
        <v>0.16216216216216217</v>
      </c>
      <c r="J112" s="7">
        <f t="shared" si="11"/>
        <v>0.1891891891891892</v>
      </c>
      <c r="K112" s="7">
        <f t="shared" si="12"/>
        <v>0.1891891891891892</v>
      </c>
      <c r="L112" s="7">
        <f t="shared" si="13"/>
        <v>0.16216216216216217</v>
      </c>
      <c r="M112" s="7">
        <f t="shared" si="14"/>
        <v>0.13513513513513514</v>
      </c>
      <c r="N112" s="7">
        <f t="shared" si="15"/>
        <v>0.16216216216216217</v>
      </c>
      <c r="O112" s="51">
        <f>IF(G112&gt;0,DT!AC112*I112+DT!AD112*J112+DT!AE112*K112+DT!AF112*L112+DT!AG112*M112+DT!AH112*N112,"")</f>
        <v>1.0675675675675675</v>
      </c>
      <c r="P112" s="15"/>
    </row>
    <row r="113" spans="1:16">
      <c r="A113" s="60">
        <v>6</v>
      </c>
      <c r="B113" s="60">
        <v>6</v>
      </c>
      <c r="C113" s="60">
        <v>6</v>
      </c>
      <c r="D113" s="60">
        <v>5</v>
      </c>
      <c r="E113" s="60">
        <v>6</v>
      </c>
      <c r="F113" s="60">
        <v>6</v>
      </c>
      <c r="G113" s="1">
        <f t="shared" si="16"/>
        <v>35</v>
      </c>
      <c r="I113" s="7">
        <f t="shared" si="10"/>
        <v>0.17142857142857143</v>
      </c>
      <c r="J113" s="7">
        <f t="shared" si="11"/>
        <v>0.17142857142857143</v>
      </c>
      <c r="K113" s="7">
        <f t="shared" si="12"/>
        <v>0.17142857142857143</v>
      </c>
      <c r="L113" s="7">
        <f t="shared" si="13"/>
        <v>0.14285714285714285</v>
      </c>
      <c r="M113" s="7">
        <f t="shared" si="14"/>
        <v>0.17142857142857143</v>
      </c>
      <c r="N113" s="7">
        <f t="shared" si="15"/>
        <v>0.17142857142857143</v>
      </c>
      <c r="O113" s="51">
        <f>IF(G113&gt;0,DT!AC113*I113+DT!AD113*J113+DT!AE113*K113+DT!AF113*L113+DT!AG113*M113+DT!AH113*N113,"")</f>
        <v>1.8357142857142859</v>
      </c>
      <c r="P113" s="15"/>
    </row>
    <row r="114" spans="1:16">
      <c r="A114" s="60">
        <v>7</v>
      </c>
      <c r="B114" s="60">
        <v>5</v>
      </c>
      <c r="C114" s="60">
        <v>7</v>
      </c>
      <c r="D114" s="60">
        <v>7</v>
      </c>
      <c r="E114" s="60">
        <v>7</v>
      </c>
      <c r="F114" s="60">
        <v>6</v>
      </c>
      <c r="G114" s="1">
        <f t="shared" si="16"/>
        <v>39</v>
      </c>
      <c r="I114" s="7">
        <f t="shared" si="10"/>
        <v>0.17948717948717949</v>
      </c>
      <c r="J114" s="7">
        <f t="shared" si="11"/>
        <v>0.12820512820512819</v>
      </c>
      <c r="K114" s="7">
        <f t="shared" si="12"/>
        <v>0.17948717948717949</v>
      </c>
      <c r="L114" s="7">
        <f t="shared" si="13"/>
        <v>0.17948717948717949</v>
      </c>
      <c r="M114" s="7">
        <f t="shared" si="14"/>
        <v>0.17948717948717949</v>
      </c>
      <c r="N114" s="7">
        <f t="shared" si="15"/>
        <v>0.15384615384615385</v>
      </c>
      <c r="O114" s="51">
        <f>IF(G114&gt;0,DT!AC114*I114+DT!AD114*J114+DT!AE114*K114+DT!AF114*L114+DT!AG114*M114+DT!AH114*N114,"")</f>
        <v>1.4508547008547006</v>
      </c>
      <c r="P114" s="15"/>
    </row>
    <row r="115" spans="1:16">
      <c r="A115" s="60">
        <v>7</v>
      </c>
      <c r="B115" s="60">
        <v>5</v>
      </c>
      <c r="C115" s="60">
        <v>7</v>
      </c>
      <c r="D115" s="60">
        <v>7</v>
      </c>
      <c r="E115" s="60">
        <v>7</v>
      </c>
      <c r="F115" s="60">
        <v>7</v>
      </c>
      <c r="G115" s="1">
        <f t="shared" si="16"/>
        <v>40</v>
      </c>
      <c r="I115" s="7">
        <f t="shared" si="10"/>
        <v>0.17499999999999999</v>
      </c>
      <c r="J115" s="7">
        <f t="shared" si="11"/>
        <v>0.125</v>
      </c>
      <c r="K115" s="7">
        <f t="shared" si="12"/>
        <v>0.17499999999999999</v>
      </c>
      <c r="L115" s="7">
        <f t="shared" si="13"/>
        <v>0.17499999999999999</v>
      </c>
      <c r="M115" s="7">
        <f t="shared" si="14"/>
        <v>0.17499999999999999</v>
      </c>
      <c r="N115" s="7">
        <f t="shared" si="15"/>
        <v>0.17499999999999999</v>
      </c>
      <c r="O115" s="51">
        <f>IF(G115&gt;0,DT!AC115*I115+DT!AD115*J115+DT!AE115*K115+DT!AF115*L115+DT!AG115*M115+DT!AH115*N115,"")</f>
        <v>1.3020833333333333</v>
      </c>
      <c r="P115" s="15"/>
    </row>
    <row r="116" spans="1:16">
      <c r="A116" s="60">
        <v>5</v>
      </c>
      <c r="B116" s="60">
        <v>7</v>
      </c>
      <c r="C116" s="60">
        <v>7</v>
      </c>
      <c r="D116" s="60">
        <v>6</v>
      </c>
      <c r="E116" s="60">
        <v>2</v>
      </c>
      <c r="F116" s="60">
        <v>5</v>
      </c>
      <c r="G116" s="1">
        <f t="shared" si="16"/>
        <v>32</v>
      </c>
      <c r="I116" s="7">
        <f t="shared" ref="I116:I179" si="17">IF(G116&gt;0,A116/G116,"")</f>
        <v>0.15625</v>
      </c>
      <c r="J116" s="7">
        <f t="shared" ref="J116:J179" si="18">IF(G116&gt;0,B116/G116,"")</f>
        <v>0.21875</v>
      </c>
      <c r="K116" s="7">
        <f t="shared" ref="K116:K179" si="19">IF(G116&gt;0,C116/G116,"")</f>
        <v>0.21875</v>
      </c>
      <c r="L116" s="7">
        <f t="shared" ref="L116:L179" si="20">IF(G116&gt;0,D116/G116,"")</f>
        <v>0.1875</v>
      </c>
      <c r="M116" s="7">
        <f t="shared" ref="M116:M179" si="21">IF(G116&gt;0,E116/G116,"")</f>
        <v>6.25E-2</v>
      </c>
      <c r="N116" s="7">
        <f t="shared" ref="N116:N179" si="22">IF(G116&gt;0,F116/G116,"")</f>
        <v>0.15625</v>
      </c>
      <c r="O116" s="51">
        <f>IF(G116&gt;0,DT!AC116*I116+DT!AD116*J116+DT!AE116*K116+DT!AF116*L116+DT!AG116*M116+DT!AH116*N116,"")</f>
        <v>1.2369791666666667</v>
      </c>
      <c r="P116" s="15"/>
    </row>
    <row r="117" spans="1:16">
      <c r="A117" s="60">
        <v>6</v>
      </c>
      <c r="B117" s="60">
        <v>7</v>
      </c>
      <c r="C117" s="60">
        <v>7</v>
      </c>
      <c r="D117" s="60">
        <v>7</v>
      </c>
      <c r="E117" s="60">
        <v>6</v>
      </c>
      <c r="F117" s="60">
        <v>6</v>
      </c>
      <c r="G117" s="1">
        <f t="shared" si="16"/>
        <v>39</v>
      </c>
      <c r="I117" s="7">
        <f t="shared" si="17"/>
        <v>0.15384615384615385</v>
      </c>
      <c r="J117" s="7">
        <f t="shared" si="18"/>
        <v>0.17948717948717949</v>
      </c>
      <c r="K117" s="7">
        <f t="shared" si="19"/>
        <v>0.17948717948717949</v>
      </c>
      <c r="L117" s="7">
        <f t="shared" si="20"/>
        <v>0.17948717948717949</v>
      </c>
      <c r="M117" s="7">
        <f t="shared" si="21"/>
        <v>0.15384615384615385</v>
      </c>
      <c r="N117" s="7">
        <f t="shared" si="22"/>
        <v>0.15384615384615385</v>
      </c>
      <c r="O117" s="51">
        <f>IF(G117&gt;0,DT!AC117*I117+DT!AD117*J117+DT!AE117*K117+DT!AF117*L117+DT!AG117*M117+DT!AH117*N117,"")</f>
        <v>2.2435897435897436</v>
      </c>
      <c r="P117" s="15"/>
    </row>
    <row r="118" spans="1:16">
      <c r="A118" s="60">
        <v>4</v>
      </c>
      <c r="B118" s="60">
        <v>5</v>
      </c>
      <c r="C118" s="60">
        <v>5</v>
      </c>
      <c r="D118" s="60">
        <v>4</v>
      </c>
      <c r="E118" s="60">
        <v>3</v>
      </c>
      <c r="F118" s="60">
        <v>4</v>
      </c>
      <c r="G118" s="1">
        <f t="shared" si="16"/>
        <v>25</v>
      </c>
      <c r="I118" s="7">
        <f t="shared" si="17"/>
        <v>0.16</v>
      </c>
      <c r="J118" s="7">
        <f t="shared" si="18"/>
        <v>0.2</v>
      </c>
      <c r="K118" s="7">
        <f t="shared" si="19"/>
        <v>0.2</v>
      </c>
      <c r="L118" s="7">
        <f t="shared" si="20"/>
        <v>0.16</v>
      </c>
      <c r="M118" s="7">
        <f t="shared" si="21"/>
        <v>0.12</v>
      </c>
      <c r="N118" s="7">
        <f t="shared" si="22"/>
        <v>0.16</v>
      </c>
      <c r="O118" s="51">
        <f>IF(G118&gt;0,DT!AC118*I118+DT!AD118*J118+DT!AE118*K118+DT!AF118*L118+DT!AG118*M118+DT!AH118*N118,"")</f>
        <v>0.69666666666666666</v>
      </c>
      <c r="P118" s="15"/>
    </row>
    <row r="119" spans="1:16">
      <c r="A119" s="60">
        <v>5</v>
      </c>
      <c r="B119" s="60">
        <v>7</v>
      </c>
      <c r="C119" s="60">
        <v>7</v>
      </c>
      <c r="D119" s="60">
        <v>5</v>
      </c>
      <c r="E119" s="60">
        <v>3</v>
      </c>
      <c r="F119" s="60">
        <v>3</v>
      </c>
      <c r="G119" s="1">
        <f t="shared" si="16"/>
        <v>30</v>
      </c>
      <c r="I119" s="7">
        <f t="shared" si="17"/>
        <v>0.16666666666666666</v>
      </c>
      <c r="J119" s="7">
        <f t="shared" si="18"/>
        <v>0.23333333333333334</v>
      </c>
      <c r="K119" s="7">
        <f t="shared" si="19"/>
        <v>0.23333333333333334</v>
      </c>
      <c r="L119" s="7">
        <f t="shared" si="20"/>
        <v>0.16666666666666666</v>
      </c>
      <c r="M119" s="7">
        <f t="shared" si="21"/>
        <v>0.1</v>
      </c>
      <c r="N119" s="7">
        <f t="shared" si="22"/>
        <v>0.1</v>
      </c>
      <c r="O119" s="51">
        <f>IF(G119&gt;0,DT!AC119*I119+DT!AD119*J119+DT!AE119*K119+DT!AF119*L119+DT!AG119*M119+DT!AH119*N119,"")</f>
        <v>0.96944444444444444</v>
      </c>
      <c r="P119" s="15"/>
    </row>
    <row r="120" spans="1:16">
      <c r="A120" s="60">
        <v>5</v>
      </c>
      <c r="B120" s="60">
        <v>6</v>
      </c>
      <c r="C120" s="60">
        <v>6</v>
      </c>
      <c r="D120" s="60">
        <v>6</v>
      </c>
      <c r="E120" s="60">
        <v>5</v>
      </c>
      <c r="F120" s="60">
        <v>6</v>
      </c>
      <c r="G120" s="1">
        <f t="shared" si="16"/>
        <v>34</v>
      </c>
      <c r="I120" s="7">
        <f t="shared" si="17"/>
        <v>0.14705882352941177</v>
      </c>
      <c r="J120" s="7">
        <f t="shared" si="18"/>
        <v>0.17647058823529413</v>
      </c>
      <c r="K120" s="7">
        <f t="shared" si="19"/>
        <v>0.17647058823529413</v>
      </c>
      <c r="L120" s="7">
        <f t="shared" si="20"/>
        <v>0.17647058823529413</v>
      </c>
      <c r="M120" s="7">
        <f t="shared" si="21"/>
        <v>0.14705882352941177</v>
      </c>
      <c r="N120" s="7">
        <f t="shared" si="22"/>
        <v>0.17647058823529413</v>
      </c>
      <c r="O120" s="51">
        <f>IF(G120&gt;0,DT!AC120*I120+DT!AD120*J120+DT!AE120*K120+DT!AF120*L120+DT!AG120*M120+DT!AH120*N120,"")</f>
        <v>0.13970588235294118</v>
      </c>
      <c r="P120" s="15"/>
    </row>
    <row r="121" spans="1:16">
      <c r="A121" s="60">
        <v>7</v>
      </c>
      <c r="B121" s="60">
        <v>7</v>
      </c>
      <c r="C121" s="60">
        <v>7</v>
      </c>
      <c r="D121" s="60">
        <v>7</v>
      </c>
      <c r="E121" s="60">
        <v>7</v>
      </c>
      <c r="F121" s="60">
        <v>7</v>
      </c>
      <c r="G121" s="1">
        <f t="shared" si="16"/>
        <v>42</v>
      </c>
      <c r="I121" s="7">
        <f t="shared" si="17"/>
        <v>0.16666666666666666</v>
      </c>
      <c r="J121" s="7">
        <f t="shared" si="18"/>
        <v>0.16666666666666666</v>
      </c>
      <c r="K121" s="7">
        <f t="shared" si="19"/>
        <v>0.16666666666666666</v>
      </c>
      <c r="L121" s="7">
        <f t="shared" si="20"/>
        <v>0.16666666666666666</v>
      </c>
      <c r="M121" s="7">
        <f t="shared" si="21"/>
        <v>0.16666666666666666</v>
      </c>
      <c r="N121" s="7">
        <f t="shared" si="22"/>
        <v>0.16666666666666666</v>
      </c>
      <c r="O121" s="51">
        <f>IF(G121&gt;0,DT!AC121*I121+DT!AD121*J121+DT!AE121*K121+DT!AF121*L121+DT!AG121*M121+DT!AH121*N121,"")</f>
        <v>3</v>
      </c>
      <c r="P121" s="15"/>
    </row>
    <row r="122" spans="1:16">
      <c r="A122" s="60">
        <v>6</v>
      </c>
      <c r="B122" s="60">
        <v>5</v>
      </c>
      <c r="C122" s="60">
        <v>6</v>
      </c>
      <c r="D122" s="60">
        <v>6</v>
      </c>
      <c r="E122" s="60">
        <v>6</v>
      </c>
      <c r="F122" s="60">
        <v>6</v>
      </c>
      <c r="G122" s="1">
        <f t="shared" si="16"/>
        <v>35</v>
      </c>
      <c r="I122" s="7">
        <f t="shared" si="17"/>
        <v>0.17142857142857143</v>
      </c>
      <c r="J122" s="7">
        <f t="shared" si="18"/>
        <v>0.14285714285714285</v>
      </c>
      <c r="K122" s="7">
        <f t="shared" si="19"/>
        <v>0.17142857142857143</v>
      </c>
      <c r="L122" s="7">
        <f t="shared" si="20"/>
        <v>0.17142857142857143</v>
      </c>
      <c r="M122" s="7">
        <f t="shared" si="21"/>
        <v>0.17142857142857143</v>
      </c>
      <c r="N122" s="7">
        <f t="shared" si="22"/>
        <v>0.17142857142857143</v>
      </c>
      <c r="O122" s="51">
        <f>IF(G122&gt;0,DT!AC122*I122+DT!AD122*J122+DT!AE122*K122+DT!AF122*L122+DT!AG122*M122+DT!AH122*N122,"")</f>
        <v>1.735714285714286</v>
      </c>
      <c r="P122" s="15"/>
    </row>
    <row r="123" spans="1:16">
      <c r="A123" s="60">
        <v>5</v>
      </c>
      <c r="B123" s="60">
        <v>5</v>
      </c>
      <c r="C123" s="60">
        <v>6</v>
      </c>
      <c r="D123" s="60">
        <v>5</v>
      </c>
      <c r="E123" s="60">
        <v>4</v>
      </c>
      <c r="F123" s="60">
        <v>4</v>
      </c>
      <c r="G123" s="1">
        <f t="shared" si="16"/>
        <v>29</v>
      </c>
      <c r="I123" s="7">
        <f t="shared" si="17"/>
        <v>0.17241379310344829</v>
      </c>
      <c r="J123" s="7">
        <f t="shared" si="18"/>
        <v>0.17241379310344829</v>
      </c>
      <c r="K123" s="7">
        <f t="shared" si="19"/>
        <v>0.20689655172413793</v>
      </c>
      <c r="L123" s="7">
        <f t="shared" si="20"/>
        <v>0.17241379310344829</v>
      </c>
      <c r="M123" s="7">
        <f t="shared" si="21"/>
        <v>0.13793103448275862</v>
      </c>
      <c r="N123" s="7">
        <f t="shared" si="22"/>
        <v>0.13793103448275862</v>
      </c>
      <c r="O123" s="51">
        <f>IF(G123&gt;0,DT!AC123*I123+DT!AD123*J123+DT!AE123*K123+DT!AF123*L123+DT!AG123*M123+DT!AH123*N123,"")</f>
        <v>1.0028735632183909</v>
      </c>
      <c r="P123" s="15"/>
    </row>
    <row r="124" spans="1:16">
      <c r="A124" s="60">
        <v>6</v>
      </c>
      <c r="B124" s="60">
        <v>6</v>
      </c>
      <c r="C124" s="60">
        <v>7</v>
      </c>
      <c r="D124" s="60">
        <v>6</v>
      </c>
      <c r="E124" s="60">
        <v>6</v>
      </c>
      <c r="F124" s="60">
        <v>7</v>
      </c>
      <c r="G124" s="1">
        <f t="shared" si="16"/>
        <v>38</v>
      </c>
      <c r="I124" s="7">
        <f t="shared" si="17"/>
        <v>0.15789473684210525</v>
      </c>
      <c r="J124" s="7">
        <f t="shared" si="18"/>
        <v>0.15789473684210525</v>
      </c>
      <c r="K124" s="7">
        <f t="shared" si="19"/>
        <v>0.18421052631578946</v>
      </c>
      <c r="L124" s="7">
        <f t="shared" si="20"/>
        <v>0.15789473684210525</v>
      </c>
      <c r="M124" s="7">
        <f t="shared" si="21"/>
        <v>0.15789473684210525</v>
      </c>
      <c r="N124" s="7">
        <f t="shared" si="22"/>
        <v>0.18421052631578946</v>
      </c>
      <c r="O124" s="51">
        <f>IF(G124&gt;0,DT!AC124*I124+DT!AD124*J124+DT!AE124*K124+DT!AF124*L124+DT!AG124*M124+DT!AH124*N124,"")</f>
        <v>1.2697368421052633</v>
      </c>
      <c r="P124" s="15"/>
    </row>
    <row r="125" spans="1:16">
      <c r="A125" s="60">
        <v>5</v>
      </c>
      <c r="B125" s="60">
        <v>7</v>
      </c>
      <c r="C125" s="60">
        <v>7</v>
      </c>
      <c r="D125" s="60">
        <v>7</v>
      </c>
      <c r="E125" s="60">
        <v>4</v>
      </c>
      <c r="F125" s="60">
        <v>3</v>
      </c>
      <c r="G125" s="1">
        <f t="shared" si="16"/>
        <v>33</v>
      </c>
      <c r="I125" s="7">
        <f t="shared" si="17"/>
        <v>0.15151515151515152</v>
      </c>
      <c r="J125" s="7">
        <f t="shared" si="18"/>
        <v>0.21212121212121213</v>
      </c>
      <c r="K125" s="7">
        <f t="shared" si="19"/>
        <v>0.21212121212121213</v>
      </c>
      <c r="L125" s="7">
        <f t="shared" si="20"/>
        <v>0.21212121212121213</v>
      </c>
      <c r="M125" s="7">
        <f t="shared" si="21"/>
        <v>0.12121212121212122</v>
      </c>
      <c r="N125" s="7">
        <f t="shared" si="22"/>
        <v>9.0909090909090912E-2</v>
      </c>
      <c r="O125" s="51">
        <f>IF(G125&gt;0,DT!AC125*I125+DT!AD125*J125+DT!AE125*K125+DT!AF125*L125+DT!AG125*M125+DT!AH125*N125,"")</f>
        <v>1.8484848484848486</v>
      </c>
      <c r="P125" s="15"/>
    </row>
    <row r="126" spans="1:16">
      <c r="A126" s="60">
        <v>7</v>
      </c>
      <c r="B126" s="60">
        <v>7</v>
      </c>
      <c r="C126" s="60">
        <v>7</v>
      </c>
      <c r="D126" s="60">
        <v>5</v>
      </c>
      <c r="E126" s="60">
        <v>7</v>
      </c>
      <c r="F126" s="60">
        <v>7</v>
      </c>
      <c r="G126" s="1">
        <f t="shared" si="16"/>
        <v>40</v>
      </c>
      <c r="I126" s="7">
        <f t="shared" si="17"/>
        <v>0.17499999999999999</v>
      </c>
      <c r="J126" s="7">
        <f t="shared" si="18"/>
        <v>0.17499999999999999</v>
      </c>
      <c r="K126" s="7">
        <f t="shared" si="19"/>
        <v>0.17499999999999999</v>
      </c>
      <c r="L126" s="7">
        <f t="shared" si="20"/>
        <v>0.125</v>
      </c>
      <c r="M126" s="7">
        <f t="shared" si="21"/>
        <v>0.17499999999999999</v>
      </c>
      <c r="N126" s="7">
        <f t="shared" si="22"/>
        <v>0.17499999999999999</v>
      </c>
      <c r="O126" s="51">
        <f>IF(G126&gt;0,DT!AC126*I126+DT!AD126*J126+DT!AE126*K126+DT!AF126*L126+DT!AG126*M126+DT!AH126*N126,"")</f>
        <v>2.3624999999999998</v>
      </c>
      <c r="P126" s="15"/>
    </row>
    <row r="127" spans="1:16">
      <c r="A127" s="60">
        <v>5</v>
      </c>
      <c r="B127" s="60">
        <v>7</v>
      </c>
      <c r="C127" s="60">
        <v>4</v>
      </c>
      <c r="D127" s="60">
        <v>7</v>
      </c>
      <c r="E127" s="60">
        <v>3</v>
      </c>
      <c r="F127" s="60">
        <v>6</v>
      </c>
      <c r="G127" s="1">
        <f t="shared" si="16"/>
        <v>32</v>
      </c>
      <c r="I127" s="7">
        <f t="shared" si="17"/>
        <v>0.15625</v>
      </c>
      <c r="J127" s="7">
        <f t="shared" si="18"/>
        <v>0.21875</v>
      </c>
      <c r="K127" s="7">
        <f t="shared" si="19"/>
        <v>0.125</v>
      </c>
      <c r="L127" s="7">
        <f t="shared" si="20"/>
        <v>0.21875</v>
      </c>
      <c r="M127" s="7">
        <f t="shared" si="21"/>
        <v>9.375E-2</v>
      </c>
      <c r="N127" s="7">
        <f t="shared" si="22"/>
        <v>0.1875</v>
      </c>
      <c r="O127" s="51">
        <f>IF(G127&gt;0,DT!AC127*I127+DT!AD127*J127+DT!AE127*K127+DT!AF127*L127+DT!AG127*M127+DT!AH127*N127,"")</f>
        <v>1.9739583333333335</v>
      </c>
      <c r="P127" s="15"/>
    </row>
    <row r="128" spans="1:16">
      <c r="A128" s="60">
        <v>5</v>
      </c>
      <c r="B128" s="60">
        <v>6</v>
      </c>
      <c r="C128" s="60">
        <v>5</v>
      </c>
      <c r="D128" s="60">
        <v>6</v>
      </c>
      <c r="E128" s="60">
        <v>4</v>
      </c>
      <c r="F128" s="60">
        <v>5</v>
      </c>
      <c r="G128" s="1">
        <f t="shared" si="16"/>
        <v>31</v>
      </c>
      <c r="I128" s="7">
        <f t="shared" si="17"/>
        <v>0.16129032258064516</v>
      </c>
      <c r="J128" s="7">
        <f t="shared" si="18"/>
        <v>0.19354838709677419</v>
      </c>
      <c r="K128" s="7">
        <f t="shared" si="19"/>
        <v>0.16129032258064516</v>
      </c>
      <c r="L128" s="7">
        <f t="shared" si="20"/>
        <v>0.19354838709677419</v>
      </c>
      <c r="M128" s="7">
        <f t="shared" si="21"/>
        <v>0.12903225806451613</v>
      </c>
      <c r="N128" s="7">
        <f t="shared" si="22"/>
        <v>0.16129032258064516</v>
      </c>
      <c r="O128" s="51">
        <f>IF(G128&gt;0,DT!AC128*I128+DT!AD128*J128+DT!AE128*K128+DT!AF128*L128+DT!AG128*M128+DT!AH128*N128,"")</f>
        <v>0.87634408602150549</v>
      </c>
      <c r="P128" s="15"/>
    </row>
    <row r="129" spans="1:16">
      <c r="A129" s="60">
        <v>5</v>
      </c>
      <c r="B129" s="60">
        <v>7</v>
      </c>
      <c r="C129" s="60">
        <v>7</v>
      </c>
      <c r="D129" s="60">
        <v>7</v>
      </c>
      <c r="E129" s="60">
        <v>3</v>
      </c>
      <c r="F129" s="60">
        <v>5</v>
      </c>
      <c r="G129" s="1">
        <f t="shared" si="16"/>
        <v>34</v>
      </c>
      <c r="I129" s="7">
        <f t="shared" si="17"/>
        <v>0.14705882352941177</v>
      </c>
      <c r="J129" s="7">
        <f t="shared" si="18"/>
        <v>0.20588235294117646</v>
      </c>
      <c r="K129" s="7">
        <f t="shared" si="19"/>
        <v>0.20588235294117646</v>
      </c>
      <c r="L129" s="7">
        <f t="shared" si="20"/>
        <v>0.20588235294117646</v>
      </c>
      <c r="M129" s="7">
        <f t="shared" si="21"/>
        <v>8.8235294117647065E-2</v>
      </c>
      <c r="N129" s="7">
        <f t="shared" si="22"/>
        <v>0.14705882352941177</v>
      </c>
      <c r="O129" s="51">
        <f>IF(G129&gt;0,DT!AC129*I129+DT!AD129*J129+DT!AE129*K129+DT!AF129*L129+DT!AG129*M129+DT!AH129*N129,"")</f>
        <v>1.5392156862745097</v>
      </c>
      <c r="P129" s="15"/>
    </row>
    <row r="130" spans="1:16">
      <c r="A130" s="60">
        <v>7</v>
      </c>
      <c r="B130" s="60">
        <v>7</v>
      </c>
      <c r="C130" s="60">
        <v>4</v>
      </c>
      <c r="D130" s="60">
        <v>5</v>
      </c>
      <c r="E130" s="60">
        <v>3</v>
      </c>
      <c r="F130" s="60">
        <v>3</v>
      </c>
      <c r="G130" s="1">
        <f t="shared" si="16"/>
        <v>29</v>
      </c>
      <c r="I130" s="7">
        <f t="shared" si="17"/>
        <v>0.2413793103448276</v>
      </c>
      <c r="J130" s="7">
        <f t="shared" si="18"/>
        <v>0.2413793103448276</v>
      </c>
      <c r="K130" s="7">
        <f t="shared" si="19"/>
        <v>0.13793103448275862</v>
      </c>
      <c r="L130" s="7">
        <f t="shared" si="20"/>
        <v>0.17241379310344829</v>
      </c>
      <c r="M130" s="7">
        <f t="shared" si="21"/>
        <v>0.10344827586206896</v>
      </c>
      <c r="N130" s="7">
        <f t="shared" si="22"/>
        <v>0.10344827586206896</v>
      </c>
      <c r="O130" s="51">
        <f>IF(G130&gt;0,DT!AC130*I130+DT!AD130*J130+DT!AE130*K130+DT!AF130*L130+DT!AG130*M130+DT!AH130*N130,"")</f>
        <v>0.97126436781609193</v>
      </c>
      <c r="P130" s="15"/>
    </row>
    <row r="131" spans="1:16">
      <c r="A131" s="60">
        <v>4</v>
      </c>
      <c r="B131" s="60">
        <v>3</v>
      </c>
      <c r="C131" s="60">
        <v>6</v>
      </c>
      <c r="D131" s="60">
        <v>5</v>
      </c>
      <c r="E131" s="60">
        <v>5</v>
      </c>
      <c r="F131" s="60">
        <v>5</v>
      </c>
      <c r="G131" s="1">
        <f t="shared" si="16"/>
        <v>28</v>
      </c>
      <c r="I131" s="7">
        <f t="shared" si="17"/>
        <v>0.14285714285714285</v>
      </c>
      <c r="J131" s="7">
        <f t="shared" si="18"/>
        <v>0.10714285714285714</v>
      </c>
      <c r="K131" s="7">
        <f t="shared" si="19"/>
        <v>0.21428571428571427</v>
      </c>
      <c r="L131" s="7">
        <f t="shared" si="20"/>
        <v>0.17857142857142858</v>
      </c>
      <c r="M131" s="7">
        <f t="shared" si="21"/>
        <v>0.17857142857142858</v>
      </c>
      <c r="N131" s="7">
        <f t="shared" si="22"/>
        <v>0.17857142857142858</v>
      </c>
      <c r="O131" s="51">
        <f>IF(G131&gt;0,DT!AC131*I131+DT!AD131*J131+DT!AE131*K131+DT!AF131*L131+DT!AG131*M131+DT!AH131*N131,"")</f>
        <v>1.4791666666666665</v>
      </c>
      <c r="P131" s="15"/>
    </row>
    <row r="132" spans="1:16">
      <c r="A132" s="60">
        <v>5</v>
      </c>
      <c r="B132" s="60">
        <v>7</v>
      </c>
      <c r="C132" s="60">
        <v>7</v>
      </c>
      <c r="D132" s="60">
        <v>7</v>
      </c>
      <c r="E132" s="60">
        <v>6</v>
      </c>
      <c r="F132" s="60">
        <v>4</v>
      </c>
      <c r="G132" s="1">
        <f t="shared" si="16"/>
        <v>36</v>
      </c>
      <c r="I132" s="7">
        <f t="shared" si="17"/>
        <v>0.1388888888888889</v>
      </c>
      <c r="J132" s="7">
        <f t="shared" si="18"/>
        <v>0.19444444444444445</v>
      </c>
      <c r="K132" s="7">
        <f t="shared" si="19"/>
        <v>0.19444444444444445</v>
      </c>
      <c r="L132" s="7">
        <f t="shared" si="20"/>
        <v>0.19444444444444445</v>
      </c>
      <c r="M132" s="7">
        <f t="shared" si="21"/>
        <v>0.16666666666666666</v>
      </c>
      <c r="N132" s="7">
        <f t="shared" si="22"/>
        <v>0.1111111111111111</v>
      </c>
      <c r="O132" s="51">
        <f>IF(G132&gt;0,DT!AC132*I132+DT!AD132*J132+DT!AE132*K132+DT!AF132*L132+DT!AG132*M132+DT!AH132*N132,"")</f>
        <v>2.2569444444444442</v>
      </c>
      <c r="P132" s="15"/>
    </row>
    <row r="133" spans="1:16">
      <c r="A133" s="60">
        <v>7</v>
      </c>
      <c r="B133" s="60">
        <v>7</v>
      </c>
      <c r="C133" s="60">
        <v>7</v>
      </c>
      <c r="D133" s="60">
        <v>7</v>
      </c>
      <c r="E133" s="60">
        <v>3</v>
      </c>
      <c r="F133" s="60">
        <v>4</v>
      </c>
      <c r="G133" s="1">
        <f t="shared" ref="G133:G196" si="23">SUM(A133:F133)</f>
        <v>35</v>
      </c>
      <c r="I133" s="7">
        <f t="shared" si="17"/>
        <v>0.2</v>
      </c>
      <c r="J133" s="7">
        <f t="shared" si="18"/>
        <v>0.2</v>
      </c>
      <c r="K133" s="7">
        <f t="shared" si="19"/>
        <v>0.2</v>
      </c>
      <c r="L133" s="7">
        <f t="shared" si="20"/>
        <v>0.2</v>
      </c>
      <c r="M133" s="7">
        <f t="shared" si="21"/>
        <v>8.5714285714285715E-2</v>
      </c>
      <c r="N133" s="7">
        <f t="shared" si="22"/>
        <v>0.11428571428571428</v>
      </c>
      <c r="O133" s="51">
        <f>IF(G133&gt;0,DT!AC133*I133+DT!AD133*J133+DT!AE133*K133+DT!AF133*L133+DT!AG133*M133+DT!AH133*N133,"")</f>
        <v>1.45</v>
      </c>
      <c r="P133" s="15"/>
    </row>
    <row r="134" spans="1:16">
      <c r="A134" s="60">
        <v>5</v>
      </c>
      <c r="B134" s="60">
        <v>5</v>
      </c>
      <c r="C134" s="60">
        <v>6</v>
      </c>
      <c r="D134" s="60">
        <v>7</v>
      </c>
      <c r="E134" s="60">
        <v>5</v>
      </c>
      <c r="F134" s="60">
        <v>5</v>
      </c>
      <c r="G134" s="1">
        <f t="shared" si="23"/>
        <v>33</v>
      </c>
      <c r="I134" s="7">
        <f t="shared" si="17"/>
        <v>0.15151515151515152</v>
      </c>
      <c r="J134" s="7">
        <f t="shared" si="18"/>
        <v>0.15151515151515152</v>
      </c>
      <c r="K134" s="7">
        <f t="shared" si="19"/>
        <v>0.18181818181818182</v>
      </c>
      <c r="L134" s="7">
        <f t="shared" si="20"/>
        <v>0.21212121212121213</v>
      </c>
      <c r="M134" s="7">
        <f t="shared" si="21"/>
        <v>0.15151515151515152</v>
      </c>
      <c r="N134" s="7">
        <f t="shared" si="22"/>
        <v>0.15151515151515152</v>
      </c>
      <c r="O134" s="51">
        <f>IF(G134&gt;0,DT!AC134*I134+DT!AD134*J134+DT!AE134*K134+DT!AF134*L134+DT!AG134*M134+DT!AH134*N134,"")</f>
        <v>1.0404040404040404</v>
      </c>
      <c r="P134" s="15"/>
    </row>
    <row r="135" spans="1:16">
      <c r="A135" s="60">
        <v>5</v>
      </c>
      <c r="B135" s="60">
        <v>6</v>
      </c>
      <c r="C135" s="60">
        <v>5</v>
      </c>
      <c r="D135" s="60">
        <v>5</v>
      </c>
      <c r="E135" s="60">
        <v>6</v>
      </c>
      <c r="F135" s="60">
        <v>6</v>
      </c>
      <c r="G135" s="1">
        <f t="shared" si="23"/>
        <v>33</v>
      </c>
      <c r="I135" s="7">
        <f t="shared" si="17"/>
        <v>0.15151515151515152</v>
      </c>
      <c r="J135" s="7">
        <f t="shared" si="18"/>
        <v>0.18181818181818182</v>
      </c>
      <c r="K135" s="7">
        <f t="shared" si="19"/>
        <v>0.15151515151515152</v>
      </c>
      <c r="L135" s="7">
        <f t="shared" si="20"/>
        <v>0.15151515151515152</v>
      </c>
      <c r="M135" s="7">
        <f t="shared" si="21"/>
        <v>0.18181818181818182</v>
      </c>
      <c r="N135" s="7">
        <f t="shared" si="22"/>
        <v>0.18181818181818182</v>
      </c>
      <c r="O135" s="51">
        <f>IF(G135&gt;0,DT!AC135*I135+DT!AD135*J135+DT!AE135*K135+DT!AF135*L135+DT!AG135*M135+DT!AH135*N135,"")</f>
        <v>1.4797979797979799</v>
      </c>
      <c r="P135" s="15"/>
    </row>
    <row r="136" spans="1:16">
      <c r="A136" s="60">
        <v>3</v>
      </c>
      <c r="B136" s="60">
        <v>6</v>
      </c>
      <c r="C136" s="60">
        <v>6</v>
      </c>
      <c r="D136" s="60">
        <v>6</v>
      </c>
      <c r="E136" s="60">
        <v>3</v>
      </c>
      <c r="F136" s="60">
        <v>3</v>
      </c>
      <c r="G136" s="1">
        <f t="shared" si="23"/>
        <v>27</v>
      </c>
      <c r="I136" s="7">
        <f t="shared" si="17"/>
        <v>0.1111111111111111</v>
      </c>
      <c r="J136" s="7">
        <f t="shared" si="18"/>
        <v>0.22222222222222221</v>
      </c>
      <c r="K136" s="7">
        <f t="shared" si="19"/>
        <v>0.22222222222222221</v>
      </c>
      <c r="L136" s="7">
        <f t="shared" si="20"/>
        <v>0.22222222222222221</v>
      </c>
      <c r="M136" s="7">
        <f t="shared" si="21"/>
        <v>0.1111111111111111</v>
      </c>
      <c r="N136" s="7">
        <f t="shared" si="22"/>
        <v>0.1111111111111111</v>
      </c>
      <c r="O136" s="51">
        <f>IF(G136&gt;0,DT!AC136*I136+DT!AD136*J136+DT!AE136*K136+DT!AF136*L136+DT!AG136*M136+DT!AH136*N136,"")</f>
        <v>0.93518518518518512</v>
      </c>
      <c r="P136" s="15"/>
    </row>
    <row r="137" spans="1:16">
      <c r="A137" s="60">
        <v>7</v>
      </c>
      <c r="B137" s="60">
        <v>7</v>
      </c>
      <c r="C137" s="60">
        <v>7</v>
      </c>
      <c r="D137" s="60">
        <v>7</v>
      </c>
      <c r="E137" s="60">
        <v>5</v>
      </c>
      <c r="F137" s="60">
        <v>7</v>
      </c>
      <c r="G137" s="1">
        <f t="shared" si="23"/>
        <v>40</v>
      </c>
      <c r="I137" s="7">
        <f t="shared" si="17"/>
        <v>0.17499999999999999</v>
      </c>
      <c r="J137" s="7">
        <f t="shared" si="18"/>
        <v>0.17499999999999999</v>
      </c>
      <c r="K137" s="7">
        <f t="shared" si="19"/>
        <v>0.17499999999999999</v>
      </c>
      <c r="L137" s="7">
        <f t="shared" si="20"/>
        <v>0.17499999999999999</v>
      </c>
      <c r="M137" s="7">
        <f t="shared" si="21"/>
        <v>0.125</v>
      </c>
      <c r="N137" s="7">
        <f t="shared" si="22"/>
        <v>0.17499999999999999</v>
      </c>
      <c r="O137" s="51">
        <f>IF(G137&gt;0,DT!AC137*I137+DT!AD137*J137+DT!AE137*K137+DT!AF137*L137+DT!AG137*M137+DT!AH137*N137,"")</f>
        <v>1.9354166666666663</v>
      </c>
      <c r="P137" s="15"/>
    </row>
    <row r="138" spans="1:16">
      <c r="A138" s="60">
        <v>6</v>
      </c>
      <c r="B138" s="60">
        <v>7</v>
      </c>
      <c r="C138" s="60">
        <v>7</v>
      </c>
      <c r="D138" s="60">
        <v>6</v>
      </c>
      <c r="E138" s="60">
        <v>5</v>
      </c>
      <c r="F138" s="60">
        <v>3</v>
      </c>
      <c r="G138" s="1">
        <f t="shared" si="23"/>
        <v>34</v>
      </c>
      <c r="I138" s="7">
        <f t="shared" si="17"/>
        <v>0.17647058823529413</v>
      </c>
      <c r="J138" s="7">
        <f t="shared" si="18"/>
        <v>0.20588235294117646</v>
      </c>
      <c r="K138" s="7">
        <f t="shared" si="19"/>
        <v>0.20588235294117646</v>
      </c>
      <c r="L138" s="7">
        <f t="shared" si="20"/>
        <v>0.17647058823529413</v>
      </c>
      <c r="M138" s="7">
        <f t="shared" si="21"/>
        <v>0.14705882352941177</v>
      </c>
      <c r="N138" s="7">
        <f t="shared" si="22"/>
        <v>8.8235294117647065E-2</v>
      </c>
      <c r="O138" s="51">
        <f>IF(G138&gt;0,DT!AC138*I138+DT!AD138*J138+DT!AE138*K138+DT!AF138*L138+DT!AG138*M138+DT!AH138*N138,"")</f>
        <v>2.1911764705882355</v>
      </c>
      <c r="P138" s="15"/>
    </row>
    <row r="139" spans="1:16">
      <c r="A139" s="60">
        <v>5</v>
      </c>
      <c r="B139" s="60">
        <v>6</v>
      </c>
      <c r="C139" s="60">
        <v>6</v>
      </c>
      <c r="D139" s="60">
        <v>7</v>
      </c>
      <c r="E139" s="60">
        <v>4</v>
      </c>
      <c r="F139" s="60">
        <v>4</v>
      </c>
      <c r="G139" s="1">
        <f t="shared" si="23"/>
        <v>32</v>
      </c>
      <c r="I139" s="7">
        <f t="shared" si="17"/>
        <v>0.15625</v>
      </c>
      <c r="J139" s="7">
        <f t="shared" si="18"/>
        <v>0.1875</v>
      </c>
      <c r="K139" s="7">
        <f t="shared" si="19"/>
        <v>0.1875</v>
      </c>
      <c r="L139" s="7">
        <f t="shared" si="20"/>
        <v>0.21875</v>
      </c>
      <c r="M139" s="7">
        <f t="shared" si="21"/>
        <v>0.125</v>
      </c>
      <c r="N139" s="7">
        <f t="shared" si="22"/>
        <v>0.125</v>
      </c>
      <c r="O139" s="51">
        <f>IF(G139&gt;0,DT!AC139*I139+DT!AD139*J139+DT!AE139*K139+DT!AF139*L139+DT!AG139*M139+DT!AH139*N139,"")</f>
        <v>1.3255208333333335</v>
      </c>
      <c r="P139" s="15"/>
    </row>
    <row r="140" spans="1:16">
      <c r="A140" s="60">
        <v>5</v>
      </c>
      <c r="B140" s="60">
        <v>5</v>
      </c>
      <c r="C140" s="60">
        <v>6</v>
      </c>
      <c r="D140" s="60">
        <v>4</v>
      </c>
      <c r="E140" s="60">
        <v>5</v>
      </c>
      <c r="F140" s="60">
        <v>5</v>
      </c>
      <c r="G140" s="1">
        <f t="shared" si="23"/>
        <v>30</v>
      </c>
      <c r="I140" s="7">
        <f t="shared" si="17"/>
        <v>0.16666666666666666</v>
      </c>
      <c r="J140" s="7">
        <f t="shared" si="18"/>
        <v>0.16666666666666666</v>
      </c>
      <c r="K140" s="7">
        <f t="shared" si="19"/>
        <v>0.2</v>
      </c>
      <c r="L140" s="7">
        <f t="shared" si="20"/>
        <v>0.13333333333333333</v>
      </c>
      <c r="M140" s="7">
        <f t="shared" si="21"/>
        <v>0.16666666666666666</v>
      </c>
      <c r="N140" s="7">
        <f t="shared" si="22"/>
        <v>0.16666666666666666</v>
      </c>
      <c r="O140" s="51">
        <f>IF(G140&gt;0,DT!AC140*I140+DT!AD140*J140+DT!AE140*K140+DT!AF140*L140+DT!AG140*M140+DT!AH140*N140,"")</f>
        <v>1.4888888888888887</v>
      </c>
      <c r="P140" s="15"/>
    </row>
    <row r="141" spans="1:16">
      <c r="A141" s="60">
        <v>6</v>
      </c>
      <c r="B141" s="60">
        <v>7</v>
      </c>
      <c r="C141" s="60">
        <v>7</v>
      </c>
      <c r="D141" s="60">
        <v>6</v>
      </c>
      <c r="E141" s="60">
        <v>5</v>
      </c>
      <c r="F141" s="60">
        <v>6</v>
      </c>
      <c r="G141" s="1">
        <f t="shared" si="23"/>
        <v>37</v>
      </c>
      <c r="I141" s="7">
        <f t="shared" si="17"/>
        <v>0.16216216216216217</v>
      </c>
      <c r="J141" s="7">
        <f t="shared" si="18"/>
        <v>0.1891891891891892</v>
      </c>
      <c r="K141" s="7">
        <f t="shared" si="19"/>
        <v>0.1891891891891892</v>
      </c>
      <c r="L141" s="7">
        <f t="shared" si="20"/>
        <v>0.16216216216216217</v>
      </c>
      <c r="M141" s="7">
        <f t="shared" si="21"/>
        <v>0.13513513513513514</v>
      </c>
      <c r="N141" s="7">
        <f t="shared" si="22"/>
        <v>0.16216216216216217</v>
      </c>
      <c r="O141" s="51">
        <f>IF(G141&gt;0,DT!AC141*I141+DT!AD141*J141+DT!AE141*K141+DT!AF141*L141+DT!AG141*M141+DT!AH141*N141,"")</f>
        <v>-0.91891891891891886</v>
      </c>
      <c r="P141" s="15"/>
    </row>
    <row r="142" spans="1:16">
      <c r="A142" s="60">
        <v>7</v>
      </c>
      <c r="B142" s="60">
        <v>4</v>
      </c>
      <c r="C142" s="60">
        <v>7</v>
      </c>
      <c r="D142" s="60">
        <v>5</v>
      </c>
      <c r="E142" s="60">
        <v>5</v>
      </c>
      <c r="F142" s="60">
        <v>5</v>
      </c>
      <c r="G142" s="1">
        <f t="shared" si="23"/>
        <v>33</v>
      </c>
      <c r="I142" s="7">
        <f t="shared" si="17"/>
        <v>0.21212121212121213</v>
      </c>
      <c r="J142" s="7">
        <f t="shared" si="18"/>
        <v>0.12121212121212122</v>
      </c>
      <c r="K142" s="7">
        <f t="shared" si="19"/>
        <v>0.21212121212121213</v>
      </c>
      <c r="L142" s="7">
        <f t="shared" si="20"/>
        <v>0.15151515151515152</v>
      </c>
      <c r="M142" s="7">
        <f t="shared" si="21"/>
        <v>0.15151515151515152</v>
      </c>
      <c r="N142" s="7">
        <f t="shared" si="22"/>
        <v>0.15151515151515152</v>
      </c>
      <c r="O142" s="51">
        <f>IF(G142&gt;0,DT!AC142*I142+DT!AD142*J142+DT!AE142*K142+DT!AF142*L142+DT!AG142*M142+DT!AH142*N142,"")</f>
        <v>1.0833333333333333</v>
      </c>
      <c r="P142" s="15"/>
    </row>
    <row r="143" spans="1:16">
      <c r="A143" s="60">
        <v>5</v>
      </c>
      <c r="B143" s="60">
        <v>6</v>
      </c>
      <c r="C143" s="60">
        <v>7</v>
      </c>
      <c r="D143" s="60">
        <v>7</v>
      </c>
      <c r="E143" s="60">
        <v>5</v>
      </c>
      <c r="F143" s="60">
        <v>5</v>
      </c>
      <c r="G143" s="1">
        <f t="shared" si="23"/>
        <v>35</v>
      </c>
      <c r="I143" s="7">
        <f t="shared" si="17"/>
        <v>0.14285714285714285</v>
      </c>
      <c r="J143" s="7">
        <f t="shared" si="18"/>
        <v>0.17142857142857143</v>
      </c>
      <c r="K143" s="7">
        <f t="shared" si="19"/>
        <v>0.2</v>
      </c>
      <c r="L143" s="7">
        <f t="shared" si="20"/>
        <v>0.2</v>
      </c>
      <c r="M143" s="7">
        <f t="shared" si="21"/>
        <v>0.14285714285714285</v>
      </c>
      <c r="N143" s="7">
        <f t="shared" si="22"/>
        <v>0.14285714285714285</v>
      </c>
      <c r="O143" s="51">
        <f>IF(G143&gt;0,DT!AC143*I143+DT!AD143*J143+DT!AE143*K143+DT!AF143*L143+DT!AG143*M143+DT!AH143*N143,"")</f>
        <v>0.580952380952381</v>
      </c>
      <c r="P143" s="15"/>
    </row>
    <row r="144" spans="1:16">
      <c r="A144" s="60">
        <v>6</v>
      </c>
      <c r="B144" s="60">
        <v>7</v>
      </c>
      <c r="C144" s="60">
        <v>6</v>
      </c>
      <c r="D144" s="60">
        <v>6</v>
      </c>
      <c r="E144" s="60">
        <v>6</v>
      </c>
      <c r="F144" s="60">
        <v>6</v>
      </c>
      <c r="G144" s="1">
        <f t="shared" si="23"/>
        <v>37</v>
      </c>
      <c r="I144" s="7">
        <f t="shared" si="17"/>
        <v>0.16216216216216217</v>
      </c>
      <c r="J144" s="7">
        <f t="shared" si="18"/>
        <v>0.1891891891891892</v>
      </c>
      <c r="K144" s="7">
        <f t="shared" si="19"/>
        <v>0.16216216216216217</v>
      </c>
      <c r="L144" s="7">
        <f t="shared" si="20"/>
        <v>0.16216216216216217</v>
      </c>
      <c r="M144" s="7">
        <f t="shared" si="21"/>
        <v>0.16216216216216217</v>
      </c>
      <c r="N144" s="7">
        <f t="shared" si="22"/>
        <v>0.16216216216216217</v>
      </c>
      <c r="O144" s="51">
        <f>IF(G144&gt;0,DT!AC144*I144+DT!AD144*J144+DT!AE144*K144+DT!AF144*L144+DT!AG144*M144+DT!AH144*N144,"")</f>
        <v>2.2094594594594597</v>
      </c>
      <c r="P144" s="15"/>
    </row>
    <row r="145" spans="1:16">
      <c r="A145" s="60">
        <v>6</v>
      </c>
      <c r="B145" s="60">
        <v>4</v>
      </c>
      <c r="C145" s="60">
        <v>6</v>
      </c>
      <c r="D145" s="60">
        <v>6</v>
      </c>
      <c r="E145" s="60">
        <v>5</v>
      </c>
      <c r="F145" s="60">
        <v>5</v>
      </c>
      <c r="G145" s="1">
        <f t="shared" si="23"/>
        <v>32</v>
      </c>
      <c r="I145" s="7">
        <f t="shared" si="17"/>
        <v>0.1875</v>
      </c>
      <c r="J145" s="7">
        <f t="shared" si="18"/>
        <v>0.125</v>
      </c>
      <c r="K145" s="7">
        <f t="shared" si="19"/>
        <v>0.1875</v>
      </c>
      <c r="L145" s="7">
        <f t="shared" si="20"/>
        <v>0.1875</v>
      </c>
      <c r="M145" s="7">
        <f t="shared" si="21"/>
        <v>0.15625</v>
      </c>
      <c r="N145" s="7">
        <f t="shared" si="22"/>
        <v>0.15625</v>
      </c>
      <c r="O145" s="51">
        <f>IF(G145&gt;0,DT!AC145*I145+DT!AD145*J145+DT!AE145*K145+DT!AF145*L145+DT!AG145*M145+DT!AH145*N145,"")</f>
        <v>2.0703125</v>
      </c>
      <c r="P145" s="15"/>
    </row>
    <row r="146" spans="1:16">
      <c r="A146" s="60">
        <v>6</v>
      </c>
      <c r="B146" s="60">
        <v>5</v>
      </c>
      <c r="C146" s="60">
        <v>6</v>
      </c>
      <c r="D146" s="60">
        <v>4</v>
      </c>
      <c r="E146" s="60">
        <v>6</v>
      </c>
      <c r="F146" s="60">
        <v>6</v>
      </c>
      <c r="G146" s="1">
        <f t="shared" si="23"/>
        <v>33</v>
      </c>
      <c r="I146" s="7">
        <f t="shared" si="17"/>
        <v>0.18181818181818182</v>
      </c>
      <c r="J146" s="7">
        <f t="shared" si="18"/>
        <v>0.15151515151515152</v>
      </c>
      <c r="K146" s="7">
        <f t="shared" si="19"/>
        <v>0.18181818181818182</v>
      </c>
      <c r="L146" s="7">
        <f t="shared" si="20"/>
        <v>0.12121212121212122</v>
      </c>
      <c r="M146" s="7">
        <f t="shared" si="21"/>
        <v>0.18181818181818182</v>
      </c>
      <c r="N146" s="7">
        <f t="shared" si="22"/>
        <v>0.18181818181818182</v>
      </c>
      <c r="O146" s="51">
        <f>IF(G146&gt;0,DT!AC146*I146+DT!AD146*J146+DT!AE146*K146+DT!AF146*L146+DT!AG146*M146+DT!AH146*N146,"")</f>
        <v>1.7954545454545454</v>
      </c>
      <c r="P146" s="15"/>
    </row>
    <row r="147" spans="1:16">
      <c r="A147" s="60">
        <v>7</v>
      </c>
      <c r="B147" s="60">
        <v>6</v>
      </c>
      <c r="C147" s="60">
        <v>7</v>
      </c>
      <c r="D147" s="60">
        <v>7</v>
      </c>
      <c r="E147" s="60">
        <v>1</v>
      </c>
      <c r="F147" s="60">
        <v>4</v>
      </c>
      <c r="G147" s="1">
        <f t="shared" si="23"/>
        <v>32</v>
      </c>
      <c r="I147" s="7">
        <f t="shared" si="17"/>
        <v>0.21875</v>
      </c>
      <c r="J147" s="7">
        <f t="shared" si="18"/>
        <v>0.1875</v>
      </c>
      <c r="K147" s="7">
        <f t="shared" si="19"/>
        <v>0.21875</v>
      </c>
      <c r="L147" s="7">
        <f t="shared" si="20"/>
        <v>0.21875</v>
      </c>
      <c r="M147" s="7">
        <f t="shared" si="21"/>
        <v>3.125E-2</v>
      </c>
      <c r="N147" s="7">
        <f t="shared" si="22"/>
        <v>0.125</v>
      </c>
      <c r="O147" s="51">
        <f>IF(G147&gt;0,DT!AC147*I147+DT!AD147*J147+DT!AE147*K147+DT!AF147*L147+DT!AG147*M147+DT!AH147*N147,"")</f>
        <v>-1</v>
      </c>
      <c r="P147" s="15"/>
    </row>
    <row r="148" spans="1:16">
      <c r="A148" s="60">
        <v>6</v>
      </c>
      <c r="B148" s="60">
        <v>6</v>
      </c>
      <c r="C148" s="60">
        <v>7</v>
      </c>
      <c r="D148" s="60">
        <v>6</v>
      </c>
      <c r="E148" s="60">
        <v>4</v>
      </c>
      <c r="F148" s="60">
        <v>3</v>
      </c>
      <c r="G148" s="1">
        <f t="shared" si="23"/>
        <v>32</v>
      </c>
      <c r="I148" s="7">
        <f t="shared" si="17"/>
        <v>0.1875</v>
      </c>
      <c r="J148" s="7">
        <f t="shared" si="18"/>
        <v>0.1875</v>
      </c>
      <c r="K148" s="7">
        <f t="shared" si="19"/>
        <v>0.21875</v>
      </c>
      <c r="L148" s="7">
        <f t="shared" si="20"/>
        <v>0.1875</v>
      </c>
      <c r="M148" s="7">
        <f t="shared" si="21"/>
        <v>0.125</v>
      </c>
      <c r="N148" s="7">
        <f t="shared" si="22"/>
        <v>9.375E-2</v>
      </c>
      <c r="O148" s="51">
        <f>IF(G148&gt;0,DT!AC148*I148+DT!AD148*J148+DT!AE148*K148+DT!AF148*L148+DT!AG148*M148+DT!AH148*N148,"")</f>
        <v>-0.3671875</v>
      </c>
      <c r="P148" s="15"/>
    </row>
    <row r="149" spans="1:16">
      <c r="A149" s="60">
        <v>6</v>
      </c>
      <c r="B149" s="60">
        <v>6</v>
      </c>
      <c r="C149" s="60">
        <v>7</v>
      </c>
      <c r="D149" s="60">
        <v>7</v>
      </c>
      <c r="E149" s="60">
        <v>5</v>
      </c>
      <c r="F149" s="60">
        <v>6</v>
      </c>
      <c r="G149" s="1">
        <f t="shared" si="23"/>
        <v>37</v>
      </c>
      <c r="I149" s="7">
        <f t="shared" si="17"/>
        <v>0.16216216216216217</v>
      </c>
      <c r="J149" s="7">
        <f t="shared" si="18"/>
        <v>0.16216216216216217</v>
      </c>
      <c r="K149" s="7">
        <f t="shared" si="19"/>
        <v>0.1891891891891892</v>
      </c>
      <c r="L149" s="7">
        <f t="shared" si="20"/>
        <v>0.1891891891891892</v>
      </c>
      <c r="M149" s="7">
        <f t="shared" si="21"/>
        <v>0.13513513513513514</v>
      </c>
      <c r="N149" s="7">
        <f t="shared" si="22"/>
        <v>0.16216216216216217</v>
      </c>
      <c r="O149" s="51">
        <f>IF(G149&gt;0,DT!AC149*I149+DT!AD149*J149+DT!AE149*K149+DT!AF149*L149+DT!AG149*M149+DT!AH149*N149,"")</f>
        <v>1.7162162162162162</v>
      </c>
      <c r="P149" s="15"/>
    </row>
    <row r="150" spans="1:16">
      <c r="A150" s="60">
        <v>5</v>
      </c>
      <c r="B150" s="60">
        <v>7</v>
      </c>
      <c r="C150" s="60">
        <v>7</v>
      </c>
      <c r="D150" s="60">
        <v>7</v>
      </c>
      <c r="E150" s="60">
        <v>5</v>
      </c>
      <c r="F150" s="60">
        <v>5</v>
      </c>
      <c r="G150" s="1">
        <f t="shared" si="23"/>
        <v>36</v>
      </c>
      <c r="I150" s="7">
        <f t="shared" si="17"/>
        <v>0.1388888888888889</v>
      </c>
      <c r="J150" s="7">
        <f t="shared" si="18"/>
        <v>0.19444444444444445</v>
      </c>
      <c r="K150" s="7">
        <f t="shared" si="19"/>
        <v>0.19444444444444445</v>
      </c>
      <c r="L150" s="7">
        <f t="shared" si="20"/>
        <v>0.19444444444444445</v>
      </c>
      <c r="M150" s="7">
        <f t="shared" si="21"/>
        <v>0.1388888888888889</v>
      </c>
      <c r="N150" s="7">
        <f t="shared" si="22"/>
        <v>0.1388888888888889</v>
      </c>
      <c r="O150" s="51">
        <f>IF(G150&gt;0,DT!AC150*I150+DT!AD150*J150+DT!AE150*K150+DT!AF150*L150+DT!AG150*M150+DT!AH150*N150,"")</f>
        <v>2.2175925925925926</v>
      </c>
      <c r="P150" s="15"/>
    </row>
    <row r="151" spans="1:16">
      <c r="A151" s="60">
        <v>6</v>
      </c>
      <c r="B151" s="60">
        <v>7</v>
      </c>
      <c r="C151" s="60">
        <v>7</v>
      </c>
      <c r="D151" s="60">
        <v>5</v>
      </c>
      <c r="E151" s="60">
        <v>6</v>
      </c>
      <c r="F151" s="60">
        <v>7</v>
      </c>
      <c r="G151" s="1">
        <f t="shared" si="23"/>
        <v>38</v>
      </c>
      <c r="I151" s="7">
        <f t="shared" si="17"/>
        <v>0.15789473684210525</v>
      </c>
      <c r="J151" s="7">
        <f t="shared" si="18"/>
        <v>0.18421052631578946</v>
      </c>
      <c r="K151" s="7">
        <f t="shared" si="19"/>
        <v>0.18421052631578946</v>
      </c>
      <c r="L151" s="7">
        <f t="shared" si="20"/>
        <v>0.13157894736842105</v>
      </c>
      <c r="M151" s="7">
        <f t="shared" si="21"/>
        <v>0.15789473684210525</v>
      </c>
      <c r="N151" s="7">
        <f t="shared" si="22"/>
        <v>0.18421052631578946</v>
      </c>
      <c r="O151" s="51">
        <f>IF(G151&gt;0,DT!AC151*I151+DT!AD151*J151+DT!AE151*K151+DT!AF151*L151+DT!AG151*M151+DT!AH151*N151,"")</f>
        <v>1.25</v>
      </c>
      <c r="P151" s="15"/>
    </row>
    <row r="152" spans="1:16">
      <c r="A152" s="60">
        <v>6</v>
      </c>
      <c r="B152" s="60">
        <v>6</v>
      </c>
      <c r="C152" s="60">
        <v>6</v>
      </c>
      <c r="D152" s="60">
        <v>7</v>
      </c>
      <c r="E152" s="60">
        <v>5</v>
      </c>
      <c r="F152" s="60">
        <v>5</v>
      </c>
      <c r="G152" s="1">
        <f t="shared" si="23"/>
        <v>35</v>
      </c>
      <c r="I152" s="7">
        <f t="shared" si="17"/>
        <v>0.17142857142857143</v>
      </c>
      <c r="J152" s="7">
        <f t="shared" si="18"/>
        <v>0.17142857142857143</v>
      </c>
      <c r="K152" s="7">
        <f t="shared" si="19"/>
        <v>0.17142857142857143</v>
      </c>
      <c r="L152" s="7">
        <f t="shared" si="20"/>
        <v>0.2</v>
      </c>
      <c r="M152" s="7">
        <f t="shared" si="21"/>
        <v>0.14285714285714285</v>
      </c>
      <c r="N152" s="7">
        <f t="shared" si="22"/>
        <v>0.14285714285714285</v>
      </c>
      <c r="O152" s="51">
        <f>IF(G152&gt;0,DT!AC152*I152+DT!AD152*J152+DT!AE152*K152+DT!AF152*L152+DT!AG152*M152+DT!AH152*N152,"")</f>
        <v>1.4214285714285713</v>
      </c>
      <c r="P152" s="15"/>
    </row>
    <row r="153" spans="1:16">
      <c r="A153" s="60">
        <v>6</v>
      </c>
      <c r="B153" s="60">
        <v>7</v>
      </c>
      <c r="C153" s="60">
        <v>6</v>
      </c>
      <c r="D153" s="60">
        <v>6</v>
      </c>
      <c r="E153" s="60">
        <v>6</v>
      </c>
      <c r="F153" s="60">
        <v>5</v>
      </c>
      <c r="G153" s="1">
        <f t="shared" si="23"/>
        <v>36</v>
      </c>
      <c r="I153" s="7">
        <f t="shared" si="17"/>
        <v>0.16666666666666666</v>
      </c>
      <c r="J153" s="7">
        <f t="shared" si="18"/>
        <v>0.19444444444444445</v>
      </c>
      <c r="K153" s="7">
        <f t="shared" si="19"/>
        <v>0.16666666666666666</v>
      </c>
      <c r="L153" s="7">
        <f t="shared" si="20"/>
        <v>0.16666666666666666</v>
      </c>
      <c r="M153" s="7">
        <f t="shared" si="21"/>
        <v>0.16666666666666666</v>
      </c>
      <c r="N153" s="7">
        <f t="shared" si="22"/>
        <v>0.1388888888888889</v>
      </c>
      <c r="O153" s="51">
        <f>IF(G153&gt;0,DT!AC153*I153+DT!AD153*J153+DT!AE153*K153+DT!AF153*L153+DT!AG153*M153+DT!AH153*N153,"")</f>
        <v>1.9027777777777777</v>
      </c>
      <c r="P153" s="15"/>
    </row>
    <row r="154" spans="1:16">
      <c r="A154" s="60">
        <v>4</v>
      </c>
      <c r="B154" s="60">
        <v>6</v>
      </c>
      <c r="C154" s="60">
        <v>6</v>
      </c>
      <c r="D154" s="60">
        <v>6</v>
      </c>
      <c r="E154" s="60">
        <v>4</v>
      </c>
      <c r="F154" s="60">
        <v>4</v>
      </c>
      <c r="G154" s="1">
        <f t="shared" si="23"/>
        <v>30</v>
      </c>
      <c r="I154" s="7">
        <f t="shared" si="17"/>
        <v>0.13333333333333333</v>
      </c>
      <c r="J154" s="7">
        <f t="shared" si="18"/>
        <v>0.2</v>
      </c>
      <c r="K154" s="7">
        <f t="shared" si="19"/>
        <v>0.2</v>
      </c>
      <c r="L154" s="7">
        <f t="shared" si="20"/>
        <v>0.2</v>
      </c>
      <c r="M154" s="7">
        <f t="shared" si="21"/>
        <v>0.13333333333333333</v>
      </c>
      <c r="N154" s="7">
        <f t="shared" si="22"/>
        <v>0.13333333333333333</v>
      </c>
      <c r="O154" s="51">
        <f>IF(G154&gt;0,DT!AC154*I154+DT!AD154*J154+DT!AE154*K154+DT!AF154*L154+DT!AG154*M154+DT!AH154*N154,"")</f>
        <v>0.35555555555555562</v>
      </c>
      <c r="P154" s="15"/>
    </row>
    <row r="155" spans="1:16">
      <c r="A155" s="60">
        <v>5</v>
      </c>
      <c r="B155" s="60">
        <v>5</v>
      </c>
      <c r="C155" s="60">
        <v>6</v>
      </c>
      <c r="D155" s="60">
        <v>5</v>
      </c>
      <c r="E155" s="60">
        <v>4</v>
      </c>
      <c r="F155" s="60">
        <v>4</v>
      </c>
      <c r="G155" s="1">
        <f t="shared" si="23"/>
        <v>29</v>
      </c>
      <c r="I155" s="7">
        <f t="shared" si="17"/>
        <v>0.17241379310344829</v>
      </c>
      <c r="J155" s="7">
        <f t="shared" si="18"/>
        <v>0.17241379310344829</v>
      </c>
      <c r="K155" s="7">
        <f t="shared" si="19"/>
        <v>0.20689655172413793</v>
      </c>
      <c r="L155" s="7">
        <f t="shared" si="20"/>
        <v>0.17241379310344829</v>
      </c>
      <c r="M155" s="7">
        <f t="shared" si="21"/>
        <v>0.13793103448275862</v>
      </c>
      <c r="N155" s="7">
        <f t="shared" si="22"/>
        <v>0.13793103448275862</v>
      </c>
      <c r="O155" s="51">
        <f>IF(G155&gt;0,DT!AC155*I155+DT!AD155*J155+DT!AE155*K155+DT!AF155*L155+DT!AG155*M155+DT!AH155*N155,"")</f>
        <v>1.2327586206896552</v>
      </c>
      <c r="P155" s="15"/>
    </row>
    <row r="156" spans="1:16">
      <c r="A156" s="60">
        <v>6</v>
      </c>
      <c r="B156" s="60">
        <v>6</v>
      </c>
      <c r="C156" s="60">
        <v>6</v>
      </c>
      <c r="D156" s="60">
        <v>5</v>
      </c>
      <c r="E156" s="60">
        <v>4</v>
      </c>
      <c r="F156" s="60">
        <v>5</v>
      </c>
      <c r="G156" s="1">
        <f t="shared" si="23"/>
        <v>32</v>
      </c>
      <c r="I156" s="7">
        <f t="shared" si="17"/>
        <v>0.1875</v>
      </c>
      <c r="J156" s="7">
        <f t="shared" si="18"/>
        <v>0.1875</v>
      </c>
      <c r="K156" s="7">
        <f t="shared" si="19"/>
        <v>0.1875</v>
      </c>
      <c r="L156" s="7">
        <f t="shared" si="20"/>
        <v>0.15625</v>
      </c>
      <c r="M156" s="7">
        <f t="shared" si="21"/>
        <v>0.125</v>
      </c>
      <c r="N156" s="7">
        <f t="shared" si="22"/>
        <v>0.15625</v>
      </c>
      <c r="O156" s="51">
        <f>IF(G156&gt;0,DT!AC156*I156+DT!AD156*J156+DT!AE156*K156+DT!AF156*L156+DT!AG156*M156+DT!AH156*N156,"")</f>
        <v>0.453125</v>
      </c>
      <c r="P156" s="15"/>
    </row>
    <row r="157" spans="1:16">
      <c r="A157" s="60">
        <v>2</v>
      </c>
      <c r="B157" s="60">
        <v>7</v>
      </c>
      <c r="C157" s="60">
        <v>7</v>
      </c>
      <c r="D157" s="60">
        <v>6</v>
      </c>
      <c r="E157" s="60">
        <v>3</v>
      </c>
      <c r="F157" s="60">
        <v>4</v>
      </c>
      <c r="G157" s="1">
        <f t="shared" si="23"/>
        <v>29</v>
      </c>
      <c r="I157" s="7">
        <f t="shared" si="17"/>
        <v>6.8965517241379309E-2</v>
      </c>
      <c r="J157" s="7">
        <f t="shared" si="18"/>
        <v>0.2413793103448276</v>
      </c>
      <c r="K157" s="7">
        <f t="shared" si="19"/>
        <v>0.2413793103448276</v>
      </c>
      <c r="L157" s="7">
        <f t="shared" si="20"/>
        <v>0.20689655172413793</v>
      </c>
      <c r="M157" s="7">
        <f t="shared" si="21"/>
        <v>0.10344827586206896</v>
      </c>
      <c r="N157" s="7">
        <f t="shared" si="22"/>
        <v>0.13793103448275862</v>
      </c>
      <c r="O157" s="51">
        <f>IF(G157&gt;0,DT!AC157*I157+DT!AD157*J157+DT!AE157*K157+DT!AF157*L157+DT!AG157*M157+DT!AH157*N157,"")</f>
        <v>1.4942528735632183</v>
      </c>
      <c r="P157" s="15"/>
    </row>
    <row r="158" spans="1:16">
      <c r="A158" s="60">
        <v>5</v>
      </c>
      <c r="B158" s="60">
        <v>4</v>
      </c>
      <c r="C158" s="60">
        <v>5</v>
      </c>
      <c r="D158" s="60">
        <v>5</v>
      </c>
      <c r="E158" s="60">
        <v>6</v>
      </c>
      <c r="F158" s="60">
        <v>6</v>
      </c>
      <c r="G158" s="1">
        <f t="shared" si="23"/>
        <v>31</v>
      </c>
      <c r="I158" s="7">
        <f t="shared" si="17"/>
        <v>0.16129032258064516</v>
      </c>
      <c r="J158" s="7">
        <f t="shared" si="18"/>
        <v>0.12903225806451613</v>
      </c>
      <c r="K158" s="7">
        <f t="shared" si="19"/>
        <v>0.16129032258064516</v>
      </c>
      <c r="L158" s="7">
        <f t="shared" si="20"/>
        <v>0.16129032258064516</v>
      </c>
      <c r="M158" s="7">
        <f t="shared" si="21"/>
        <v>0.19354838709677419</v>
      </c>
      <c r="N158" s="7">
        <f t="shared" si="22"/>
        <v>0.19354838709677419</v>
      </c>
      <c r="O158" s="51">
        <f>IF(G158&gt;0,DT!AC158*I158+DT!AD158*J158+DT!AE158*K158+DT!AF158*L158+DT!AG158*M158+DT!AH158*N158,"")</f>
        <v>-0.5268817204301075</v>
      </c>
      <c r="P158" s="15"/>
    </row>
    <row r="159" spans="1:16">
      <c r="A159" s="60">
        <v>4</v>
      </c>
      <c r="B159" s="60">
        <v>5</v>
      </c>
      <c r="C159" s="60">
        <v>6</v>
      </c>
      <c r="D159" s="60">
        <v>6</v>
      </c>
      <c r="E159" s="60">
        <v>4</v>
      </c>
      <c r="F159" s="60">
        <v>4</v>
      </c>
      <c r="G159" s="1">
        <f t="shared" si="23"/>
        <v>29</v>
      </c>
      <c r="I159" s="7">
        <f t="shared" si="17"/>
        <v>0.13793103448275862</v>
      </c>
      <c r="J159" s="7">
        <f t="shared" si="18"/>
        <v>0.17241379310344829</v>
      </c>
      <c r="K159" s="7">
        <f t="shared" si="19"/>
        <v>0.20689655172413793</v>
      </c>
      <c r="L159" s="7">
        <f t="shared" si="20"/>
        <v>0.20689655172413793</v>
      </c>
      <c r="M159" s="7">
        <f t="shared" si="21"/>
        <v>0.13793103448275862</v>
      </c>
      <c r="N159" s="7">
        <f t="shared" si="22"/>
        <v>0.13793103448275862</v>
      </c>
      <c r="O159" s="51">
        <f>IF(G159&gt;0,DT!AC159*I159+DT!AD159*J159+DT!AE159*K159+DT!AF159*L159+DT!AG159*M159+DT!AH159*N159,"")</f>
        <v>0.22413793103448273</v>
      </c>
      <c r="P159" s="15"/>
    </row>
    <row r="160" spans="1:16">
      <c r="A160" s="60">
        <v>7</v>
      </c>
      <c r="B160" s="60">
        <v>7</v>
      </c>
      <c r="C160" s="60">
        <v>7</v>
      </c>
      <c r="D160" s="60">
        <v>5</v>
      </c>
      <c r="E160" s="60">
        <v>6</v>
      </c>
      <c r="F160" s="60">
        <v>6</v>
      </c>
      <c r="G160" s="1">
        <f t="shared" si="23"/>
        <v>38</v>
      </c>
      <c r="I160" s="7">
        <f t="shared" si="17"/>
        <v>0.18421052631578946</v>
      </c>
      <c r="J160" s="7">
        <f t="shared" si="18"/>
        <v>0.18421052631578946</v>
      </c>
      <c r="K160" s="7">
        <f t="shared" si="19"/>
        <v>0.18421052631578946</v>
      </c>
      <c r="L160" s="7">
        <f t="shared" si="20"/>
        <v>0.13157894736842105</v>
      </c>
      <c r="M160" s="7">
        <f t="shared" si="21"/>
        <v>0.15789473684210525</v>
      </c>
      <c r="N160" s="7">
        <f t="shared" si="22"/>
        <v>0.15789473684210525</v>
      </c>
      <c r="O160" s="51">
        <f>IF(G160&gt;0,DT!AC160*I160+DT!AD160*J160+DT!AE160*K160+DT!AF160*L160+DT!AG160*M160+DT!AH160*N160,"")</f>
        <v>1.6973684210526316</v>
      </c>
      <c r="P160" s="15"/>
    </row>
    <row r="161" spans="1:16">
      <c r="A161" s="60">
        <v>5</v>
      </c>
      <c r="B161" s="60">
        <v>7</v>
      </c>
      <c r="C161" s="60">
        <v>7</v>
      </c>
      <c r="D161" s="60">
        <v>7</v>
      </c>
      <c r="E161" s="60">
        <v>4</v>
      </c>
      <c r="F161" s="60">
        <v>4</v>
      </c>
      <c r="G161" s="1">
        <f t="shared" si="23"/>
        <v>34</v>
      </c>
      <c r="I161" s="7">
        <f t="shared" si="17"/>
        <v>0.14705882352941177</v>
      </c>
      <c r="J161" s="7">
        <f t="shared" si="18"/>
        <v>0.20588235294117646</v>
      </c>
      <c r="K161" s="7">
        <f t="shared" si="19"/>
        <v>0.20588235294117646</v>
      </c>
      <c r="L161" s="7">
        <f t="shared" si="20"/>
        <v>0.20588235294117646</v>
      </c>
      <c r="M161" s="7">
        <f t="shared" si="21"/>
        <v>0.11764705882352941</v>
      </c>
      <c r="N161" s="7">
        <f t="shared" si="22"/>
        <v>0.11764705882352941</v>
      </c>
      <c r="O161" s="51">
        <f>IF(G161&gt;0,DT!AC161*I161+DT!AD161*J161+DT!AE161*K161+DT!AF161*L161+DT!AG161*M161+DT!AH161*N161,"")</f>
        <v>2.0318627450980391</v>
      </c>
      <c r="P161" s="15"/>
    </row>
    <row r="162" spans="1:16">
      <c r="A162" s="60">
        <v>7</v>
      </c>
      <c r="B162" s="60">
        <v>7</v>
      </c>
      <c r="C162" s="60">
        <v>7</v>
      </c>
      <c r="D162" s="60">
        <v>7</v>
      </c>
      <c r="E162" s="60">
        <v>7</v>
      </c>
      <c r="F162" s="60">
        <v>7</v>
      </c>
      <c r="G162" s="1">
        <f t="shared" si="23"/>
        <v>42</v>
      </c>
      <c r="I162" s="7">
        <f t="shared" si="17"/>
        <v>0.16666666666666666</v>
      </c>
      <c r="J162" s="7">
        <f t="shared" si="18"/>
        <v>0.16666666666666666</v>
      </c>
      <c r="K162" s="7">
        <f t="shared" si="19"/>
        <v>0.16666666666666666</v>
      </c>
      <c r="L162" s="7">
        <f t="shared" si="20"/>
        <v>0.16666666666666666</v>
      </c>
      <c r="M162" s="7">
        <f t="shared" si="21"/>
        <v>0.16666666666666666</v>
      </c>
      <c r="N162" s="7">
        <f t="shared" si="22"/>
        <v>0.16666666666666666</v>
      </c>
      <c r="O162" s="51">
        <f>IF(G162&gt;0,DT!AC162*I162+DT!AD162*J162+DT!AE162*K162+DT!AF162*L162+DT!AG162*M162+DT!AH162*N162,"")</f>
        <v>-0.99999999999999989</v>
      </c>
      <c r="P162" s="15"/>
    </row>
    <row r="163" spans="1:16">
      <c r="A163" s="60">
        <v>7</v>
      </c>
      <c r="B163" s="60">
        <v>6</v>
      </c>
      <c r="C163" s="60">
        <v>6</v>
      </c>
      <c r="D163" s="60">
        <v>6</v>
      </c>
      <c r="E163" s="60">
        <v>7</v>
      </c>
      <c r="F163" s="60">
        <v>6</v>
      </c>
      <c r="G163" s="1">
        <f t="shared" si="23"/>
        <v>38</v>
      </c>
      <c r="I163" s="7">
        <f t="shared" si="17"/>
        <v>0.18421052631578946</v>
      </c>
      <c r="J163" s="7">
        <f t="shared" si="18"/>
        <v>0.15789473684210525</v>
      </c>
      <c r="K163" s="7">
        <f t="shared" si="19"/>
        <v>0.15789473684210525</v>
      </c>
      <c r="L163" s="7">
        <f t="shared" si="20"/>
        <v>0.15789473684210525</v>
      </c>
      <c r="M163" s="7">
        <f t="shared" si="21"/>
        <v>0.18421052631578946</v>
      </c>
      <c r="N163" s="7">
        <f t="shared" si="22"/>
        <v>0.15789473684210525</v>
      </c>
      <c r="O163" s="51">
        <f>IF(G163&gt;0,DT!AC163*I163+DT!AD163*J163+DT!AE163*K163+DT!AF163*L163+DT!AG163*M163+DT!AH163*N163,"")</f>
        <v>2.0964912280701755</v>
      </c>
      <c r="P163" s="15"/>
    </row>
    <row r="164" spans="1:16">
      <c r="A164" s="60">
        <v>5</v>
      </c>
      <c r="B164" s="60">
        <v>5</v>
      </c>
      <c r="C164" s="60">
        <v>7</v>
      </c>
      <c r="D164" s="60">
        <v>6</v>
      </c>
      <c r="E164" s="60">
        <v>6</v>
      </c>
      <c r="F164" s="60">
        <v>6</v>
      </c>
      <c r="G164" s="1">
        <f t="shared" si="23"/>
        <v>35</v>
      </c>
      <c r="I164" s="7">
        <f t="shared" si="17"/>
        <v>0.14285714285714285</v>
      </c>
      <c r="J164" s="7">
        <f t="shared" si="18"/>
        <v>0.14285714285714285</v>
      </c>
      <c r="K164" s="7">
        <f t="shared" si="19"/>
        <v>0.2</v>
      </c>
      <c r="L164" s="7">
        <f t="shared" si="20"/>
        <v>0.17142857142857143</v>
      </c>
      <c r="M164" s="7">
        <f t="shared" si="21"/>
        <v>0.17142857142857143</v>
      </c>
      <c r="N164" s="7">
        <f t="shared" si="22"/>
        <v>0.17142857142857143</v>
      </c>
      <c r="O164" s="51">
        <f>IF(G164&gt;0,DT!AC164*I164+DT!AD164*J164+DT!AE164*K164+DT!AF164*L164+DT!AG164*M164+DT!AH164*N164,"")</f>
        <v>0.91428571428571426</v>
      </c>
      <c r="P164" s="15"/>
    </row>
    <row r="165" spans="1:16">
      <c r="A165" s="60">
        <v>7</v>
      </c>
      <c r="B165" s="60">
        <v>6</v>
      </c>
      <c r="C165" s="60">
        <v>7</v>
      </c>
      <c r="D165" s="60">
        <v>7</v>
      </c>
      <c r="E165" s="60">
        <v>7</v>
      </c>
      <c r="F165" s="60">
        <v>7</v>
      </c>
      <c r="G165" s="1">
        <f t="shared" si="23"/>
        <v>41</v>
      </c>
      <c r="I165" s="7">
        <f t="shared" si="17"/>
        <v>0.17073170731707318</v>
      </c>
      <c r="J165" s="7">
        <f t="shared" si="18"/>
        <v>0.14634146341463414</v>
      </c>
      <c r="K165" s="7">
        <f t="shared" si="19"/>
        <v>0.17073170731707318</v>
      </c>
      <c r="L165" s="7">
        <f t="shared" si="20"/>
        <v>0.17073170731707318</v>
      </c>
      <c r="M165" s="7">
        <f t="shared" si="21"/>
        <v>0.17073170731707318</v>
      </c>
      <c r="N165" s="7">
        <f t="shared" si="22"/>
        <v>0.17073170731707318</v>
      </c>
      <c r="O165" s="51">
        <f>IF(G165&gt;0,DT!AC165*I165+DT!AD165*J165+DT!AE165*K165+DT!AF165*L165+DT!AG165*M165+DT!AH165*N165,"")</f>
        <v>2.4634146341463419</v>
      </c>
      <c r="P165" s="15"/>
    </row>
    <row r="166" spans="1:16">
      <c r="A166" s="60">
        <v>6</v>
      </c>
      <c r="B166" s="60">
        <v>5</v>
      </c>
      <c r="C166" s="60">
        <v>7</v>
      </c>
      <c r="D166" s="60">
        <v>5</v>
      </c>
      <c r="E166" s="60">
        <v>6</v>
      </c>
      <c r="F166" s="60">
        <v>5</v>
      </c>
      <c r="G166" s="1">
        <f t="shared" si="23"/>
        <v>34</v>
      </c>
      <c r="I166" s="7">
        <f t="shared" si="17"/>
        <v>0.17647058823529413</v>
      </c>
      <c r="J166" s="7">
        <f t="shared" si="18"/>
        <v>0.14705882352941177</v>
      </c>
      <c r="K166" s="7">
        <f t="shared" si="19"/>
        <v>0.20588235294117646</v>
      </c>
      <c r="L166" s="7">
        <f t="shared" si="20"/>
        <v>0.14705882352941177</v>
      </c>
      <c r="M166" s="7">
        <f t="shared" si="21"/>
        <v>0.17647058823529413</v>
      </c>
      <c r="N166" s="7">
        <f t="shared" si="22"/>
        <v>0.14705882352941177</v>
      </c>
      <c r="O166" s="51">
        <f>IF(G166&gt;0,DT!AC166*I166+DT!AD166*J166+DT!AE166*K166+DT!AF166*L166+DT!AG166*M166+DT!AH166*N166,"")</f>
        <v>0.5220588235294118</v>
      </c>
      <c r="P166" s="15"/>
    </row>
    <row r="167" spans="1:16">
      <c r="A167" s="60">
        <v>7</v>
      </c>
      <c r="B167" s="60">
        <v>7</v>
      </c>
      <c r="C167" s="60">
        <v>6</v>
      </c>
      <c r="D167" s="60">
        <v>6</v>
      </c>
      <c r="E167" s="60">
        <v>6</v>
      </c>
      <c r="F167" s="60">
        <v>6</v>
      </c>
      <c r="G167" s="1">
        <f t="shared" si="23"/>
        <v>38</v>
      </c>
      <c r="I167" s="7">
        <f t="shared" si="17"/>
        <v>0.18421052631578946</v>
      </c>
      <c r="J167" s="7">
        <f t="shared" si="18"/>
        <v>0.18421052631578946</v>
      </c>
      <c r="K167" s="7">
        <f t="shared" si="19"/>
        <v>0.15789473684210525</v>
      </c>
      <c r="L167" s="7">
        <f t="shared" si="20"/>
        <v>0.15789473684210525</v>
      </c>
      <c r="M167" s="7">
        <f t="shared" si="21"/>
        <v>0.15789473684210525</v>
      </c>
      <c r="N167" s="7">
        <f t="shared" si="22"/>
        <v>0.15789473684210525</v>
      </c>
      <c r="O167" s="51">
        <f>IF(G167&gt;0,DT!AC167*I167+DT!AD167*J167+DT!AE167*K167+DT!AF167*L167+DT!AG167*M167+DT!AH167*N167,"")</f>
        <v>-1.6008771929824561</v>
      </c>
      <c r="P167" s="15"/>
    </row>
    <row r="168" spans="1:16">
      <c r="A168" s="60">
        <v>6</v>
      </c>
      <c r="B168" s="60">
        <v>5</v>
      </c>
      <c r="C168" s="60">
        <v>6</v>
      </c>
      <c r="D168" s="60">
        <v>6</v>
      </c>
      <c r="E168" s="60">
        <v>6</v>
      </c>
      <c r="F168" s="60">
        <v>6</v>
      </c>
      <c r="G168" s="1">
        <f t="shared" si="23"/>
        <v>35</v>
      </c>
      <c r="I168" s="7">
        <f t="shared" si="17"/>
        <v>0.17142857142857143</v>
      </c>
      <c r="J168" s="7">
        <f t="shared" si="18"/>
        <v>0.14285714285714285</v>
      </c>
      <c r="K168" s="7">
        <f t="shared" si="19"/>
        <v>0.17142857142857143</v>
      </c>
      <c r="L168" s="7">
        <f t="shared" si="20"/>
        <v>0.17142857142857143</v>
      </c>
      <c r="M168" s="7">
        <f t="shared" si="21"/>
        <v>0.17142857142857143</v>
      </c>
      <c r="N168" s="7">
        <f t="shared" si="22"/>
        <v>0.17142857142857143</v>
      </c>
      <c r="O168" s="51">
        <f>IF(G168&gt;0,DT!AC168*I168+DT!AD168*J168+DT!AE168*K168+DT!AF168*L168+DT!AG168*M168+DT!AH168*N168,"")</f>
        <v>0.70714285714285718</v>
      </c>
      <c r="P168" s="15"/>
    </row>
    <row r="169" spans="1:16">
      <c r="A169" s="60">
        <v>6</v>
      </c>
      <c r="B169" s="60">
        <v>5</v>
      </c>
      <c r="C169" s="60">
        <v>6</v>
      </c>
      <c r="D169" s="60">
        <v>5</v>
      </c>
      <c r="E169" s="60">
        <v>4</v>
      </c>
      <c r="F169" s="60">
        <v>5</v>
      </c>
      <c r="G169" s="1">
        <f t="shared" si="23"/>
        <v>31</v>
      </c>
      <c r="I169" s="7">
        <f t="shared" si="17"/>
        <v>0.19354838709677419</v>
      </c>
      <c r="J169" s="7">
        <f t="shared" si="18"/>
        <v>0.16129032258064516</v>
      </c>
      <c r="K169" s="7">
        <f t="shared" si="19"/>
        <v>0.19354838709677419</v>
      </c>
      <c r="L169" s="7">
        <f t="shared" si="20"/>
        <v>0.16129032258064516</v>
      </c>
      <c r="M169" s="7">
        <f t="shared" si="21"/>
        <v>0.12903225806451613</v>
      </c>
      <c r="N169" s="7">
        <f t="shared" si="22"/>
        <v>0.16129032258064516</v>
      </c>
      <c r="O169" s="51">
        <f>IF(G169&gt;0,DT!AC169*I169+DT!AD169*J169+DT!AE169*K169+DT!AF169*L169+DT!AG169*M169+DT!AH169*N169,"")</f>
        <v>1.6209677419354838</v>
      </c>
      <c r="P169" s="15"/>
    </row>
    <row r="170" spans="1:16">
      <c r="A170" s="60">
        <v>5</v>
      </c>
      <c r="B170" s="60">
        <v>6</v>
      </c>
      <c r="C170" s="60">
        <v>7</v>
      </c>
      <c r="D170" s="60">
        <v>6</v>
      </c>
      <c r="E170" s="60">
        <v>7</v>
      </c>
      <c r="F170" s="60">
        <v>5</v>
      </c>
      <c r="G170" s="1">
        <f t="shared" si="23"/>
        <v>36</v>
      </c>
      <c r="I170" s="7">
        <f t="shared" si="17"/>
        <v>0.1388888888888889</v>
      </c>
      <c r="J170" s="7">
        <f t="shared" si="18"/>
        <v>0.16666666666666666</v>
      </c>
      <c r="K170" s="7">
        <f t="shared" si="19"/>
        <v>0.19444444444444445</v>
      </c>
      <c r="L170" s="7">
        <f t="shared" si="20"/>
        <v>0.16666666666666666</v>
      </c>
      <c r="M170" s="7">
        <f t="shared" si="21"/>
        <v>0.19444444444444445</v>
      </c>
      <c r="N170" s="7">
        <f t="shared" si="22"/>
        <v>0.1388888888888889</v>
      </c>
      <c r="O170" s="51">
        <f>IF(G170&gt;0,DT!AC170*I170+DT!AD170*J170+DT!AE170*K170+DT!AF170*L170+DT!AG170*M170+DT!AH170*N170,"")</f>
        <v>2.2291666666666665</v>
      </c>
      <c r="P170" s="15"/>
    </row>
    <row r="171" spans="1:16">
      <c r="A171" s="60">
        <v>7</v>
      </c>
      <c r="B171" s="60">
        <v>7</v>
      </c>
      <c r="C171" s="60">
        <v>7</v>
      </c>
      <c r="D171" s="60">
        <v>7</v>
      </c>
      <c r="E171" s="60">
        <v>7</v>
      </c>
      <c r="F171" s="60">
        <v>7</v>
      </c>
      <c r="G171" s="1">
        <f t="shared" si="23"/>
        <v>42</v>
      </c>
      <c r="I171" s="7">
        <f t="shared" si="17"/>
        <v>0.16666666666666666</v>
      </c>
      <c r="J171" s="7">
        <f t="shared" si="18"/>
        <v>0.16666666666666666</v>
      </c>
      <c r="K171" s="7">
        <f t="shared" si="19"/>
        <v>0.16666666666666666</v>
      </c>
      <c r="L171" s="7">
        <f t="shared" si="20"/>
        <v>0.16666666666666666</v>
      </c>
      <c r="M171" s="7">
        <f t="shared" si="21"/>
        <v>0.16666666666666666</v>
      </c>
      <c r="N171" s="7">
        <f t="shared" si="22"/>
        <v>0.16666666666666666</v>
      </c>
      <c r="O171" s="51">
        <f>IF(G171&gt;0,DT!AC171*I171+DT!AD171*J171+DT!AE171*K171+DT!AF171*L171+DT!AG171*M171+DT!AH171*N171,"")</f>
        <v>0.23611111111111108</v>
      </c>
      <c r="P171" s="15"/>
    </row>
    <row r="172" spans="1:16">
      <c r="A172" s="60">
        <v>3</v>
      </c>
      <c r="B172" s="60">
        <v>5</v>
      </c>
      <c r="C172" s="60">
        <v>5</v>
      </c>
      <c r="D172" s="60">
        <v>4</v>
      </c>
      <c r="E172" s="60">
        <v>4</v>
      </c>
      <c r="F172" s="60">
        <v>4</v>
      </c>
      <c r="G172" s="1">
        <f t="shared" si="23"/>
        <v>25</v>
      </c>
      <c r="I172" s="7">
        <f t="shared" si="17"/>
        <v>0.12</v>
      </c>
      <c r="J172" s="7">
        <f t="shared" si="18"/>
        <v>0.2</v>
      </c>
      <c r="K172" s="7">
        <f t="shared" si="19"/>
        <v>0.2</v>
      </c>
      <c r="L172" s="7">
        <f t="shared" si="20"/>
        <v>0.16</v>
      </c>
      <c r="M172" s="7">
        <f t="shared" si="21"/>
        <v>0.16</v>
      </c>
      <c r="N172" s="7">
        <f t="shared" si="22"/>
        <v>0.16</v>
      </c>
      <c r="O172" s="51">
        <f>IF(G172&gt;0,DT!AC172*I172+DT!AD172*J172+DT!AE172*K172+DT!AF172*L172+DT!AG172*M172+DT!AH172*N172,"")</f>
        <v>0.8600000000000001</v>
      </c>
      <c r="P172" s="15"/>
    </row>
    <row r="173" spans="1:16">
      <c r="A173" s="60">
        <v>6</v>
      </c>
      <c r="B173" s="60">
        <v>6</v>
      </c>
      <c r="C173" s="60">
        <v>6</v>
      </c>
      <c r="D173" s="60">
        <v>5</v>
      </c>
      <c r="E173" s="60">
        <v>4</v>
      </c>
      <c r="F173" s="60">
        <v>5</v>
      </c>
      <c r="G173" s="1">
        <f t="shared" si="23"/>
        <v>32</v>
      </c>
      <c r="I173" s="7">
        <f t="shared" si="17"/>
        <v>0.1875</v>
      </c>
      <c r="J173" s="7">
        <f t="shared" si="18"/>
        <v>0.1875</v>
      </c>
      <c r="K173" s="7">
        <f t="shared" si="19"/>
        <v>0.1875</v>
      </c>
      <c r="L173" s="7">
        <f t="shared" si="20"/>
        <v>0.15625</v>
      </c>
      <c r="M173" s="7">
        <f t="shared" si="21"/>
        <v>0.125</v>
      </c>
      <c r="N173" s="7">
        <f t="shared" si="22"/>
        <v>0.15625</v>
      </c>
      <c r="O173" s="51">
        <f>IF(G173&gt;0,DT!AC173*I173+DT!AD173*J173+DT!AE173*K173+DT!AF173*L173+DT!AG173*M173+DT!AH173*N173,"")</f>
        <v>1.796875</v>
      </c>
      <c r="P173" s="15"/>
    </row>
    <row r="174" spans="1:16">
      <c r="A174" s="60">
        <v>5</v>
      </c>
      <c r="B174" s="60">
        <v>6</v>
      </c>
      <c r="C174" s="60">
        <v>6</v>
      </c>
      <c r="D174" s="60">
        <v>7</v>
      </c>
      <c r="E174" s="60">
        <v>5</v>
      </c>
      <c r="F174" s="60">
        <v>5</v>
      </c>
      <c r="G174" s="1">
        <f t="shared" si="23"/>
        <v>34</v>
      </c>
      <c r="I174" s="7">
        <f t="shared" si="17"/>
        <v>0.14705882352941177</v>
      </c>
      <c r="J174" s="7">
        <f t="shared" si="18"/>
        <v>0.17647058823529413</v>
      </c>
      <c r="K174" s="7">
        <f t="shared" si="19"/>
        <v>0.17647058823529413</v>
      </c>
      <c r="L174" s="7">
        <f t="shared" si="20"/>
        <v>0.20588235294117646</v>
      </c>
      <c r="M174" s="7">
        <f t="shared" si="21"/>
        <v>0.14705882352941177</v>
      </c>
      <c r="N174" s="7">
        <f t="shared" si="22"/>
        <v>0.14705882352941177</v>
      </c>
      <c r="O174" s="51">
        <f>IF(G174&gt;0,DT!AC174*I174+DT!AD174*J174+DT!AE174*K174+DT!AF174*L174+DT!AG174*M174+DT!AH174*N174,"")</f>
        <v>0.60539215686274517</v>
      </c>
      <c r="P174" s="15"/>
    </row>
    <row r="175" spans="1:16">
      <c r="A175" s="60">
        <v>5</v>
      </c>
      <c r="B175" s="60">
        <v>5</v>
      </c>
      <c r="C175" s="60">
        <v>6</v>
      </c>
      <c r="D175" s="60">
        <v>7</v>
      </c>
      <c r="E175" s="60">
        <v>4</v>
      </c>
      <c r="F175" s="60">
        <v>5</v>
      </c>
      <c r="G175" s="1">
        <f t="shared" si="23"/>
        <v>32</v>
      </c>
      <c r="I175" s="7">
        <f t="shared" si="17"/>
        <v>0.15625</v>
      </c>
      <c r="J175" s="7">
        <f t="shared" si="18"/>
        <v>0.15625</v>
      </c>
      <c r="K175" s="7">
        <f t="shared" si="19"/>
        <v>0.1875</v>
      </c>
      <c r="L175" s="7">
        <f t="shared" si="20"/>
        <v>0.21875</v>
      </c>
      <c r="M175" s="7">
        <f t="shared" si="21"/>
        <v>0.125</v>
      </c>
      <c r="N175" s="7">
        <f t="shared" si="22"/>
        <v>0.15625</v>
      </c>
      <c r="O175" s="51">
        <f>IF(G175&gt;0,DT!AC175*I175+DT!AD175*J175+DT!AE175*K175+DT!AF175*L175+DT!AG175*M175+DT!AH175*N175,"")</f>
        <v>1.5885416666666667</v>
      </c>
      <c r="P175" s="15"/>
    </row>
    <row r="176" spans="1:16">
      <c r="A176" s="60">
        <v>4</v>
      </c>
      <c r="B176" s="60">
        <v>5</v>
      </c>
      <c r="C176" s="60">
        <v>4</v>
      </c>
      <c r="D176" s="60">
        <v>4</v>
      </c>
      <c r="E176" s="60">
        <v>4</v>
      </c>
      <c r="F176" s="60">
        <v>5</v>
      </c>
      <c r="G176" s="1">
        <f t="shared" si="23"/>
        <v>26</v>
      </c>
      <c r="I176" s="7">
        <f t="shared" si="17"/>
        <v>0.15384615384615385</v>
      </c>
      <c r="J176" s="7">
        <f t="shared" si="18"/>
        <v>0.19230769230769232</v>
      </c>
      <c r="K176" s="7">
        <f t="shared" si="19"/>
        <v>0.15384615384615385</v>
      </c>
      <c r="L176" s="7">
        <f t="shared" si="20"/>
        <v>0.15384615384615385</v>
      </c>
      <c r="M176" s="7">
        <f t="shared" si="21"/>
        <v>0.15384615384615385</v>
      </c>
      <c r="N176" s="7">
        <f t="shared" si="22"/>
        <v>0.19230769230769232</v>
      </c>
      <c r="O176" s="51">
        <f>IF(G176&gt;0,DT!AC176*I176+DT!AD176*J176+DT!AE176*K176+DT!AF176*L176+DT!AG176*M176+DT!AH176*N176,"")</f>
        <v>0.59294871794871806</v>
      </c>
      <c r="P176" s="15"/>
    </row>
    <row r="177" spans="1:16">
      <c r="A177" s="60">
        <v>3</v>
      </c>
      <c r="B177" s="60">
        <v>5</v>
      </c>
      <c r="C177" s="60">
        <v>5</v>
      </c>
      <c r="D177" s="60">
        <v>5</v>
      </c>
      <c r="E177" s="60">
        <v>2</v>
      </c>
      <c r="F177" s="60">
        <v>5</v>
      </c>
      <c r="G177" s="1">
        <f t="shared" si="23"/>
        <v>25</v>
      </c>
      <c r="I177" s="7">
        <f t="shared" si="17"/>
        <v>0.12</v>
      </c>
      <c r="J177" s="7">
        <f t="shared" si="18"/>
        <v>0.2</v>
      </c>
      <c r="K177" s="7">
        <f t="shared" si="19"/>
        <v>0.2</v>
      </c>
      <c r="L177" s="7">
        <f t="shared" si="20"/>
        <v>0.2</v>
      </c>
      <c r="M177" s="7">
        <f t="shared" si="21"/>
        <v>0.08</v>
      </c>
      <c r="N177" s="7">
        <f t="shared" si="22"/>
        <v>0.2</v>
      </c>
      <c r="O177" s="51">
        <f>IF(G177&gt;0,DT!AC177*I177+DT!AD177*J177+DT!AE177*K177+DT!AF177*L177+DT!AG177*M177+DT!AH177*N177,"")</f>
        <v>-1.31</v>
      </c>
      <c r="P177" s="15"/>
    </row>
    <row r="178" spans="1:16">
      <c r="A178" s="60">
        <v>6</v>
      </c>
      <c r="B178" s="60">
        <v>6</v>
      </c>
      <c r="C178" s="60">
        <v>7</v>
      </c>
      <c r="D178" s="60">
        <v>5</v>
      </c>
      <c r="E178" s="60">
        <v>3</v>
      </c>
      <c r="F178" s="60">
        <v>5</v>
      </c>
      <c r="G178" s="1">
        <f t="shared" si="23"/>
        <v>32</v>
      </c>
      <c r="I178" s="7">
        <f t="shared" si="17"/>
        <v>0.1875</v>
      </c>
      <c r="J178" s="7">
        <f t="shared" si="18"/>
        <v>0.1875</v>
      </c>
      <c r="K178" s="7">
        <f t="shared" si="19"/>
        <v>0.21875</v>
      </c>
      <c r="L178" s="7">
        <f t="shared" si="20"/>
        <v>0.15625</v>
      </c>
      <c r="M178" s="7">
        <f t="shared" si="21"/>
        <v>9.375E-2</v>
      </c>
      <c r="N178" s="7">
        <f t="shared" si="22"/>
        <v>0.15625</v>
      </c>
      <c r="O178" s="51">
        <f>IF(G178&gt;0,DT!AC178*I178+DT!AD178*J178+DT!AE178*K178+DT!AF178*L178+DT!AG178*M178+DT!AH178*N178,"")</f>
        <v>1.2578125</v>
      </c>
      <c r="P178" s="15"/>
    </row>
    <row r="179" spans="1:16">
      <c r="A179" s="60">
        <v>7</v>
      </c>
      <c r="B179" s="60">
        <v>7</v>
      </c>
      <c r="C179" s="60">
        <v>7</v>
      </c>
      <c r="D179" s="60">
        <v>7</v>
      </c>
      <c r="E179" s="60">
        <v>7</v>
      </c>
      <c r="F179" s="60">
        <v>7</v>
      </c>
      <c r="G179" s="1">
        <f t="shared" si="23"/>
        <v>42</v>
      </c>
      <c r="I179" s="7">
        <f t="shared" si="17"/>
        <v>0.16666666666666666</v>
      </c>
      <c r="J179" s="7">
        <f t="shared" si="18"/>
        <v>0.16666666666666666</v>
      </c>
      <c r="K179" s="7">
        <f t="shared" si="19"/>
        <v>0.16666666666666666</v>
      </c>
      <c r="L179" s="7">
        <f t="shared" si="20"/>
        <v>0.16666666666666666</v>
      </c>
      <c r="M179" s="7">
        <f t="shared" si="21"/>
        <v>0.16666666666666666</v>
      </c>
      <c r="N179" s="7">
        <f t="shared" si="22"/>
        <v>0.16666666666666666</v>
      </c>
      <c r="O179" s="51">
        <f>IF(G179&gt;0,DT!AC179*I179+DT!AD179*J179+DT!AE179*K179+DT!AF179*L179+DT!AG179*M179+DT!AH179*N179,"")</f>
        <v>1.5138888888888886</v>
      </c>
      <c r="P179" s="15"/>
    </row>
    <row r="180" spans="1:16">
      <c r="A180" s="60">
        <v>6</v>
      </c>
      <c r="B180" s="60">
        <v>7</v>
      </c>
      <c r="C180" s="60">
        <v>6</v>
      </c>
      <c r="D180" s="60">
        <v>6</v>
      </c>
      <c r="E180" s="60">
        <v>4</v>
      </c>
      <c r="F180" s="60">
        <v>5</v>
      </c>
      <c r="G180" s="1">
        <f t="shared" si="23"/>
        <v>34</v>
      </c>
      <c r="I180" s="7">
        <f t="shared" ref="I180:I243" si="24">IF(G180&gt;0,A180/G180,"")</f>
        <v>0.17647058823529413</v>
      </c>
      <c r="J180" s="7">
        <f t="shared" ref="J180:J243" si="25">IF(G180&gt;0,B180/G180,"")</f>
        <v>0.20588235294117646</v>
      </c>
      <c r="K180" s="7">
        <f t="shared" ref="K180:K243" si="26">IF(G180&gt;0,C180/G180,"")</f>
        <v>0.17647058823529413</v>
      </c>
      <c r="L180" s="7">
        <f t="shared" ref="L180:L243" si="27">IF(G180&gt;0,D180/G180,"")</f>
        <v>0.17647058823529413</v>
      </c>
      <c r="M180" s="7">
        <f t="shared" ref="M180:M243" si="28">IF(G180&gt;0,E180/G180,"")</f>
        <v>0.11764705882352941</v>
      </c>
      <c r="N180" s="7">
        <f t="shared" ref="N180:N243" si="29">IF(G180&gt;0,F180/G180,"")</f>
        <v>0.14705882352941177</v>
      </c>
      <c r="O180" s="51">
        <f>IF(G180&gt;0,DT!AC180*I180+DT!AD180*J180+DT!AE180*K180+DT!AF180*L180+DT!AG180*M180+DT!AH180*N180,"")</f>
        <v>1.3088235294117645</v>
      </c>
      <c r="P180" s="15"/>
    </row>
    <row r="181" spans="1:16">
      <c r="A181" s="60">
        <v>3</v>
      </c>
      <c r="B181" s="60">
        <v>6</v>
      </c>
      <c r="C181" s="60">
        <v>6</v>
      </c>
      <c r="D181" s="60">
        <v>6</v>
      </c>
      <c r="E181" s="60">
        <v>3</v>
      </c>
      <c r="F181" s="60">
        <v>6</v>
      </c>
      <c r="G181" s="1">
        <f t="shared" si="23"/>
        <v>30</v>
      </c>
      <c r="I181" s="7">
        <f t="shared" si="24"/>
        <v>0.1</v>
      </c>
      <c r="J181" s="7">
        <f t="shared" si="25"/>
        <v>0.2</v>
      </c>
      <c r="K181" s="7">
        <f t="shared" si="26"/>
        <v>0.2</v>
      </c>
      <c r="L181" s="7">
        <f t="shared" si="27"/>
        <v>0.2</v>
      </c>
      <c r="M181" s="7">
        <f t="shared" si="28"/>
        <v>0.1</v>
      </c>
      <c r="N181" s="7">
        <f t="shared" si="29"/>
        <v>0.2</v>
      </c>
      <c r="O181" s="51">
        <f>IF(G181&gt;0,DT!AC181*I181+DT!AD181*J181+DT!AE181*K181+DT!AF181*L181+DT!AG181*M181+DT!AH181*N181,"")</f>
        <v>0.93333333333333335</v>
      </c>
      <c r="P181" s="15"/>
    </row>
    <row r="182" spans="1:16">
      <c r="A182" s="60">
        <v>5</v>
      </c>
      <c r="B182" s="60">
        <v>6</v>
      </c>
      <c r="C182" s="60">
        <v>7</v>
      </c>
      <c r="D182" s="60">
        <v>6</v>
      </c>
      <c r="E182" s="60">
        <v>4</v>
      </c>
      <c r="F182" s="60">
        <v>4</v>
      </c>
      <c r="G182" s="1">
        <f t="shared" si="23"/>
        <v>32</v>
      </c>
      <c r="I182" s="7">
        <f t="shared" si="24"/>
        <v>0.15625</v>
      </c>
      <c r="J182" s="7">
        <f t="shared" si="25"/>
        <v>0.1875</v>
      </c>
      <c r="K182" s="7">
        <f t="shared" si="26"/>
        <v>0.21875</v>
      </c>
      <c r="L182" s="7">
        <f t="shared" si="27"/>
        <v>0.1875</v>
      </c>
      <c r="M182" s="7">
        <f t="shared" si="28"/>
        <v>0.125</v>
      </c>
      <c r="N182" s="7">
        <f t="shared" si="29"/>
        <v>0.125</v>
      </c>
      <c r="O182" s="51">
        <f>IF(G182&gt;0,DT!AC182*I182+DT!AD182*J182+DT!AE182*K182+DT!AF182*L182+DT!AG182*M182+DT!AH182*N182,"")</f>
        <v>2.3385416666666665</v>
      </c>
      <c r="P182" s="15"/>
    </row>
    <row r="183" spans="1:16">
      <c r="A183" s="60">
        <v>5</v>
      </c>
      <c r="B183" s="60">
        <v>6</v>
      </c>
      <c r="C183" s="60">
        <v>6</v>
      </c>
      <c r="D183" s="60">
        <v>6</v>
      </c>
      <c r="E183" s="60">
        <v>6</v>
      </c>
      <c r="F183" s="60">
        <v>2</v>
      </c>
      <c r="G183" s="1">
        <f t="shared" si="23"/>
        <v>31</v>
      </c>
      <c r="I183" s="7">
        <f t="shared" si="24"/>
        <v>0.16129032258064516</v>
      </c>
      <c r="J183" s="7">
        <f t="shared" si="25"/>
        <v>0.19354838709677419</v>
      </c>
      <c r="K183" s="7">
        <f t="shared" si="26"/>
        <v>0.19354838709677419</v>
      </c>
      <c r="L183" s="7">
        <f t="shared" si="27"/>
        <v>0.19354838709677419</v>
      </c>
      <c r="M183" s="7">
        <f t="shared" si="28"/>
        <v>0.19354838709677419</v>
      </c>
      <c r="N183" s="7">
        <f t="shared" si="29"/>
        <v>6.4516129032258063E-2</v>
      </c>
      <c r="O183" s="51">
        <f>IF(G183&gt;0,DT!AC183*I183+DT!AD183*J183+DT!AE183*K183+DT!AF183*L183+DT!AG183*M183+DT!AH183*N183,"")</f>
        <v>0.70967741935483863</v>
      </c>
      <c r="P183" s="15"/>
    </row>
    <row r="184" spans="1:16">
      <c r="A184" s="60">
        <v>6</v>
      </c>
      <c r="B184" s="60">
        <v>6</v>
      </c>
      <c r="C184" s="60">
        <v>7</v>
      </c>
      <c r="D184" s="60">
        <v>7</v>
      </c>
      <c r="E184" s="60">
        <v>4</v>
      </c>
      <c r="F184" s="60">
        <v>4</v>
      </c>
      <c r="G184" s="1">
        <f t="shared" si="23"/>
        <v>34</v>
      </c>
      <c r="I184" s="7">
        <f t="shared" si="24"/>
        <v>0.17647058823529413</v>
      </c>
      <c r="J184" s="7">
        <f t="shared" si="25"/>
        <v>0.17647058823529413</v>
      </c>
      <c r="K184" s="7">
        <f t="shared" si="26"/>
        <v>0.20588235294117646</v>
      </c>
      <c r="L184" s="7">
        <f t="shared" si="27"/>
        <v>0.20588235294117646</v>
      </c>
      <c r="M184" s="7">
        <f t="shared" si="28"/>
        <v>0.11764705882352941</v>
      </c>
      <c r="N184" s="7">
        <f t="shared" si="29"/>
        <v>0.11764705882352941</v>
      </c>
      <c r="O184" s="51">
        <f>IF(G184&gt;0,DT!AC184*I184+DT!AD184*J184+DT!AE184*K184+DT!AF184*L184+DT!AG184*M184+DT!AH184*N184,"")</f>
        <v>1.411764705882353</v>
      </c>
      <c r="P184" s="15"/>
    </row>
    <row r="185" spans="1:16">
      <c r="A185" s="60">
        <v>7</v>
      </c>
      <c r="B185" s="60">
        <v>7</v>
      </c>
      <c r="C185" s="60">
        <v>7</v>
      </c>
      <c r="D185" s="60">
        <v>7</v>
      </c>
      <c r="E185" s="60">
        <v>7</v>
      </c>
      <c r="F185" s="60">
        <v>7</v>
      </c>
      <c r="G185" s="1">
        <f t="shared" si="23"/>
        <v>42</v>
      </c>
      <c r="I185" s="7">
        <f t="shared" si="24"/>
        <v>0.16666666666666666</v>
      </c>
      <c r="J185" s="7">
        <f t="shared" si="25"/>
        <v>0.16666666666666666</v>
      </c>
      <c r="K185" s="7">
        <f t="shared" si="26"/>
        <v>0.16666666666666666</v>
      </c>
      <c r="L185" s="7">
        <f t="shared" si="27"/>
        <v>0.16666666666666666</v>
      </c>
      <c r="M185" s="7">
        <f t="shared" si="28"/>
        <v>0.16666666666666666</v>
      </c>
      <c r="N185" s="7">
        <f t="shared" si="29"/>
        <v>0.16666666666666666</v>
      </c>
      <c r="O185" s="51">
        <f>IF(G185&gt;0,DT!AC185*I185+DT!AD185*J185+DT!AE185*K185+DT!AF185*L185+DT!AG185*M185+DT!AH185*N185,"")</f>
        <v>2.3194444444444442</v>
      </c>
      <c r="P185" s="15"/>
    </row>
    <row r="186" spans="1:16">
      <c r="A186" s="60">
        <v>7</v>
      </c>
      <c r="B186" s="60">
        <v>7</v>
      </c>
      <c r="C186" s="60">
        <v>7</v>
      </c>
      <c r="D186" s="60">
        <v>7</v>
      </c>
      <c r="E186" s="60">
        <v>7</v>
      </c>
      <c r="F186" s="60">
        <v>7</v>
      </c>
      <c r="G186" s="1">
        <f t="shared" si="23"/>
        <v>42</v>
      </c>
      <c r="I186" s="7">
        <f t="shared" si="24"/>
        <v>0.16666666666666666</v>
      </c>
      <c r="J186" s="7">
        <f t="shared" si="25"/>
        <v>0.16666666666666666</v>
      </c>
      <c r="K186" s="7">
        <f t="shared" si="26"/>
        <v>0.16666666666666666</v>
      </c>
      <c r="L186" s="7">
        <f t="shared" si="27"/>
        <v>0.16666666666666666</v>
      </c>
      <c r="M186" s="7">
        <f t="shared" si="28"/>
        <v>0.16666666666666666</v>
      </c>
      <c r="N186" s="7">
        <f t="shared" si="29"/>
        <v>0.16666666666666666</v>
      </c>
      <c r="O186" s="51">
        <f>IF(G186&gt;0,DT!AC186*I186+DT!AD186*J186+DT!AE186*K186+DT!AF186*L186+DT!AG186*M186+DT!AH186*N186,"")</f>
        <v>0.75</v>
      </c>
      <c r="P186" s="15"/>
    </row>
    <row r="187" spans="1:16">
      <c r="A187" s="60">
        <v>5</v>
      </c>
      <c r="B187" s="60">
        <v>7</v>
      </c>
      <c r="C187" s="60">
        <v>7</v>
      </c>
      <c r="D187" s="60">
        <v>7</v>
      </c>
      <c r="E187" s="60">
        <v>4</v>
      </c>
      <c r="F187" s="60">
        <v>3</v>
      </c>
      <c r="G187" s="1">
        <f t="shared" si="23"/>
        <v>33</v>
      </c>
      <c r="I187" s="7">
        <f t="shared" si="24"/>
        <v>0.15151515151515152</v>
      </c>
      <c r="J187" s="7">
        <f t="shared" si="25"/>
        <v>0.21212121212121213</v>
      </c>
      <c r="K187" s="7">
        <f t="shared" si="26"/>
        <v>0.21212121212121213</v>
      </c>
      <c r="L187" s="7">
        <f t="shared" si="27"/>
        <v>0.21212121212121213</v>
      </c>
      <c r="M187" s="7">
        <f t="shared" si="28"/>
        <v>0.12121212121212122</v>
      </c>
      <c r="N187" s="7">
        <f t="shared" si="29"/>
        <v>9.0909090909090912E-2</v>
      </c>
      <c r="O187" s="51">
        <f>IF(G187&gt;0,DT!AC187*I187+DT!AD187*J187+DT!AE187*K187+DT!AF187*L187+DT!AG187*M187+DT!AH187*N187,"")</f>
        <v>1.7272727272727275</v>
      </c>
      <c r="P187" s="15"/>
    </row>
    <row r="188" spans="1:16">
      <c r="A188" s="60">
        <v>5</v>
      </c>
      <c r="B188" s="60">
        <v>6</v>
      </c>
      <c r="C188" s="60">
        <v>6</v>
      </c>
      <c r="D188" s="60">
        <v>6</v>
      </c>
      <c r="E188" s="60">
        <v>6</v>
      </c>
      <c r="F188" s="60">
        <v>6</v>
      </c>
      <c r="G188" s="1">
        <f t="shared" si="23"/>
        <v>35</v>
      </c>
      <c r="I188" s="7">
        <f t="shared" si="24"/>
        <v>0.14285714285714285</v>
      </c>
      <c r="J188" s="7">
        <f t="shared" si="25"/>
        <v>0.17142857142857143</v>
      </c>
      <c r="K188" s="7">
        <f t="shared" si="26"/>
        <v>0.17142857142857143</v>
      </c>
      <c r="L188" s="7">
        <f t="shared" si="27"/>
        <v>0.17142857142857143</v>
      </c>
      <c r="M188" s="7">
        <f t="shared" si="28"/>
        <v>0.17142857142857143</v>
      </c>
      <c r="N188" s="7">
        <f t="shared" si="29"/>
        <v>0.17142857142857143</v>
      </c>
      <c r="O188" s="51">
        <f>IF(G188&gt;0,DT!AC188*I188+DT!AD188*J188+DT!AE188*K188+DT!AF188*L188+DT!AG188*M188+DT!AH188*N188,"")</f>
        <v>2.1523809523809523</v>
      </c>
      <c r="P188" s="15"/>
    </row>
    <row r="189" spans="1:16">
      <c r="A189" s="60">
        <v>6</v>
      </c>
      <c r="B189" s="60">
        <v>7</v>
      </c>
      <c r="C189" s="60">
        <v>6</v>
      </c>
      <c r="D189" s="60">
        <v>7</v>
      </c>
      <c r="E189" s="60">
        <v>6</v>
      </c>
      <c r="F189" s="60">
        <v>6</v>
      </c>
      <c r="G189" s="1">
        <f t="shared" si="23"/>
        <v>38</v>
      </c>
      <c r="I189" s="7">
        <f t="shared" si="24"/>
        <v>0.15789473684210525</v>
      </c>
      <c r="J189" s="7">
        <f t="shared" si="25"/>
        <v>0.18421052631578946</v>
      </c>
      <c r="K189" s="7">
        <f t="shared" si="26"/>
        <v>0.15789473684210525</v>
      </c>
      <c r="L189" s="7">
        <f t="shared" si="27"/>
        <v>0.18421052631578946</v>
      </c>
      <c r="M189" s="7">
        <f t="shared" si="28"/>
        <v>0.15789473684210525</v>
      </c>
      <c r="N189" s="7">
        <f t="shared" si="29"/>
        <v>0.15789473684210525</v>
      </c>
      <c r="O189" s="51">
        <f>IF(G189&gt;0,DT!AC189*I189+DT!AD189*J189+DT!AE189*K189+DT!AF189*L189+DT!AG189*M189+DT!AH189*N189,"")</f>
        <v>1.9407894736842102</v>
      </c>
      <c r="P189" s="15"/>
    </row>
    <row r="190" spans="1:16">
      <c r="A190" s="60">
        <v>5</v>
      </c>
      <c r="B190" s="60">
        <v>7</v>
      </c>
      <c r="C190" s="60">
        <v>7</v>
      </c>
      <c r="D190" s="60">
        <v>7</v>
      </c>
      <c r="E190" s="60">
        <v>5</v>
      </c>
      <c r="F190" s="60">
        <v>5</v>
      </c>
      <c r="G190" s="1">
        <f t="shared" si="23"/>
        <v>36</v>
      </c>
      <c r="I190" s="7">
        <f t="shared" si="24"/>
        <v>0.1388888888888889</v>
      </c>
      <c r="J190" s="7">
        <f t="shared" si="25"/>
        <v>0.19444444444444445</v>
      </c>
      <c r="K190" s="7">
        <f t="shared" si="26"/>
        <v>0.19444444444444445</v>
      </c>
      <c r="L190" s="7">
        <f t="shared" si="27"/>
        <v>0.19444444444444445</v>
      </c>
      <c r="M190" s="7">
        <f t="shared" si="28"/>
        <v>0.1388888888888889</v>
      </c>
      <c r="N190" s="7">
        <f t="shared" si="29"/>
        <v>0.1388888888888889</v>
      </c>
      <c r="O190" s="51">
        <f>IF(G190&gt;0,DT!AC190*I190+DT!AD190*J190+DT!AE190*K190+DT!AF190*L190+DT!AG190*M190+DT!AH190*N190,"")</f>
        <v>1.5833333333333333</v>
      </c>
      <c r="P190" s="15"/>
    </row>
    <row r="191" spans="1:16">
      <c r="A191" s="60">
        <v>5</v>
      </c>
      <c r="B191" s="60">
        <v>6</v>
      </c>
      <c r="C191" s="60">
        <v>7</v>
      </c>
      <c r="D191" s="60">
        <v>6</v>
      </c>
      <c r="E191" s="60">
        <v>3</v>
      </c>
      <c r="F191" s="60">
        <v>4</v>
      </c>
      <c r="G191" s="1">
        <f t="shared" si="23"/>
        <v>31</v>
      </c>
      <c r="I191" s="7">
        <f t="shared" si="24"/>
        <v>0.16129032258064516</v>
      </c>
      <c r="J191" s="7">
        <f t="shared" si="25"/>
        <v>0.19354838709677419</v>
      </c>
      <c r="K191" s="7">
        <f t="shared" si="26"/>
        <v>0.22580645161290322</v>
      </c>
      <c r="L191" s="7">
        <f t="shared" si="27"/>
        <v>0.19354838709677419</v>
      </c>
      <c r="M191" s="7">
        <f t="shared" si="28"/>
        <v>9.6774193548387094E-2</v>
      </c>
      <c r="N191" s="7">
        <f t="shared" si="29"/>
        <v>0.12903225806451613</v>
      </c>
      <c r="O191" s="51">
        <f>IF(G191&gt;0,DT!AC191*I191+DT!AD191*J191+DT!AE191*K191+DT!AF191*L191+DT!AG191*M191+DT!AH191*N191,"")</f>
        <v>1.2231182795698923</v>
      </c>
      <c r="P191" s="15"/>
    </row>
    <row r="192" spans="1:16">
      <c r="A192" s="60">
        <v>5</v>
      </c>
      <c r="B192" s="60">
        <v>6</v>
      </c>
      <c r="C192" s="60">
        <v>5</v>
      </c>
      <c r="D192" s="60">
        <v>6</v>
      </c>
      <c r="E192" s="60">
        <v>5</v>
      </c>
      <c r="F192" s="60">
        <v>5</v>
      </c>
      <c r="G192" s="1">
        <f t="shared" si="23"/>
        <v>32</v>
      </c>
      <c r="I192" s="7">
        <f t="shared" si="24"/>
        <v>0.15625</v>
      </c>
      <c r="J192" s="7">
        <f t="shared" si="25"/>
        <v>0.1875</v>
      </c>
      <c r="K192" s="7">
        <f t="shared" si="26"/>
        <v>0.15625</v>
      </c>
      <c r="L192" s="7">
        <f t="shared" si="27"/>
        <v>0.1875</v>
      </c>
      <c r="M192" s="7">
        <f t="shared" si="28"/>
        <v>0.15625</v>
      </c>
      <c r="N192" s="7">
        <f t="shared" si="29"/>
        <v>0.15625</v>
      </c>
      <c r="O192" s="51">
        <f>IF(G192&gt;0,DT!AC192*I192+DT!AD192*J192+DT!AE192*K192+DT!AF192*L192+DT!AG192*M192+DT!AH192*N192,"")</f>
        <v>1.7005208333333333</v>
      </c>
      <c r="P192" s="15"/>
    </row>
    <row r="193" spans="1:16">
      <c r="A193" s="60">
        <v>6</v>
      </c>
      <c r="B193" s="60">
        <v>6</v>
      </c>
      <c r="C193" s="60">
        <v>6</v>
      </c>
      <c r="D193" s="60">
        <v>7</v>
      </c>
      <c r="E193" s="60">
        <v>5</v>
      </c>
      <c r="F193" s="60">
        <v>5</v>
      </c>
      <c r="G193" s="1">
        <f t="shared" si="23"/>
        <v>35</v>
      </c>
      <c r="I193" s="7">
        <f t="shared" si="24"/>
        <v>0.17142857142857143</v>
      </c>
      <c r="J193" s="7">
        <f t="shared" si="25"/>
        <v>0.17142857142857143</v>
      </c>
      <c r="K193" s="7">
        <f t="shared" si="26"/>
        <v>0.17142857142857143</v>
      </c>
      <c r="L193" s="7">
        <f t="shared" si="27"/>
        <v>0.2</v>
      </c>
      <c r="M193" s="7">
        <f t="shared" si="28"/>
        <v>0.14285714285714285</v>
      </c>
      <c r="N193" s="7">
        <f t="shared" si="29"/>
        <v>0.14285714285714285</v>
      </c>
      <c r="O193" s="51">
        <f>IF(G193&gt;0,DT!AC193*I193+DT!AD193*J193+DT!AE193*K193+DT!AF193*L193+DT!AG193*M193+DT!AH193*N193,"")</f>
        <v>0.97142857142857131</v>
      </c>
      <c r="P193" s="15"/>
    </row>
    <row r="194" spans="1:16">
      <c r="A194" s="60">
        <v>5</v>
      </c>
      <c r="B194" s="60">
        <v>6</v>
      </c>
      <c r="C194" s="60">
        <v>7</v>
      </c>
      <c r="D194" s="60">
        <v>7</v>
      </c>
      <c r="E194" s="60">
        <v>3</v>
      </c>
      <c r="F194" s="60">
        <v>4</v>
      </c>
      <c r="G194" s="1">
        <f t="shared" si="23"/>
        <v>32</v>
      </c>
      <c r="I194" s="7">
        <f t="shared" si="24"/>
        <v>0.15625</v>
      </c>
      <c r="J194" s="7">
        <f t="shared" si="25"/>
        <v>0.1875</v>
      </c>
      <c r="K194" s="7">
        <f t="shared" si="26"/>
        <v>0.21875</v>
      </c>
      <c r="L194" s="7">
        <f t="shared" si="27"/>
        <v>0.21875</v>
      </c>
      <c r="M194" s="7">
        <f t="shared" si="28"/>
        <v>9.375E-2</v>
      </c>
      <c r="N194" s="7">
        <f t="shared" si="29"/>
        <v>0.125</v>
      </c>
      <c r="O194" s="51">
        <f>IF(G194&gt;0,DT!AC194*I194+DT!AD194*J194+DT!AE194*K194+DT!AF194*L194+DT!AG194*M194+DT!AH194*N194,"")</f>
        <v>1.0234375</v>
      </c>
      <c r="P194" s="15"/>
    </row>
    <row r="195" spans="1:16">
      <c r="A195" s="60">
        <v>7</v>
      </c>
      <c r="B195" s="60">
        <v>7</v>
      </c>
      <c r="C195" s="60">
        <v>7</v>
      </c>
      <c r="D195" s="60">
        <v>7</v>
      </c>
      <c r="E195" s="60">
        <v>7</v>
      </c>
      <c r="F195" s="60">
        <v>7</v>
      </c>
      <c r="G195" s="1">
        <f t="shared" si="23"/>
        <v>42</v>
      </c>
      <c r="I195" s="7">
        <f t="shared" si="24"/>
        <v>0.16666666666666666</v>
      </c>
      <c r="J195" s="7">
        <f t="shared" si="25"/>
        <v>0.16666666666666666</v>
      </c>
      <c r="K195" s="7">
        <f t="shared" si="26"/>
        <v>0.16666666666666666</v>
      </c>
      <c r="L195" s="7">
        <f t="shared" si="27"/>
        <v>0.16666666666666666</v>
      </c>
      <c r="M195" s="7">
        <f t="shared" si="28"/>
        <v>0.16666666666666666</v>
      </c>
      <c r="N195" s="7">
        <f t="shared" si="29"/>
        <v>0.16666666666666666</v>
      </c>
      <c r="O195" s="51">
        <f>IF(G195&gt;0,DT!AC195*I195+DT!AD195*J195+DT!AE195*K195+DT!AF195*L195+DT!AG195*M195+DT!AH195*N195,"")</f>
        <v>2.75</v>
      </c>
      <c r="P195" s="15"/>
    </row>
    <row r="196" spans="1:16">
      <c r="A196" s="60">
        <v>6</v>
      </c>
      <c r="B196" s="60">
        <v>7</v>
      </c>
      <c r="C196" s="60">
        <v>5</v>
      </c>
      <c r="D196" s="60">
        <v>4</v>
      </c>
      <c r="E196" s="60">
        <v>3</v>
      </c>
      <c r="F196" s="60">
        <v>4</v>
      </c>
      <c r="G196" s="1">
        <f t="shared" si="23"/>
        <v>29</v>
      </c>
      <c r="I196" s="7">
        <f t="shared" si="24"/>
        <v>0.20689655172413793</v>
      </c>
      <c r="J196" s="7">
        <f t="shared" si="25"/>
        <v>0.2413793103448276</v>
      </c>
      <c r="K196" s="7">
        <f t="shared" si="26"/>
        <v>0.17241379310344829</v>
      </c>
      <c r="L196" s="7">
        <f t="shared" si="27"/>
        <v>0.13793103448275862</v>
      </c>
      <c r="M196" s="7">
        <f t="shared" si="28"/>
        <v>0.10344827586206896</v>
      </c>
      <c r="N196" s="7">
        <f t="shared" si="29"/>
        <v>0.13793103448275862</v>
      </c>
      <c r="O196" s="51">
        <f>IF(G196&gt;0,DT!AC196*I196+DT!AD196*J196+DT!AE196*K196+DT!AF196*L196+DT!AG196*M196+DT!AH196*N196,"")</f>
        <v>1.2844827586206899</v>
      </c>
      <c r="P196" s="15"/>
    </row>
    <row r="197" spans="1:16">
      <c r="A197" s="60">
        <v>6</v>
      </c>
      <c r="B197" s="60">
        <v>7</v>
      </c>
      <c r="C197" s="60">
        <v>7</v>
      </c>
      <c r="D197" s="60">
        <v>5</v>
      </c>
      <c r="E197" s="60">
        <v>4</v>
      </c>
      <c r="F197" s="60">
        <v>6</v>
      </c>
      <c r="G197" s="1">
        <f t="shared" ref="G197:G260" si="30">SUM(A197:F197)</f>
        <v>35</v>
      </c>
      <c r="I197" s="7">
        <f t="shared" si="24"/>
        <v>0.17142857142857143</v>
      </c>
      <c r="J197" s="7">
        <f t="shared" si="25"/>
        <v>0.2</v>
      </c>
      <c r="K197" s="7">
        <f t="shared" si="26"/>
        <v>0.2</v>
      </c>
      <c r="L197" s="7">
        <f t="shared" si="27"/>
        <v>0.14285714285714285</v>
      </c>
      <c r="M197" s="7">
        <f t="shared" si="28"/>
        <v>0.11428571428571428</v>
      </c>
      <c r="N197" s="7">
        <f t="shared" si="29"/>
        <v>0.17142857142857143</v>
      </c>
      <c r="O197" s="51">
        <f>IF(G197&gt;0,DT!AC197*I197+DT!AD197*J197+DT!AE197*K197+DT!AF197*L197+DT!AG197*M197+DT!AH197*N197,"")</f>
        <v>1.5500000000000003</v>
      </c>
      <c r="P197" s="15"/>
    </row>
    <row r="198" spans="1:16">
      <c r="A198" s="60">
        <v>7</v>
      </c>
      <c r="B198" s="60">
        <v>7</v>
      </c>
      <c r="C198" s="60">
        <v>7</v>
      </c>
      <c r="D198" s="60">
        <v>7</v>
      </c>
      <c r="E198" s="60">
        <v>6</v>
      </c>
      <c r="F198" s="60">
        <v>6</v>
      </c>
      <c r="G198" s="1">
        <f t="shared" si="30"/>
        <v>40</v>
      </c>
      <c r="I198" s="7">
        <f t="shared" si="24"/>
        <v>0.17499999999999999</v>
      </c>
      <c r="J198" s="7">
        <f t="shared" si="25"/>
        <v>0.17499999999999999</v>
      </c>
      <c r="K198" s="7">
        <f t="shared" si="26"/>
        <v>0.17499999999999999</v>
      </c>
      <c r="L198" s="7">
        <f t="shared" si="27"/>
        <v>0.17499999999999999</v>
      </c>
      <c r="M198" s="7">
        <f t="shared" si="28"/>
        <v>0.15</v>
      </c>
      <c r="N198" s="7">
        <f t="shared" si="29"/>
        <v>0.15</v>
      </c>
      <c r="O198" s="51">
        <f>IF(G198&gt;0,DT!AC198*I198+DT!AD198*J198+DT!AE198*K198+DT!AF198*L198+DT!AG198*M198+DT!AH198*N198,"")</f>
        <v>2.4979166666666663</v>
      </c>
      <c r="P198" s="15"/>
    </row>
    <row r="199" spans="1:16">
      <c r="A199" s="60">
        <v>6</v>
      </c>
      <c r="B199" s="60">
        <v>6</v>
      </c>
      <c r="C199" s="60">
        <v>7</v>
      </c>
      <c r="D199" s="60">
        <v>6</v>
      </c>
      <c r="E199" s="60">
        <v>6</v>
      </c>
      <c r="F199" s="60">
        <v>4</v>
      </c>
      <c r="G199" s="1">
        <f t="shared" si="30"/>
        <v>35</v>
      </c>
      <c r="I199" s="7">
        <f t="shared" si="24"/>
        <v>0.17142857142857143</v>
      </c>
      <c r="J199" s="7">
        <f t="shared" si="25"/>
        <v>0.17142857142857143</v>
      </c>
      <c r="K199" s="7">
        <f t="shared" si="26"/>
        <v>0.2</v>
      </c>
      <c r="L199" s="7">
        <f t="shared" si="27"/>
        <v>0.17142857142857143</v>
      </c>
      <c r="M199" s="7">
        <f t="shared" si="28"/>
        <v>0.17142857142857143</v>
      </c>
      <c r="N199" s="7">
        <f t="shared" si="29"/>
        <v>0.11428571428571428</v>
      </c>
      <c r="O199" s="51">
        <f>IF(G199&gt;0,DT!AC199*I199+DT!AD199*J199+DT!AE199*K199+DT!AF199*L199+DT!AG199*M199+DT!AH199*N199,"")</f>
        <v>1.4785714285714286</v>
      </c>
      <c r="P199" s="15"/>
    </row>
    <row r="200" spans="1:16">
      <c r="A200" s="60">
        <v>6</v>
      </c>
      <c r="B200" s="60">
        <v>6</v>
      </c>
      <c r="C200" s="60">
        <v>6</v>
      </c>
      <c r="D200" s="60">
        <v>6</v>
      </c>
      <c r="E200" s="60">
        <v>4</v>
      </c>
      <c r="F200" s="60">
        <v>4</v>
      </c>
      <c r="G200" s="1">
        <f t="shared" si="30"/>
        <v>32</v>
      </c>
      <c r="I200" s="7">
        <f t="shared" si="24"/>
        <v>0.1875</v>
      </c>
      <c r="J200" s="7">
        <f t="shared" si="25"/>
        <v>0.1875</v>
      </c>
      <c r="K200" s="7">
        <f t="shared" si="26"/>
        <v>0.1875</v>
      </c>
      <c r="L200" s="7">
        <f t="shared" si="27"/>
        <v>0.1875</v>
      </c>
      <c r="M200" s="7">
        <f t="shared" si="28"/>
        <v>0.125</v>
      </c>
      <c r="N200" s="7">
        <f t="shared" si="29"/>
        <v>0.125</v>
      </c>
      <c r="O200" s="51">
        <f>IF(G200&gt;0,DT!AC200*I200+DT!AD200*J200+DT!AE200*K200+DT!AF200*L200+DT!AG200*M200+DT!AH200*N200,"")</f>
        <v>0.546875</v>
      </c>
      <c r="P200" s="15"/>
    </row>
    <row r="201" spans="1:16">
      <c r="A201" s="60">
        <v>5</v>
      </c>
      <c r="B201" s="60">
        <v>1</v>
      </c>
      <c r="C201" s="60">
        <v>6</v>
      </c>
      <c r="D201" s="60">
        <v>7</v>
      </c>
      <c r="E201" s="60">
        <v>4</v>
      </c>
      <c r="F201" s="60">
        <v>5</v>
      </c>
      <c r="G201" s="1">
        <f t="shared" si="30"/>
        <v>28</v>
      </c>
      <c r="I201" s="7">
        <f t="shared" si="24"/>
        <v>0.17857142857142858</v>
      </c>
      <c r="J201" s="7">
        <f t="shared" si="25"/>
        <v>3.5714285714285712E-2</v>
      </c>
      <c r="K201" s="7">
        <f t="shared" si="26"/>
        <v>0.21428571428571427</v>
      </c>
      <c r="L201" s="7">
        <f t="shared" si="27"/>
        <v>0.25</v>
      </c>
      <c r="M201" s="7">
        <f t="shared" si="28"/>
        <v>0.14285714285714285</v>
      </c>
      <c r="N201" s="7">
        <f t="shared" si="29"/>
        <v>0.17857142857142858</v>
      </c>
      <c r="O201" s="51">
        <f>IF(G201&gt;0,DT!AC201*I201+DT!AD201*J201+DT!AE201*K201+DT!AF201*L201+DT!AG201*M201+DT!AH201*N201,"")</f>
        <v>0.88690476190476186</v>
      </c>
      <c r="P201" s="15"/>
    </row>
    <row r="202" spans="1:16">
      <c r="A202" s="60">
        <v>6</v>
      </c>
      <c r="B202" s="60">
        <v>6</v>
      </c>
      <c r="C202" s="60">
        <v>7</v>
      </c>
      <c r="D202" s="60">
        <v>6</v>
      </c>
      <c r="E202" s="60">
        <v>6</v>
      </c>
      <c r="F202" s="60">
        <v>6</v>
      </c>
      <c r="G202" s="1">
        <f t="shared" si="30"/>
        <v>37</v>
      </c>
      <c r="I202" s="7">
        <f t="shared" si="24"/>
        <v>0.16216216216216217</v>
      </c>
      <c r="J202" s="7">
        <f t="shared" si="25"/>
        <v>0.16216216216216217</v>
      </c>
      <c r="K202" s="7">
        <f t="shared" si="26"/>
        <v>0.1891891891891892</v>
      </c>
      <c r="L202" s="7">
        <f t="shared" si="27"/>
        <v>0.16216216216216217</v>
      </c>
      <c r="M202" s="7">
        <f t="shared" si="28"/>
        <v>0.16216216216216217</v>
      </c>
      <c r="N202" s="7">
        <f t="shared" si="29"/>
        <v>0.16216216216216217</v>
      </c>
      <c r="O202" s="51">
        <f>IF(G202&gt;0,DT!AC202*I202+DT!AD202*J202+DT!AE202*K202+DT!AF202*L202+DT!AG202*M202+DT!AH202*N202,"")</f>
        <v>1.3581081081081081</v>
      </c>
      <c r="P202" s="15"/>
    </row>
    <row r="203" spans="1:16">
      <c r="A203" s="60">
        <v>5</v>
      </c>
      <c r="B203" s="60">
        <v>6</v>
      </c>
      <c r="C203" s="60">
        <v>7</v>
      </c>
      <c r="D203" s="60">
        <v>7</v>
      </c>
      <c r="E203" s="60">
        <v>5</v>
      </c>
      <c r="F203" s="60">
        <v>7</v>
      </c>
      <c r="G203" s="1">
        <f t="shared" si="30"/>
        <v>37</v>
      </c>
      <c r="I203" s="7">
        <f t="shared" si="24"/>
        <v>0.13513513513513514</v>
      </c>
      <c r="J203" s="7">
        <f t="shared" si="25"/>
        <v>0.16216216216216217</v>
      </c>
      <c r="K203" s="7">
        <f t="shared" si="26"/>
        <v>0.1891891891891892</v>
      </c>
      <c r="L203" s="7">
        <f t="shared" si="27"/>
        <v>0.1891891891891892</v>
      </c>
      <c r="M203" s="7">
        <f t="shared" si="28"/>
        <v>0.13513513513513514</v>
      </c>
      <c r="N203" s="7">
        <f t="shared" si="29"/>
        <v>0.1891891891891892</v>
      </c>
      <c r="O203" s="51">
        <f>IF(G203&gt;0,DT!AC203*I203+DT!AD203*J203+DT!AE203*K203+DT!AF203*L203+DT!AG203*M203+DT!AH203*N203,"")</f>
        <v>0.77927927927927931</v>
      </c>
      <c r="P203" s="15"/>
    </row>
    <row r="204" spans="1:16">
      <c r="A204" s="60">
        <v>6</v>
      </c>
      <c r="B204" s="60">
        <v>6</v>
      </c>
      <c r="C204" s="60">
        <v>7</v>
      </c>
      <c r="D204" s="60">
        <v>7</v>
      </c>
      <c r="E204" s="60">
        <v>5</v>
      </c>
      <c r="F204" s="60">
        <v>5</v>
      </c>
      <c r="G204" s="1">
        <f t="shared" si="30"/>
        <v>36</v>
      </c>
      <c r="I204" s="7">
        <f t="shared" si="24"/>
        <v>0.16666666666666666</v>
      </c>
      <c r="J204" s="7">
        <f t="shared" si="25"/>
        <v>0.16666666666666666</v>
      </c>
      <c r="K204" s="7">
        <f t="shared" si="26"/>
        <v>0.19444444444444445</v>
      </c>
      <c r="L204" s="7">
        <f t="shared" si="27"/>
        <v>0.19444444444444445</v>
      </c>
      <c r="M204" s="7">
        <f t="shared" si="28"/>
        <v>0.1388888888888889</v>
      </c>
      <c r="N204" s="7">
        <f t="shared" si="29"/>
        <v>0.1388888888888889</v>
      </c>
      <c r="O204" s="51">
        <f>IF(G204&gt;0,DT!AC204*I204+DT!AD204*J204+DT!AE204*K204+DT!AF204*L204+DT!AG204*M204+DT!AH204*N204,"")</f>
        <v>1.3124999999999998</v>
      </c>
      <c r="P204" s="15"/>
    </row>
    <row r="205" spans="1:16">
      <c r="A205" s="60">
        <v>5</v>
      </c>
      <c r="B205" s="60">
        <v>6</v>
      </c>
      <c r="C205" s="60">
        <v>6</v>
      </c>
      <c r="D205" s="60">
        <v>6</v>
      </c>
      <c r="E205" s="60">
        <v>4</v>
      </c>
      <c r="F205" s="60">
        <v>5</v>
      </c>
      <c r="G205" s="1">
        <f t="shared" si="30"/>
        <v>32</v>
      </c>
      <c r="I205" s="7">
        <f t="shared" si="24"/>
        <v>0.15625</v>
      </c>
      <c r="J205" s="7">
        <f t="shared" si="25"/>
        <v>0.1875</v>
      </c>
      <c r="K205" s="7">
        <f t="shared" si="26"/>
        <v>0.1875</v>
      </c>
      <c r="L205" s="7">
        <f t="shared" si="27"/>
        <v>0.1875</v>
      </c>
      <c r="M205" s="7">
        <f t="shared" si="28"/>
        <v>0.125</v>
      </c>
      <c r="N205" s="7">
        <f t="shared" si="29"/>
        <v>0.15625</v>
      </c>
      <c r="O205" s="51">
        <f>IF(G205&gt;0,DT!AC205*I205+DT!AD205*J205+DT!AE205*K205+DT!AF205*L205+DT!AG205*M205+DT!AH205*N205,"")</f>
        <v>-0.953125</v>
      </c>
      <c r="P205" s="15"/>
    </row>
    <row r="206" spans="1:16">
      <c r="A206" s="60">
        <v>5</v>
      </c>
      <c r="B206" s="60">
        <v>7</v>
      </c>
      <c r="C206" s="60">
        <v>7</v>
      </c>
      <c r="D206" s="60">
        <v>7</v>
      </c>
      <c r="E206" s="60">
        <v>4</v>
      </c>
      <c r="F206" s="60">
        <v>4</v>
      </c>
      <c r="G206" s="1">
        <f t="shared" si="30"/>
        <v>34</v>
      </c>
      <c r="I206" s="7">
        <f t="shared" si="24"/>
        <v>0.14705882352941177</v>
      </c>
      <c r="J206" s="7">
        <f t="shared" si="25"/>
        <v>0.20588235294117646</v>
      </c>
      <c r="K206" s="7">
        <f t="shared" si="26"/>
        <v>0.20588235294117646</v>
      </c>
      <c r="L206" s="7">
        <f t="shared" si="27"/>
        <v>0.20588235294117646</v>
      </c>
      <c r="M206" s="7">
        <f t="shared" si="28"/>
        <v>0.11764705882352941</v>
      </c>
      <c r="N206" s="7">
        <f t="shared" si="29"/>
        <v>0.11764705882352941</v>
      </c>
      <c r="O206" s="51">
        <f>IF(G206&gt;0,DT!AC206*I206+DT!AD206*J206+DT!AE206*K206+DT!AF206*L206+DT!AG206*M206+DT!AH206*N206,"")</f>
        <v>0.94362745098039214</v>
      </c>
      <c r="P206" s="15"/>
    </row>
    <row r="207" spans="1:16">
      <c r="A207" s="60">
        <v>6</v>
      </c>
      <c r="B207" s="60">
        <v>7</v>
      </c>
      <c r="C207" s="60">
        <v>7</v>
      </c>
      <c r="D207" s="60">
        <v>7</v>
      </c>
      <c r="E207" s="60">
        <v>4</v>
      </c>
      <c r="F207" s="60">
        <v>5</v>
      </c>
      <c r="G207" s="1">
        <f t="shared" si="30"/>
        <v>36</v>
      </c>
      <c r="I207" s="7">
        <f t="shared" si="24"/>
        <v>0.16666666666666666</v>
      </c>
      <c r="J207" s="7">
        <f t="shared" si="25"/>
        <v>0.19444444444444445</v>
      </c>
      <c r="K207" s="7">
        <f t="shared" si="26"/>
        <v>0.19444444444444445</v>
      </c>
      <c r="L207" s="7">
        <f t="shared" si="27"/>
        <v>0.19444444444444445</v>
      </c>
      <c r="M207" s="7">
        <f t="shared" si="28"/>
        <v>0.1111111111111111</v>
      </c>
      <c r="N207" s="7">
        <f t="shared" si="29"/>
        <v>0.1388888888888889</v>
      </c>
      <c r="O207" s="51">
        <f>IF(G207&gt;0,DT!AC207*I207+DT!AD207*J207+DT!AE207*K207+DT!AF207*L207+DT!AG207*M207+DT!AH207*N207,"")</f>
        <v>1.6597222222222223</v>
      </c>
      <c r="P207" s="15"/>
    </row>
    <row r="208" spans="1:16">
      <c r="A208" s="60">
        <v>7</v>
      </c>
      <c r="B208" s="60">
        <v>7</v>
      </c>
      <c r="C208" s="60">
        <v>6</v>
      </c>
      <c r="D208" s="60">
        <v>7</v>
      </c>
      <c r="E208" s="60">
        <v>6</v>
      </c>
      <c r="F208" s="60">
        <v>6</v>
      </c>
      <c r="G208" s="1">
        <f t="shared" si="30"/>
        <v>39</v>
      </c>
      <c r="I208" s="7">
        <f t="shared" si="24"/>
        <v>0.17948717948717949</v>
      </c>
      <c r="J208" s="7">
        <f t="shared" si="25"/>
        <v>0.17948717948717949</v>
      </c>
      <c r="K208" s="7">
        <f t="shared" si="26"/>
        <v>0.15384615384615385</v>
      </c>
      <c r="L208" s="7">
        <f t="shared" si="27"/>
        <v>0.17948717948717949</v>
      </c>
      <c r="M208" s="7">
        <f t="shared" si="28"/>
        <v>0.15384615384615385</v>
      </c>
      <c r="N208" s="7">
        <f t="shared" si="29"/>
        <v>0.15384615384615385</v>
      </c>
      <c r="O208" s="51">
        <f>IF(G208&gt;0,DT!AC208*I208+DT!AD208*J208+DT!AE208*K208+DT!AF208*L208+DT!AG208*M208+DT!AH208*N208,"")</f>
        <v>1.1901709401709402</v>
      </c>
      <c r="P208" s="15"/>
    </row>
    <row r="209" spans="1:16">
      <c r="A209" s="60">
        <v>5</v>
      </c>
      <c r="B209" s="60">
        <v>5</v>
      </c>
      <c r="C209" s="60">
        <v>6</v>
      </c>
      <c r="D209" s="60">
        <v>6</v>
      </c>
      <c r="E209" s="60">
        <v>5</v>
      </c>
      <c r="F209" s="60">
        <v>5</v>
      </c>
      <c r="G209" s="1">
        <f t="shared" si="30"/>
        <v>32</v>
      </c>
      <c r="I209" s="7">
        <f t="shared" si="24"/>
        <v>0.15625</v>
      </c>
      <c r="J209" s="7">
        <f t="shared" si="25"/>
        <v>0.15625</v>
      </c>
      <c r="K209" s="7">
        <f t="shared" si="26"/>
        <v>0.1875</v>
      </c>
      <c r="L209" s="7">
        <f t="shared" si="27"/>
        <v>0.1875</v>
      </c>
      <c r="M209" s="7">
        <f t="shared" si="28"/>
        <v>0.15625</v>
      </c>
      <c r="N209" s="7">
        <f t="shared" si="29"/>
        <v>0.15625</v>
      </c>
      <c r="O209" s="51">
        <f>IF(G209&gt;0,DT!AC209*I209+DT!AD209*J209+DT!AE209*K209+DT!AF209*L209+DT!AG209*M209+DT!AH209*N209,"")</f>
        <v>0.76041666666666674</v>
      </c>
      <c r="P209" s="15"/>
    </row>
    <row r="210" spans="1:16">
      <c r="A210" s="60">
        <v>5</v>
      </c>
      <c r="B210" s="60">
        <v>5</v>
      </c>
      <c r="C210" s="60">
        <v>6</v>
      </c>
      <c r="D210" s="60">
        <v>6</v>
      </c>
      <c r="E210" s="60">
        <v>4</v>
      </c>
      <c r="F210" s="60">
        <v>7</v>
      </c>
      <c r="G210" s="1">
        <f t="shared" si="30"/>
        <v>33</v>
      </c>
      <c r="I210" s="7">
        <f t="shared" si="24"/>
        <v>0.15151515151515152</v>
      </c>
      <c r="J210" s="7">
        <f t="shared" si="25"/>
        <v>0.15151515151515152</v>
      </c>
      <c r="K210" s="7">
        <f t="shared" si="26"/>
        <v>0.18181818181818182</v>
      </c>
      <c r="L210" s="7">
        <f t="shared" si="27"/>
        <v>0.18181818181818182</v>
      </c>
      <c r="M210" s="7">
        <f t="shared" si="28"/>
        <v>0.12121212121212122</v>
      </c>
      <c r="N210" s="7">
        <f t="shared" si="29"/>
        <v>0.21212121212121213</v>
      </c>
      <c r="O210" s="51">
        <f>IF(G210&gt;0,DT!AC210*I210+DT!AD210*J210+DT!AE210*K210+DT!AF210*L210+DT!AG210*M210+DT!AH210*N210,"")</f>
        <v>1.3207070707070707</v>
      </c>
      <c r="P210" s="15"/>
    </row>
    <row r="211" spans="1:16">
      <c r="A211" s="60">
        <v>5</v>
      </c>
      <c r="B211" s="60">
        <v>6</v>
      </c>
      <c r="C211" s="60">
        <v>6</v>
      </c>
      <c r="D211" s="60">
        <v>4</v>
      </c>
      <c r="E211" s="60">
        <v>5</v>
      </c>
      <c r="F211" s="60">
        <v>5</v>
      </c>
      <c r="G211" s="1">
        <f t="shared" si="30"/>
        <v>31</v>
      </c>
      <c r="I211" s="7">
        <f t="shared" si="24"/>
        <v>0.16129032258064516</v>
      </c>
      <c r="J211" s="7">
        <f t="shared" si="25"/>
        <v>0.19354838709677419</v>
      </c>
      <c r="K211" s="7">
        <f t="shared" si="26"/>
        <v>0.19354838709677419</v>
      </c>
      <c r="L211" s="7">
        <f t="shared" si="27"/>
        <v>0.12903225806451613</v>
      </c>
      <c r="M211" s="7">
        <f t="shared" si="28"/>
        <v>0.16129032258064516</v>
      </c>
      <c r="N211" s="7">
        <f t="shared" si="29"/>
        <v>0.16129032258064516</v>
      </c>
      <c r="O211" s="51">
        <f>IF(G211&gt;0,DT!AC211*I211+DT!AD211*J211+DT!AE211*K211+DT!AF211*L211+DT!AG211*M211+DT!AH211*N211,"")</f>
        <v>-0.59946236559139787</v>
      </c>
      <c r="P211" s="15"/>
    </row>
    <row r="212" spans="1:16">
      <c r="A212" s="60">
        <v>5</v>
      </c>
      <c r="B212" s="60">
        <v>5</v>
      </c>
      <c r="C212" s="60">
        <v>5</v>
      </c>
      <c r="D212" s="60">
        <v>5</v>
      </c>
      <c r="E212" s="60">
        <v>5</v>
      </c>
      <c r="F212" s="60">
        <v>6</v>
      </c>
      <c r="G212" s="1">
        <f t="shared" si="30"/>
        <v>31</v>
      </c>
      <c r="I212" s="7">
        <f t="shared" si="24"/>
        <v>0.16129032258064516</v>
      </c>
      <c r="J212" s="7">
        <f t="shared" si="25"/>
        <v>0.16129032258064516</v>
      </c>
      <c r="K212" s="7">
        <f t="shared" si="26"/>
        <v>0.16129032258064516</v>
      </c>
      <c r="L212" s="7">
        <f t="shared" si="27"/>
        <v>0.16129032258064516</v>
      </c>
      <c r="M212" s="7">
        <f t="shared" si="28"/>
        <v>0.16129032258064516</v>
      </c>
      <c r="N212" s="7">
        <f t="shared" si="29"/>
        <v>0.19354838709677419</v>
      </c>
      <c r="O212" s="51">
        <f>IF(G212&gt;0,DT!AC212*I212+DT!AD212*J212+DT!AE212*K212+DT!AF212*L212+DT!AG212*M212+DT!AH212*N212,"")</f>
        <v>-0.21774193548387097</v>
      </c>
      <c r="P212" s="15"/>
    </row>
    <row r="213" spans="1:16">
      <c r="A213" s="60">
        <v>7</v>
      </c>
      <c r="B213" s="60">
        <v>6</v>
      </c>
      <c r="C213" s="60">
        <v>7</v>
      </c>
      <c r="D213" s="60">
        <v>6</v>
      </c>
      <c r="E213" s="60">
        <v>7</v>
      </c>
      <c r="F213" s="60">
        <v>6</v>
      </c>
      <c r="G213" s="1">
        <f t="shared" si="30"/>
        <v>39</v>
      </c>
      <c r="I213" s="7">
        <f t="shared" si="24"/>
        <v>0.17948717948717949</v>
      </c>
      <c r="J213" s="7">
        <f t="shared" si="25"/>
        <v>0.15384615384615385</v>
      </c>
      <c r="K213" s="7">
        <f t="shared" si="26"/>
        <v>0.17948717948717949</v>
      </c>
      <c r="L213" s="7">
        <f t="shared" si="27"/>
        <v>0.15384615384615385</v>
      </c>
      <c r="M213" s="7">
        <f t="shared" si="28"/>
        <v>0.17948717948717949</v>
      </c>
      <c r="N213" s="7">
        <f t="shared" si="29"/>
        <v>0.15384615384615385</v>
      </c>
      <c r="O213" s="51">
        <f>IF(G213&gt;0,DT!AC213*I213+DT!AD213*J213+DT!AE213*K213+DT!AF213*L213+DT!AG213*M213+DT!AH213*N213,"")</f>
        <v>2.384615384615385</v>
      </c>
      <c r="P213" s="15"/>
    </row>
    <row r="214" spans="1:16">
      <c r="A214" s="60">
        <v>6</v>
      </c>
      <c r="B214" s="60">
        <v>6</v>
      </c>
      <c r="C214" s="60">
        <v>6</v>
      </c>
      <c r="D214" s="60">
        <v>7</v>
      </c>
      <c r="E214" s="60">
        <v>5</v>
      </c>
      <c r="F214" s="60">
        <v>5</v>
      </c>
      <c r="G214" s="1">
        <f t="shared" si="30"/>
        <v>35</v>
      </c>
      <c r="I214" s="7">
        <f t="shared" si="24"/>
        <v>0.17142857142857143</v>
      </c>
      <c r="J214" s="7">
        <f t="shared" si="25"/>
        <v>0.17142857142857143</v>
      </c>
      <c r="K214" s="7">
        <f t="shared" si="26"/>
        <v>0.17142857142857143</v>
      </c>
      <c r="L214" s="7">
        <f t="shared" si="27"/>
        <v>0.2</v>
      </c>
      <c r="M214" s="7">
        <f t="shared" si="28"/>
        <v>0.14285714285714285</v>
      </c>
      <c r="N214" s="7">
        <f t="shared" si="29"/>
        <v>0.14285714285714285</v>
      </c>
      <c r="O214" s="51">
        <f>IF(G214&gt;0,DT!AC214*I214+DT!AD214*J214+DT!AE214*K214+DT!AF214*L214+DT!AG214*M214+DT!AH214*N214,"")</f>
        <v>1.3357142857142856</v>
      </c>
      <c r="P214" s="15"/>
    </row>
    <row r="215" spans="1:16">
      <c r="A215" s="60">
        <v>4</v>
      </c>
      <c r="B215" s="60">
        <v>3</v>
      </c>
      <c r="C215" s="60">
        <v>5</v>
      </c>
      <c r="D215" s="60">
        <v>5</v>
      </c>
      <c r="E215" s="60">
        <v>5</v>
      </c>
      <c r="F215" s="60">
        <v>5</v>
      </c>
      <c r="G215" s="1">
        <f t="shared" si="30"/>
        <v>27</v>
      </c>
      <c r="I215" s="7">
        <f t="shared" si="24"/>
        <v>0.14814814814814814</v>
      </c>
      <c r="J215" s="7">
        <f t="shared" si="25"/>
        <v>0.1111111111111111</v>
      </c>
      <c r="K215" s="7">
        <f t="shared" si="26"/>
        <v>0.18518518518518517</v>
      </c>
      <c r="L215" s="7">
        <f t="shared" si="27"/>
        <v>0.18518518518518517</v>
      </c>
      <c r="M215" s="7">
        <f t="shared" si="28"/>
        <v>0.18518518518518517</v>
      </c>
      <c r="N215" s="7">
        <f t="shared" si="29"/>
        <v>0.18518518518518517</v>
      </c>
      <c r="O215" s="51">
        <f>IF(G215&gt;0,DT!AC215*I215+DT!AD215*J215+DT!AE215*K215+DT!AF215*L215+DT!AG215*M215+DT!AH215*N215,"")</f>
        <v>0.52777777777777768</v>
      </c>
      <c r="P215" s="15"/>
    </row>
    <row r="216" spans="1:16">
      <c r="A216" s="60">
        <v>6</v>
      </c>
      <c r="B216" s="60">
        <v>6</v>
      </c>
      <c r="C216" s="60">
        <v>7</v>
      </c>
      <c r="D216" s="60">
        <v>6</v>
      </c>
      <c r="E216" s="60">
        <v>5</v>
      </c>
      <c r="F216" s="60">
        <v>6</v>
      </c>
      <c r="G216" s="1">
        <f t="shared" si="30"/>
        <v>36</v>
      </c>
      <c r="I216" s="7">
        <f t="shared" si="24"/>
        <v>0.16666666666666666</v>
      </c>
      <c r="J216" s="7">
        <f t="shared" si="25"/>
        <v>0.16666666666666666</v>
      </c>
      <c r="K216" s="7">
        <f t="shared" si="26"/>
        <v>0.19444444444444445</v>
      </c>
      <c r="L216" s="7">
        <f t="shared" si="27"/>
        <v>0.16666666666666666</v>
      </c>
      <c r="M216" s="7">
        <f t="shared" si="28"/>
        <v>0.1388888888888889</v>
      </c>
      <c r="N216" s="7">
        <f t="shared" si="29"/>
        <v>0.16666666666666666</v>
      </c>
      <c r="O216" s="51">
        <f>IF(G216&gt;0,DT!AC216*I216+DT!AD216*J216+DT!AE216*K216+DT!AF216*L216+DT!AG216*M216+DT!AH216*N216,"")</f>
        <v>2.0763888888888888</v>
      </c>
      <c r="P216" s="15"/>
    </row>
    <row r="217" spans="1:16">
      <c r="A217" s="60">
        <v>6</v>
      </c>
      <c r="B217" s="60">
        <v>6</v>
      </c>
      <c r="C217" s="60">
        <v>7</v>
      </c>
      <c r="D217" s="60">
        <v>6</v>
      </c>
      <c r="E217" s="60">
        <v>6</v>
      </c>
      <c r="F217" s="60">
        <v>6</v>
      </c>
      <c r="G217" s="1">
        <f t="shared" si="30"/>
        <v>37</v>
      </c>
      <c r="I217" s="7">
        <f t="shared" si="24"/>
        <v>0.16216216216216217</v>
      </c>
      <c r="J217" s="7">
        <f t="shared" si="25"/>
        <v>0.16216216216216217</v>
      </c>
      <c r="K217" s="7">
        <f t="shared" si="26"/>
        <v>0.1891891891891892</v>
      </c>
      <c r="L217" s="7">
        <f t="shared" si="27"/>
        <v>0.16216216216216217</v>
      </c>
      <c r="M217" s="7">
        <f t="shared" si="28"/>
        <v>0.16216216216216217</v>
      </c>
      <c r="N217" s="7">
        <f t="shared" si="29"/>
        <v>0.16216216216216217</v>
      </c>
      <c r="O217" s="51">
        <f>IF(G217&gt;0,DT!AC217*I217+DT!AD217*J217+DT!AE217*K217+DT!AF217*L217+DT!AG217*M217+DT!AH217*N217,"")</f>
        <v>1.7162162162162162</v>
      </c>
      <c r="P217" s="15"/>
    </row>
    <row r="218" spans="1:16">
      <c r="A218" s="60">
        <v>6</v>
      </c>
      <c r="B218" s="60">
        <v>7</v>
      </c>
      <c r="C218" s="60">
        <v>6</v>
      </c>
      <c r="D218" s="60">
        <v>7</v>
      </c>
      <c r="E218" s="60">
        <v>6</v>
      </c>
      <c r="F218" s="60">
        <v>6</v>
      </c>
      <c r="G218" s="1">
        <f t="shared" si="30"/>
        <v>38</v>
      </c>
      <c r="I218" s="7">
        <f t="shared" si="24"/>
        <v>0.15789473684210525</v>
      </c>
      <c r="J218" s="7">
        <f t="shared" si="25"/>
        <v>0.18421052631578946</v>
      </c>
      <c r="K218" s="7">
        <f t="shared" si="26"/>
        <v>0.15789473684210525</v>
      </c>
      <c r="L218" s="7">
        <f t="shared" si="27"/>
        <v>0.18421052631578946</v>
      </c>
      <c r="M218" s="7">
        <f t="shared" si="28"/>
        <v>0.15789473684210525</v>
      </c>
      <c r="N218" s="7">
        <f t="shared" si="29"/>
        <v>0.15789473684210525</v>
      </c>
      <c r="O218" s="51">
        <f>IF(G218&gt;0,DT!AC218*I218+DT!AD218*J218+DT!AE218*K218+DT!AF218*L218+DT!AG218*M218+DT!AH218*N218,"")</f>
        <v>1.9013157894736841</v>
      </c>
      <c r="P218" s="15"/>
    </row>
    <row r="219" spans="1:16">
      <c r="A219" s="60">
        <v>5</v>
      </c>
      <c r="B219" s="60">
        <v>7</v>
      </c>
      <c r="C219" s="60">
        <v>7</v>
      </c>
      <c r="D219" s="60">
        <v>7</v>
      </c>
      <c r="E219" s="60">
        <v>5</v>
      </c>
      <c r="F219" s="60">
        <v>5</v>
      </c>
      <c r="G219" s="1">
        <f t="shared" si="30"/>
        <v>36</v>
      </c>
      <c r="I219" s="7">
        <f t="shared" si="24"/>
        <v>0.1388888888888889</v>
      </c>
      <c r="J219" s="7">
        <f t="shared" si="25"/>
        <v>0.19444444444444445</v>
      </c>
      <c r="K219" s="7">
        <f t="shared" si="26"/>
        <v>0.19444444444444445</v>
      </c>
      <c r="L219" s="7">
        <f t="shared" si="27"/>
        <v>0.19444444444444445</v>
      </c>
      <c r="M219" s="7">
        <f t="shared" si="28"/>
        <v>0.1388888888888889</v>
      </c>
      <c r="N219" s="7">
        <f t="shared" si="29"/>
        <v>0.1388888888888889</v>
      </c>
      <c r="O219" s="51">
        <f>IF(G219&gt;0,DT!AC219*I219+DT!AD219*J219+DT!AE219*K219+DT!AF219*L219+DT!AG219*M219+DT!AH219*N219,"")</f>
        <v>1.3125</v>
      </c>
      <c r="P219" s="15"/>
    </row>
    <row r="220" spans="1:16">
      <c r="A220" s="60">
        <v>5</v>
      </c>
      <c r="B220" s="60">
        <v>7</v>
      </c>
      <c r="C220" s="60">
        <v>7</v>
      </c>
      <c r="D220" s="60">
        <v>7</v>
      </c>
      <c r="E220" s="60">
        <v>4</v>
      </c>
      <c r="F220" s="60">
        <v>5</v>
      </c>
      <c r="G220" s="1">
        <f t="shared" si="30"/>
        <v>35</v>
      </c>
      <c r="I220" s="7">
        <f t="shared" si="24"/>
        <v>0.14285714285714285</v>
      </c>
      <c r="J220" s="7">
        <f t="shared" si="25"/>
        <v>0.2</v>
      </c>
      <c r="K220" s="7">
        <f t="shared" si="26"/>
        <v>0.2</v>
      </c>
      <c r="L220" s="7">
        <f t="shared" si="27"/>
        <v>0.2</v>
      </c>
      <c r="M220" s="7">
        <f t="shared" si="28"/>
        <v>0.11428571428571428</v>
      </c>
      <c r="N220" s="7">
        <f t="shared" si="29"/>
        <v>0.14285714285714285</v>
      </c>
      <c r="O220" s="51">
        <f>IF(G220&gt;0,DT!AC220*I220+DT!AD220*J220+DT!AE220*K220+DT!AF220*L220+DT!AG220*M220+DT!AH220*N220,"")</f>
        <v>1.8214285714285712</v>
      </c>
      <c r="P220" s="15"/>
    </row>
    <row r="221" spans="1:16">
      <c r="A221" s="60">
        <v>5</v>
      </c>
      <c r="B221" s="60">
        <v>7</v>
      </c>
      <c r="C221" s="60">
        <v>7</v>
      </c>
      <c r="D221" s="60">
        <v>7</v>
      </c>
      <c r="E221" s="60">
        <v>5</v>
      </c>
      <c r="F221" s="60">
        <v>2</v>
      </c>
      <c r="G221" s="1">
        <f t="shared" si="30"/>
        <v>33</v>
      </c>
      <c r="I221" s="7">
        <f t="shared" si="24"/>
        <v>0.15151515151515152</v>
      </c>
      <c r="J221" s="7">
        <f t="shared" si="25"/>
        <v>0.21212121212121213</v>
      </c>
      <c r="K221" s="7">
        <f t="shared" si="26"/>
        <v>0.21212121212121213</v>
      </c>
      <c r="L221" s="7">
        <f t="shared" si="27"/>
        <v>0.21212121212121213</v>
      </c>
      <c r="M221" s="7">
        <f t="shared" si="28"/>
        <v>0.15151515151515152</v>
      </c>
      <c r="N221" s="7">
        <f t="shared" si="29"/>
        <v>6.0606060606060608E-2</v>
      </c>
      <c r="O221" s="51">
        <f>IF(G221&gt;0,DT!AC221*I221+DT!AD221*J221+DT!AE221*K221+DT!AF221*L221+DT!AG221*M221+DT!AH221*N221,"")</f>
        <v>1.808080808080808</v>
      </c>
      <c r="P221" s="15"/>
    </row>
    <row r="222" spans="1:16">
      <c r="A222" s="60">
        <v>7</v>
      </c>
      <c r="B222" s="60">
        <v>3</v>
      </c>
      <c r="C222" s="60">
        <v>7</v>
      </c>
      <c r="D222" s="60">
        <v>7</v>
      </c>
      <c r="E222" s="60">
        <v>2</v>
      </c>
      <c r="F222" s="60">
        <v>6</v>
      </c>
      <c r="G222" s="1">
        <f t="shared" si="30"/>
        <v>32</v>
      </c>
      <c r="I222" s="7">
        <f t="shared" si="24"/>
        <v>0.21875</v>
      </c>
      <c r="J222" s="7">
        <f t="shared" si="25"/>
        <v>9.375E-2</v>
      </c>
      <c r="K222" s="7">
        <f t="shared" si="26"/>
        <v>0.21875</v>
      </c>
      <c r="L222" s="7">
        <f t="shared" si="27"/>
        <v>0.21875</v>
      </c>
      <c r="M222" s="7">
        <f t="shared" si="28"/>
        <v>6.25E-2</v>
      </c>
      <c r="N222" s="7">
        <f t="shared" si="29"/>
        <v>0.1875</v>
      </c>
      <c r="O222" s="51">
        <f>IF(G222&gt;0,DT!AC222*I222+DT!AD222*J222+DT!AE222*K222+DT!AF222*L222+DT!AG222*M222+DT!AH222*N222,"")</f>
        <v>2.354166666666667</v>
      </c>
      <c r="P222" s="15"/>
    </row>
    <row r="223" spans="1:16">
      <c r="A223" s="60">
        <v>4</v>
      </c>
      <c r="B223" s="60">
        <v>6</v>
      </c>
      <c r="C223" s="60">
        <v>6</v>
      </c>
      <c r="D223" s="60">
        <v>6</v>
      </c>
      <c r="E223" s="60">
        <v>5</v>
      </c>
      <c r="F223" s="60">
        <v>5</v>
      </c>
      <c r="G223" s="1">
        <f t="shared" si="30"/>
        <v>32</v>
      </c>
      <c r="I223" s="7">
        <f t="shared" si="24"/>
        <v>0.125</v>
      </c>
      <c r="J223" s="7">
        <f t="shared" si="25"/>
        <v>0.1875</v>
      </c>
      <c r="K223" s="7">
        <f t="shared" si="26"/>
        <v>0.1875</v>
      </c>
      <c r="L223" s="7">
        <f t="shared" si="27"/>
        <v>0.1875</v>
      </c>
      <c r="M223" s="7">
        <f t="shared" si="28"/>
        <v>0.15625</v>
      </c>
      <c r="N223" s="7">
        <f t="shared" si="29"/>
        <v>0.15625</v>
      </c>
      <c r="O223" s="51">
        <f>IF(G223&gt;0,DT!AC223*I223+DT!AD223*J223+DT!AE223*K223+DT!AF223*L223+DT!AG223*M223+DT!AH223*N223,"")</f>
        <v>-1.0364583333333333</v>
      </c>
      <c r="P223" s="15"/>
    </row>
    <row r="224" spans="1:16">
      <c r="A224" s="60">
        <v>7</v>
      </c>
      <c r="B224" s="60">
        <v>7</v>
      </c>
      <c r="C224" s="60">
        <v>7</v>
      </c>
      <c r="D224" s="60">
        <v>7</v>
      </c>
      <c r="E224" s="60">
        <v>7</v>
      </c>
      <c r="F224" s="60">
        <v>7</v>
      </c>
      <c r="G224" s="1">
        <f t="shared" si="30"/>
        <v>42</v>
      </c>
      <c r="I224" s="7">
        <f t="shared" si="24"/>
        <v>0.16666666666666666</v>
      </c>
      <c r="J224" s="7">
        <f t="shared" si="25"/>
        <v>0.16666666666666666</v>
      </c>
      <c r="K224" s="7">
        <f t="shared" si="26"/>
        <v>0.16666666666666666</v>
      </c>
      <c r="L224" s="7">
        <f t="shared" si="27"/>
        <v>0.16666666666666666</v>
      </c>
      <c r="M224" s="7">
        <f t="shared" si="28"/>
        <v>0.16666666666666666</v>
      </c>
      <c r="N224" s="7">
        <f t="shared" si="29"/>
        <v>0.16666666666666666</v>
      </c>
      <c r="O224" s="51">
        <f>IF(G224&gt;0,DT!AC224*I224+DT!AD224*J224+DT!AE224*K224+DT!AF224*L224+DT!AG224*M224+DT!AH224*N224,"")</f>
        <v>2.125</v>
      </c>
      <c r="P224" s="15"/>
    </row>
    <row r="225" spans="1:16">
      <c r="A225" s="60">
        <v>7</v>
      </c>
      <c r="B225" s="60">
        <v>7</v>
      </c>
      <c r="C225" s="60">
        <v>7</v>
      </c>
      <c r="D225" s="60">
        <v>7</v>
      </c>
      <c r="E225" s="60">
        <v>6</v>
      </c>
      <c r="F225" s="60">
        <v>6</v>
      </c>
      <c r="G225" s="1">
        <f t="shared" si="30"/>
        <v>40</v>
      </c>
      <c r="I225" s="7">
        <f t="shared" si="24"/>
        <v>0.17499999999999999</v>
      </c>
      <c r="J225" s="7">
        <f t="shared" si="25"/>
        <v>0.17499999999999999</v>
      </c>
      <c r="K225" s="7">
        <f t="shared" si="26"/>
        <v>0.17499999999999999</v>
      </c>
      <c r="L225" s="7">
        <f t="shared" si="27"/>
        <v>0.17499999999999999</v>
      </c>
      <c r="M225" s="7">
        <f t="shared" si="28"/>
        <v>0.15</v>
      </c>
      <c r="N225" s="7">
        <f t="shared" si="29"/>
        <v>0.15</v>
      </c>
      <c r="O225" s="51">
        <f>IF(G225&gt;0,DT!AC225*I225+DT!AD225*J225+DT!AE225*K225+DT!AF225*L225+DT!AG225*M225+DT!AH225*N225,"")</f>
        <v>1.520833333333333</v>
      </c>
      <c r="P225" s="15"/>
    </row>
    <row r="226" spans="1:16">
      <c r="A226" s="60">
        <v>6</v>
      </c>
      <c r="B226" s="60">
        <v>7</v>
      </c>
      <c r="C226" s="60">
        <v>7</v>
      </c>
      <c r="D226" s="60">
        <v>6</v>
      </c>
      <c r="E226" s="60">
        <v>3</v>
      </c>
      <c r="F226" s="60">
        <v>2</v>
      </c>
      <c r="G226" s="1">
        <f t="shared" si="30"/>
        <v>31</v>
      </c>
      <c r="I226" s="7">
        <f t="shared" si="24"/>
        <v>0.19354838709677419</v>
      </c>
      <c r="J226" s="7">
        <f t="shared" si="25"/>
        <v>0.22580645161290322</v>
      </c>
      <c r="K226" s="7">
        <f t="shared" si="26"/>
        <v>0.22580645161290322</v>
      </c>
      <c r="L226" s="7">
        <f t="shared" si="27"/>
        <v>0.19354838709677419</v>
      </c>
      <c r="M226" s="7">
        <f t="shared" si="28"/>
        <v>9.6774193548387094E-2</v>
      </c>
      <c r="N226" s="7">
        <f t="shared" si="29"/>
        <v>6.4516129032258063E-2</v>
      </c>
      <c r="O226" s="51">
        <f>IF(G226&gt;0,DT!AC226*I226+DT!AD226*J226+DT!AE226*K226+DT!AF226*L226+DT!AG226*M226+DT!AH226*N226,"")</f>
        <v>1.6854838709677418</v>
      </c>
      <c r="P226" s="15"/>
    </row>
    <row r="227" spans="1:16">
      <c r="A227" s="60">
        <v>7</v>
      </c>
      <c r="B227" s="60">
        <v>7</v>
      </c>
      <c r="C227" s="60">
        <v>7</v>
      </c>
      <c r="D227" s="60">
        <v>7</v>
      </c>
      <c r="E227" s="60">
        <v>7</v>
      </c>
      <c r="F227" s="60">
        <v>7</v>
      </c>
      <c r="G227" s="1">
        <f t="shared" si="30"/>
        <v>42</v>
      </c>
      <c r="I227" s="7">
        <f t="shared" si="24"/>
        <v>0.16666666666666666</v>
      </c>
      <c r="J227" s="7">
        <f t="shared" si="25"/>
        <v>0.16666666666666666</v>
      </c>
      <c r="K227" s="7">
        <f t="shared" si="26"/>
        <v>0.16666666666666666</v>
      </c>
      <c r="L227" s="7">
        <f t="shared" si="27"/>
        <v>0.16666666666666666</v>
      </c>
      <c r="M227" s="7">
        <f t="shared" si="28"/>
        <v>0.16666666666666666</v>
      </c>
      <c r="N227" s="7">
        <f t="shared" si="29"/>
        <v>0.16666666666666666</v>
      </c>
      <c r="O227" s="51">
        <f>IF(G227&gt;0,DT!AC227*I227+DT!AD227*J227+DT!AE227*K227+DT!AF227*L227+DT!AG227*M227+DT!AH227*N227,"")</f>
        <v>-1.1944444444444444</v>
      </c>
      <c r="P227" s="15"/>
    </row>
    <row r="228" spans="1:16">
      <c r="A228" s="60">
        <v>7</v>
      </c>
      <c r="B228" s="60">
        <v>7</v>
      </c>
      <c r="C228" s="60">
        <v>6</v>
      </c>
      <c r="D228" s="60">
        <v>6</v>
      </c>
      <c r="E228" s="60">
        <v>7</v>
      </c>
      <c r="F228" s="60">
        <v>7</v>
      </c>
      <c r="G228" s="1">
        <f t="shared" si="30"/>
        <v>40</v>
      </c>
      <c r="I228" s="7">
        <f t="shared" si="24"/>
        <v>0.17499999999999999</v>
      </c>
      <c r="J228" s="7">
        <f t="shared" si="25"/>
        <v>0.17499999999999999</v>
      </c>
      <c r="K228" s="7">
        <f t="shared" si="26"/>
        <v>0.15</v>
      </c>
      <c r="L228" s="7">
        <f t="shared" si="27"/>
        <v>0.15</v>
      </c>
      <c r="M228" s="7">
        <f t="shared" si="28"/>
        <v>0.17499999999999999</v>
      </c>
      <c r="N228" s="7">
        <f t="shared" si="29"/>
        <v>0.17499999999999999</v>
      </c>
      <c r="O228" s="51">
        <f>IF(G228&gt;0,DT!AC228*I228+DT!AD228*J228+DT!AE228*K228+DT!AF228*L228+DT!AG228*M228+DT!AH228*N228,"")</f>
        <v>2.2437499999999995</v>
      </c>
      <c r="P228" s="15"/>
    </row>
    <row r="229" spans="1:16">
      <c r="A229" s="60">
        <v>4</v>
      </c>
      <c r="B229" s="60">
        <v>5</v>
      </c>
      <c r="C229" s="60">
        <v>7</v>
      </c>
      <c r="D229" s="60">
        <v>4</v>
      </c>
      <c r="E229" s="60">
        <v>4</v>
      </c>
      <c r="F229" s="60">
        <v>5</v>
      </c>
      <c r="G229" s="1">
        <f t="shared" si="30"/>
        <v>29</v>
      </c>
      <c r="I229" s="7">
        <f t="shared" si="24"/>
        <v>0.13793103448275862</v>
      </c>
      <c r="J229" s="7">
        <f t="shared" si="25"/>
        <v>0.17241379310344829</v>
      </c>
      <c r="K229" s="7">
        <f t="shared" si="26"/>
        <v>0.2413793103448276</v>
      </c>
      <c r="L229" s="7">
        <f t="shared" si="27"/>
        <v>0.13793103448275862</v>
      </c>
      <c r="M229" s="7">
        <f t="shared" si="28"/>
        <v>0.13793103448275862</v>
      </c>
      <c r="N229" s="7">
        <f t="shared" si="29"/>
        <v>0.17241379310344829</v>
      </c>
      <c r="O229" s="51">
        <f>IF(G229&gt;0,DT!AC229*I229+DT!AD229*J229+DT!AE229*K229+DT!AF229*L229+DT!AG229*M229+DT!AH229*N229,"")</f>
        <v>1.4655172413793105</v>
      </c>
      <c r="P229" s="15"/>
    </row>
    <row r="230" spans="1:16">
      <c r="A230" s="60">
        <v>7</v>
      </c>
      <c r="B230" s="60">
        <v>7</v>
      </c>
      <c r="C230" s="60">
        <v>7</v>
      </c>
      <c r="D230" s="60">
        <v>7</v>
      </c>
      <c r="E230" s="60">
        <v>5</v>
      </c>
      <c r="F230" s="60">
        <v>7</v>
      </c>
      <c r="G230" s="1">
        <f t="shared" si="30"/>
        <v>40</v>
      </c>
      <c r="I230" s="7">
        <f t="shared" si="24"/>
        <v>0.17499999999999999</v>
      </c>
      <c r="J230" s="7">
        <f t="shared" si="25"/>
        <v>0.17499999999999999</v>
      </c>
      <c r="K230" s="7">
        <f t="shared" si="26"/>
        <v>0.17499999999999999</v>
      </c>
      <c r="L230" s="7">
        <f t="shared" si="27"/>
        <v>0.17499999999999999</v>
      </c>
      <c r="M230" s="7">
        <f t="shared" si="28"/>
        <v>0.125</v>
      </c>
      <c r="N230" s="7">
        <f t="shared" si="29"/>
        <v>0.17499999999999999</v>
      </c>
      <c r="O230" s="51">
        <f>IF(G230&gt;0,DT!AC230*I230+DT!AD230*J230+DT!AE230*K230+DT!AF230*L230+DT!AG230*M230+DT!AH230*N230,"")</f>
        <v>2.375</v>
      </c>
      <c r="P230" s="15"/>
    </row>
    <row r="231" spans="1:16">
      <c r="A231" s="60">
        <v>5</v>
      </c>
      <c r="B231" s="60">
        <v>7</v>
      </c>
      <c r="C231" s="60">
        <v>7</v>
      </c>
      <c r="D231" s="60">
        <v>7</v>
      </c>
      <c r="E231" s="60">
        <v>7</v>
      </c>
      <c r="F231" s="60">
        <v>6</v>
      </c>
      <c r="G231" s="1">
        <f t="shared" si="30"/>
        <v>39</v>
      </c>
      <c r="I231" s="7">
        <f t="shared" si="24"/>
        <v>0.12820512820512819</v>
      </c>
      <c r="J231" s="7">
        <f t="shared" si="25"/>
        <v>0.17948717948717949</v>
      </c>
      <c r="K231" s="7">
        <f t="shared" si="26"/>
        <v>0.17948717948717949</v>
      </c>
      <c r="L231" s="7">
        <f t="shared" si="27"/>
        <v>0.17948717948717949</v>
      </c>
      <c r="M231" s="7">
        <f t="shared" si="28"/>
        <v>0.17948717948717949</v>
      </c>
      <c r="N231" s="7">
        <f t="shared" si="29"/>
        <v>0.15384615384615385</v>
      </c>
      <c r="O231" s="51">
        <f>IF(G231&gt;0,DT!AC231*I231+DT!AD231*J231+DT!AE231*K231+DT!AF231*L231+DT!AG231*M231+DT!AH231*N231,"")</f>
        <v>2.7606837606837606</v>
      </c>
      <c r="P231" s="15"/>
    </row>
    <row r="232" spans="1:16">
      <c r="A232" s="60">
        <v>4</v>
      </c>
      <c r="B232" s="60">
        <v>4</v>
      </c>
      <c r="C232" s="60">
        <v>5</v>
      </c>
      <c r="D232" s="60">
        <v>5</v>
      </c>
      <c r="E232" s="60">
        <v>4</v>
      </c>
      <c r="F232" s="60">
        <v>5</v>
      </c>
      <c r="G232" s="1">
        <f t="shared" si="30"/>
        <v>27</v>
      </c>
      <c r="I232" s="7">
        <f t="shared" si="24"/>
        <v>0.14814814814814814</v>
      </c>
      <c r="J232" s="7">
        <f t="shared" si="25"/>
        <v>0.14814814814814814</v>
      </c>
      <c r="K232" s="7">
        <f t="shared" si="26"/>
        <v>0.18518518518518517</v>
      </c>
      <c r="L232" s="7">
        <f t="shared" si="27"/>
        <v>0.18518518518518517</v>
      </c>
      <c r="M232" s="7">
        <f t="shared" si="28"/>
        <v>0.14814814814814814</v>
      </c>
      <c r="N232" s="7">
        <f t="shared" si="29"/>
        <v>0.18518518518518517</v>
      </c>
      <c r="O232" s="51">
        <f>IF(G232&gt;0,DT!AC232*I232+DT!AD232*J232+DT!AE232*K232+DT!AF232*L232+DT!AG232*M232+DT!AH232*N232,"")</f>
        <v>-1.3877787807814457E-17</v>
      </c>
      <c r="P232" s="15"/>
    </row>
    <row r="233" spans="1:16">
      <c r="A233" s="60">
        <v>6</v>
      </c>
      <c r="B233" s="60">
        <v>6</v>
      </c>
      <c r="C233" s="60">
        <v>6</v>
      </c>
      <c r="D233" s="60">
        <v>6</v>
      </c>
      <c r="E233" s="60">
        <v>5</v>
      </c>
      <c r="F233" s="60">
        <v>6</v>
      </c>
      <c r="G233" s="1">
        <f t="shared" si="30"/>
        <v>35</v>
      </c>
      <c r="I233" s="7">
        <f t="shared" si="24"/>
        <v>0.17142857142857143</v>
      </c>
      <c r="J233" s="7">
        <f t="shared" si="25"/>
        <v>0.17142857142857143</v>
      </c>
      <c r="K233" s="7">
        <f t="shared" si="26"/>
        <v>0.17142857142857143</v>
      </c>
      <c r="L233" s="7">
        <f t="shared" si="27"/>
        <v>0.17142857142857143</v>
      </c>
      <c r="M233" s="7">
        <f t="shared" si="28"/>
        <v>0.14285714285714285</v>
      </c>
      <c r="N233" s="7">
        <f t="shared" si="29"/>
        <v>0.17142857142857143</v>
      </c>
      <c r="O233" s="51">
        <f>IF(G233&gt;0,DT!AC233*I233+DT!AD233*J233+DT!AE233*K233+DT!AF233*L233+DT!AG233*M233+DT!AH233*N233,"")</f>
        <v>1.8428571428571425</v>
      </c>
      <c r="P233" s="15"/>
    </row>
    <row r="234" spans="1:16">
      <c r="A234" s="60">
        <v>5</v>
      </c>
      <c r="B234" s="60">
        <v>6</v>
      </c>
      <c r="C234" s="60">
        <v>4</v>
      </c>
      <c r="D234" s="60">
        <v>5</v>
      </c>
      <c r="E234" s="60">
        <v>6</v>
      </c>
      <c r="F234" s="60">
        <v>5</v>
      </c>
      <c r="G234" s="1">
        <f t="shared" si="30"/>
        <v>31</v>
      </c>
      <c r="I234" s="7">
        <f t="shared" si="24"/>
        <v>0.16129032258064516</v>
      </c>
      <c r="J234" s="7">
        <f t="shared" si="25"/>
        <v>0.19354838709677419</v>
      </c>
      <c r="K234" s="7">
        <f t="shared" si="26"/>
        <v>0.12903225806451613</v>
      </c>
      <c r="L234" s="7">
        <f t="shared" si="27"/>
        <v>0.16129032258064516</v>
      </c>
      <c r="M234" s="7">
        <f t="shared" si="28"/>
        <v>0.19354838709677419</v>
      </c>
      <c r="N234" s="7">
        <f t="shared" si="29"/>
        <v>0.16129032258064516</v>
      </c>
      <c r="O234" s="51">
        <f>IF(G234&gt;0,DT!AC234*I234+DT!AD234*J234+DT!AE234*K234+DT!AF234*L234+DT!AG234*M234+DT!AH234*N234,"")</f>
        <v>0.40860215053763438</v>
      </c>
      <c r="P234" s="15"/>
    </row>
    <row r="235" spans="1:16">
      <c r="A235" s="60">
        <v>6</v>
      </c>
      <c r="B235" s="60">
        <v>6</v>
      </c>
      <c r="C235" s="60">
        <v>7</v>
      </c>
      <c r="D235" s="60">
        <v>7</v>
      </c>
      <c r="E235" s="60">
        <v>6</v>
      </c>
      <c r="F235" s="60">
        <v>6</v>
      </c>
      <c r="G235" s="1">
        <f t="shared" si="30"/>
        <v>38</v>
      </c>
      <c r="I235" s="7">
        <f t="shared" si="24"/>
        <v>0.15789473684210525</v>
      </c>
      <c r="J235" s="7">
        <f t="shared" si="25"/>
        <v>0.15789473684210525</v>
      </c>
      <c r="K235" s="7">
        <f t="shared" si="26"/>
        <v>0.18421052631578946</v>
      </c>
      <c r="L235" s="7">
        <f t="shared" si="27"/>
        <v>0.18421052631578946</v>
      </c>
      <c r="M235" s="7">
        <f t="shared" si="28"/>
        <v>0.15789473684210525</v>
      </c>
      <c r="N235" s="7">
        <f t="shared" si="29"/>
        <v>0.15789473684210525</v>
      </c>
      <c r="O235" s="51">
        <f>IF(G235&gt;0,DT!AC235*I235+DT!AD235*J235+DT!AE235*K235+DT!AF235*L235+DT!AG235*M235+DT!AH235*N235,"")</f>
        <v>1.3157894736842105E-2</v>
      </c>
      <c r="P235" s="15"/>
    </row>
    <row r="236" spans="1:16">
      <c r="A236" s="60">
        <v>6</v>
      </c>
      <c r="B236" s="60">
        <v>7</v>
      </c>
      <c r="C236" s="60">
        <v>7</v>
      </c>
      <c r="D236" s="60">
        <v>7</v>
      </c>
      <c r="E236" s="60">
        <v>4</v>
      </c>
      <c r="F236" s="60">
        <v>4</v>
      </c>
      <c r="G236" s="1">
        <f t="shared" si="30"/>
        <v>35</v>
      </c>
      <c r="I236" s="7">
        <f t="shared" si="24"/>
        <v>0.17142857142857143</v>
      </c>
      <c r="J236" s="7">
        <f t="shared" si="25"/>
        <v>0.2</v>
      </c>
      <c r="K236" s="7">
        <f t="shared" si="26"/>
        <v>0.2</v>
      </c>
      <c r="L236" s="7">
        <f t="shared" si="27"/>
        <v>0.2</v>
      </c>
      <c r="M236" s="7">
        <f t="shared" si="28"/>
        <v>0.11428571428571428</v>
      </c>
      <c r="N236" s="7">
        <f t="shared" si="29"/>
        <v>0.11428571428571428</v>
      </c>
      <c r="O236" s="51">
        <f>IF(G236&gt;0,DT!AC236*I236+DT!AD236*J236+DT!AE236*K236+DT!AF236*L236+DT!AG236*M236+DT!AH236*N236,"")</f>
        <v>1.5357142857142858</v>
      </c>
      <c r="P236" s="15"/>
    </row>
    <row r="237" spans="1:16">
      <c r="A237" s="60">
        <v>5</v>
      </c>
      <c r="B237" s="60">
        <v>6</v>
      </c>
      <c r="C237" s="60">
        <v>7</v>
      </c>
      <c r="D237" s="60">
        <v>7</v>
      </c>
      <c r="E237" s="60">
        <v>5</v>
      </c>
      <c r="F237" s="60">
        <v>5</v>
      </c>
      <c r="G237" s="1">
        <f t="shared" si="30"/>
        <v>35</v>
      </c>
      <c r="I237" s="7">
        <f t="shared" si="24"/>
        <v>0.14285714285714285</v>
      </c>
      <c r="J237" s="7">
        <f t="shared" si="25"/>
        <v>0.17142857142857143</v>
      </c>
      <c r="K237" s="7">
        <f t="shared" si="26"/>
        <v>0.2</v>
      </c>
      <c r="L237" s="7">
        <f t="shared" si="27"/>
        <v>0.2</v>
      </c>
      <c r="M237" s="7">
        <f t="shared" si="28"/>
        <v>0.14285714285714285</v>
      </c>
      <c r="N237" s="7">
        <f t="shared" si="29"/>
        <v>0.14285714285714285</v>
      </c>
      <c r="O237" s="51">
        <f>IF(G237&gt;0,DT!AC237*I237+DT!AD237*J237+DT!AE237*K237+DT!AF237*L237+DT!AG237*M237+DT!AH237*N237,"")</f>
        <v>1.7404761904761905</v>
      </c>
      <c r="P237" s="15"/>
    </row>
    <row r="238" spans="1:16">
      <c r="A238" s="60">
        <v>7</v>
      </c>
      <c r="B238" s="60">
        <v>6</v>
      </c>
      <c r="C238" s="60">
        <v>5</v>
      </c>
      <c r="D238" s="60">
        <v>6</v>
      </c>
      <c r="E238" s="60">
        <v>7</v>
      </c>
      <c r="F238" s="60">
        <v>6</v>
      </c>
      <c r="G238" s="1">
        <f t="shared" si="30"/>
        <v>37</v>
      </c>
      <c r="I238" s="7">
        <f t="shared" si="24"/>
        <v>0.1891891891891892</v>
      </c>
      <c r="J238" s="7">
        <f t="shared" si="25"/>
        <v>0.16216216216216217</v>
      </c>
      <c r="K238" s="7">
        <f t="shared" si="26"/>
        <v>0.13513513513513514</v>
      </c>
      <c r="L238" s="7">
        <f t="shared" si="27"/>
        <v>0.16216216216216217</v>
      </c>
      <c r="M238" s="7">
        <f t="shared" si="28"/>
        <v>0.1891891891891892</v>
      </c>
      <c r="N238" s="7">
        <f t="shared" si="29"/>
        <v>0.16216216216216217</v>
      </c>
      <c r="O238" s="51">
        <f>IF(G238&gt;0,DT!AC238*I238+DT!AD238*J238+DT!AE238*K238+DT!AF238*L238+DT!AG238*M238+DT!AH238*N238,"")</f>
        <v>2.0630630630630633</v>
      </c>
      <c r="P238" s="15"/>
    </row>
    <row r="239" spans="1:16">
      <c r="A239" s="60">
        <v>6</v>
      </c>
      <c r="B239" s="60">
        <v>6</v>
      </c>
      <c r="C239" s="60">
        <v>7</v>
      </c>
      <c r="D239" s="60">
        <v>6</v>
      </c>
      <c r="E239" s="60">
        <v>3</v>
      </c>
      <c r="F239" s="60">
        <v>4</v>
      </c>
      <c r="G239" s="1">
        <f t="shared" si="30"/>
        <v>32</v>
      </c>
      <c r="I239" s="7">
        <f t="shared" si="24"/>
        <v>0.1875</v>
      </c>
      <c r="J239" s="7">
        <f t="shared" si="25"/>
        <v>0.1875</v>
      </c>
      <c r="K239" s="7">
        <f t="shared" si="26"/>
        <v>0.21875</v>
      </c>
      <c r="L239" s="7">
        <f t="shared" si="27"/>
        <v>0.1875</v>
      </c>
      <c r="M239" s="7">
        <f t="shared" si="28"/>
        <v>9.375E-2</v>
      </c>
      <c r="N239" s="7">
        <f t="shared" si="29"/>
        <v>0.125</v>
      </c>
      <c r="O239" s="51">
        <f>IF(G239&gt;0,DT!AC239*I239+DT!AD239*J239+DT!AE239*K239+DT!AF239*L239+DT!AG239*M239+DT!AH239*N239,"")</f>
        <v>1.7890625</v>
      </c>
      <c r="P239" s="15"/>
    </row>
    <row r="240" spans="1:16">
      <c r="A240" s="60">
        <v>5</v>
      </c>
      <c r="B240" s="60">
        <v>5</v>
      </c>
      <c r="C240" s="60">
        <v>6</v>
      </c>
      <c r="D240" s="60">
        <v>6</v>
      </c>
      <c r="E240" s="60">
        <v>5</v>
      </c>
      <c r="F240" s="60">
        <v>6</v>
      </c>
      <c r="G240" s="1">
        <f t="shared" si="30"/>
        <v>33</v>
      </c>
      <c r="I240" s="7">
        <f t="shared" si="24"/>
        <v>0.15151515151515152</v>
      </c>
      <c r="J240" s="7">
        <f t="shared" si="25"/>
        <v>0.15151515151515152</v>
      </c>
      <c r="K240" s="7">
        <f t="shared" si="26"/>
        <v>0.18181818181818182</v>
      </c>
      <c r="L240" s="7">
        <f t="shared" si="27"/>
        <v>0.18181818181818182</v>
      </c>
      <c r="M240" s="7">
        <f t="shared" si="28"/>
        <v>0.15151515151515152</v>
      </c>
      <c r="N240" s="7">
        <f t="shared" si="29"/>
        <v>0.18181818181818182</v>
      </c>
      <c r="O240" s="51">
        <f>IF(G240&gt;0,DT!AC240*I240+DT!AD240*J240+DT!AE240*K240+DT!AF240*L240+DT!AG240*M240+DT!AH240*N240,"")</f>
        <v>0.7020202020202021</v>
      </c>
      <c r="P240" s="15"/>
    </row>
    <row r="241" spans="1:16">
      <c r="A241" s="60">
        <v>2</v>
      </c>
      <c r="B241" s="60">
        <v>6</v>
      </c>
      <c r="C241" s="60">
        <v>7</v>
      </c>
      <c r="D241" s="60">
        <v>7</v>
      </c>
      <c r="E241" s="60">
        <v>2</v>
      </c>
      <c r="F241" s="60">
        <v>3</v>
      </c>
      <c r="G241" s="1">
        <f t="shared" si="30"/>
        <v>27</v>
      </c>
      <c r="I241" s="7">
        <f t="shared" si="24"/>
        <v>7.407407407407407E-2</v>
      </c>
      <c r="J241" s="7">
        <f t="shared" si="25"/>
        <v>0.22222222222222221</v>
      </c>
      <c r="K241" s="7">
        <f t="shared" si="26"/>
        <v>0.25925925925925924</v>
      </c>
      <c r="L241" s="7">
        <f t="shared" si="27"/>
        <v>0.25925925925925924</v>
      </c>
      <c r="M241" s="7">
        <f t="shared" si="28"/>
        <v>7.407407407407407E-2</v>
      </c>
      <c r="N241" s="7">
        <f t="shared" si="29"/>
        <v>0.1111111111111111</v>
      </c>
      <c r="O241" s="51">
        <f>IF(G241&gt;0,DT!AC241*I241+DT!AD241*J241+DT!AE241*K241+DT!AF241*L241+DT!AG241*M241+DT!AH241*N241,"")</f>
        <v>-0.12962962962962959</v>
      </c>
      <c r="P241" s="15"/>
    </row>
    <row r="242" spans="1:16">
      <c r="A242" s="60">
        <v>5</v>
      </c>
      <c r="B242" s="60">
        <v>5</v>
      </c>
      <c r="C242" s="60">
        <v>7</v>
      </c>
      <c r="D242" s="60">
        <v>7</v>
      </c>
      <c r="E242" s="60">
        <v>6</v>
      </c>
      <c r="F242" s="60">
        <v>6</v>
      </c>
      <c r="G242" s="1">
        <f t="shared" si="30"/>
        <v>36</v>
      </c>
      <c r="I242" s="7">
        <f t="shared" si="24"/>
        <v>0.1388888888888889</v>
      </c>
      <c r="J242" s="7">
        <f t="shared" si="25"/>
        <v>0.1388888888888889</v>
      </c>
      <c r="K242" s="7">
        <f t="shared" si="26"/>
        <v>0.19444444444444445</v>
      </c>
      <c r="L242" s="7">
        <f t="shared" si="27"/>
        <v>0.19444444444444445</v>
      </c>
      <c r="M242" s="7">
        <f t="shared" si="28"/>
        <v>0.16666666666666666</v>
      </c>
      <c r="N242" s="7">
        <f t="shared" si="29"/>
        <v>0.16666666666666666</v>
      </c>
      <c r="O242" s="51">
        <f>IF(G242&gt;0,DT!AC242*I242+DT!AD242*J242+DT!AE242*K242+DT!AF242*L242+DT!AG242*M242+DT!AH242*N242,"")</f>
        <v>1.1342592592592593</v>
      </c>
      <c r="P242" s="15"/>
    </row>
    <row r="243" spans="1:16">
      <c r="A243" s="60">
        <v>6</v>
      </c>
      <c r="B243" s="60">
        <v>6</v>
      </c>
      <c r="C243" s="60">
        <v>6</v>
      </c>
      <c r="D243" s="60">
        <v>3</v>
      </c>
      <c r="E243" s="60">
        <v>3</v>
      </c>
      <c r="F243" s="60">
        <v>6</v>
      </c>
      <c r="G243" s="1">
        <f t="shared" si="30"/>
        <v>30</v>
      </c>
      <c r="I243" s="7">
        <f t="shared" si="24"/>
        <v>0.2</v>
      </c>
      <c r="J243" s="7">
        <f t="shared" si="25"/>
        <v>0.2</v>
      </c>
      <c r="K243" s="7">
        <f t="shared" si="26"/>
        <v>0.2</v>
      </c>
      <c r="L243" s="7">
        <f t="shared" si="27"/>
        <v>0.1</v>
      </c>
      <c r="M243" s="7">
        <f t="shared" si="28"/>
        <v>0.1</v>
      </c>
      <c r="N243" s="7">
        <f t="shared" si="29"/>
        <v>0.2</v>
      </c>
      <c r="O243" s="51">
        <f>IF(G243&gt;0,DT!AC243*I243+DT!AD243*J243+DT!AE243*K243+DT!AF243*L243+DT!AG243*M243+DT!AH243*N243,"")</f>
        <v>1.3000000000000003</v>
      </c>
      <c r="P243" s="15"/>
    </row>
    <row r="244" spans="1:16">
      <c r="A244" s="60">
        <v>6</v>
      </c>
      <c r="B244" s="60">
        <v>7</v>
      </c>
      <c r="C244" s="60">
        <v>7</v>
      </c>
      <c r="D244" s="60">
        <v>6</v>
      </c>
      <c r="E244" s="60">
        <v>7</v>
      </c>
      <c r="F244" s="60">
        <v>6</v>
      </c>
      <c r="G244" s="1">
        <f t="shared" si="30"/>
        <v>39</v>
      </c>
      <c r="I244" s="7">
        <f t="shared" ref="I244:I307" si="31">IF(G244&gt;0,A244/G244,"")</f>
        <v>0.15384615384615385</v>
      </c>
      <c r="J244" s="7">
        <f t="shared" ref="J244:J307" si="32">IF(G244&gt;0,B244/G244,"")</f>
        <v>0.17948717948717949</v>
      </c>
      <c r="K244" s="7">
        <f t="shared" ref="K244:K307" si="33">IF(G244&gt;0,C244/G244,"")</f>
        <v>0.17948717948717949</v>
      </c>
      <c r="L244" s="7">
        <f t="shared" ref="L244:L307" si="34">IF(G244&gt;0,D244/G244,"")</f>
        <v>0.15384615384615385</v>
      </c>
      <c r="M244" s="7">
        <f t="shared" ref="M244:M307" si="35">IF(G244&gt;0,E244/G244,"")</f>
        <v>0.17948717948717949</v>
      </c>
      <c r="N244" s="7">
        <f t="shared" ref="N244:N307" si="36">IF(G244&gt;0,F244/G244,"")</f>
        <v>0.15384615384615385</v>
      </c>
      <c r="O244" s="51">
        <f>IF(G244&gt;0,DT!AC244*I244+DT!AD244*J244+DT!AE244*K244+DT!AF244*L244+DT!AG244*M244+DT!AH244*N244,"")</f>
        <v>1.5961538461538463</v>
      </c>
      <c r="P244" s="15"/>
    </row>
    <row r="245" spans="1:16">
      <c r="A245" s="60">
        <v>5</v>
      </c>
      <c r="B245" s="60">
        <v>6</v>
      </c>
      <c r="C245" s="60">
        <v>6</v>
      </c>
      <c r="D245" s="60">
        <v>6</v>
      </c>
      <c r="E245" s="60">
        <v>2</v>
      </c>
      <c r="F245" s="60">
        <v>3</v>
      </c>
      <c r="G245" s="1">
        <f t="shared" si="30"/>
        <v>28</v>
      </c>
      <c r="I245" s="7">
        <f t="shared" si="31"/>
        <v>0.17857142857142858</v>
      </c>
      <c r="J245" s="7">
        <f t="shared" si="32"/>
        <v>0.21428571428571427</v>
      </c>
      <c r="K245" s="7">
        <f t="shared" si="33"/>
        <v>0.21428571428571427</v>
      </c>
      <c r="L245" s="7">
        <f t="shared" si="34"/>
        <v>0.21428571428571427</v>
      </c>
      <c r="M245" s="7">
        <f t="shared" si="35"/>
        <v>7.1428571428571425E-2</v>
      </c>
      <c r="N245" s="7">
        <f t="shared" si="36"/>
        <v>0.10714285714285714</v>
      </c>
      <c r="O245" s="51">
        <f>IF(G245&gt;0,DT!AC245*I245+DT!AD245*J245+DT!AE245*K245+DT!AF245*L245+DT!AG245*M245+DT!AH245*N245,"")</f>
        <v>0.7857142857142857</v>
      </c>
      <c r="P245" s="15"/>
    </row>
    <row r="246" spans="1:16">
      <c r="A246" s="60">
        <v>6</v>
      </c>
      <c r="B246" s="60">
        <v>5</v>
      </c>
      <c r="C246" s="60">
        <v>6</v>
      </c>
      <c r="D246" s="60">
        <v>6</v>
      </c>
      <c r="E246" s="60">
        <v>4</v>
      </c>
      <c r="F246" s="60">
        <v>4</v>
      </c>
      <c r="G246" s="1">
        <f t="shared" si="30"/>
        <v>31</v>
      </c>
      <c r="I246" s="7">
        <f t="shared" si="31"/>
        <v>0.19354838709677419</v>
      </c>
      <c r="J246" s="7">
        <f t="shared" si="32"/>
        <v>0.16129032258064516</v>
      </c>
      <c r="K246" s="7">
        <f t="shared" si="33"/>
        <v>0.19354838709677419</v>
      </c>
      <c r="L246" s="7">
        <f t="shared" si="34"/>
        <v>0.19354838709677419</v>
      </c>
      <c r="M246" s="7">
        <f t="shared" si="35"/>
        <v>0.12903225806451613</v>
      </c>
      <c r="N246" s="7">
        <f t="shared" si="36"/>
        <v>0.12903225806451613</v>
      </c>
      <c r="O246" s="51">
        <f>IF(G246&gt;0,DT!AC246*I246+DT!AD246*J246+DT!AE246*K246+DT!AF246*L246+DT!AG246*M246+DT!AH246*N246,"")</f>
        <v>0.93548387096774199</v>
      </c>
      <c r="P246" s="15"/>
    </row>
    <row r="247" spans="1:16">
      <c r="A247" s="60">
        <v>2</v>
      </c>
      <c r="B247" s="60">
        <v>6</v>
      </c>
      <c r="C247" s="60">
        <v>6</v>
      </c>
      <c r="D247" s="60">
        <v>6</v>
      </c>
      <c r="E247" s="60">
        <v>6</v>
      </c>
      <c r="F247" s="60">
        <v>6</v>
      </c>
      <c r="G247" s="1">
        <f t="shared" si="30"/>
        <v>32</v>
      </c>
      <c r="I247" s="7">
        <f t="shared" si="31"/>
        <v>6.25E-2</v>
      </c>
      <c r="J247" s="7">
        <f t="shared" si="32"/>
        <v>0.1875</v>
      </c>
      <c r="K247" s="7">
        <f t="shared" si="33"/>
        <v>0.1875</v>
      </c>
      <c r="L247" s="7">
        <f t="shared" si="34"/>
        <v>0.1875</v>
      </c>
      <c r="M247" s="7">
        <f t="shared" si="35"/>
        <v>0.1875</v>
      </c>
      <c r="N247" s="7">
        <f t="shared" si="36"/>
        <v>0.1875</v>
      </c>
      <c r="O247" s="51">
        <f>IF(G247&gt;0,DT!AC247*I247+DT!AD247*J247+DT!AE247*K247+DT!AF247*L247+DT!AG247*M247+DT!AH247*N247,"")</f>
        <v>0.47916666666666674</v>
      </c>
      <c r="P247" s="15"/>
    </row>
    <row r="248" spans="1:16">
      <c r="A248" s="60">
        <v>5</v>
      </c>
      <c r="B248" s="60">
        <v>7</v>
      </c>
      <c r="C248" s="60">
        <v>7</v>
      </c>
      <c r="D248" s="60">
        <v>7</v>
      </c>
      <c r="E248" s="60">
        <v>5</v>
      </c>
      <c r="F248" s="60">
        <v>5</v>
      </c>
      <c r="G248" s="1">
        <f t="shared" si="30"/>
        <v>36</v>
      </c>
      <c r="I248" s="7">
        <f t="shared" si="31"/>
        <v>0.1388888888888889</v>
      </c>
      <c r="J248" s="7">
        <f t="shared" si="32"/>
        <v>0.19444444444444445</v>
      </c>
      <c r="K248" s="7">
        <f t="shared" si="33"/>
        <v>0.19444444444444445</v>
      </c>
      <c r="L248" s="7">
        <f t="shared" si="34"/>
        <v>0.19444444444444445</v>
      </c>
      <c r="M248" s="7">
        <f t="shared" si="35"/>
        <v>0.1388888888888889</v>
      </c>
      <c r="N248" s="7">
        <f t="shared" si="36"/>
        <v>0.1388888888888889</v>
      </c>
      <c r="O248" s="51">
        <f>IF(G248&gt;0,DT!AC248*I248+DT!AD248*J248+DT!AE248*K248+DT!AF248*L248+DT!AG248*M248+DT!AH248*N248,"")</f>
        <v>1.8657407407407407</v>
      </c>
      <c r="P248" s="15"/>
    </row>
    <row r="249" spans="1:16">
      <c r="A249" s="60">
        <v>5</v>
      </c>
      <c r="B249" s="60">
        <v>4</v>
      </c>
      <c r="C249" s="60">
        <v>5</v>
      </c>
      <c r="D249" s="60">
        <v>6</v>
      </c>
      <c r="E249" s="60">
        <v>3</v>
      </c>
      <c r="F249" s="60">
        <v>4</v>
      </c>
      <c r="G249" s="1">
        <f t="shared" si="30"/>
        <v>27</v>
      </c>
      <c r="I249" s="7">
        <f t="shared" si="31"/>
        <v>0.18518518518518517</v>
      </c>
      <c r="J249" s="7">
        <f t="shared" si="32"/>
        <v>0.14814814814814814</v>
      </c>
      <c r="K249" s="7">
        <f t="shared" si="33"/>
        <v>0.18518518518518517</v>
      </c>
      <c r="L249" s="7">
        <f t="shared" si="34"/>
        <v>0.22222222222222221</v>
      </c>
      <c r="M249" s="7">
        <f t="shared" si="35"/>
        <v>0.1111111111111111</v>
      </c>
      <c r="N249" s="7">
        <f t="shared" si="36"/>
        <v>0.14814814814814814</v>
      </c>
      <c r="O249" s="51">
        <f>IF(G249&gt;0,DT!AC249*I249+DT!AD249*J249+DT!AE249*K249+DT!AF249*L249+DT!AG249*M249+DT!AH249*N249,"")</f>
        <v>0.54629629629629628</v>
      </c>
      <c r="P249" s="15"/>
    </row>
    <row r="250" spans="1:16">
      <c r="A250" s="60">
        <v>5</v>
      </c>
      <c r="B250" s="60">
        <v>7</v>
      </c>
      <c r="C250" s="60">
        <v>7</v>
      </c>
      <c r="D250" s="60">
        <v>7</v>
      </c>
      <c r="E250" s="60">
        <v>4</v>
      </c>
      <c r="F250" s="60">
        <v>4</v>
      </c>
      <c r="G250" s="1">
        <f t="shared" si="30"/>
        <v>34</v>
      </c>
      <c r="I250" s="7">
        <f t="shared" si="31"/>
        <v>0.14705882352941177</v>
      </c>
      <c r="J250" s="7">
        <f t="shared" si="32"/>
        <v>0.20588235294117646</v>
      </c>
      <c r="K250" s="7">
        <f t="shared" si="33"/>
        <v>0.20588235294117646</v>
      </c>
      <c r="L250" s="7">
        <f t="shared" si="34"/>
        <v>0.20588235294117646</v>
      </c>
      <c r="M250" s="7">
        <f t="shared" si="35"/>
        <v>0.11764705882352941</v>
      </c>
      <c r="N250" s="7">
        <f t="shared" si="36"/>
        <v>0.11764705882352941</v>
      </c>
      <c r="O250" s="51">
        <f>IF(G250&gt;0,DT!AC250*I250+DT!AD250*J250+DT!AE250*K250+DT!AF250*L250+DT!AG250*M250+DT!AH250*N250,"")</f>
        <v>0.69117647058823528</v>
      </c>
      <c r="P250" s="15"/>
    </row>
    <row r="251" spans="1:16">
      <c r="A251" s="60">
        <v>5</v>
      </c>
      <c r="B251" s="60">
        <v>6</v>
      </c>
      <c r="C251" s="60">
        <v>5</v>
      </c>
      <c r="D251" s="60">
        <v>5</v>
      </c>
      <c r="E251" s="60">
        <v>5</v>
      </c>
      <c r="F251" s="60">
        <v>5</v>
      </c>
      <c r="G251" s="1">
        <f t="shared" si="30"/>
        <v>31</v>
      </c>
      <c r="I251" s="7">
        <f t="shared" si="31"/>
        <v>0.16129032258064516</v>
      </c>
      <c r="J251" s="7">
        <f t="shared" si="32"/>
        <v>0.19354838709677419</v>
      </c>
      <c r="K251" s="7">
        <f t="shared" si="33"/>
        <v>0.16129032258064516</v>
      </c>
      <c r="L251" s="7">
        <f t="shared" si="34"/>
        <v>0.16129032258064516</v>
      </c>
      <c r="M251" s="7">
        <f t="shared" si="35"/>
        <v>0.16129032258064516</v>
      </c>
      <c r="N251" s="7">
        <f t="shared" si="36"/>
        <v>0.16129032258064516</v>
      </c>
      <c r="O251" s="51">
        <f>IF(G251&gt;0,DT!AC251*I251+DT!AD251*J251+DT!AE251*K251+DT!AF251*L251+DT!AG251*M251+DT!AH251*N251,"")</f>
        <v>0.17204301075268819</v>
      </c>
      <c r="P251" s="15"/>
    </row>
    <row r="252" spans="1:16">
      <c r="A252" s="60">
        <v>7</v>
      </c>
      <c r="B252" s="60">
        <v>6</v>
      </c>
      <c r="C252" s="60">
        <v>7</v>
      </c>
      <c r="D252" s="60">
        <v>7</v>
      </c>
      <c r="E252" s="60">
        <v>7</v>
      </c>
      <c r="F252" s="60">
        <v>5</v>
      </c>
      <c r="G252" s="1">
        <f t="shared" si="30"/>
        <v>39</v>
      </c>
      <c r="I252" s="7">
        <f t="shared" si="31"/>
        <v>0.17948717948717949</v>
      </c>
      <c r="J252" s="7">
        <f t="shared" si="32"/>
        <v>0.15384615384615385</v>
      </c>
      <c r="K252" s="7">
        <f t="shared" si="33"/>
        <v>0.17948717948717949</v>
      </c>
      <c r="L252" s="7">
        <f t="shared" si="34"/>
        <v>0.17948717948717949</v>
      </c>
      <c r="M252" s="7">
        <f t="shared" si="35"/>
        <v>0.17948717948717949</v>
      </c>
      <c r="N252" s="7">
        <f t="shared" si="36"/>
        <v>0.12820512820512819</v>
      </c>
      <c r="O252" s="51">
        <f>IF(G252&gt;0,DT!AC252*I252+DT!AD252*J252+DT!AE252*K252+DT!AF252*L252+DT!AG252*M252+DT!AH252*N252,"")</f>
        <v>2.5384615384615388</v>
      </c>
      <c r="P252" s="15"/>
    </row>
    <row r="253" spans="1:16">
      <c r="A253" s="60">
        <v>5</v>
      </c>
      <c r="B253" s="60">
        <v>6</v>
      </c>
      <c r="C253" s="60">
        <v>6</v>
      </c>
      <c r="D253" s="60">
        <v>6</v>
      </c>
      <c r="E253" s="60">
        <v>6</v>
      </c>
      <c r="F253" s="60">
        <v>6</v>
      </c>
      <c r="G253" s="1">
        <f t="shared" si="30"/>
        <v>35</v>
      </c>
      <c r="I253" s="7">
        <f t="shared" si="31"/>
        <v>0.14285714285714285</v>
      </c>
      <c r="J253" s="7">
        <f t="shared" si="32"/>
        <v>0.17142857142857143</v>
      </c>
      <c r="K253" s="7">
        <f t="shared" si="33"/>
        <v>0.17142857142857143</v>
      </c>
      <c r="L253" s="7">
        <f t="shared" si="34"/>
        <v>0.17142857142857143</v>
      </c>
      <c r="M253" s="7">
        <f t="shared" si="35"/>
        <v>0.17142857142857143</v>
      </c>
      <c r="N253" s="7">
        <f t="shared" si="36"/>
        <v>0.17142857142857143</v>
      </c>
      <c r="O253" s="51">
        <f>IF(G253&gt;0,DT!AC253*I253+DT!AD253*J253+DT!AE253*K253+DT!AF253*L253+DT!AG253*M253+DT!AH253*N253,"")</f>
        <v>0.35238095238095241</v>
      </c>
      <c r="P253" s="15"/>
    </row>
    <row r="254" spans="1:16">
      <c r="A254" s="60">
        <v>6</v>
      </c>
      <c r="B254" s="60">
        <v>6</v>
      </c>
      <c r="C254" s="60">
        <v>6</v>
      </c>
      <c r="D254" s="60">
        <v>6</v>
      </c>
      <c r="E254" s="60">
        <v>6</v>
      </c>
      <c r="F254" s="60">
        <v>6</v>
      </c>
      <c r="G254" s="1">
        <f t="shared" si="30"/>
        <v>36</v>
      </c>
      <c r="I254" s="7">
        <f t="shared" si="31"/>
        <v>0.16666666666666666</v>
      </c>
      <c r="J254" s="7">
        <f t="shared" si="32"/>
        <v>0.16666666666666666</v>
      </c>
      <c r="K254" s="7">
        <f t="shared" si="33"/>
        <v>0.16666666666666666</v>
      </c>
      <c r="L254" s="7">
        <f t="shared" si="34"/>
        <v>0.16666666666666666</v>
      </c>
      <c r="M254" s="7">
        <f t="shared" si="35"/>
        <v>0.16666666666666666</v>
      </c>
      <c r="N254" s="7">
        <f t="shared" si="36"/>
        <v>0.16666666666666666</v>
      </c>
      <c r="O254" s="51">
        <f>IF(G254&gt;0,DT!AC254*I254+DT!AD254*J254+DT!AE254*K254+DT!AF254*L254+DT!AG254*M254+DT!AH254*N254,"")</f>
        <v>2.208333333333333</v>
      </c>
      <c r="P254" s="15"/>
    </row>
    <row r="255" spans="1:16">
      <c r="A255" s="60">
        <v>6</v>
      </c>
      <c r="B255" s="60">
        <v>6</v>
      </c>
      <c r="C255" s="60">
        <v>6</v>
      </c>
      <c r="D255" s="60">
        <v>7</v>
      </c>
      <c r="E255" s="60">
        <v>4</v>
      </c>
      <c r="F255" s="60">
        <v>4</v>
      </c>
      <c r="G255" s="1">
        <f t="shared" si="30"/>
        <v>33</v>
      </c>
      <c r="I255" s="7">
        <f t="shared" si="31"/>
        <v>0.18181818181818182</v>
      </c>
      <c r="J255" s="7">
        <f t="shared" si="32"/>
        <v>0.18181818181818182</v>
      </c>
      <c r="K255" s="7">
        <f t="shared" si="33"/>
        <v>0.18181818181818182</v>
      </c>
      <c r="L255" s="7">
        <f t="shared" si="34"/>
        <v>0.21212121212121213</v>
      </c>
      <c r="M255" s="7">
        <f t="shared" si="35"/>
        <v>0.12121212121212122</v>
      </c>
      <c r="N255" s="7">
        <f t="shared" si="36"/>
        <v>0.12121212121212122</v>
      </c>
      <c r="O255" s="51">
        <f>IF(G255&gt;0,DT!AC255*I255+DT!AD255*J255+DT!AE255*K255+DT!AF255*L255+DT!AG255*M255+DT!AH255*N255,"")</f>
        <v>1.3484848484848486</v>
      </c>
      <c r="P255" s="15"/>
    </row>
    <row r="256" spans="1:16">
      <c r="A256" s="60">
        <v>6</v>
      </c>
      <c r="B256" s="60">
        <v>6</v>
      </c>
      <c r="C256" s="60">
        <v>6</v>
      </c>
      <c r="D256" s="60">
        <v>5</v>
      </c>
      <c r="E256" s="60">
        <v>6</v>
      </c>
      <c r="F256" s="60">
        <v>6</v>
      </c>
      <c r="G256" s="1">
        <f t="shared" si="30"/>
        <v>35</v>
      </c>
      <c r="I256" s="7">
        <f t="shared" si="31"/>
        <v>0.17142857142857143</v>
      </c>
      <c r="J256" s="7">
        <f t="shared" si="32"/>
        <v>0.17142857142857143</v>
      </c>
      <c r="K256" s="7">
        <f t="shared" si="33"/>
        <v>0.17142857142857143</v>
      </c>
      <c r="L256" s="7">
        <f t="shared" si="34"/>
        <v>0.14285714285714285</v>
      </c>
      <c r="M256" s="7">
        <f t="shared" si="35"/>
        <v>0.17142857142857143</v>
      </c>
      <c r="N256" s="7">
        <f t="shared" si="36"/>
        <v>0.17142857142857143</v>
      </c>
      <c r="O256" s="51">
        <f>IF(G256&gt;0,DT!AC256*I256+DT!AD256*J256+DT!AE256*K256+DT!AF256*L256+DT!AG256*M256+DT!AH256*N256,"")</f>
        <v>-9.2857142857142846E-2</v>
      </c>
      <c r="P256" s="15"/>
    </row>
    <row r="257" spans="1:16">
      <c r="A257" s="60">
        <v>7</v>
      </c>
      <c r="B257" s="60">
        <v>7</v>
      </c>
      <c r="C257" s="60">
        <v>7</v>
      </c>
      <c r="D257" s="60">
        <v>7</v>
      </c>
      <c r="E257" s="60">
        <v>7</v>
      </c>
      <c r="F257" s="60">
        <v>7</v>
      </c>
      <c r="G257" s="1">
        <f t="shared" si="30"/>
        <v>42</v>
      </c>
      <c r="I257" s="7">
        <f t="shared" si="31"/>
        <v>0.16666666666666666</v>
      </c>
      <c r="J257" s="7">
        <f t="shared" si="32"/>
        <v>0.16666666666666666</v>
      </c>
      <c r="K257" s="7">
        <f t="shared" si="33"/>
        <v>0.16666666666666666</v>
      </c>
      <c r="L257" s="7">
        <f t="shared" si="34"/>
        <v>0.16666666666666666</v>
      </c>
      <c r="M257" s="7">
        <f t="shared" si="35"/>
        <v>0.16666666666666666</v>
      </c>
      <c r="N257" s="7">
        <f t="shared" si="36"/>
        <v>0.16666666666666666</v>
      </c>
      <c r="O257" s="51">
        <f>IF(G257&gt;0,DT!AC257*I257+DT!AD257*J257+DT!AE257*K257+DT!AF257*L257+DT!AG257*M257+DT!AH257*N257,"")</f>
        <v>1.9166666666666665</v>
      </c>
      <c r="P257" s="15"/>
    </row>
    <row r="258" spans="1:16">
      <c r="A258" s="60">
        <v>7</v>
      </c>
      <c r="B258" s="60">
        <v>7</v>
      </c>
      <c r="C258" s="60">
        <v>7</v>
      </c>
      <c r="D258" s="60">
        <v>7</v>
      </c>
      <c r="E258" s="60">
        <v>7</v>
      </c>
      <c r="F258" s="60">
        <v>6</v>
      </c>
      <c r="G258" s="1">
        <f t="shared" si="30"/>
        <v>41</v>
      </c>
      <c r="I258" s="7">
        <f t="shared" si="31"/>
        <v>0.17073170731707318</v>
      </c>
      <c r="J258" s="7">
        <f t="shared" si="32"/>
        <v>0.17073170731707318</v>
      </c>
      <c r="K258" s="7">
        <f t="shared" si="33"/>
        <v>0.17073170731707318</v>
      </c>
      <c r="L258" s="7">
        <f t="shared" si="34"/>
        <v>0.17073170731707318</v>
      </c>
      <c r="M258" s="7">
        <f t="shared" si="35"/>
        <v>0.17073170731707318</v>
      </c>
      <c r="N258" s="7">
        <f t="shared" si="36"/>
        <v>0.14634146341463414</v>
      </c>
      <c r="O258" s="51">
        <f>IF(G258&gt;0,DT!AC258*I258+DT!AD258*J258+DT!AE258*K258+DT!AF258*L258+DT!AG258*M258+DT!AH258*N258,"")</f>
        <v>1.3434959349593498</v>
      </c>
      <c r="P258" s="15"/>
    </row>
    <row r="259" spans="1:16">
      <c r="A259" s="1"/>
      <c r="B259" s="1"/>
      <c r="C259" s="1"/>
      <c r="D259" s="1"/>
      <c r="E259" s="1"/>
      <c r="F259" s="1"/>
      <c r="G259" s="1">
        <f t="shared" si="30"/>
        <v>0</v>
      </c>
      <c r="I259" s="7" t="str">
        <f t="shared" si="31"/>
        <v/>
      </c>
      <c r="J259" s="7" t="str">
        <f t="shared" si="32"/>
        <v/>
      </c>
      <c r="K259" s="7" t="str">
        <f t="shared" si="33"/>
        <v/>
      </c>
      <c r="L259" s="7" t="str">
        <f t="shared" si="34"/>
        <v/>
      </c>
      <c r="M259" s="7" t="str">
        <f t="shared" si="35"/>
        <v/>
      </c>
      <c r="N259" s="7" t="str">
        <f t="shared" si="36"/>
        <v/>
      </c>
      <c r="O259" s="51" t="str">
        <f>IF(G259&gt;0,DT!AC259*I259+DT!AD259*J259+DT!AE259*K259+DT!AF259*L259+DT!AG259*M259+DT!AH259*N259,"")</f>
        <v/>
      </c>
      <c r="P259" s="15"/>
    </row>
    <row r="260" spans="1:16">
      <c r="A260" s="1"/>
      <c r="B260" s="1"/>
      <c r="C260" s="1"/>
      <c r="D260" s="1"/>
      <c r="E260" s="1"/>
      <c r="F260" s="1"/>
      <c r="G260" s="1">
        <f t="shared" si="30"/>
        <v>0</v>
      </c>
      <c r="I260" s="7" t="str">
        <f t="shared" si="31"/>
        <v/>
      </c>
      <c r="J260" s="7" t="str">
        <f t="shared" si="32"/>
        <v/>
      </c>
      <c r="K260" s="7" t="str">
        <f t="shared" si="33"/>
        <v/>
      </c>
      <c r="L260" s="7" t="str">
        <f t="shared" si="34"/>
        <v/>
      </c>
      <c r="M260" s="7" t="str">
        <f t="shared" si="35"/>
        <v/>
      </c>
      <c r="N260" s="7" t="str">
        <f t="shared" si="36"/>
        <v/>
      </c>
      <c r="O260" s="51" t="str">
        <f>IF(G260&gt;0,DT!AC260*I260+DT!AD260*J260+DT!AE260*K260+DT!AF260*L260+DT!AG260*M260+DT!AH260*N260,"")</f>
        <v/>
      </c>
      <c r="P260" s="15"/>
    </row>
    <row r="261" spans="1:16">
      <c r="A261" s="1"/>
      <c r="B261" s="1"/>
      <c r="C261" s="1"/>
      <c r="D261" s="1"/>
      <c r="E261" s="1"/>
      <c r="F261" s="1"/>
      <c r="G261" s="1">
        <f t="shared" ref="G261:G324" si="37">SUM(A261:F261)</f>
        <v>0</v>
      </c>
      <c r="I261" s="7" t="str">
        <f t="shared" si="31"/>
        <v/>
      </c>
      <c r="J261" s="7" t="str">
        <f t="shared" si="32"/>
        <v/>
      </c>
      <c r="K261" s="7" t="str">
        <f t="shared" si="33"/>
        <v/>
      </c>
      <c r="L261" s="7" t="str">
        <f t="shared" si="34"/>
        <v/>
      </c>
      <c r="M261" s="7" t="str">
        <f t="shared" si="35"/>
        <v/>
      </c>
      <c r="N261" s="7" t="str">
        <f t="shared" si="36"/>
        <v/>
      </c>
      <c r="O261" s="51" t="str">
        <f>IF(G261&gt;0,DT!AC261*I261+DT!AD261*J261+DT!AE261*K261+DT!AF261*L261+DT!AG261*M261+DT!AH261*N261,"")</f>
        <v/>
      </c>
      <c r="P261" s="15"/>
    </row>
    <row r="262" spans="1:16">
      <c r="A262" s="1"/>
      <c r="B262" s="1"/>
      <c r="C262" s="1"/>
      <c r="D262" s="1"/>
      <c r="E262" s="1"/>
      <c r="F262" s="1"/>
      <c r="G262" s="1">
        <f t="shared" si="37"/>
        <v>0</v>
      </c>
      <c r="I262" s="7" t="str">
        <f t="shared" si="31"/>
        <v/>
      </c>
      <c r="J262" s="7" t="str">
        <f t="shared" si="32"/>
        <v/>
      </c>
      <c r="K262" s="7" t="str">
        <f t="shared" si="33"/>
        <v/>
      </c>
      <c r="L262" s="7" t="str">
        <f t="shared" si="34"/>
        <v/>
      </c>
      <c r="M262" s="7" t="str">
        <f t="shared" si="35"/>
        <v/>
      </c>
      <c r="N262" s="7" t="str">
        <f t="shared" si="36"/>
        <v/>
      </c>
      <c r="O262" s="51" t="str">
        <f>IF(G262&gt;0,DT!AC262*I262+DT!AD262*J262+DT!AE262*K262+DT!AF262*L262+DT!AG262*M262+DT!AH262*N262,"")</f>
        <v/>
      </c>
      <c r="P262" s="15"/>
    </row>
    <row r="263" spans="1:16">
      <c r="A263" s="1"/>
      <c r="B263" s="1"/>
      <c r="C263" s="1"/>
      <c r="D263" s="1"/>
      <c r="E263" s="1"/>
      <c r="F263" s="1"/>
      <c r="G263" s="1">
        <f t="shared" si="37"/>
        <v>0</v>
      </c>
      <c r="I263" s="7" t="str">
        <f t="shared" si="31"/>
        <v/>
      </c>
      <c r="J263" s="7" t="str">
        <f t="shared" si="32"/>
        <v/>
      </c>
      <c r="K263" s="7" t="str">
        <f t="shared" si="33"/>
        <v/>
      </c>
      <c r="L263" s="7" t="str">
        <f t="shared" si="34"/>
        <v/>
      </c>
      <c r="M263" s="7" t="str">
        <f t="shared" si="35"/>
        <v/>
      </c>
      <c r="N263" s="7" t="str">
        <f t="shared" si="36"/>
        <v/>
      </c>
      <c r="O263" s="51" t="str">
        <f>IF(G263&gt;0,DT!AC263*I263+DT!AD263*J263+DT!AE263*K263+DT!AF263*L263+DT!AG263*M263+DT!AH263*N263,"")</f>
        <v/>
      </c>
      <c r="P263" s="15"/>
    </row>
    <row r="264" spans="1:16">
      <c r="A264" s="1"/>
      <c r="B264" s="1"/>
      <c r="C264" s="1"/>
      <c r="D264" s="1"/>
      <c r="E264" s="1"/>
      <c r="F264" s="1"/>
      <c r="G264" s="1">
        <f t="shared" si="37"/>
        <v>0</v>
      </c>
      <c r="I264" s="7" t="str">
        <f t="shared" si="31"/>
        <v/>
      </c>
      <c r="J264" s="7" t="str">
        <f t="shared" si="32"/>
        <v/>
      </c>
      <c r="K264" s="7" t="str">
        <f t="shared" si="33"/>
        <v/>
      </c>
      <c r="L264" s="7" t="str">
        <f t="shared" si="34"/>
        <v/>
      </c>
      <c r="M264" s="7" t="str">
        <f t="shared" si="35"/>
        <v/>
      </c>
      <c r="N264" s="7" t="str">
        <f t="shared" si="36"/>
        <v/>
      </c>
      <c r="O264" s="51" t="str">
        <f>IF(G264&gt;0,DT!AC264*I264+DT!AD264*J264+DT!AE264*K264+DT!AF264*L264+DT!AG264*M264+DT!AH264*N264,"")</f>
        <v/>
      </c>
      <c r="P264" s="15"/>
    </row>
    <row r="265" spans="1:16">
      <c r="A265" s="1"/>
      <c r="B265" s="1"/>
      <c r="C265" s="1"/>
      <c r="D265" s="1"/>
      <c r="E265" s="1"/>
      <c r="F265" s="1"/>
      <c r="G265" s="1">
        <f t="shared" si="37"/>
        <v>0</v>
      </c>
      <c r="I265" s="7" t="str">
        <f t="shared" si="31"/>
        <v/>
      </c>
      <c r="J265" s="7" t="str">
        <f t="shared" si="32"/>
        <v/>
      </c>
      <c r="K265" s="7" t="str">
        <f t="shared" si="33"/>
        <v/>
      </c>
      <c r="L265" s="7" t="str">
        <f t="shared" si="34"/>
        <v/>
      </c>
      <c r="M265" s="7" t="str">
        <f t="shared" si="35"/>
        <v/>
      </c>
      <c r="N265" s="7" t="str">
        <f t="shared" si="36"/>
        <v/>
      </c>
      <c r="O265" s="51" t="str">
        <f>IF(G265&gt;0,DT!AC265*I265+DT!AD265*J265+DT!AE265*K265+DT!AF265*L265+DT!AG265*M265+DT!AH265*N265,"")</f>
        <v/>
      </c>
      <c r="P265" s="15"/>
    </row>
    <row r="266" spans="1:16">
      <c r="A266" s="1"/>
      <c r="B266" s="1"/>
      <c r="C266" s="1"/>
      <c r="D266" s="1"/>
      <c r="E266" s="1"/>
      <c r="F266" s="1"/>
      <c r="G266" s="1">
        <f t="shared" si="37"/>
        <v>0</v>
      </c>
      <c r="I266" s="7" t="str">
        <f t="shared" si="31"/>
        <v/>
      </c>
      <c r="J266" s="7" t="str">
        <f t="shared" si="32"/>
        <v/>
      </c>
      <c r="K266" s="7" t="str">
        <f t="shared" si="33"/>
        <v/>
      </c>
      <c r="L266" s="7" t="str">
        <f t="shared" si="34"/>
        <v/>
      </c>
      <c r="M266" s="7" t="str">
        <f t="shared" si="35"/>
        <v/>
      </c>
      <c r="N266" s="7" t="str">
        <f t="shared" si="36"/>
        <v/>
      </c>
      <c r="O266" s="51" t="str">
        <f>IF(G266&gt;0,DT!AC266*I266+DT!AD266*J266+DT!AE266*K266+DT!AF266*L266+DT!AG266*M266+DT!AH266*N266,"")</f>
        <v/>
      </c>
      <c r="P266" s="15"/>
    </row>
    <row r="267" spans="1:16">
      <c r="A267" s="1"/>
      <c r="B267" s="1"/>
      <c r="C267" s="1"/>
      <c r="D267" s="1"/>
      <c r="E267" s="1"/>
      <c r="F267" s="1"/>
      <c r="G267" s="1">
        <f t="shared" si="37"/>
        <v>0</v>
      </c>
      <c r="I267" s="7" t="str">
        <f t="shared" si="31"/>
        <v/>
      </c>
      <c r="J267" s="7" t="str">
        <f t="shared" si="32"/>
        <v/>
      </c>
      <c r="K267" s="7" t="str">
        <f t="shared" si="33"/>
        <v/>
      </c>
      <c r="L267" s="7" t="str">
        <f t="shared" si="34"/>
        <v/>
      </c>
      <c r="M267" s="7" t="str">
        <f t="shared" si="35"/>
        <v/>
      </c>
      <c r="N267" s="7" t="str">
        <f t="shared" si="36"/>
        <v/>
      </c>
      <c r="O267" s="51" t="str">
        <f>IF(G267&gt;0,DT!AC267*I267+DT!AD267*J267+DT!AE267*K267+DT!AF267*L267+DT!AG267*M267+DT!AH267*N267,"")</f>
        <v/>
      </c>
      <c r="P267" s="15"/>
    </row>
    <row r="268" spans="1:16">
      <c r="A268" s="1"/>
      <c r="B268" s="1"/>
      <c r="C268" s="1"/>
      <c r="D268" s="1"/>
      <c r="E268" s="1"/>
      <c r="F268" s="1"/>
      <c r="G268" s="1">
        <f t="shared" si="37"/>
        <v>0</v>
      </c>
      <c r="I268" s="7" t="str">
        <f t="shared" si="31"/>
        <v/>
      </c>
      <c r="J268" s="7" t="str">
        <f t="shared" si="32"/>
        <v/>
      </c>
      <c r="K268" s="7" t="str">
        <f t="shared" si="33"/>
        <v/>
      </c>
      <c r="L268" s="7" t="str">
        <f t="shared" si="34"/>
        <v/>
      </c>
      <c r="M268" s="7" t="str">
        <f t="shared" si="35"/>
        <v/>
      </c>
      <c r="N268" s="7" t="str">
        <f t="shared" si="36"/>
        <v/>
      </c>
      <c r="O268" s="51" t="str">
        <f>IF(G268&gt;0,DT!AC268*I268+DT!AD268*J268+DT!AE268*K268+DT!AF268*L268+DT!AG268*M268+DT!AH268*N268,"")</f>
        <v/>
      </c>
      <c r="P268" s="15"/>
    </row>
    <row r="269" spans="1:16">
      <c r="A269" s="1"/>
      <c r="B269" s="1"/>
      <c r="C269" s="1"/>
      <c r="D269" s="1"/>
      <c r="E269" s="1"/>
      <c r="F269" s="1"/>
      <c r="G269" s="1">
        <f t="shared" si="37"/>
        <v>0</v>
      </c>
      <c r="I269" s="7" t="str">
        <f t="shared" si="31"/>
        <v/>
      </c>
      <c r="J269" s="7" t="str">
        <f t="shared" si="32"/>
        <v/>
      </c>
      <c r="K269" s="7" t="str">
        <f t="shared" si="33"/>
        <v/>
      </c>
      <c r="L269" s="7" t="str">
        <f t="shared" si="34"/>
        <v/>
      </c>
      <c r="M269" s="7" t="str">
        <f t="shared" si="35"/>
        <v/>
      </c>
      <c r="N269" s="7" t="str">
        <f t="shared" si="36"/>
        <v/>
      </c>
      <c r="O269" s="51" t="str">
        <f>IF(G269&gt;0,DT!AC269*I269+DT!AD269*J269+DT!AE269*K269+DT!AF269*L269+DT!AG269*M269+DT!AH269*N269,"")</f>
        <v/>
      </c>
      <c r="P269" s="15"/>
    </row>
    <row r="270" spans="1:16">
      <c r="A270" s="1"/>
      <c r="B270" s="1"/>
      <c r="C270" s="1"/>
      <c r="D270" s="1"/>
      <c r="E270" s="1"/>
      <c r="F270" s="1"/>
      <c r="G270" s="1">
        <f t="shared" si="37"/>
        <v>0</v>
      </c>
      <c r="I270" s="7" t="str">
        <f t="shared" si="31"/>
        <v/>
      </c>
      <c r="J270" s="7" t="str">
        <f t="shared" si="32"/>
        <v/>
      </c>
      <c r="K270" s="7" t="str">
        <f t="shared" si="33"/>
        <v/>
      </c>
      <c r="L270" s="7" t="str">
        <f t="shared" si="34"/>
        <v/>
      </c>
      <c r="M270" s="7" t="str">
        <f t="shared" si="35"/>
        <v/>
      </c>
      <c r="N270" s="7" t="str">
        <f t="shared" si="36"/>
        <v/>
      </c>
      <c r="O270" s="51" t="str">
        <f>IF(G270&gt;0,DT!AC270*I270+DT!AD270*J270+DT!AE270*K270+DT!AF270*L270+DT!AG270*M270+DT!AH270*N270,"")</f>
        <v/>
      </c>
      <c r="P270" s="15"/>
    </row>
    <row r="271" spans="1:16">
      <c r="A271" s="1"/>
      <c r="B271" s="1"/>
      <c r="C271" s="1"/>
      <c r="D271" s="1"/>
      <c r="E271" s="1"/>
      <c r="F271" s="1"/>
      <c r="G271" s="1">
        <f t="shared" si="37"/>
        <v>0</v>
      </c>
      <c r="I271" s="7" t="str">
        <f t="shared" si="31"/>
        <v/>
      </c>
      <c r="J271" s="7" t="str">
        <f t="shared" si="32"/>
        <v/>
      </c>
      <c r="K271" s="7" t="str">
        <f t="shared" si="33"/>
        <v/>
      </c>
      <c r="L271" s="7" t="str">
        <f t="shared" si="34"/>
        <v/>
      </c>
      <c r="M271" s="7" t="str">
        <f t="shared" si="35"/>
        <v/>
      </c>
      <c r="N271" s="7" t="str">
        <f t="shared" si="36"/>
        <v/>
      </c>
      <c r="O271" s="51" t="str">
        <f>IF(G271&gt;0,DT!AC271*I271+DT!AD271*J271+DT!AE271*K271+DT!AF271*L271+DT!AG271*M271+DT!AH271*N271,"")</f>
        <v/>
      </c>
      <c r="P271" s="15"/>
    </row>
    <row r="272" spans="1:16">
      <c r="A272" s="1"/>
      <c r="B272" s="1"/>
      <c r="C272" s="1"/>
      <c r="D272" s="1"/>
      <c r="E272" s="1"/>
      <c r="F272" s="1"/>
      <c r="G272" s="1">
        <f t="shared" si="37"/>
        <v>0</v>
      </c>
      <c r="I272" s="7" t="str">
        <f t="shared" si="31"/>
        <v/>
      </c>
      <c r="J272" s="7" t="str">
        <f t="shared" si="32"/>
        <v/>
      </c>
      <c r="K272" s="7" t="str">
        <f t="shared" si="33"/>
        <v/>
      </c>
      <c r="L272" s="7" t="str">
        <f t="shared" si="34"/>
        <v/>
      </c>
      <c r="M272" s="7" t="str">
        <f t="shared" si="35"/>
        <v/>
      </c>
      <c r="N272" s="7" t="str">
        <f t="shared" si="36"/>
        <v/>
      </c>
      <c r="O272" s="51" t="str">
        <f>IF(G272&gt;0,DT!AC272*I272+DT!AD272*J272+DT!AE272*K272+DT!AF272*L272+DT!AG272*M272+DT!AH272*N272,"")</f>
        <v/>
      </c>
      <c r="P272" s="15"/>
    </row>
    <row r="273" spans="1:16">
      <c r="A273" s="1"/>
      <c r="B273" s="1"/>
      <c r="C273" s="1"/>
      <c r="D273" s="1"/>
      <c r="E273" s="1"/>
      <c r="F273" s="1"/>
      <c r="G273" s="1">
        <f t="shared" si="37"/>
        <v>0</v>
      </c>
      <c r="I273" s="7" t="str">
        <f t="shared" si="31"/>
        <v/>
      </c>
      <c r="J273" s="7" t="str">
        <f t="shared" si="32"/>
        <v/>
      </c>
      <c r="K273" s="7" t="str">
        <f t="shared" si="33"/>
        <v/>
      </c>
      <c r="L273" s="7" t="str">
        <f t="shared" si="34"/>
        <v/>
      </c>
      <c r="M273" s="7" t="str">
        <f t="shared" si="35"/>
        <v/>
      </c>
      <c r="N273" s="7" t="str">
        <f t="shared" si="36"/>
        <v/>
      </c>
      <c r="O273" s="51" t="str">
        <f>IF(G273&gt;0,DT!AC273*I273+DT!AD273*J273+DT!AE273*K273+DT!AF273*L273+DT!AG273*M273+DT!AH273*N273,"")</f>
        <v/>
      </c>
      <c r="P273" s="15"/>
    </row>
    <row r="274" spans="1:16">
      <c r="A274" s="1"/>
      <c r="B274" s="1"/>
      <c r="C274" s="1"/>
      <c r="D274" s="1"/>
      <c r="E274" s="1"/>
      <c r="F274" s="1"/>
      <c r="G274" s="1">
        <f t="shared" si="37"/>
        <v>0</v>
      </c>
      <c r="I274" s="7" t="str">
        <f t="shared" si="31"/>
        <v/>
      </c>
      <c r="J274" s="7" t="str">
        <f t="shared" si="32"/>
        <v/>
      </c>
      <c r="K274" s="7" t="str">
        <f t="shared" si="33"/>
        <v/>
      </c>
      <c r="L274" s="7" t="str">
        <f t="shared" si="34"/>
        <v/>
      </c>
      <c r="M274" s="7" t="str">
        <f t="shared" si="35"/>
        <v/>
      </c>
      <c r="N274" s="7" t="str">
        <f t="shared" si="36"/>
        <v/>
      </c>
      <c r="O274" s="51" t="str">
        <f>IF(G274&gt;0,DT!AC274*I274+DT!AD274*J274+DT!AE274*K274+DT!AF274*L274+DT!AG274*M274+DT!AH274*N274,"")</f>
        <v/>
      </c>
      <c r="P274" s="15"/>
    </row>
    <row r="275" spans="1:16">
      <c r="A275" s="1"/>
      <c r="B275" s="1"/>
      <c r="C275" s="1"/>
      <c r="D275" s="1"/>
      <c r="E275" s="1"/>
      <c r="F275" s="1"/>
      <c r="G275" s="1">
        <f t="shared" si="37"/>
        <v>0</v>
      </c>
      <c r="I275" s="7" t="str">
        <f t="shared" si="31"/>
        <v/>
      </c>
      <c r="J275" s="7" t="str">
        <f t="shared" si="32"/>
        <v/>
      </c>
      <c r="K275" s="7" t="str">
        <f t="shared" si="33"/>
        <v/>
      </c>
      <c r="L275" s="7" t="str">
        <f t="shared" si="34"/>
        <v/>
      </c>
      <c r="M275" s="7" t="str">
        <f t="shared" si="35"/>
        <v/>
      </c>
      <c r="N275" s="7" t="str">
        <f t="shared" si="36"/>
        <v/>
      </c>
      <c r="O275" s="51" t="str">
        <f>IF(G275&gt;0,DT!AC275*I275+DT!AD275*J275+DT!AE275*K275+DT!AF275*L275+DT!AG275*M275+DT!AH275*N275,"")</f>
        <v/>
      </c>
      <c r="P275" s="15"/>
    </row>
    <row r="276" spans="1:16">
      <c r="A276" s="1"/>
      <c r="B276" s="1"/>
      <c r="C276" s="1"/>
      <c r="D276" s="1"/>
      <c r="E276" s="1"/>
      <c r="F276" s="1"/>
      <c r="G276" s="1">
        <f t="shared" si="37"/>
        <v>0</v>
      </c>
      <c r="I276" s="7" t="str">
        <f t="shared" si="31"/>
        <v/>
      </c>
      <c r="J276" s="7" t="str">
        <f t="shared" si="32"/>
        <v/>
      </c>
      <c r="K276" s="7" t="str">
        <f t="shared" si="33"/>
        <v/>
      </c>
      <c r="L276" s="7" t="str">
        <f t="shared" si="34"/>
        <v/>
      </c>
      <c r="M276" s="7" t="str">
        <f t="shared" si="35"/>
        <v/>
      </c>
      <c r="N276" s="7" t="str">
        <f t="shared" si="36"/>
        <v/>
      </c>
      <c r="O276" s="51" t="str">
        <f>IF(G276&gt;0,DT!AC276*I276+DT!AD276*J276+DT!AE276*K276+DT!AF276*L276+DT!AG276*M276+DT!AH276*N276,"")</f>
        <v/>
      </c>
      <c r="P276" s="15"/>
    </row>
    <row r="277" spans="1:16">
      <c r="A277" s="1"/>
      <c r="B277" s="1"/>
      <c r="C277" s="1"/>
      <c r="D277" s="1"/>
      <c r="E277" s="1"/>
      <c r="F277" s="1"/>
      <c r="G277" s="1">
        <f t="shared" si="37"/>
        <v>0</v>
      </c>
      <c r="I277" s="7" t="str">
        <f t="shared" si="31"/>
        <v/>
      </c>
      <c r="J277" s="7" t="str">
        <f t="shared" si="32"/>
        <v/>
      </c>
      <c r="K277" s="7" t="str">
        <f t="shared" si="33"/>
        <v/>
      </c>
      <c r="L277" s="7" t="str">
        <f t="shared" si="34"/>
        <v/>
      </c>
      <c r="M277" s="7" t="str">
        <f t="shared" si="35"/>
        <v/>
      </c>
      <c r="N277" s="7" t="str">
        <f t="shared" si="36"/>
        <v/>
      </c>
      <c r="O277" s="51" t="str">
        <f>IF(G277&gt;0,DT!AC277*I277+DT!AD277*J277+DT!AE277*K277+DT!AF277*L277+DT!AG277*M277+DT!AH277*N277,"")</f>
        <v/>
      </c>
      <c r="P277" s="15"/>
    </row>
    <row r="278" spans="1:16">
      <c r="A278" s="1"/>
      <c r="B278" s="1"/>
      <c r="C278" s="1"/>
      <c r="D278" s="1"/>
      <c r="E278" s="1"/>
      <c r="F278" s="1"/>
      <c r="G278" s="1">
        <f t="shared" si="37"/>
        <v>0</v>
      </c>
      <c r="I278" s="7" t="str">
        <f t="shared" si="31"/>
        <v/>
      </c>
      <c r="J278" s="7" t="str">
        <f t="shared" si="32"/>
        <v/>
      </c>
      <c r="K278" s="7" t="str">
        <f t="shared" si="33"/>
        <v/>
      </c>
      <c r="L278" s="7" t="str">
        <f t="shared" si="34"/>
        <v/>
      </c>
      <c r="M278" s="7" t="str">
        <f t="shared" si="35"/>
        <v/>
      </c>
      <c r="N278" s="7" t="str">
        <f t="shared" si="36"/>
        <v/>
      </c>
      <c r="O278" s="51" t="str">
        <f>IF(G278&gt;0,DT!AC278*I278+DT!AD278*J278+DT!AE278*K278+DT!AF278*L278+DT!AG278*M278+DT!AH278*N278,"")</f>
        <v/>
      </c>
      <c r="P278" s="15"/>
    </row>
    <row r="279" spans="1:16">
      <c r="A279" s="1"/>
      <c r="B279" s="1"/>
      <c r="C279" s="1"/>
      <c r="D279" s="1"/>
      <c r="E279" s="1"/>
      <c r="F279" s="1"/>
      <c r="G279" s="1">
        <f t="shared" si="37"/>
        <v>0</v>
      </c>
      <c r="I279" s="7" t="str">
        <f t="shared" si="31"/>
        <v/>
      </c>
      <c r="J279" s="7" t="str">
        <f t="shared" si="32"/>
        <v/>
      </c>
      <c r="K279" s="7" t="str">
        <f t="shared" si="33"/>
        <v/>
      </c>
      <c r="L279" s="7" t="str">
        <f t="shared" si="34"/>
        <v/>
      </c>
      <c r="M279" s="7" t="str">
        <f t="shared" si="35"/>
        <v/>
      </c>
      <c r="N279" s="7" t="str">
        <f t="shared" si="36"/>
        <v/>
      </c>
      <c r="O279" s="51" t="str">
        <f>IF(G279&gt;0,DT!AC279*I279+DT!AD279*J279+DT!AE279*K279+DT!AF279*L279+DT!AG279*M279+DT!AH279*N279,"")</f>
        <v/>
      </c>
      <c r="P279" s="15"/>
    </row>
    <row r="280" spans="1:16">
      <c r="A280" s="1"/>
      <c r="B280" s="1"/>
      <c r="C280" s="1"/>
      <c r="D280" s="1"/>
      <c r="E280" s="1"/>
      <c r="F280" s="1"/>
      <c r="G280" s="1">
        <f t="shared" si="37"/>
        <v>0</v>
      </c>
      <c r="I280" s="7" t="str">
        <f t="shared" si="31"/>
        <v/>
      </c>
      <c r="J280" s="7" t="str">
        <f t="shared" si="32"/>
        <v/>
      </c>
      <c r="K280" s="7" t="str">
        <f t="shared" si="33"/>
        <v/>
      </c>
      <c r="L280" s="7" t="str">
        <f t="shared" si="34"/>
        <v/>
      </c>
      <c r="M280" s="7" t="str">
        <f t="shared" si="35"/>
        <v/>
      </c>
      <c r="N280" s="7" t="str">
        <f t="shared" si="36"/>
        <v/>
      </c>
      <c r="O280" s="51" t="str">
        <f>IF(G280&gt;0,DT!AC280*I280+DT!AD280*J280+DT!AE280*K280+DT!AF280*L280+DT!AG280*M280+DT!AH280*N280,"")</f>
        <v/>
      </c>
      <c r="P280" s="15"/>
    </row>
    <row r="281" spans="1:16">
      <c r="A281" s="1"/>
      <c r="B281" s="1"/>
      <c r="C281" s="1"/>
      <c r="D281" s="1"/>
      <c r="E281" s="1"/>
      <c r="F281" s="1"/>
      <c r="G281" s="1">
        <f t="shared" si="37"/>
        <v>0</v>
      </c>
      <c r="I281" s="7" t="str">
        <f t="shared" si="31"/>
        <v/>
      </c>
      <c r="J281" s="7" t="str">
        <f t="shared" si="32"/>
        <v/>
      </c>
      <c r="K281" s="7" t="str">
        <f t="shared" si="33"/>
        <v/>
      </c>
      <c r="L281" s="7" t="str">
        <f t="shared" si="34"/>
        <v/>
      </c>
      <c r="M281" s="7" t="str">
        <f t="shared" si="35"/>
        <v/>
      </c>
      <c r="N281" s="7" t="str">
        <f t="shared" si="36"/>
        <v/>
      </c>
      <c r="O281" s="51" t="str">
        <f>IF(G281&gt;0,DT!AC281*I281+DT!AD281*J281+DT!AE281*K281+DT!AF281*L281+DT!AG281*M281+DT!AH281*N281,"")</f>
        <v/>
      </c>
      <c r="P281" s="15"/>
    </row>
    <row r="282" spans="1:16">
      <c r="A282" s="1"/>
      <c r="B282" s="1"/>
      <c r="C282" s="1"/>
      <c r="D282" s="1"/>
      <c r="E282" s="1"/>
      <c r="F282" s="1"/>
      <c r="G282" s="1">
        <f t="shared" si="37"/>
        <v>0</v>
      </c>
      <c r="I282" s="7" t="str">
        <f t="shared" si="31"/>
        <v/>
      </c>
      <c r="J282" s="7" t="str">
        <f t="shared" si="32"/>
        <v/>
      </c>
      <c r="K282" s="7" t="str">
        <f t="shared" si="33"/>
        <v/>
      </c>
      <c r="L282" s="7" t="str">
        <f t="shared" si="34"/>
        <v/>
      </c>
      <c r="M282" s="7" t="str">
        <f t="shared" si="35"/>
        <v/>
      </c>
      <c r="N282" s="7" t="str">
        <f t="shared" si="36"/>
        <v/>
      </c>
      <c r="O282" s="51" t="str">
        <f>IF(G282&gt;0,DT!AC282*I282+DT!AD282*J282+DT!AE282*K282+DT!AF282*L282+DT!AG282*M282+DT!AH282*N282,"")</f>
        <v/>
      </c>
      <c r="P282" s="15"/>
    </row>
    <row r="283" spans="1:16">
      <c r="A283" s="1"/>
      <c r="B283" s="1"/>
      <c r="C283" s="1"/>
      <c r="D283" s="1"/>
      <c r="E283" s="1"/>
      <c r="F283" s="1"/>
      <c r="G283" s="1">
        <f t="shared" si="37"/>
        <v>0</v>
      </c>
      <c r="I283" s="7" t="str">
        <f t="shared" si="31"/>
        <v/>
      </c>
      <c r="J283" s="7" t="str">
        <f t="shared" si="32"/>
        <v/>
      </c>
      <c r="K283" s="7" t="str">
        <f t="shared" si="33"/>
        <v/>
      </c>
      <c r="L283" s="7" t="str">
        <f t="shared" si="34"/>
        <v/>
      </c>
      <c r="M283" s="7" t="str">
        <f t="shared" si="35"/>
        <v/>
      </c>
      <c r="N283" s="7" t="str">
        <f t="shared" si="36"/>
        <v/>
      </c>
      <c r="O283" s="51" t="str">
        <f>IF(G283&gt;0,DT!AC283*I283+DT!AD283*J283+DT!AE283*K283+DT!AF283*L283+DT!AG283*M283+DT!AH283*N283,"")</f>
        <v/>
      </c>
      <c r="P283" s="15"/>
    </row>
    <row r="284" spans="1:16">
      <c r="A284" s="1"/>
      <c r="B284" s="1"/>
      <c r="C284" s="1"/>
      <c r="D284" s="1"/>
      <c r="E284" s="1"/>
      <c r="F284" s="1"/>
      <c r="G284" s="1">
        <f t="shared" si="37"/>
        <v>0</v>
      </c>
      <c r="I284" s="7" t="str">
        <f t="shared" si="31"/>
        <v/>
      </c>
      <c r="J284" s="7" t="str">
        <f t="shared" si="32"/>
        <v/>
      </c>
      <c r="K284" s="7" t="str">
        <f t="shared" si="33"/>
        <v/>
      </c>
      <c r="L284" s="7" t="str">
        <f t="shared" si="34"/>
        <v/>
      </c>
      <c r="M284" s="7" t="str">
        <f t="shared" si="35"/>
        <v/>
      </c>
      <c r="N284" s="7" t="str">
        <f t="shared" si="36"/>
        <v/>
      </c>
      <c r="O284" s="51" t="str">
        <f>IF(G284&gt;0,DT!AC284*I284+DT!AD284*J284+DT!AE284*K284+DT!AF284*L284+DT!AG284*M284+DT!AH284*N284,"")</f>
        <v/>
      </c>
      <c r="P284" s="15"/>
    </row>
    <row r="285" spans="1:16">
      <c r="A285" s="1"/>
      <c r="B285" s="1"/>
      <c r="C285" s="1"/>
      <c r="D285" s="1"/>
      <c r="E285" s="1"/>
      <c r="F285" s="1"/>
      <c r="G285" s="1">
        <f t="shared" si="37"/>
        <v>0</v>
      </c>
      <c r="I285" s="7" t="str">
        <f t="shared" si="31"/>
        <v/>
      </c>
      <c r="J285" s="7" t="str">
        <f t="shared" si="32"/>
        <v/>
      </c>
      <c r="K285" s="7" t="str">
        <f t="shared" si="33"/>
        <v/>
      </c>
      <c r="L285" s="7" t="str">
        <f t="shared" si="34"/>
        <v/>
      </c>
      <c r="M285" s="7" t="str">
        <f t="shared" si="35"/>
        <v/>
      </c>
      <c r="N285" s="7" t="str">
        <f t="shared" si="36"/>
        <v/>
      </c>
      <c r="O285" s="51" t="str">
        <f>IF(G285&gt;0,DT!AC285*I285+DT!AD285*J285+DT!AE285*K285+DT!AF285*L285+DT!AG285*M285+DT!AH285*N285,"")</f>
        <v/>
      </c>
      <c r="P285" s="15"/>
    </row>
    <row r="286" spans="1:16">
      <c r="A286" s="1"/>
      <c r="B286" s="1"/>
      <c r="C286" s="1"/>
      <c r="D286" s="1"/>
      <c r="E286" s="1"/>
      <c r="F286" s="1"/>
      <c r="G286" s="1">
        <f t="shared" si="37"/>
        <v>0</v>
      </c>
      <c r="I286" s="7" t="str">
        <f t="shared" si="31"/>
        <v/>
      </c>
      <c r="J286" s="7" t="str">
        <f t="shared" si="32"/>
        <v/>
      </c>
      <c r="K286" s="7" t="str">
        <f t="shared" si="33"/>
        <v/>
      </c>
      <c r="L286" s="7" t="str">
        <f t="shared" si="34"/>
        <v/>
      </c>
      <c r="M286" s="7" t="str">
        <f t="shared" si="35"/>
        <v/>
      </c>
      <c r="N286" s="7" t="str">
        <f t="shared" si="36"/>
        <v/>
      </c>
      <c r="O286" s="51" t="str">
        <f>IF(G286&gt;0,DT!AC286*I286+DT!AD286*J286+DT!AE286*K286+DT!AF286*L286+DT!AG286*M286+DT!AH286*N286,"")</f>
        <v/>
      </c>
      <c r="P286" s="15"/>
    </row>
    <row r="287" spans="1:16">
      <c r="A287" s="1"/>
      <c r="B287" s="1"/>
      <c r="C287" s="1"/>
      <c r="D287" s="1"/>
      <c r="E287" s="1"/>
      <c r="F287" s="1"/>
      <c r="G287" s="1">
        <f t="shared" si="37"/>
        <v>0</v>
      </c>
      <c r="I287" s="7" t="str">
        <f t="shared" si="31"/>
        <v/>
      </c>
      <c r="J287" s="7" t="str">
        <f t="shared" si="32"/>
        <v/>
      </c>
      <c r="K287" s="7" t="str">
        <f t="shared" si="33"/>
        <v/>
      </c>
      <c r="L287" s="7" t="str">
        <f t="shared" si="34"/>
        <v/>
      </c>
      <c r="M287" s="7" t="str">
        <f t="shared" si="35"/>
        <v/>
      </c>
      <c r="N287" s="7" t="str">
        <f t="shared" si="36"/>
        <v/>
      </c>
      <c r="O287" s="51" t="str">
        <f>IF(G287&gt;0,DT!AC287*I287+DT!AD287*J287+DT!AE287*K287+DT!AF287*L287+DT!AG287*M287+DT!AH287*N287,"")</f>
        <v/>
      </c>
      <c r="P287" s="15"/>
    </row>
    <row r="288" spans="1:16">
      <c r="A288" s="1"/>
      <c r="B288" s="1"/>
      <c r="C288" s="1"/>
      <c r="D288" s="1"/>
      <c r="E288" s="1"/>
      <c r="F288" s="1"/>
      <c r="G288" s="1">
        <f t="shared" si="37"/>
        <v>0</v>
      </c>
      <c r="I288" s="7" t="str">
        <f t="shared" si="31"/>
        <v/>
      </c>
      <c r="J288" s="7" t="str">
        <f t="shared" si="32"/>
        <v/>
      </c>
      <c r="K288" s="7" t="str">
        <f t="shared" si="33"/>
        <v/>
      </c>
      <c r="L288" s="7" t="str">
        <f t="shared" si="34"/>
        <v/>
      </c>
      <c r="M288" s="7" t="str">
        <f t="shared" si="35"/>
        <v/>
      </c>
      <c r="N288" s="7" t="str">
        <f t="shared" si="36"/>
        <v/>
      </c>
      <c r="O288" s="51" t="str">
        <f>IF(G288&gt;0,DT!AC288*I288+DT!AD288*J288+DT!AE288*K288+DT!AF288*L288+DT!AG288*M288+DT!AH288*N288,"")</f>
        <v/>
      </c>
      <c r="P288" s="15"/>
    </row>
    <row r="289" spans="1:16">
      <c r="A289" s="1"/>
      <c r="B289" s="1"/>
      <c r="C289" s="1"/>
      <c r="D289" s="1"/>
      <c r="E289" s="1"/>
      <c r="F289" s="1"/>
      <c r="G289" s="1">
        <f t="shared" si="37"/>
        <v>0</v>
      </c>
      <c r="I289" s="7" t="str">
        <f t="shared" si="31"/>
        <v/>
      </c>
      <c r="J289" s="7" t="str">
        <f t="shared" si="32"/>
        <v/>
      </c>
      <c r="K289" s="7" t="str">
        <f t="shared" si="33"/>
        <v/>
      </c>
      <c r="L289" s="7" t="str">
        <f t="shared" si="34"/>
        <v/>
      </c>
      <c r="M289" s="7" t="str">
        <f t="shared" si="35"/>
        <v/>
      </c>
      <c r="N289" s="7" t="str">
        <f t="shared" si="36"/>
        <v/>
      </c>
      <c r="O289" s="51" t="str">
        <f>IF(G289&gt;0,DT!AC289*I289+DT!AD289*J289+DT!AE289*K289+DT!AF289*L289+DT!AG289*M289+DT!AH289*N289,"")</f>
        <v/>
      </c>
      <c r="P289" s="15"/>
    </row>
    <row r="290" spans="1:16">
      <c r="A290" s="1"/>
      <c r="B290" s="1"/>
      <c r="C290" s="1"/>
      <c r="D290" s="1"/>
      <c r="E290" s="1"/>
      <c r="F290" s="1"/>
      <c r="G290" s="1">
        <f t="shared" si="37"/>
        <v>0</v>
      </c>
      <c r="I290" s="7" t="str">
        <f t="shared" si="31"/>
        <v/>
      </c>
      <c r="J290" s="7" t="str">
        <f t="shared" si="32"/>
        <v/>
      </c>
      <c r="K290" s="7" t="str">
        <f t="shared" si="33"/>
        <v/>
      </c>
      <c r="L290" s="7" t="str">
        <f t="shared" si="34"/>
        <v/>
      </c>
      <c r="M290" s="7" t="str">
        <f t="shared" si="35"/>
        <v/>
      </c>
      <c r="N290" s="7" t="str">
        <f t="shared" si="36"/>
        <v/>
      </c>
      <c r="O290" s="51" t="str">
        <f>IF(G290&gt;0,DT!AC290*I290+DT!AD290*J290+DT!AE290*K290+DT!AF290*L290+DT!AG290*M290+DT!AH290*N290,"")</f>
        <v/>
      </c>
      <c r="P290" s="15"/>
    </row>
    <row r="291" spans="1:16">
      <c r="A291" s="1"/>
      <c r="B291" s="1"/>
      <c r="C291" s="1"/>
      <c r="D291" s="1"/>
      <c r="E291" s="1"/>
      <c r="F291" s="1"/>
      <c r="G291" s="1">
        <f t="shared" si="37"/>
        <v>0</v>
      </c>
      <c r="I291" s="7" t="str">
        <f t="shared" si="31"/>
        <v/>
      </c>
      <c r="J291" s="7" t="str">
        <f t="shared" si="32"/>
        <v/>
      </c>
      <c r="K291" s="7" t="str">
        <f t="shared" si="33"/>
        <v/>
      </c>
      <c r="L291" s="7" t="str">
        <f t="shared" si="34"/>
        <v/>
      </c>
      <c r="M291" s="7" t="str">
        <f t="shared" si="35"/>
        <v/>
      </c>
      <c r="N291" s="7" t="str">
        <f t="shared" si="36"/>
        <v/>
      </c>
      <c r="O291" s="51" t="str">
        <f>IF(G291&gt;0,DT!AC291*I291+DT!AD291*J291+DT!AE291*K291+DT!AF291*L291+DT!AG291*M291+DT!AH291*N291,"")</f>
        <v/>
      </c>
      <c r="P291" s="15"/>
    </row>
    <row r="292" spans="1:16">
      <c r="A292" s="1"/>
      <c r="B292" s="1"/>
      <c r="C292" s="1"/>
      <c r="D292" s="1"/>
      <c r="E292" s="1"/>
      <c r="F292" s="1"/>
      <c r="G292" s="1">
        <f t="shared" si="37"/>
        <v>0</v>
      </c>
      <c r="I292" s="7" t="str">
        <f t="shared" si="31"/>
        <v/>
      </c>
      <c r="J292" s="7" t="str">
        <f t="shared" si="32"/>
        <v/>
      </c>
      <c r="K292" s="7" t="str">
        <f t="shared" si="33"/>
        <v/>
      </c>
      <c r="L292" s="7" t="str">
        <f t="shared" si="34"/>
        <v/>
      </c>
      <c r="M292" s="7" t="str">
        <f t="shared" si="35"/>
        <v/>
      </c>
      <c r="N292" s="7" t="str">
        <f t="shared" si="36"/>
        <v/>
      </c>
      <c r="O292" s="51" t="str">
        <f>IF(G292&gt;0,DT!AC292*I292+DT!AD292*J292+DT!AE292*K292+DT!AF292*L292+DT!AG292*M292+DT!AH292*N292,"")</f>
        <v/>
      </c>
      <c r="P292" s="15"/>
    </row>
    <row r="293" spans="1:16">
      <c r="A293" s="1"/>
      <c r="B293" s="1"/>
      <c r="C293" s="1"/>
      <c r="D293" s="1"/>
      <c r="E293" s="1"/>
      <c r="F293" s="1"/>
      <c r="G293" s="1">
        <f t="shared" si="37"/>
        <v>0</v>
      </c>
      <c r="I293" s="7" t="str">
        <f t="shared" si="31"/>
        <v/>
      </c>
      <c r="J293" s="7" t="str">
        <f t="shared" si="32"/>
        <v/>
      </c>
      <c r="K293" s="7" t="str">
        <f t="shared" si="33"/>
        <v/>
      </c>
      <c r="L293" s="7" t="str">
        <f t="shared" si="34"/>
        <v/>
      </c>
      <c r="M293" s="7" t="str">
        <f t="shared" si="35"/>
        <v/>
      </c>
      <c r="N293" s="7" t="str">
        <f t="shared" si="36"/>
        <v/>
      </c>
      <c r="O293" s="51" t="str">
        <f>IF(G293&gt;0,DT!AC293*I293+DT!AD293*J293+DT!AE293*K293+DT!AF293*L293+DT!AG293*M293+DT!AH293*N293,"")</f>
        <v/>
      </c>
      <c r="P293" s="15"/>
    </row>
    <row r="294" spans="1:16">
      <c r="A294" s="1"/>
      <c r="B294" s="1"/>
      <c r="C294" s="1"/>
      <c r="D294" s="1"/>
      <c r="E294" s="1"/>
      <c r="F294" s="1"/>
      <c r="G294" s="1">
        <f t="shared" si="37"/>
        <v>0</v>
      </c>
      <c r="I294" s="7" t="str">
        <f t="shared" si="31"/>
        <v/>
      </c>
      <c r="J294" s="7" t="str">
        <f t="shared" si="32"/>
        <v/>
      </c>
      <c r="K294" s="7" t="str">
        <f t="shared" si="33"/>
        <v/>
      </c>
      <c r="L294" s="7" t="str">
        <f t="shared" si="34"/>
        <v/>
      </c>
      <c r="M294" s="7" t="str">
        <f t="shared" si="35"/>
        <v/>
      </c>
      <c r="N294" s="7" t="str">
        <f t="shared" si="36"/>
        <v/>
      </c>
      <c r="O294" s="51" t="str">
        <f>IF(G294&gt;0,DT!AC294*I294+DT!AD294*J294+DT!AE294*K294+DT!AF294*L294+DT!AG294*M294+DT!AH294*N294,"")</f>
        <v/>
      </c>
      <c r="P294" s="15"/>
    </row>
    <row r="295" spans="1:16">
      <c r="A295" s="1"/>
      <c r="B295" s="1"/>
      <c r="C295" s="1"/>
      <c r="D295" s="1"/>
      <c r="E295" s="1"/>
      <c r="F295" s="1"/>
      <c r="G295" s="1">
        <f t="shared" si="37"/>
        <v>0</v>
      </c>
      <c r="I295" s="7" t="str">
        <f t="shared" si="31"/>
        <v/>
      </c>
      <c r="J295" s="7" t="str">
        <f t="shared" si="32"/>
        <v/>
      </c>
      <c r="K295" s="7" t="str">
        <f t="shared" si="33"/>
        <v/>
      </c>
      <c r="L295" s="7" t="str">
        <f t="shared" si="34"/>
        <v/>
      </c>
      <c r="M295" s="7" t="str">
        <f t="shared" si="35"/>
        <v/>
      </c>
      <c r="N295" s="7" t="str">
        <f t="shared" si="36"/>
        <v/>
      </c>
      <c r="O295" s="51" t="str">
        <f>IF(G295&gt;0,DT!AC295*I295+DT!AD295*J295+DT!AE295*K295+DT!AF295*L295+DT!AG295*M295+DT!AH295*N295,"")</f>
        <v/>
      </c>
      <c r="P295" s="15"/>
    </row>
    <row r="296" spans="1:16">
      <c r="A296" s="1"/>
      <c r="B296" s="1"/>
      <c r="C296" s="1"/>
      <c r="D296" s="1"/>
      <c r="E296" s="1"/>
      <c r="F296" s="1"/>
      <c r="G296" s="1">
        <f t="shared" si="37"/>
        <v>0</v>
      </c>
      <c r="I296" s="7" t="str">
        <f t="shared" si="31"/>
        <v/>
      </c>
      <c r="J296" s="7" t="str">
        <f t="shared" si="32"/>
        <v/>
      </c>
      <c r="K296" s="7" t="str">
        <f t="shared" si="33"/>
        <v/>
      </c>
      <c r="L296" s="7" t="str">
        <f t="shared" si="34"/>
        <v/>
      </c>
      <c r="M296" s="7" t="str">
        <f t="shared" si="35"/>
        <v/>
      </c>
      <c r="N296" s="7" t="str">
        <f t="shared" si="36"/>
        <v/>
      </c>
      <c r="O296" s="51" t="str">
        <f>IF(G296&gt;0,DT!AC296*I296+DT!AD296*J296+DT!AE296*K296+DT!AF296*L296+DT!AG296*M296+DT!AH296*N296,"")</f>
        <v/>
      </c>
      <c r="P296" s="15"/>
    </row>
    <row r="297" spans="1:16">
      <c r="A297" s="1"/>
      <c r="B297" s="1"/>
      <c r="C297" s="1"/>
      <c r="D297" s="1"/>
      <c r="E297" s="1"/>
      <c r="F297" s="1"/>
      <c r="G297" s="1">
        <f t="shared" si="37"/>
        <v>0</v>
      </c>
      <c r="I297" s="7" t="str">
        <f t="shared" si="31"/>
        <v/>
      </c>
      <c r="J297" s="7" t="str">
        <f t="shared" si="32"/>
        <v/>
      </c>
      <c r="K297" s="7" t="str">
        <f t="shared" si="33"/>
        <v/>
      </c>
      <c r="L297" s="7" t="str">
        <f t="shared" si="34"/>
        <v/>
      </c>
      <c r="M297" s="7" t="str">
        <f t="shared" si="35"/>
        <v/>
      </c>
      <c r="N297" s="7" t="str">
        <f t="shared" si="36"/>
        <v/>
      </c>
      <c r="O297" s="51" t="str">
        <f>IF(G297&gt;0,DT!AC297*I297+DT!AD297*J297+DT!AE297*K297+DT!AF297*L297+DT!AG297*M297+DT!AH297*N297,"")</f>
        <v/>
      </c>
      <c r="P297" s="15"/>
    </row>
    <row r="298" spans="1:16">
      <c r="A298" s="1"/>
      <c r="B298" s="1"/>
      <c r="C298" s="1"/>
      <c r="D298" s="1"/>
      <c r="E298" s="1"/>
      <c r="F298" s="1"/>
      <c r="G298" s="1">
        <f t="shared" si="37"/>
        <v>0</v>
      </c>
      <c r="I298" s="7" t="str">
        <f t="shared" si="31"/>
        <v/>
      </c>
      <c r="J298" s="7" t="str">
        <f t="shared" si="32"/>
        <v/>
      </c>
      <c r="K298" s="7" t="str">
        <f t="shared" si="33"/>
        <v/>
      </c>
      <c r="L298" s="7" t="str">
        <f t="shared" si="34"/>
        <v/>
      </c>
      <c r="M298" s="7" t="str">
        <f t="shared" si="35"/>
        <v/>
      </c>
      <c r="N298" s="7" t="str">
        <f t="shared" si="36"/>
        <v/>
      </c>
      <c r="O298" s="51" t="str">
        <f>IF(G298&gt;0,DT!AC298*I298+DT!AD298*J298+DT!AE298*K298+DT!AF298*L298+DT!AG298*M298+DT!AH298*N298,"")</f>
        <v/>
      </c>
      <c r="P298" s="15"/>
    </row>
    <row r="299" spans="1:16">
      <c r="A299" s="1"/>
      <c r="B299" s="1"/>
      <c r="C299" s="1"/>
      <c r="D299" s="1"/>
      <c r="E299" s="1"/>
      <c r="F299" s="1"/>
      <c r="G299" s="1">
        <f t="shared" si="37"/>
        <v>0</v>
      </c>
      <c r="I299" s="7" t="str">
        <f t="shared" si="31"/>
        <v/>
      </c>
      <c r="J299" s="7" t="str">
        <f t="shared" si="32"/>
        <v/>
      </c>
      <c r="K299" s="7" t="str">
        <f t="shared" si="33"/>
        <v/>
      </c>
      <c r="L299" s="7" t="str">
        <f t="shared" si="34"/>
        <v/>
      </c>
      <c r="M299" s="7" t="str">
        <f t="shared" si="35"/>
        <v/>
      </c>
      <c r="N299" s="7" t="str">
        <f t="shared" si="36"/>
        <v/>
      </c>
      <c r="O299" s="51" t="str">
        <f>IF(G299&gt;0,DT!AC299*I299+DT!AD299*J299+DT!AE299*K299+DT!AF299*L299+DT!AG299*M299+DT!AH299*N299,"")</f>
        <v/>
      </c>
      <c r="P299" s="15"/>
    </row>
    <row r="300" spans="1:16">
      <c r="A300" s="1"/>
      <c r="B300" s="1"/>
      <c r="C300" s="1"/>
      <c r="D300" s="1"/>
      <c r="E300" s="1"/>
      <c r="F300" s="1"/>
      <c r="G300" s="1">
        <f t="shared" si="37"/>
        <v>0</v>
      </c>
      <c r="I300" s="7" t="str">
        <f t="shared" si="31"/>
        <v/>
      </c>
      <c r="J300" s="7" t="str">
        <f t="shared" si="32"/>
        <v/>
      </c>
      <c r="K300" s="7" t="str">
        <f t="shared" si="33"/>
        <v/>
      </c>
      <c r="L300" s="7" t="str">
        <f t="shared" si="34"/>
        <v/>
      </c>
      <c r="M300" s="7" t="str">
        <f t="shared" si="35"/>
        <v/>
      </c>
      <c r="N300" s="7" t="str">
        <f t="shared" si="36"/>
        <v/>
      </c>
      <c r="O300" s="51" t="str">
        <f>IF(G300&gt;0,DT!AC300*I300+DT!AD300*J300+DT!AE300*K300+DT!AF300*L300+DT!AG300*M300+DT!AH300*N300,"")</f>
        <v/>
      </c>
      <c r="P300" s="15"/>
    </row>
    <row r="301" spans="1:16">
      <c r="A301" s="1"/>
      <c r="B301" s="1"/>
      <c r="C301" s="1"/>
      <c r="D301" s="1"/>
      <c r="E301" s="1"/>
      <c r="F301" s="1"/>
      <c r="G301" s="1">
        <f t="shared" si="37"/>
        <v>0</v>
      </c>
      <c r="I301" s="7" t="str">
        <f t="shared" si="31"/>
        <v/>
      </c>
      <c r="J301" s="7" t="str">
        <f t="shared" si="32"/>
        <v/>
      </c>
      <c r="K301" s="7" t="str">
        <f t="shared" si="33"/>
        <v/>
      </c>
      <c r="L301" s="7" t="str">
        <f t="shared" si="34"/>
        <v/>
      </c>
      <c r="M301" s="7" t="str">
        <f t="shared" si="35"/>
        <v/>
      </c>
      <c r="N301" s="7" t="str">
        <f t="shared" si="36"/>
        <v/>
      </c>
      <c r="O301" s="51" t="str">
        <f>IF(G301&gt;0,DT!AC301*I301+DT!AD301*J301+DT!AE301*K301+DT!AF301*L301+DT!AG301*M301+DT!AH301*N301,"")</f>
        <v/>
      </c>
      <c r="P301" s="15"/>
    </row>
    <row r="302" spans="1:16">
      <c r="A302" s="1"/>
      <c r="B302" s="1"/>
      <c r="C302" s="1"/>
      <c r="D302" s="1"/>
      <c r="E302" s="1"/>
      <c r="F302" s="1"/>
      <c r="G302" s="1">
        <f t="shared" si="37"/>
        <v>0</v>
      </c>
      <c r="I302" s="7" t="str">
        <f t="shared" si="31"/>
        <v/>
      </c>
      <c r="J302" s="7" t="str">
        <f t="shared" si="32"/>
        <v/>
      </c>
      <c r="K302" s="7" t="str">
        <f t="shared" si="33"/>
        <v/>
      </c>
      <c r="L302" s="7" t="str">
        <f t="shared" si="34"/>
        <v/>
      </c>
      <c r="M302" s="7" t="str">
        <f t="shared" si="35"/>
        <v/>
      </c>
      <c r="N302" s="7" t="str">
        <f t="shared" si="36"/>
        <v/>
      </c>
      <c r="O302" s="51" t="str">
        <f>IF(G302&gt;0,DT!AC302*I302+DT!AD302*J302+DT!AE302*K302+DT!AF302*L302+DT!AG302*M302+DT!AH302*N302,"")</f>
        <v/>
      </c>
      <c r="P302" s="15"/>
    </row>
    <row r="303" spans="1:16">
      <c r="A303" s="1"/>
      <c r="B303" s="1"/>
      <c r="C303" s="1"/>
      <c r="D303" s="1"/>
      <c r="E303" s="1"/>
      <c r="F303" s="1"/>
      <c r="G303" s="1">
        <f t="shared" si="37"/>
        <v>0</v>
      </c>
      <c r="I303" s="7" t="str">
        <f t="shared" si="31"/>
        <v/>
      </c>
      <c r="J303" s="7" t="str">
        <f t="shared" si="32"/>
        <v/>
      </c>
      <c r="K303" s="7" t="str">
        <f t="shared" si="33"/>
        <v/>
      </c>
      <c r="L303" s="7" t="str">
        <f t="shared" si="34"/>
        <v/>
      </c>
      <c r="M303" s="7" t="str">
        <f t="shared" si="35"/>
        <v/>
      </c>
      <c r="N303" s="7" t="str">
        <f t="shared" si="36"/>
        <v/>
      </c>
      <c r="O303" s="51" t="str">
        <f>IF(G303&gt;0,DT!AC303*I303+DT!AD303*J303+DT!AE303*K303+DT!AF303*L303+DT!AG303*M303+DT!AH303*N303,"")</f>
        <v/>
      </c>
      <c r="P303" s="15"/>
    </row>
    <row r="304" spans="1:16">
      <c r="A304" s="1"/>
      <c r="B304" s="1"/>
      <c r="C304" s="1"/>
      <c r="D304" s="1"/>
      <c r="E304" s="1"/>
      <c r="F304" s="1"/>
      <c r="G304" s="1">
        <f t="shared" si="37"/>
        <v>0</v>
      </c>
      <c r="I304" s="7" t="str">
        <f t="shared" si="31"/>
        <v/>
      </c>
      <c r="J304" s="7" t="str">
        <f t="shared" si="32"/>
        <v/>
      </c>
      <c r="K304" s="7" t="str">
        <f t="shared" si="33"/>
        <v/>
      </c>
      <c r="L304" s="7" t="str">
        <f t="shared" si="34"/>
        <v/>
      </c>
      <c r="M304" s="7" t="str">
        <f t="shared" si="35"/>
        <v/>
      </c>
      <c r="N304" s="7" t="str">
        <f t="shared" si="36"/>
        <v/>
      </c>
      <c r="O304" s="51" t="str">
        <f>IF(G304&gt;0,DT!AC304*I304+DT!AD304*J304+DT!AE304*K304+DT!AF304*L304+DT!AG304*M304+DT!AH304*N304,"")</f>
        <v/>
      </c>
      <c r="P304" s="15"/>
    </row>
    <row r="305" spans="1:16">
      <c r="A305" s="1"/>
      <c r="B305" s="1"/>
      <c r="C305" s="1"/>
      <c r="D305" s="1"/>
      <c r="E305" s="1"/>
      <c r="F305" s="1"/>
      <c r="G305" s="1">
        <f t="shared" si="37"/>
        <v>0</v>
      </c>
      <c r="I305" s="7" t="str">
        <f t="shared" si="31"/>
        <v/>
      </c>
      <c r="J305" s="7" t="str">
        <f t="shared" si="32"/>
        <v/>
      </c>
      <c r="K305" s="7" t="str">
        <f t="shared" si="33"/>
        <v/>
      </c>
      <c r="L305" s="7" t="str">
        <f t="shared" si="34"/>
        <v/>
      </c>
      <c r="M305" s="7" t="str">
        <f t="shared" si="35"/>
        <v/>
      </c>
      <c r="N305" s="7" t="str">
        <f t="shared" si="36"/>
        <v/>
      </c>
      <c r="O305" s="51" t="str">
        <f>IF(G305&gt;0,DT!AC305*I305+DT!AD305*J305+DT!AE305*K305+DT!AF305*L305+DT!AG305*M305+DT!AH305*N305,"")</f>
        <v/>
      </c>
      <c r="P305" s="15"/>
    </row>
    <row r="306" spans="1:16">
      <c r="A306" s="1"/>
      <c r="B306" s="1"/>
      <c r="C306" s="1"/>
      <c r="D306" s="1"/>
      <c r="E306" s="1"/>
      <c r="F306" s="1"/>
      <c r="G306" s="1">
        <f t="shared" si="37"/>
        <v>0</v>
      </c>
      <c r="I306" s="7" t="str">
        <f t="shared" si="31"/>
        <v/>
      </c>
      <c r="J306" s="7" t="str">
        <f t="shared" si="32"/>
        <v/>
      </c>
      <c r="K306" s="7" t="str">
        <f t="shared" si="33"/>
        <v/>
      </c>
      <c r="L306" s="7" t="str">
        <f t="shared" si="34"/>
        <v/>
      </c>
      <c r="M306" s="7" t="str">
        <f t="shared" si="35"/>
        <v/>
      </c>
      <c r="N306" s="7" t="str">
        <f t="shared" si="36"/>
        <v/>
      </c>
      <c r="O306" s="51" t="str">
        <f>IF(G306&gt;0,DT!AC306*I306+DT!AD306*J306+DT!AE306*K306+DT!AF306*L306+DT!AG306*M306+DT!AH306*N306,"")</f>
        <v/>
      </c>
      <c r="P306" s="15"/>
    </row>
    <row r="307" spans="1:16">
      <c r="A307" s="1"/>
      <c r="B307" s="1"/>
      <c r="C307" s="1"/>
      <c r="D307" s="1"/>
      <c r="E307" s="1"/>
      <c r="F307" s="1"/>
      <c r="G307" s="1">
        <f t="shared" si="37"/>
        <v>0</v>
      </c>
      <c r="I307" s="7" t="str">
        <f t="shared" si="31"/>
        <v/>
      </c>
      <c r="J307" s="7" t="str">
        <f t="shared" si="32"/>
        <v/>
      </c>
      <c r="K307" s="7" t="str">
        <f t="shared" si="33"/>
        <v/>
      </c>
      <c r="L307" s="7" t="str">
        <f t="shared" si="34"/>
        <v/>
      </c>
      <c r="M307" s="7" t="str">
        <f t="shared" si="35"/>
        <v/>
      </c>
      <c r="N307" s="7" t="str">
        <f t="shared" si="36"/>
        <v/>
      </c>
      <c r="O307" s="51" t="str">
        <f>IF(G307&gt;0,DT!AC307*I307+DT!AD307*J307+DT!AE307*K307+DT!AF307*L307+DT!AG307*M307+DT!AH307*N307,"")</f>
        <v/>
      </c>
      <c r="P307" s="15"/>
    </row>
    <row r="308" spans="1:16">
      <c r="A308" s="1"/>
      <c r="B308" s="1"/>
      <c r="C308" s="1"/>
      <c r="D308" s="1"/>
      <c r="E308" s="1"/>
      <c r="F308" s="1"/>
      <c r="G308" s="1">
        <f t="shared" si="37"/>
        <v>0</v>
      </c>
      <c r="I308" s="7" t="str">
        <f t="shared" ref="I308:I371" si="38">IF(G308&gt;0,A308/G308,"")</f>
        <v/>
      </c>
      <c r="J308" s="7" t="str">
        <f t="shared" ref="J308:J371" si="39">IF(G308&gt;0,B308/G308,"")</f>
        <v/>
      </c>
      <c r="K308" s="7" t="str">
        <f t="shared" ref="K308:K371" si="40">IF(G308&gt;0,C308/G308,"")</f>
        <v/>
      </c>
      <c r="L308" s="7" t="str">
        <f t="shared" ref="L308:L371" si="41">IF(G308&gt;0,D308/G308,"")</f>
        <v/>
      </c>
      <c r="M308" s="7" t="str">
        <f t="shared" ref="M308:M371" si="42">IF(G308&gt;0,E308/G308,"")</f>
        <v/>
      </c>
      <c r="N308" s="7" t="str">
        <f t="shared" ref="N308:N371" si="43">IF(G308&gt;0,F308/G308,"")</f>
        <v/>
      </c>
      <c r="O308" s="51" t="str">
        <f>IF(G308&gt;0,DT!AC308*I308+DT!AD308*J308+DT!AE308*K308+DT!AF308*L308+DT!AG308*M308+DT!AH308*N308,"")</f>
        <v/>
      </c>
      <c r="P308" s="15"/>
    </row>
    <row r="309" spans="1:16">
      <c r="A309" s="1"/>
      <c r="B309" s="1"/>
      <c r="C309" s="1"/>
      <c r="D309" s="1"/>
      <c r="E309" s="1"/>
      <c r="F309" s="1"/>
      <c r="G309" s="1">
        <f t="shared" si="37"/>
        <v>0</v>
      </c>
      <c r="I309" s="7" t="str">
        <f t="shared" si="38"/>
        <v/>
      </c>
      <c r="J309" s="7" t="str">
        <f t="shared" si="39"/>
        <v/>
      </c>
      <c r="K309" s="7" t="str">
        <f t="shared" si="40"/>
        <v/>
      </c>
      <c r="L309" s="7" t="str">
        <f t="shared" si="41"/>
        <v/>
      </c>
      <c r="M309" s="7" t="str">
        <f t="shared" si="42"/>
        <v/>
      </c>
      <c r="N309" s="7" t="str">
        <f t="shared" si="43"/>
        <v/>
      </c>
      <c r="O309" s="51" t="str">
        <f>IF(G309&gt;0,DT!AC309*I309+DT!AD309*J309+DT!AE309*K309+DT!AF309*L309+DT!AG309*M309+DT!AH309*N309,"")</f>
        <v/>
      </c>
      <c r="P309" s="15"/>
    </row>
    <row r="310" spans="1:16">
      <c r="A310" s="1"/>
      <c r="B310" s="1"/>
      <c r="C310" s="1"/>
      <c r="D310" s="1"/>
      <c r="E310" s="1"/>
      <c r="F310" s="1"/>
      <c r="G310" s="1">
        <f t="shared" si="37"/>
        <v>0</v>
      </c>
      <c r="I310" s="7" t="str">
        <f t="shared" si="38"/>
        <v/>
      </c>
      <c r="J310" s="7" t="str">
        <f t="shared" si="39"/>
        <v/>
      </c>
      <c r="K310" s="7" t="str">
        <f t="shared" si="40"/>
        <v/>
      </c>
      <c r="L310" s="7" t="str">
        <f t="shared" si="41"/>
        <v/>
      </c>
      <c r="M310" s="7" t="str">
        <f t="shared" si="42"/>
        <v/>
      </c>
      <c r="N310" s="7" t="str">
        <f t="shared" si="43"/>
        <v/>
      </c>
      <c r="O310" s="51" t="str">
        <f>IF(G310&gt;0,DT!AC310*I310+DT!AD310*J310+DT!AE310*K310+DT!AF310*L310+DT!AG310*M310+DT!AH310*N310,"")</f>
        <v/>
      </c>
      <c r="P310" s="15"/>
    </row>
    <row r="311" spans="1:16">
      <c r="A311" s="1"/>
      <c r="B311" s="1"/>
      <c r="C311" s="1"/>
      <c r="D311" s="1"/>
      <c r="E311" s="1"/>
      <c r="F311" s="1"/>
      <c r="G311" s="1">
        <f t="shared" si="37"/>
        <v>0</v>
      </c>
      <c r="I311" s="7" t="str">
        <f t="shared" si="38"/>
        <v/>
      </c>
      <c r="J311" s="7" t="str">
        <f t="shared" si="39"/>
        <v/>
      </c>
      <c r="K311" s="7" t="str">
        <f t="shared" si="40"/>
        <v/>
      </c>
      <c r="L311" s="7" t="str">
        <f t="shared" si="41"/>
        <v/>
      </c>
      <c r="M311" s="7" t="str">
        <f t="shared" si="42"/>
        <v/>
      </c>
      <c r="N311" s="7" t="str">
        <f t="shared" si="43"/>
        <v/>
      </c>
      <c r="O311" s="51" t="str">
        <f>IF(G311&gt;0,DT!AC311*I311+DT!AD311*J311+DT!AE311*K311+DT!AF311*L311+DT!AG311*M311+DT!AH311*N311,"")</f>
        <v/>
      </c>
      <c r="P311" s="15"/>
    </row>
    <row r="312" spans="1:16">
      <c r="A312" s="1"/>
      <c r="B312" s="1"/>
      <c r="C312" s="1"/>
      <c r="D312" s="1"/>
      <c r="E312" s="1"/>
      <c r="F312" s="1"/>
      <c r="G312" s="1">
        <f t="shared" si="37"/>
        <v>0</v>
      </c>
      <c r="I312" s="7" t="str">
        <f t="shared" si="38"/>
        <v/>
      </c>
      <c r="J312" s="7" t="str">
        <f t="shared" si="39"/>
        <v/>
      </c>
      <c r="K312" s="7" t="str">
        <f t="shared" si="40"/>
        <v/>
      </c>
      <c r="L312" s="7" t="str">
        <f t="shared" si="41"/>
        <v/>
      </c>
      <c r="M312" s="7" t="str">
        <f t="shared" si="42"/>
        <v/>
      </c>
      <c r="N312" s="7" t="str">
        <f t="shared" si="43"/>
        <v/>
      </c>
      <c r="O312" s="51" t="str">
        <f>IF(G312&gt;0,DT!AC312*I312+DT!AD312*J312+DT!AE312*K312+DT!AF312*L312+DT!AG312*M312+DT!AH312*N312,"")</f>
        <v/>
      </c>
      <c r="P312" s="15"/>
    </row>
    <row r="313" spans="1:16">
      <c r="A313" s="1"/>
      <c r="B313" s="1"/>
      <c r="C313" s="1"/>
      <c r="D313" s="1"/>
      <c r="E313" s="1"/>
      <c r="F313" s="1"/>
      <c r="G313" s="1">
        <f t="shared" si="37"/>
        <v>0</v>
      </c>
      <c r="I313" s="7" t="str">
        <f t="shared" si="38"/>
        <v/>
      </c>
      <c r="J313" s="7" t="str">
        <f t="shared" si="39"/>
        <v/>
      </c>
      <c r="K313" s="7" t="str">
        <f t="shared" si="40"/>
        <v/>
      </c>
      <c r="L313" s="7" t="str">
        <f t="shared" si="41"/>
        <v/>
      </c>
      <c r="M313" s="7" t="str">
        <f t="shared" si="42"/>
        <v/>
      </c>
      <c r="N313" s="7" t="str">
        <f t="shared" si="43"/>
        <v/>
      </c>
      <c r="O313" s="51" t="str">
        <f>IF(G313&gt;0,DT!AC313*I313+DT!AD313*J313+DT!AE313*K313+DT!AF313*L313+DT!AG313*M313+DT!AH313*N313,"")</f>
        <v/>
      </c>
      <c r="P313" s="15"/>
    </row>
    <row r="314" spans="1:16">
      <c r="A314" s="1"/>
      <c r="B314" s="1"/>
      <c r="C314" s="1"/>
      <c r="D314" s="1"/>
      <c r="E314" s="1"/>
      <c r="F314" s="1"/>
      <c r="G314" s="1">
        <f t="shared" si="37"/>
        <v>0</v>
      </c>
      <c r="I314" s="7" t="str">
        <f t="shared" si="38"/>
        <v/>
      </c>
      <c r="J314" s="7" t="str">
        <f t="shared" si="39"/>
        <v/>
      </c>
      <c r="K314" s="7" t="str">
        <f t="shared" si="40"/>
        <v/>
      </c>
      <c r="L314" s="7" t="str">
        <f t="shared" si="41"/>
        <v/>
      </c>
      <c r="M314" s="7" t="str">
        <f t="shared" si="42"/>
        <v/>
      </c>
      <c r="N314" s="7" t="str">
        <f t="shared" si="43"/>
        <v/>
      </c>
      <c r="O314" s="51" t="str">
        <f>IF(G314&gt;0,DT!AC314*I314+DT!AD314*J314+DT!AE314*K314+DT!AF314*L314+DT!AG314*M314+DT!AH314*N314,"")</f>
        <v/>
      </c>
      <c r="P314" s="15"/>
    </row>
    <row r="315" spans="1:16">
      <c r="A315" s="1"/>
      <c r="B315" s="1"/>
      <c r="C315" s="1"/>
      <c r="D315" s="1"/>
      <c r="E315" s="1"/>
      <c r="F315" s="1"/>
      <c r="G315" s="1">
        <f t="shared" si="37"/>
        <v>0</v>
      </c>
      <c r="I315" s="7" t="str">
        <f t="shared" si="38"/>
        <v/>
      </c>
      <c r="J315" s="7" t="str">
        <f t="shared" si="39"/>
        <v/>
      </c>
      <c r="K315" s="7" t="str">
        <f t="shared" si="40"/>
        <v/>
      </c>
      <c r="L315" s="7" t="str">
        <f t="shared" si="41"/>
        <v/>
      </c>
      <c r="M315" s="7" t="str">
        <f t="shared" si="42"/>
        <v/>
      </c>
      <c r="N315" s="7" t="str">
        <f t="shared" si="43"/>
        <v/>
      </c>
      <c r="O315" s="51" t="str">
        <f>IF(G315&gt;0,DT!AC315*I315+DT!AD315*J315+DT!AE315*K315+DT!AF315*L315+DT!AG315*M315+DT!AH315*N315,"")</f>
        <v/>
      </c>
      <c r="P315" s="15"/>
    </row>
    <row r="316" spans="1:16">
      <c r="A316" s="1"/>
      <c r="B316" s="1"/>
      <c r="C316" s="1"/>
      <c r="D316" s="1"/>
      <c r="E316" s="1"/>
      <c r="F316" s="1"/>
      <c r="G316" s="1">
        <f t="shared" si="37"/>
        <v>0</v>
      </c>
      <c r="I316" s="7" t="str">
        <f t="shared" si="38"/>
        <v/>
      </c>
      <c r="J316" s="7" t="str">
        <f t="shared" si="39"/>
        <v/>
      </c>
      <c r="K316" s="7" t="str">
        <f t="shared" si="40"/>
        <v/>
      </c>
      <c r="L316" s="7" t="str">
        <f t="shared" si="41"/>
        <v/>
      </c>
      <c r="M316" s="7" t="str">
        <f t="shared" si="42"/>
        <v/>
      </c>
      <c r="N316" s="7" t="str">
        <f t="shared" si="43"/>
        <v/>
      </c>
      <c r="O316" s="51" t="str">
        <f>IF(G316&gt;0,DT!AC316*I316+DT!AD316*J316+DT!AE316*K316+DT!AF316*L316+DT!AG316*M316+DT!AH316*N316,"")</f>
        <v/>
      </c>
      <c r="P316" s="15"/>
    </row>
    <row r="317" spans="1:16">
      <c r="A317" s="1"/>
      <c r="B317" s="1"/>
      <c r="C317" s="1"/>
      <c r="D317" s="1"/>
      <c r="E317" s="1"/>
      <c r="F317" s="1"/>
      <c r="G317" s="1">
        <f t="shared" si="37"/>
        <v>0</v>
      </c>
      <c r="I317" s="7" t="str">
        <f t="shared" si="38"/>
        <v/>
      </c>
      <c r="J317" s="7" t="str">
        <f t="shared" si="39"/>
        <v/>
      </c>
      <c r="K317" s="7" t="str">
        <f t="shared" si="40"/>
        <v/>
      </c>
      <c r="L317" s="7" t="str">
        <f t="shared" si="41"/>
        <v/>
      </c>
      <c r="M317" s="7" t="str">
        <f t="shared" si="42"/>
        <v/>
      </c>
      <c r="N317" s="7" t="str">
        <f t="shared" si="43"/>
        <v/>
      </c>
      <c r="O317" s="51" t="str">
        <f>IF(G317&gt;0,DT!AC317*I317+DT!AD317*J317+DT!AE317*K317+DT!AF317*L317+DT!AG317*M317+DT!AH317*N317,"")</f>
        <v/>
      </c>
      <c r="P317" s="15"/>
    </row>
    <row r="318" spans="1:16">
      <c r="A318" s="1"/>
      <c r="B318" s="1"/>
      <c r="C318" s="1"/>
      <c r="D318" s="1"/>
      <c r="E318" s="1"/>
      <c r="F318" s="1"/>
      <c r="G318" s="1">
        <f t="shared" si="37"/>
        <v>0</v>
      </c>
      <c r="I318" s="7" t="str">
        <f t="shared" si="38"/>
        <v/>
      </c>
      <c r="J318" s="7" t="str">
        <f t="shared" si="39"/>
        <v/>
      </c>
      <c r="K318" s="7" t="str">
        <f t="shared" si="40"/>
        <v/>
      </c>
      <c r="L318" s="7" t="str">
        <f t="shared" si="41"/>
        <v/>
      </c>
      <c r="M318" s="7" t="str">
        <f t="shared" si="42"/>
        <v/>
      </c>
      <c r="N318" s="7" t="str">
        <f t="shared" si="43"/>
        <v/>
      </c>
      <c r="O318" s="51" t="str">
        <f>IF(G318&gt;0,DT!AC318*I318+DT!AD318*J318+DT!AE318*K318+DT!AF318*L318+DT!AG318*M318+DT!AH318*N318,"")</f>
        <v/>
      </c>
      <c r="P318" s="15"/>
    </row>
    <row r="319" spans="1:16">
      <c r="A319" s="1"/>
      <c r="B319" s="1"/>
      <c r="C319" s="1"/>
      <c r="D319" s="1"/>
      <c r="E319" s="1"/>
      <c r="F319" s="1"/>
      <c r="G319" s="1">
        <f t="shared" si="37"/>
        <v>0</v>
      </c>
      <c r="I319" s="7" t="str">
        <f t="shared" si="38"/>
        <v/>
      </c>
      <c r="J319" s="7" t="str">
        <f t="shared" si="39"/>
        <v/>
      </c>
      <c r="K319" s="7" t="str">
        <f t="shared" si="40"/>
        <v/>
      </c>
      <c r="L319" s="7" t="str">
        <f t="shared" si="41"/>
        <v/>
      </c>
      <c r="M319" s="7" t="str">
        <f t="shared" si="42"/>
        <v/>
      </c>
      <c r="N319" s="7" t="str">
        <f t="shared" si="43"/>
        <v/>
      </c>
      <c r="O319" s="51" t="str">
        <f>IF(G319&gt;0,DT!AC319*I319+DT!AD319*J319+DT!AE319*K319+DT!AF319*L319+DT!AG319*M319+DT!AH319*N319,"")</f>
        <v/>
      </c>
      <c r="P319" s="15"/>
    </row>
    <row r="320" spans="1:16">
      <c r="A320" s="1"/>
      <c r="B320" s="1"/>
      <c r="C320" s="1"/>
      <c r="D320" s="1"/>
      <c r="E320" s="1"/>
      <c r="F320" s="1"/>
      <c r="G320" s="1">
        <f t="shared" si="37"/>
        <v>0</v>
      </c>
      <c r="I320" s="7" t="str">
        <f t="shared" si="38"/>
        <v/>
      </c>
      <c r="J320" s="7" t="str">
        <f t="shared" si="39"/>
        <v/>
      </c>
      <c r="K320" s="7" t="str">
        <f t="shared" si="40"/>
        <v/>
      </c>
      <c r="L320" s="7" t="str">
        <f t="shared" si="41"/>
        <v/>
      </c>
      <c r="M320" s="7" t="str">
        <f t="shared" si="42"/>
        <v/>
      </c>
      <c r="N320" s="7" t="str">
        <f t="shared" si="43"/>
        <v/>
      </c>
      <c r="O320" s="51" t="str">
        <f>IF(G320&gt;0,DT!AC320*I320+DT!AD320*J320+DT!AE320*K320+DT!AF320*L320+DT!AG320*M320+DT!AH320*N320,"")</f>
        <v/>
      </c>
      <c r="P320" s="15"/>
    </row>
    <row r="321" spans="1:16">
      <c r="A321" s="1"/>
      <c r="B321" s="1"/>
      <c r="C321" s="1"/>
      <c r="D321" s="1"/>
      <c r="E321" s="1"/>
      <c r="F321" s="1"/>
      <c r="G321" s="1">
        <f t="shared" si="37"/>
        <v>0</v>
      </c>
      <c r="I321" s="7" t="str">
        <f t="shared" si="38"/>
        <v/>
      </c>
      <c r="J321" s="7" t="str">
        <f t="shared" si="39"/>
        <v/>
      </c>
      <c r="K321" s="7" t="str">
        <f t="shared" si="40"/>
        <v/>
      </c>
      <c r="L321" s="7" t="str">
        <f t="shared" si="41"/>
        <v/>
      </c>
      <c r="M321" s="7" t="str">
        <f t="shared" si="42"/>
        <v/>
      </c>
      <c r="N321" s="7" t="str">
        <f t="shared" si="43"/>
        <v/>
      </c>
      <c r="O321" s="51" t="str">
        <f>IF(G321&gt;0,DT!AC321*I321+DT!AD321*J321+DT!AE321*K321+DT!AF321*L321+DT!AG321*M321+DT!AH321*N321,"")</f>
        <v/>
      </c>
      <c r="P321" s="15"/>
    </row>
    <row r="322" spans="1:16">
      <c r="A322" s="1"/>
      <c r="B322" s="1"/>
      <c r="C322" s="1"/>
      <c r="D322" s="1"/>
      <c r="E322" s="1"/>
      <c r="F322" s="1"/>
      <c r="G322" s="1">
        <f t="shared" si="37"/>
        <v>0</v>
      </c>
      <c r="I322" s="7" t="str">
        <f t="shared" si="38"/>
        <v/>
      </c>
      <c r="J322" s="7" t="str">
        <f t="shared" si="39"/>
        <v/>
      </c>
      <c r="K322" s="7" t="str">
        <f t="shared" si="40"/>
        <v/>
      </c>
      <c r="L322" s="7" t="str">
        <f t="shared" si="41"/>
        <v/>
      </c>
      <c r="M322" s="7" t="str">
        <f t="shared" si="42"/>
        <v/>
      </c>
      <c r="N322" s="7" t="str">
        <f t="shared" si="43"/>
        <v/>
      </c>
      <c r="O322" s="51" t="str">
        <f>IF(G322&gt;0,DT!AC322*I322+DT!AD322*J322+DT!AE322*K322+DT!AF322*L322+DT!AG322*M322+DT!AH322*N322,"")</f>
        <v/>
      </c>
      <c r="P322" s="15"/>
    </row>
    <row r="323" spans="1:16">
      <c r="A323" s="1"/>
      <c r="B323" s="1"/>
      <c r="C323" s="1"/>
      <c r="D323" s="1"/>
      <c r="E323" s="1"/>
      <c r="F323" s="1"/>
      <c r="G323" s="1">
        <f t="shared" si="37"/>
        <v>0</v>
      </c>
      <c r="I323" s="7" t="str">
        <f t="shared" si="38"/>
        <v/>
      </c>
      <c r="J323" s="7" t="str">
        <f t="shared" si="39"/>
        <v/>
      </c>
      <c r="K323" s="7" t="str">
        <f t="shared" si="40"/>
        <v/>
      </c>
      <c r="L323" s="7" t="str">
        <f t="shared" si="41"/>
        <v/>
      </c>
      <c r="M323" s="7" t="str">
        <f t="shared" si="42"/>
        <v/>
      </c>
      <c r="N323" s="7" t="str">
        <f t="shared" si="43"/>
        <v/>
      </c>
      <c r="O323" s="51" t="str">
        <f>IF(G323&gt;0,DT!AC323*I323+DT!AD323*J323+DT!AE323*K323+DT!AF323*L323+DT!AG323*M323+DT!AH323*N323,"")</f>
        <v/>
      </c>
      <c r="P323" s="15"/>
    </row>
    <row r="324" spans="1:16">
      <c r="A324" s="1"/>
      <c r="B324" s="1"/>
      <c r="C324" s="1"/>
      <c r="D324" s="1"/>
      <c r="E324" s="1"/>
      <c r="F324" s="1"/>
      <c r="G324" s="1">
        <f t="shared" si="37"/>
        <v>0</v>
      </c>
      <c r="I324" s="7" t="str">
        <f t="shared" si="38"/>
        <v/>
      </c>
      <c r="J324" s="7" t="str">
        <f t="shared" si="39"/>
        <v/>
      </c>
      <c r="K324" s="7" t="str">
        <f t="shared" si="40"/>
        <v/>
      </c>
      <c r="L324" s="7" t="str">
        <f t="shared" si="41"/>
        <v/>
      </c>
      <c r="M324" s="7" t="str">
        <f t="shared" si="42"/>
        <v/>
      </c>
      <c r="N324" s="7" t="str">
        <f t="shared" si="43"/>
        <v/>
      </c>
      <c r="O324" s="51" t="str">
        <f>IF(G324&gt;0,DT!AC324*I324+DT!AD324*J324+DT!AE324*K324+DT!AF324*L324+DT!AG324*M324+DT!AH324*N324,"")</f>
        <v/>
      </c>
      <c r="P324" s="15"/>
    </row>
    <row r="325" spans="1:16">
      <c r="A325" s="1"/>
      <c r="B325" s="1"/>
      <c r="C325" s="1"/>
      <c r="D325" s="1"/>
      <c r="E325" s="1"/>
      <c r="F325" s="1"/>
      <c r="G325" s="1">
        <f t="shared" ref="G325:G388" si="44">SUM(A325:F325)</f>
        <v>0</v>
      </c>
      <c r="I325" s="7" t="str">
        <f t="shared" si="38"/>
        <v/>
      </c>
      <c r="J325" s="7" t="str">
        <f t="shared" si="39"/>
        <v/>
      </c>
      <c r="K325" s="7" t="str">
        <f t="shared" si="40"/>
        <v/>
      </c>
      <c r="L325" s="7" t="str">
        <f t="shared" si="41"/>
        <v/>
      </c>
      <c r="M325" s="7" t="str">
        <f t="shared" si="42"/>
        <v/>
      </c>
      <c r="N325" s="7" t="str">
        <f t="shared" si="43"/>
        <v/>
      </c>
      <c r="O325" s="51" t="str">
        <f>IF(G325&gt;0,DT!AC325*I325+DT!AD325*J325+DT!AE325*K325+DT!AF325*L325+DT!AG325*M325+DT!AH325*N325,"")</f>
        <v/>
      </c>
      <c r="P325" s="15"/>
    </row>
    <row r="326" spans="1:16">
      <c r="A326" s="1"/>
      <c r="B326" s="1"/>
      <c r="C326" s="1"/>
      <c r="D326" s="1"/>
      <c r="E326" s="1"/>
      <c r="F326" s="1"/>
      <c r="G326" s="1">
        <f t="shared" si="44"/>
        <v>0</v>
      </c>
      <c r="I326" s="7" t="str">
        <f t="shared" si="38"/>
        <v/>
      </c>
      <c r="J326" s="7" t="str">
        <f t="shared" si="39"/>
        <v/>
      </c>
      <c r="K326" s="7" t="str">
        <f t="shared" si="40"/>
        <v/>
      </c>
      <c r="L326" s="7" t="str">
        <f t="shared" si="41"/>
        <v/>
      </c>
      <c r="M326" s="7" t="str">
        <f t="shared" si="42"/>
        <v/>
      </c>
      <c r="N326" s="7" t="str">
        <f t="shared" si="43"/>
        <v/>
      </c>
      <c r="O326" s="51" t="str">
        <f>IF(G326&gt;0,DT!AC326*I326+DT!AD326*J326+DT!AE326*K326+DT!AF326*L326+DT!AG326*M326+DT!AH326*N326,"")</f>
        <v/>
      </c>
      <c r="P326" s="15"/>
    </row>
    <row r="327" spans="1:16">
      <c r="A327" s="1"/>
      <c r="B327" s="1"/>
      <c r="C327" s="1"/>
      <c r="D327" s="1"/>
      <c r="E327" s="1"/>
      <c r="F327" s="1"/>
      <c r="G327" s="1">
        <f t="shared" si="44"/>
        <v>0</v>
      </c>
      <c r="I327" s="7" t="str">
        <f t="shared" si="38"/>
        <v/>
      </c>
      <c r="J327" s="7" t="str">
        <f t="shared" si="39"/>
        <v/>
      </c>
      <c r="K327" s="7" t="str">
        <f t="shared" si="40"/>
        <v/>
      </c>
      <c r="L327" s="7" t="str">
        <f t="shared" si="41"/>
        <v/>
      </c>
      <c r="M327" s="7" t="str">
        <f t="shared" si="42"/>
        <v/>
      </c>
      <c r="N327" s="7" t="str">
        <f t="shared" si="43"/>
        <v/>
      </c>
      <c r="O327" s="51" t="str">
        <f>IF(G327&gt;0,DT!AC327*I327+DT!AD327*J327+DT!AE327*K327+DT!AF327*L327+DT!AG327*M327+DT!AH327*N327,"")</f>
        <v/>
      </c>
      <c r="P327" s="15"/>
    </row>
    <row r="328" spans="1:16">
      <c r="A328" s="1"/>
      <c r="B328" s="1"/>
      <c r="C328" s="1"/>
      <c r="D328" s="1"/>
      <c r="E328" s="1"/>
      <c r="F328" s="1"/>
      <c r="G328" s="1">
        <f t="shared" si="44"/>
        <v>0</v>
      </c>
      <c r="I328" s="7" t="str">
        <f t="shared" si="38"/>
        <v/>
      </c>
      <c r="J328" s="7" t="str">
        <f t="shared" si="39"/>
        <v/>
      </c>
      <c r="K328" s="7" t="str">
        <f t="shared" si="40"/>
        <v/>
      </c>
      <c r="L328" s="7" t="str">
        <f t="shared" si="41"/>
        <v/>
      </c>
      <c r="M328" s="7" t="str">
        <f t="shared" si="42"/>
        <v/>
      </c>
      <c r="N328" s="7" t="str">
        <f t="shared" si="43"/>
        <v/>
      </c>
      <c r="O328" s="51" t="str">
        <f>IF(G328&gt;0,DT!AC328*I328+DT!AD328*J328+DT!AE328*K328+DT!AF328*L328+DT!AG328*M328+DT!AH328*N328,"")</f>
        <v/>
      </c>
      <c r="P328" s="15"/>
    </row>
    <row r="329" spans="1:16">
      <c r="A329" s="1"/>
      <c r="B329" s="1"/>
      <c r="C329" s="1"/>
      <c r="D329" s="1"/>
      <c r="E329" s="1"/>
      <c r="F329" s="1"/>
      <c r="G329" s="1">
        <f t="shared" si="44"/>
        <v>0</v>
      </c>
      <c r="I329" s="7" t="str">
        <f t="shared" si="38"/>
        <v/>
      </c>
      <c r="J329" s="7" t="str">
        <f t="shared" si="39"/>
        <v/>
      </c>
      <c r="K329" s="7" t="str">
        <f t="shared" si="40"/>
        <v/>
      </c>
      <c r="L329" s="7" t="str">
        <f t="shared" si="41"/>
        <v/>
      </c>
      <c r="M329" s="7" t="str">
        <f t="shared" si="42"/>
        <v/>
      </c>
      <c r="N329" s="7" t="str">
        <f t="shared" si="43"/>
        <v/>
      </c>
      <c r="O329" s="51" t="str">
        <f>IF(G329&gt;0,DT!AC329*I329+DT!AD329*J329+DT!AE329*K329+DT!AF329*L329+DT!AG329*M329+DT!AH329*N329,"")</f>
        <v/>
      </c>
      <c r="P329" s="15"/>
    </row>
    <row r="330" spans="1:16">
      <c r="A330" s="1"/>
      <c r="B330" s="1"/>
      <c r="C330" s="1"/>
      <c r="D330" s="1"/>
      <c r="E330" s="1"/>
      <c r="F330" s="1"/>
      <c r="G330" s="1">
        <f t="shared" si="44"/>
        <v>0</v>
      </c>
      <c r="I330" s="7" t="str">
        <f t="shared" si="38"/>
        <v/>
      </c>
      <c r="J330" s="7" t="str">
        <f t="shared" si="39"/>
        <v/>
      </c>
      <c r="K330" s="7" t="str">
        <f t="shared" si="40"/>
        <v/>
      </c>
      <c r="L330" s="7" t="str">
        <f t="shared" si="41"/>
        <v/>
      </c>
      <c r="M330" s="7" t="str">
        <f t="shared" si="42"/>
        <v/>
      </c>
      <c r="N330" s="7" t="str">
        <f t="shared" si="43"/>
        <v/>
      </c>
      <c r="O330" s="51" t="str">
        <f>IF(G330&gt;0,DT!AC330*I330+DT!AD330*J330+DT!AE330*K330+DT!AF330*L330+DT!AG330*M330+DT!AH330*N330,"")</f>
        <v/>
      </c>
      <c r="P330" s="15"/>
    </row>
    <row r="331" spans="1:16">
      <c r="A331" s="1"/>
      <c r="B331" s="1"/>
      <c r="C331" s="1"/>
      <c r="D331" s="1"/>
      <c r="E331" s="1"/>
      <c r="F331" s="1"/>
      <c r="G331" s="1">
        <f t="shared" si="44"/>
        <v>0</v>
      </c>
      <c r="I331" s="7" t="str">
        <f t="shared" si="38"/>
        <v/>
      </c>
      <c r="J331" s="7" t="str">
        <f t="shared" si="39"/>
        <v/>
      </c>
      <c r="K331" s="7" t="str">
        <f t="shared" si="40"/>
        <v/>
      </c>
      <c r="L331" s="7" t="str">
        <f t="shared" si="41"/>
        <v/>
      </c>
      <c r="M331" s="7" t="str">
        <f t="shared" si="42"/>
        <v/>
      </c>
      <c r="N331" s="7" t="str">
        <f t="shared" si="43"/>
        <v/>
      </c>
      <c r="O331" s="51" t="str">
        <f>IF(G331&gt;0,DT!AC331*I331+DT!AD331*J331+DT!AE331*K331+DT!AF331*L331+DT!AG331*M331+DT!AH331*N331,"")</f>
        <v/>
      </c>
      <c r="P331" s="15"/>
    </row>
    <row r="332" spans="1:16">
      <c r="A332" s="1"/>
      <c r="B332" s="1"/>
      <c r="C332" s="1"/>
      <c r="D332" s="1"/>
      <c r="E332" s="1"/>
      <c r="F332" s="1"/>
      <c r="G332" s="1">
        <f t="shared" si="44"/>
        <v>0</v>
      </c>
      <c r="I332" s="7" t="str">
        <f t="shared" si="38"/>
        <v/>
      </c>
      <c r="J332" s="7" t="str">
        <f t="shared" si="39"/>
        <v/>
      </c>
      <c r="K332" s="7" t="str">
        <f t="shared" si="40"/>
        <v/>
      </c>
      <c r="L332" s="7" t="str">
        <f t="shared" si="41"/>
        <v/>
      </c>
      <c r="M332" s="7" t="str">
        <f t="shared" si="42"/>
        <v/>
      </c>
      <c r="N332" s="7" t="str">
        <f t="shared" si="43"/>
        <v/>
      </c>
      <c r="O332" s="51" t="str">
        <f>IF(G332&gt;0,DT!AC332*I332+DT!AD332*J332+DT!AE332*K332+DT!AF332*L332+DT!AG332*M332+DT!AH332*N332,"")</f>
        <v/>
      </c>
      <c r="P332" s="15"/>
    </row>
    <row r="333" spans="1:16">
      <c r="A333" s="1"/>
      <c r="B333" s="1"/>
      <c r="C333" s="1"/>
      <c r="D333" s="1"/>
      <c r="E333" s="1"/>
      <c r="F333" s="1"/>
      <c r="G333" s="1">
        <f t="shared" si="44"/>
        <v>0</v>
      </c>
      <c r="I333" s="7" t="str">
        <f t="shared" si="38"/>
        <v/>
      </c>
      <c r="J333" s="7" t="str">
        <f t="shared" si="39"/>
        <v/>
      </c>
      <c r="K333" s="7" t="str">
        <f t="shared" si="40"/>
        <v/>
      </c>
      <c r="L333" s="7" t="str">
        <f t="shared" si="41"/>
        <v/>
      </c>
      <c r="M333" s="7" t="str">
        <f t="shared" si="42"/>
        <v/>
      </c>
      <c r="N333" s="7" t="str">
        <f t="shared" si="43"/>
        <v/>
      </c>
      <c r="O333" s="51" t="str">
        <f>IF(G333&gt;0,DT!AC333*I333+DT!AD333*J333+DT!AE333*K333+DT!AF333*L333+DT!AG333*M333+DT!AH333*N333,"")</f>
        <v/>
      </c>
      <c r="P333" s="15"/>
    </row>
    <row r="334" spans="1:16">
      <c r="A334" s="1"/>
      <c r="B334" s="1"/>
      <c r="C334" s="1"/>
      <c r="D334" s="1"/>
      <c r="E334" s="1"/>
      <c r="F334" s="1"/>
      <c r="G334" s="1">
        <f t="shared" si="44"/>
        <v>0</v>
      </c>
      <c r="I334" s="7" t="str">
        <f t="shared" si="38"/>
        <v/>
      </c>
      <c r="J334" s="7" t="str">
        <f t="shared" si="39"/>
        <v/>
      </c>
      <c r="K334" s="7" t="str">
        <f t="shared" si="40"/>
        <v/>
      </c>
      <c r="L334" s="7" t="str">
        <f t="shared" si="41"/>
        <v/>
      </c>
      <c r="M334" s="7" t="str">
        <f t="shared" si="42"/>
        <v/>
      </c>
      <c r="N334" s="7" t="str">
        <f t="shared" si="43"/>
        <v/>
      </c>
      <c r="O334" s="51" t="str">
        <f>IF(G334&gt;0,DT!AC334*I334+DT!AD334*J334+DT!AE334*K334+DT!AF334*L334+DT!AG334*M334+DT!AH334*N334,"")</f>
        <v/>
      </c>
      <c r="P334" s="15"/>
    </row>
    <row r="335" spans="1:16">
      <c r="A335" s="1"/>
      <c r="B335" s="1"/>
      <c r="C335" s="1"/>
      <c r="D335" s="1"/>
      <c r="E335" s="1"/>
      <c r="F335" s="1"/>
      <c r="G335" s="1">
        <f t="shared" si="44"/>
        <v>0</v>
      </c>
      <c r="I335" s="7" t="str">
        <f t="shared" si="38"/>
        <v/>
      </c>
      <c r="J335" s="7" t="str">
        <f t="shared" si="39"/>
        <v/>
      </c>
      <c r="K335" s="7" t="str">
        <f t="shared" si="40"/>
        <v/>
      </c>
      <c r="L335" s="7" t="str">
        <f t="shared" si="41"/>
        <v/>
      </c>
      <c r="M335" s="7" t="str">
        <f t="shared" si="42"/>
        <v/>
      </c>
      <c r="N335" s="7" t="str">
        <f t="shared" si="43"/>
        <v/>
      </c>
      <c r="O335" s="51" t="str">
        <f>IF(G335&gt;0,DT!AC335*I335+DT!AD335*J335+DT!AE335*K335+DT!AF335*L335+DT!AG335*M335+DT!AH335*N335,"")</f>
        <v/>
      </c>
      <c r="P335" s="15"/>
    </row>
    <row r="336" spans="1:16">
      <c r="A336" s="1"/>
      <c r="B336" s="1"/>
      <c r="C336" s="1"/>
      <c r="D336" s="1"/>
      <c r="E336" s="1"/>
      <c r="F336" s="1"/>
      <c r="G336" s="1">
        <f t="shared" si="44"/>
        <v>0</v>
      </c>
      <c r="I336" s="7" t="str">
        <f t="shared" si="38"/>
        <v/>
      </c>
      <c r="J336" s="7" t="str">
        <f t="shared" si="39"/>
        <v/>
      </c>
      <c r="K336" s="7" t="str">
        <f t="shared" si="40"/>
        <v/>
      </c>
      <c r="L336" s="7" t="str">
        <f t="shared" si="41"/>
        <v/>
      </c>
      <c r="M336" s="7" t="str">
        <f t="shared" si="42"/>
        <v/>
      </c>
      <c r="N336" s="7" t="str">
        <f t="shared" si="43"/>
        <v/>
      </c>
      <c r="O336" s="51" t="str">
        <f>IF(G336&gt;0,DT!AC336*I336+DT!AD336*J336+DT!AE336*K336+DT!AF336*L336+DT!AG336*M336+DT!AH336*N336,"")</f>
        <v/>
      </c>
      <c r="P336" s="15"/>
    </row>
    <row r="337" spans="1:16">
      <c r="A337" s="1"/>
      <c r="B337" s="1"/>
      <c r="C337" s="1"/>
      <c r="D337" s="1"/>
      <c r="E337" s="1"/>
      <c r="F337" s="1"/>
      <c r="G337" s="1">
        <f t="shared" si="44"/>
        <v>0</v>
      </c>
      <c r="I337" s="7" t="str">
        <f t="shared" si="38"/>
        <v/>
      </c>
      <c r="J337" s="7" t="str">
        <f t="shared" si="39"/>
        <v/>
      </c>
      <c r="K337" s="7" t="str">
        <f t="shared" si="40"/>
        <v/>
      </c>
      <c r="L337" s="7" t="str">
        <f t="shared" si="41"/>
        <v/>
      </c>
      <c r="M337" s="7" t="str">
        <f t="shared" si="42"/>
        <v/>
      </c>
      <c r="N337" s="7" t="str">
        <f t="shared" si="43"/>
        <v/>
      </c>
      <c r="O337" s="51" t="str">
        <f>IF(G337&gt;0,DT!AC337*I337+DT!AD337*J337+DT!AE337*K337+DT!AF337*L337+DT!AG337*M337+DT!AH337*N337,"")</f>
        <v/>
      </c>
      <c r="P337" s="15"/>
    </row>
    <row r="338" spans="1:16">
      <c r="A338" s="1"/>
      <c r="B338" s="1"/>
      <c r="C338" s="1"/>
      <c r="D338" s="1"/>
      <c r="E338" s="1"/>
      <c r="F338" s="1"/>
      <c r="G338" s="1">
        <f t="shared" si="44"/>
        <v>0</v>
      </c>
      <c r="I338" s="7" t="str">
        <f t="shared" si="38"/>
        <v/>
      </c>
      <c r="J338" s="7" t="str">
        <f t="shared" si="39"/>
        <v/>
      </c>
      <c r="K338" s="7" t="str">
        <f t="shared" si="40"/>
        <v/>
      </c>
      <c r="L338" s="7" t="str">
        <f t="shared" si="41"/>
        <v/>
      </c>
      <c r="M338" s="7" t="str">
        <f t="shared" si="42"/>
        <v/>
      </c>
      <c r="N338" s="7" t="str">
        <f t="shared" si="43"/>
        <v/>
      </c>
      <c r="O338" s="51" t="str">
        <f>IF(G338&gt;0,DT!AC338*I338+DT!AD338*J338+DT!AE338*K338+DT!AF338*L338+DT!AG338*M338+DT!AH338*N338,"")</f>
        <v/>
      </c>
      <c r="P338" s="15"/>
    </row>
    <row r="339" spans="1:16">
      <c r="A339" s="1"/>
      <c r="B339" s="1"/>
      <c r="C339" s="1"/>
      <c r="D339" s="1"/>
      <c r="E339" s="1"/>
      <c r="F339" s="1"/>
      <c r="G339" s="1">
        <f t="shared" si="44"/>
        <v>0</v>
      </c>
      <c r="I339" s="7" t="str">
        <f t="shared" si="38"/>
        <v/>
      </c>
      <c r="J339" s="7" t="str">
        <f t="shared" si="39"/>
        <v/>
      </c>
      <c r="K339" s="7" t="str">
        <f t="shared" si="40"/>
        <v/>
      </c>
      <c r="L339" s="7" t="str">
        <f t="shared" si="41"/>
        <v/>
      </c>
      <c r="M339" s="7" t="str">
        <f t="shared" si="42"/>
        <v/>
      </c>
      <c r="N339" s="7" t="str">
        <f t="shared" si="43"/>
        <v/>
      </c>
      <c r="O339" s="51" t="str">
        <f>IF(G339&gt;0,DT!AC339*I339+DT!AD339*J339+DT!AE339*K339+DT!AF339*L339+DT!AG339*M339+DT!AH339*N339,"")</f>
        <v/>
      </c>
      <c r="P339" s="15"/>
    </row>
    <row r="340" spans="1:16">
      <c r="A340" s="1"/>
      <c r="B340" s="1"/>
      <c r="C340" s="1"/>
      <c r="D340" s="1"/>
      <c r="E340" s="1"/>
      <c r="F340" s="1"/>
      <c r="G340" s="1">
        <f t="shared" si="44"/>
        <v>0</v>
      </c>
      <c r="I340" s="7" t="str">
        <f t="shared" si="38"/>
        <v/>
      </c>
      <c r="J340" s="7" t="str">
        <f t="shared" si="39"/>
        <v/>
      </c>
      <c r="K340" s="7" t="str">
        <f t="shared" si="40"/>
        <v/>
      </c>
      <c r="L340" s="7" t="str">
        <f t="shared" si="41"/>
        <v/>
      </c>
      <c r="M340" s="7" t="str">
        <f t="shared" si="42"/>
        <v/>
      </c>
      <c r="N340" s="7" t="str">
        <f t="shared" si="43"/>
        <v/>
      </c>
      <c r="O340" s="51" t="str">
        <f>IF(G340&gt;0,DT!AC340*I340+DT!AD340*J340+DT!AE340*K340+DT!AF340*L340+DT!AG340*M340+DT!AH340*N340,"")</f>
        <v/>
      </c>
      <c r="P340" s="15"/>
    </row>
    <row r="341" spans="1:16">
      <c r="A341" s="1"/>
      <c r="B341" s="1"/>
      <c r="C341" s="1"/>
      <c r="D341" s="1"/>
      <c r="E341" s="1"/>
      <c r="F341" s="1"/>
      <c r="G341" s="1">
        <f t="shared" si="44"/>
        <v>0</v>
      </c>
      <c r="I341" s="7" t="str">
        <f t="shared" si="38"/>
        <v/>
      </c>
      <c r="J341" s="7" t="str">
        <f t="shared" si="39"/>
        <v/>
      </c>
      <c r="K341" s="7" t="str">
        <f t="shared" si="40"/>
        <v/>
      </c>
      <c r="L341" s="7" t="str">
        <f t="shared" si="41"/>
        <v/>
      </c>
      <c r="M341" s="7" t="str">
        <f t="shared" si="42"/>
        <v/>
      </c>
      <c r="N341" s="7" t="str">
        <f t="shared" si="43"/>
        <v/>
      </c>
      <c r="O341" s="51" t="str">
        <f>IF(G341&gt;0,DT!AC341*I341+DT!AD341*J341+DT!AE341*K341+DT!AF341*L341+DT!AG341*M341+DT!AH341*N341,"")</f>
        <v/>
      </c>
      <c r="P341" s="15"/>
    </row>
    <row r="342" spans="1:16">
      <c r="A342" s="1"/>
      <c r="B342" s="1"/>
      <c r="C342" s="1"/>
      <c r="D342" s="1"/>
      <c r="E342" s="1"/>
      <c r="F342" s="1"/>
      <c r="G342" s="1">
        <f t="shared" si="44"/>
        <v>0</v>
      </c>
      <c r="I342" s="7" t="str">
        <f t="shared" si="38"/>
        <v/>
      </c>
      <c r="J342" s="7" t="str">
        <f t="shared" si="39"/>
        <v/>
      </c>
      <c r="K342" s="7" t="str">
        <f t="shared" si="40"/>
        <v/>
      </c>
      <c r="L342" s="7" t="str">
        <f t="shared" si="41"/>
        <v/>
      </c>
      <c r="M342" s="7" t="str">
        <f t="shared" si="42"/>
        <v/>
      </c>
      <c r="N342" s="7" t="str">
        <f t="shared" si="43"/>
        <v/>
      </c>
      <c r="O342" s="51" t="str">
        <f>IF(G342&gt;0,DT!AC342*I342+DT!AD342*J342+DT!AE342*K342+DT!AF342*L342+DT!AG342*M342+DT!AH342*N342,"")</f>
        <v/>
      </c>
      <c r="P342" s="15"/>
    </row>
    <row r="343" spans="1:16">
      <c r="A343" s="1"/>
      <c r="B343" s="1"/>
      <c r="C343" s="1"/>
      <c r="D343" s="1"/>
      <c r="E343" s="1"/>
      <c r="F343" s="1"/>
      <c r="G343" s="1">
        <f t="shared" si="44"/>
        <v>0</v>
      </c>
      <c r="I343" s="7" t="str">
        <f t="shared" si="38"/>
        <v/>
      </c>
      <c r="J343" s="7" t="str">
        <f t="shared" si="39"/>
        <v/>
      </c>
      <c r="K343" s="7" t="str">
        <f t="shared" si="40"/>
        <v/>
      </c>
      <c r="L343" s="7" t="str">
        <f t="shared" si="41"/>
        <v/>
      </c>
      <c r="M343" s="7" t="str">
        <f t="shared" si="42"/>
        <v/>
      </c>
      <c r="N343" s="7" t="str">
        <f t="shared" si="43"/>
        <v/>
      </c>
      <c r="O343" s="51" t="str">
        <f>IF(G343&gt;0,DT!AC343*I343+DT!AD343*J343+DT!AE343*K343+DT!AF343*L343+DT!AG343*M343+DT!AH343*N343,"")</f>
        <v/>
      </c>
      <c r="P343" s="15"/>
    </row>
    <row r="344" spans="1:16">
      <c r="A344" s="1"/>
      <c r="B344" s="1"/>
      <c r="C344" s="1"/>
      <c r="D344" s="1"/>
      <c r="E344" s="1"/>
      <c r="F344" s="1"/>
      <c r="G344" s="1">
        <f t="shared" si="44"/>
        <v>0</v>
      </c>
      <c r="I344" s="7" t="str">
        <f t="shared" si="38"/>
        <v/>
      </c>
      <c r="J344" s="7" t="str">
        <f t="shared" si="39"/>
        <v/>
      </c>
      <c r="K344" s="7" t="str">
        <f t="shared" si="40"/>
        <v/>
      </c>
      <c r="L344" s="7" t="str">
        <f t="shared" si="41"/>
        <v/>
      </c>
      <c r="M344" s="7" t="str">
        <f t="shared" si="42"/>
        <v/>
      </c>
      <c r="N344" s="7" t="str">
        <f t="shared" si="43"/>
        <v/>
      </c>
      <c r="O344" s="51" t="str">
        <f>IF(G344&gt;0,DT!AC344*I344+DT!AD344*J344+DT!AE344*K344+DT!AF344*L344+DT!AG344*M344+DT!AH344*N344,"")</f>
        <v/>
      </c>
      <c r="P344" s="15"/>
    </row>
    <row r="345" spans="1:16">
      <c r="A345" s="1"/>
      <c r="B345" s="1"/>
      <c r="C345" s="1"/>
      <c r="D345" s="1"/>
      <c r="E345" s="1"/>
      <c r="F345" s="1"/>
      <c r="G345" s="1">
        <f t="shared" si="44"/>
        <v>0</v>
      </c>
      <c r="I345" s="7" t="str">
        <f t="shared" si="38"/>
        <v/>
      </c>
      <c r="J345" s="7" t="str">
        <f t="shared" si="39"/>
        <v/>
      </c>
      <c r="K345" s="7" t="str">
        <f t="shared" si="40"/>
        <v/>
      </c>
      <c r="L345" s="7" t="str">
        <f t="shared" si="41"/>
        <v/>
      </c>
      <c r="M345" s="7" t="str">
        <f t="shared" si="42"/>
        <v/>
      </c>
      <c r="N345" s="7" t="str">
        <f t="shared" si="43"/>
        <v/>
      </c>
      <c r="O345" s="51" t="str">
        <f>IF(G345&gt;0,DT!AC345*I345+DT!AD345*J345+DT!AE345*K345+DT!AF345*L345+DT!AG345*M345+DT!AH345*N345,"")</f>
        <v/>
      </c>
      <c r="P345" s="15"/>
    </row>
    <row r="346" spans="1:16">
      <c r="A346" s="1"/>
      <c r="B346" s="1"/>
      <c r="C346" s="1"/>
      <c r="D346" s="1"/>
      <c r="E346" s="1"/>
      <c r="F346" s="1"/>
      <c r="G346" s="1">
        <f t="shared" si="44"/>
        <v>0</v>
      </c>
      <c r="I346" s="7" t="str">
        <f t="shared" si="38"/>
        <v/>
      </c>
      <c r="J346" s="7" t="str">
        <f t="shared" si="39"/>
        <v/>
      </c>
      <c r="K346" s="7" t="str">
        <f t="shared" si="40"/>
        <v/>
      </c>
      <c r="L346" s="7" t="str">
        <f t="shared" si="41"/>
        <v/>
      </c>
      <c r="M346" s="7" t="str">
        <f t="shared" si="42"/>
        <v/>
      </c>
      <c r="N346" s="7" t="str">
        <f t="shared" si="43"/>
        <v/>
      </c>
      <c r="O346" s="51" t="str">
        <f>IF(G346&gt;0,DT!AC346*I346+DT!AD346*J346+DT!AE346*K346+DT!AF346*L346+DT!AG346*M346+DT!AH346*N346,"")</f>
        <v/>
      </c>
      <c r="P346" s="15"/>
    </row>
    <row r="347" spans="1:16">
      <c r="A347" s="1"/>
      <c r="B347" s="1"/>
      <c r="C347" s="1"/>
      <c r="D347" s="1"/>
      <c r="E347" s="1"/>
      <c r="F347" s="1"/>
      <c r="G347" s="1">
        <f t="shared" si="44"/>
        <v>0</v>
      </c>
      <c r="I347" s="7" t="str">
        <f t="shared" si="38"/>
        <v/>
      </c>
      <c r="J347" s="7" t="str">
        <f t="shared" si="39"/>
        <v/>
      </c>
      <c r="K347" s="7" t="str">
        <f t="shared" si="40"/>
        <v/>
      </c>
      <c r="L347" s="7" t="str">
        <f t="shared" si="41"/>
        <v/>
      </c>
      <c r="M347" s="7" t="str">
        <f t="shared" si="42"/>
        <v/>
      </c>
      <c r="N347" s="7" t="str">
        <f t="shared" si="43"/>
        <v/>
      </c>
      <c r="O347" s="51" t="str">
        <f>IF(G347&gt;0,DT!AC347*I347+DT!AD347*J347+DT!AE347*K347+DT!AF347*L347+DT!AG347*M347+DT!AH347*N347,"")</f>
        <v/>
      </c>
      <c r="P347" s="15"/>
    </row>
    <row r="348" spans="1:16">
      <c r="A348" s="1"/>
      <c r="B348" s="1"/>
      <c r="C348" s="1"/>
      <c r="D348" s="1"/>
      <c r="E348" s="1"/>
      <c r="F348" s="1"/>
      <c r="G348" s="1">
        <f t="shared" si="44"/>
        <v>0</v>
      </c>
      <c r="I348" s="7" t="str">
        <f t="shared" si="38"/>
        <v/>
      </c>
      <c r="J348" s="7" t="str">
        <f t="shared" si="39"/>
        <v/>
      </c>
      <c r="K348" s="7" t="str">
        <f t="shared" si="40"/>
        <v/>
      </c>
      <c r="L348" s="7" t="str">
        <f t="shared" si="41"/>
        <v/>
      </c>
      <c r="M348" s="7" t="str">
        <f t="shared" si="42"/>
        <v/>
      </c>
      <c r="N348" s="7" t="str">
        <f t="shared" si="43"/>
        <v/>
      </c>
      <c r="O348" s="51" t="str">
        <f>IF(G348&gt;0,DT!AC348*I348+DT!AD348*J348+DT!AE348*K348+DT!AF348*L348+DT!AG348*M348+DT!AH348*N348,"")</f>
        <v/>
      </c>
      <c r="P348" s="15"/>
    </row>
    <row r="349" spans="1:16">
      <c r="A349" s="1"/>
      <c r="B349" s="1"/>
      <c r="C349" s="1"/>
      <c r="D349" s="1"/>
      <c r="E349" s="1"/>
      <c r="F349" s="1"/>
      <c r="G349" s="1">
        <f t="shared" si="44"/>
        <v>0</v>
      </c>
      <c r="I349" s="7" t="str">
        <f t="shared" si="38"/>
        <v/>
      </c>
      <c r="J349" s="7" t="str">
        <f t="shared" si="39"/>
        <v/>
      </c>
      <c r="K349" s="7" t="str">
        <f t="shared" si="40"/>
        <v/>
      </c>
      <c r="L349" s="7" t="str">
        <f t="shared" si="41"/>
        <v/>
      </c>
      <c r="M349" s="7" t="str">
        <f t="shared" si="42"/>
        <v/>
      </c>
      <c r="N349" s="7" t="str">
        <f t="shared" si="43"/>
        <v/>
      </c>
      <c r="O349" s="51" t="str">
        <f>IF(G349&gt;0,DT!AC349*I349+DT!AD349*J349+DT!AE349*K349+DT!AF349*L349+DT!AG349*M349+DT!AH349*N349,"")</f>
        <v/>
      </c>
      <c r="P349" s="15"/>
    </row>
    <row r="350" spans="1:16">
      <c r="A350" s="1"/>
      <c r="B350" s="1"/>
      <c r="C350" s="1"/>
      <c r="D350" s="1"/>
      <c r="E350" s="1"/>
      <c r="F350" s="1"/>
      <c r="G350" s="1">
        <f t="shared" si="44"/>
        <v>0</v>
      </c>
      <c r="I350" s="7" t="str">
        <f t="shared" si="38"/>
        <v/>
      </c>
      <c r="J350" s="7" t="str">
        <f t="shared" si="39"/>
        <v/>
      </c>
      <c r="K350" s="7" t="str">
        <f t="shared" si="40"/>
        <v/>
      </c>
      <c r="L350" s="7" t="str">
        <f t="shared" si="41"/>
        <v/>
      </c>
      <c r="M350" s="7" t="str">
        <f t="shared" si="42"/>
        <v/>
      </c>
      <c r="N350" s="7" t="str">
        <f t="shared" si="43"/>
        <v/>
      </c>
      <c r="O350" s="51" t="str">
        <f>IF(G350&gt;0,DT!AC350*I350+DT!AD350*J350+DT!AE350*K350+DT!AF350*L350+DT!AG350*M350+DT!AH350*N350,"")</f>
        <v/>
      </c>
      <c r="P350" s="15"/>
    </row>
    <row r="351" spans="1:16">
      <c r="A351" s="1"/>
      <c r="B351" s="1"/>
      <c r="C351" s="1"/>
      <c r="D351" s="1"/>
      <c r="E351" s="1"/>
      <c r="F351" s="1"/>
      <c r="G351" s="1">
        <f t="shared" si="44"/>
        <v>0</v>
      </c>
      <c r="I351" s="7" t="str">
        <f t="shared" si="38"/>
        <v/>
      </c>
      <c r="J351" s="7" t="str">
        <f t="shared" si="39"/>
        <v/>
      </c>
      <c r="K351" s="7" t="str">
        <f t="shared" si="40"/>
        <v/>
      </c>
      <c r="L351" s="7" t="str">
        <f t="shared" si="41"/>
        <v/>
      </c>
      <c r="M351" s="7" t="str">
        <f t="shared" si="42"/>
        <v/>
      </c>
      <c r="N351" s="7" t="str">
        <f t="shared" si="43"/>
        <v/>
      </c>
      <c r="O351" s="51" t="str">
        <f>IF(G351&gt;0,DT!AC351*I351+DT!AD351*J351+DT!AE351*K351+DT!AF351*L351+DT!AG351*M351+DT!AH351*N351,"")</f>
        <v/>
      </c>
      <c r="P351" s="15"/>
    </row>
    <row r="352" spans="1:16">
      <c r="A352" s="1"/>
      <c r="B352" s="1"/>
      <c r="C352" s="1"/>
      <c r="D352" s="1"/>
      <c r="E352" s="1"/>
      <c r="F352" s="1"/>
      <c r="G352" s="1">
        <f t="shared" si="44"/>
        <v>0</v>
      </c>
      <c r="I352" s="7" t="str">
        <f t="shared" si="38"/>
        <v/>
      </c>
      <c r="J352" s="7" t="str">
        <f t="shared" si="39"/>
        <v/>
      </c>
      <c r="K352" s="7" t="str">
        <f t="shared" si="40"/>
        <v/>
      </c>
      <c r="L352" s="7" t="str">
        <f t="shared" si="41"/>
        <v/>
      </c>
      <c r="M352" s="7" t="str">
        <f t="shared" si="42"/>
        <v/>
      </c>
      <c r="N352" s="7" t="str">
        <f t="shared" si="43"/>
        <v/>
      </c>
      <c r="O352" s="51" t="str">
        <f>IF(G352&gt;0,DT!AC352*I352+DT!AD352*J352+DT!AE352*K352+DT!AF352*L352+DT!AG352*M352+DT!AH352*N352,"")</f>
        <v/>
      </c>
      <c r="P352" s="15"/>
    </row>
    <row r="353" spans="1:16">
      <c r="A353" s="1"/>
      <c r="B353" s="1"/>
      <c r="C353" s="1"/>
      <c r="D353" s="1"/>
      <c r="E353" s="1"/>
      <c r="F353" s="1"/>
      <c r="G353" s="1">
        <f t="shared" si="44"/>
        <v>0</v>
      </c>
      <c r="I353" s="7" t="str">
        <f t="shared" si="38"/>
        <v/>
      </c>
      <c r="J353" s="7" t="str">
        <f t="shared" si="39"/>
        <v/>
      </c>
      <c r="K353" s="7" t="str">
        <f t="shared" si="40"/>
        <v/>
      </c>
      <c r="L353" s="7" t="str">
        <f t="shared" si="41"/>
        <v/>
      </c>
      <c r="M353" s="7" t="str">
        <f t="shared" si="42"/>
        <v/>
      </c>
      <c r="N353" s="7" t="str">
        <f t="shared" si="43"/>
        <v/>
      </c>
      <c r="O353" s="51" t="str">
        <f>IF(G353&gt;0,DT!AC353*I353+DT!AD353*J353+DT!AE353*K353+DT!AF353*L353+DT!AG353*M353+DT!AH353*N353,"")</f>
        <v/>
      </c>
      <c r="P353" s="15"/>
    </row>
    <row r="354" spans="1:16">
      <c r="A354" s="1"/>
      <c r="B354" s="1"/>
      <c r="C354" s="1"/>
      <c r="D354" s="1"/>
      <c r="E354" s="1"/>
      <c r="F354" s="1"/>
      <c r="G354" s="1">
        <f t="shared" si="44"/>
        <v>0</v>
      </c>
      <c r="I354" s="7" t="str">
        <f t="shared" si="38"/>
        <v/>
      </c>
      <c r="J354" s="7" t="str">
        <f t="shared" si="39"/>
        <v/>
      </c>
      <c r="K354" s="7" t="str">
        <f t="shared" si="40"/>
        <v/>
      </c>
      <c r="L354" s="7" t="str">
        <f t="shared" si="41"/>
        <v/>
      </c>
      <c r="M354" s="7" t="str">
        <f t="shared" si="42"/>
        <v/>
      </c>
      <c r="N354" s="7" t="str">
        <f t="shared" si="43"/>
        <v/>
      </c>
      <c r="O354" s="51" t="str">
        <f>IF(G354&gt;0,DT!AC354*I354+DT!AD354*J354+DT!AE354*K354+DT!AF354*L354+DT!AG354*M354+DT!AH354*N354,"")</f>
        <v/>
      </c>
      <c r="P354" s="15"/>
    </row>
    <row r="355" spans="1:16">
      <c r="A355" s="1"/>
      <c r="B355" s="1"/>
      <c r="C355" s="1"/>
      <c r="D355" s="1"/>
      <c r="E355" s="1"/>
      <c r="F355" s="1"/>
      <c r="G355" s="1">
        <f t="shared" si="44"/>
        <v>0</v>
      </c>
      <c r="I355" s="7" t="str">
        <f t="shared" si="38"/>
        <v/>
      </c>
      <c r="J355" s="7" t="str">
        <f t="shared" si="39"/>
        <v/>
      </c>
      <c r="K355" s="7" t="str">
        <f t="shared" si="40"/>
        <v/>
      </c>
      <c r="L355" s="7" t="str">
        <f t="shared" si="41"/>
        <v/>
      </c>
      <c r="M355" s="7" t="str">
        <f t="shared" si="42"/>
        <v/>
      </c>
      <c r="N355" s="7" t="str">
        <f t="shared" si="43"/>
        <v/>
      </c>
      <c r="O355" s="51" t="str">
        <f>IF(G355&gt;0,DT!AC355*I355+DT!AD355*J355+DT!AE355*K355+DT!AF355*L355+DT!AG355*M355+DT!AH355*N355,"")</f>
        <v/>
      </c>
      <c r="P355" s="15"/>
    </row>
    <row r="356" spans="1:16">
      <c r="A356" s="1"/>
      <c r="B356" s="1"/>
      <c r="C356" s="1"/>
      <c r="D356" s="1"/>
      <c r="E356" s="1"/>
      <c r="F356" s="1"/>
      <c r="G356" s="1">
        <f t="shared" si="44"/>
        <v>0</v>
      </c>
      <c r="I356" s="7" t="str">
        <f t="shared" si="38"/>
        <v/>
      </c>
      <c r="J356" s="7" t="str">
        <f t="shared" si="39"/>
        <v/>
      </c>
      <c r="K356" s="7" t="str">
        <f t="shared" si="40"/>
        <v/>
      </c>
      <c r="L356" s="7" t="str">
        <f t="shared" si="41"/>
        <v/>
      </c>
      <c r="M356" s="7" t="str">
        <f t="shared" si="42"/>
        <v/>
      </c>
      <c r="N356" s="7" t="str">
        <f t="shared" si="43"/>
        <v/>
      </c>
      <c r="O356" s="51" t="str">
        <f>IF(G356&gt;0,DT!AC356*I356+DT!AD356*J356+DT!AE356*K356+DT!AF356*L356+DT!AG356*M356+DT!AH356*N356,"")</f>
        <v/>
      </c>
      <c r="P356" s="15"/>
    </row>
    <row r="357" spans="1:16">
      <c r="A357" s="1"/>
      <c r="B357" s="1"/>
      <c r="C357" s="1"/>
      <c r="D357" s="1"/>
      <c r="E357" s="1"/>
      <c r="F357" s="1"/>
      <c r="G357" s="1">
        <f t="shared" si="44"/>
        <v>0</v>
      </c>
      <c r="I357" s="7" t="str">
        <f t="shared" si="38"/>
        <v/>
      </c>
      <c r="J357" s="7" t="str">
        <f t="shared" si="39"/>
        <v/>
      </c>
      <c r="K357" s="7" t="str">
        <f t="shared" si="40"/>
        <v/>
      </c>
      <c r="L357" s="7" t="str">
        <f t="shared" si="41"/>
        <v/>
      </c>
      <c r="M357" s="7" t="str">
        <f t="shared" si="42"/>
        <v/>
      </c>
      <c r="N357" s="7" t="str">
        <f t="shared" si="43"/>
        <v/>
      </c>
      <c r="O357" s="51" t="str">
        <f>IF(G357&gt;0,DT!AC357*I357+DT!AD357*J357+DT!AE357*K357+DT!AF357*L357+DT!AG357*M357+DT!AH357*N357,"")</f>
        <v/>
      </c>
      <c r="P357" s="15"/>
    </row>
    <row r="358" spans="1:16">
      <c r="A358" s="1"/>
      <c r="B358" s="1"/>
      <c r="C358" s="1"/>
      <c r="D358" s="1"/>
      <c r="E358" s="1"/>
      <c r="F358" s="1"/>
      <c r="G358" s="1">
        <f t="shared" si="44"/>
        <v>0</v>
      </c>
      <c r="I358" s="7" t="str">
        <f t="shared" si="38"/>
        <v/>
      </c>
      <c r="J358" s="7" t="str">
        <f t="shared" si="39"/>
        <v/>
      </c>
      <c r="K358" s="7" t="str">
        <f t="shared" si="40"/>
        <v/>
      </c>
      <c r="L358" s="7" t="str">
        <f t="shared" si="41"/>
        <v/>
      </c>
      <c r="M358" s="7" t="str">
        <f t="shared" si="42"/>
        <v/>
      </c>
      <c r="N358" s="7" t="str">
        <f t="shared" si="43"/>
        <v/>
      </c>
      <c r="O358" s="51" t="str">
        <f>IF(G358&gt;0,DT!AC358*I358+DT!AD358*J358+DT!AE358*K358+DT!AF358*L358+DT!AG358*M358+DT!AH358*N358,"")</f>
        <v/>
      </c>
      <c r="P358" s="15"/>
    </row>
    <row r="359" spans="1:16">
      <c r="A359" s="1"/>
      <c r="B359" s="1"/>
      <c r="C359" s="1"/>
      <c r="D359" s="1"/>
      <c r="E359" s="1"/>
      <c r="F359" s="1"/>
      <c r="G359" s="1">
        <f t="shared" si="44"/>
        <v>0</v>
      </c>
      <c r="I359" s="7" t="str">
        <f t="shared" si="38"/>
        <v/>
      </c>
      <c r="J359" s="7" t="str">
        <f t="shared" si="39"/>
        <v/>
      </c>
      <c r="K359" s="7" t="str">
        <f t="shared" si="40"/>
        <v/>
      </c>
      <c r="L359" s="7" t="str">
        <f t="shared" si="41"/>
        <v/>
      </c>
      <c r="M359" s="7" t="str">
        <f t="shared" si="42"/>
        <v/>
      </c>
      <c r="N359" s="7" t="str">
        <f t="shared" si="43"/>
        <v/>
      </c>
      <c r="O359" s="51" t="str">
        <f>IF(G359&gt;0,DT!AC359*I359+DT!AD359*J359+DT!AE359*K359+DT!AF359*L359+DT!AG359*M359+DT!AH359*N359,"")</f>
        <v/>
      </c>
      <c r="P359" s="15"/>
    </row>
    <row r="360" spans="1:16">
      <c r="A360" s="1"/>
      <c r="B360" s="1"/>
      <c r="C360" s="1"/>
      <c r="D360" s="1"/>
      <c r="E360" s="1"/>
      <c r="F360" s="1"/>
      <c r="G360" s="1">
        <f t="shared" si="44"/>
        <v>0</v>
      </c>
      <c r="I360" s="7" t="str">
        <f t="shared" si="38"/>
        <v/>
      </c>
      <c r="J360" s="7" t="str">
        <f t="shared" si="39"/>
        <v/>
      </c>
      <c r="K360" s="7" t="str">
        <f t="shared" si="40"/>
        <v/>
      </c>
      <c r="L360" s="7" t="str">
        <f t="shared" si="41"/>
        <v/>
      </c>
      <c r="M360" s="7" t="str">
        <f t="shared" si="42"/>
        <v/>
      </c>
      <c r="N360" s="7" t="str">
        <f t="shared" si="43"/>
        <v/>
      </c>
      <c r="O360" s="51" t="str">
        <f>IF(G360&gt;0,DT!AC360*I360+DT!AD360*J360+DT!AE360*K360+DT!AF360*L360+DT!AG360*M360+DT!AH360*N360,"")</f>
        <v/>
      </c>
      <c r="P360" s="15"/>
    </row>
    <row r="361" spans="1:16">
      <c r="A361" s="1"/>
      <c r="B361" s="1"/>
      <c r="C361" s="1"/>
      <c r="D361" s="1"/>
      <c r="E361" s="1"/>
      <c r="F361" s="1"/>
      <c r="G361" s="1">
        <f t="shared" si="44"/>
        <v>0</v>
      </c>
      <c r="I361" s="7" t="str">
        <f t="shared" si="38"/>
        <v/>
      </c>
      <c r="J361" s="7" t="str">
        <f t="shared" si="39"/>
        <v/>
      </c>
      <c r="K361" s="7" t="str">
        <f t="shared" si="40"/>
        <v/>
      </c>
      <c r="L361" s="7" t="str">
        <f t="shared" si="41"/>
        <v/>
      </c>
      <c r="M361" s="7" t="str">
        <f t="shared" si="42"/>
        <v/>
      </c>
      <c r="N361" s="7" t="str">
        <f t="shared" si="43"/>
        <v/>
      </c>
      <c r="O361" s="51" t="str">
        <f>IF(G361&gt;0,DT!AC361*I361+DT!AD361*J361+DT!AE361*K361+DT!AF361*L361+DT!AG361*M361+DT!AH361*N361,"")</f>
        <v/>
      </c>
      <c r="P361" s="15"/>
    </row>
    <row r="362" spans="1:16">
      <c r="A362" s="1"/>
      <c r="B362" s="1"/>
      <c r="C362" s="1"/>
      <c r="D362" s="1"/>
      <c r="E362" s="1"/>
      <c r="F362" s="1"/>
      <c r="G362" s="1">
        <f t="shared" si="44"/>
        <v>0</v>
      </c>
      <c r="I362" s="7" t="str">
        <f t="shared" si="38"/>
        <v/>
      </c>
      <c r="J362" s="7" t="str">
        <f t="shared" si="39"/>
        <v/>
      </c>
      <c r="K362" s="7" t="str">
        <f t="shared" si="40"/>
        <v/>
      </c>
      <c r="L362" s="7" t="str">
        <f t="shared" si="41"/>
        <v/>
      </c>
      <c r="M362" s="7" t="str">
        <f t="shared" si="42"/>
        <v/>
      </c>
      <c r="N362" s="7" t="str">
        <f t="shared" si="43"/>
        <v/>
      </c>
      <c r="O362" s="51" t="str">
        <f>IF(G362&gt;0,DT!AC362*I362+DT!AD362*J362+DT!AE362*K362+DT!AF362*L362+DT!AG362*M362+DT!AH362*N362,"")</f>
        <v/>
      </c>
      <c r="P362" s="15"/>
    </row>
    <row r="363" spans="1:16">
      <c r="A363" s="1"/>
      <c r="B363" s="1"/>
      <c r="C363" s="1"/>
      <c r="D363" s="1"/>
      <c r="E363" s="1"/>
      <c r="F363" s="1"/>
      <c r="G363" s="1">
        <f t="shared" si="44"/>
        <v>0</v>
      </c>
      <c r="I363" s="7" t="str">
        <f t="shared" si="38"/>
        <v/>
      </c>
      <c r="J363" s="7" t="str">
        <f t="shared" si="39"/>
        <v/>
      </c>
      <c r="K363" s="7" t="str">
        <f t="shared" si="40"/>
        <v/>
      </c>
      <c r="L363" s="7" t="str">
        <f t="shared" si="41"/>
        <v/>
      </c>
      <c r="M363" s="7" t="str">
        <f t="shared" si="42"/>
        <v/>
      </c>
      <c r="N363" s="7" t="str">
        <f t="shared" si="43"/>
        <v/>
      </c>
      <c r="O363" s="51" t="str">
        <f>IF(G363&gt;0,DT!AC363*I363+DT!AD363*J363+DT!AE363*K363+DT!AF363*L363+DT!AG363*M363+DT!AH363*N363,"")</f>
        <v/>
      </c>
      <c r="P363" s="15"/>
    </row>
    <row r="364" spans="1:16">
      <c r="A364" s="1"/>
      <c r="B364" s="1"/>
      <c r="C364" s="1"/>
      <c r="D364" s="1"/>
      <c r="E364" s="1"/>
      <c r="F364" s="1"/>
      <c r="G364" s="1">
        <f t="shared" si="44"/>
        <v>0</v>
      </c>
      <c r="I364" s="7" t="str">
        <f t="shared" si="38"/>
        <v/>
      </c>
      <c r="J364" s="7" t="str">
        <f t="shared" si="39"/>
        <v/>
      </c>
      <c r="K364" s="7" t="str">
        <f t="shared" si="40"/>
        <v/>
      </c>
      <c r="L364" s="7" t="str">
        <f t="shared" si="41"/>
        <v/>
      </c>
      <c r="M364" s="7" t="str">
        <f t="shared" si="42"/>
        <v/>
      </c>
      <c r="N364" s="7" t="str">
        <f t="shared" si="43"/>
        <v/>
      </c>
      <c r="O364" s="51" t="str">
        <f>IF(G364&gt;0,DT!AC364*I364+DT!AD364*J364+DT!AE364*K364+DT!AF364*L364+DT!AG364*M364+DT!AH364*N364,"")</f>
        <v/>
      </c>
      <c r="P364" s="15"/>
    </row>
    <row r="365" spans="1:16">
      <c r="A365" s="1"/>
      <c r="B365" s="1"/>
      <c r="C365" s="1"/>
      <c r="D365" s="1"/>
      <c r="E365" s="1"/>
      <c r="F365" s="1"/>
      <c r="G365" s="1">
        <f t="shared" si="44"/>
        <v>0</v>
      </c>
      <c r="I365" s="7" t="str">
        <f t="shared" si="38"/>
        <v/>
      </c>
      <c r="J365" s="7" t="str">
        <f t="shared" si="39"/>
        <v/>
      </c>
      <c r="K365" s="7" t="str">
        <f t="shared" si="40"/>
        <v/>
      </c>
      <c r="L365" s="7" t="str">
        <f t="shared" si="41"/>
        <v/>
      </c>
      <c r="M365" s="7" t="str">
        <f t="shared" si="42"/>
        <v/>
      </c>
      <c r="N365" s="7" t="str">
        <f t="shared" si="43"/>
        <v/>
      </c>
      <c r="O365" s="51" t="str">
        <f>IF(G365&gt;0,DT!AC365*I365+DT!AD365*J365+DT!AE365*K365+DT!AF365*L365+DT!AG365*M365+DT!AH365*N365,"")</f>
        <v/>
      </c>
      <c r="P365" s="15"/>
    </row>
    <row r="366" spans="1:16">
      <c r="A366" s="1"/>
      <c r="B366" s="1"/>
      <c r="C366" s="1"/>
      <c r="D366" s="1"/>
      <c r="E366" s="1"/>
      <c r="F366" s="1"/>
      <c r="G366" s="1">
        <f t="shared" si="44"/>
        <v>0</v>
      </c>
      <c r="I366" s="7" t="str">
        <f t="shared" si="38"/>
        <v/>
      </c>
      <c r="J366" s="7" t="str">
        <f t="shared" si="39"/>
        <v/>
      </c>
      <c r="K366" s="7" t="str">
        <f t="shared" si="40"/>
        <v/>
      </c>
      <c r="L366" s="7" t="str">
        <f t="shared" si="41"/>
        <v/>
      </c>
      <c r="M366" s="7" t="str">
        <f t="shared" si="42"/>
        <v/>
      </c>
      <c r="N366" s="7" t="str">
        <f t="shared" si="43"/>
        <v/>
      </c>
      <c r="O366" s="51" t="str">
        <f>IF(G366&gt;0,DT!AC366*I366+DT!AD366*J366+DT!AE366*K366+DT!AF366*L366+DT!AG366*M366+DT!AH366*N366,"")</f>
        <v/>
      </c>
      <c r="P366" s="15"/>
    </row>
    <row r="367" spans="1:16">
      <c r="A367" s="1"/>
      <c r="B367" s="1"/>
      <c r="C367" s="1"/>
      <c r="D367" s="1"/>
      <c r="E367" s="1"/>
      <c r="F367" s="1"/>
      <c r="G367" s="1">
        <f t="shared" si="44"/>
        <v>0</v>
      </c>
      <c r="I367" s="7" t="str">
        <f t="shared" si="38"/>
        <v/>
      </c>
      <c r="J367" s="7" t="str">
        <f t="shared" si="39"/>
        <v/>
      </c>
      <c r="K367" s="7" t="str">
        <f t="shared" si="40"/>
        <v/>
      </c>
      <c r="L367" s="7" t="str">
        <f t="shared" si="41"/>
        <v/>
      </c>
      <c r="M367" s="7" t="str">
        <f t="shared" si="42"/>
        <v/>
      </c>
      <c r="N367" s="7" t="str">
        <f t="shared" si="43"/>
        <v/>
      </c>
      <c r="O367" s="51" t="str">
        <f>IF(G367&gt;0,DT!AC367*I367+DT!AD367*J367+DT!AE367*K367+DT!AF367*L367+DT!AG367*M367+DT!AH367*N367,"")</f>
        <v/>
      </c>
      <c r="P367" s="15"/>
    </row>
    <row r="368" spans="1:16">
      <c r="A368" s="1"/>
      <c r="B368" s="1"/>
      <c r="C368" s="1"/>
      <c r="D368" s="1"/>
      <c r="E368" s="1"/>
      <c r="F368" s="1"/>
      <c r="G368" s="1">
        <f t="shared" si="44"/>
        <v>0</v>
      </c>
      <c r="I368" s="7" t="str">
        <f t="shared" si="38"/>
        <v/>
      </c>
      <c r="J368" s="7" t="str">
        <f t="shared" si="39"/>
        <v/>
      </c>
      <c r="K368" s="7" t="str">
        <f t="shared" si="40"/>
        <v/>
      </c>
      <c r="L368" s="7" t="str">
        <f t="shared" si="41"/>
        <v/>
      </c>
      <c r="M368" s="7" t="str">
        <f t="shared" si="42"/>
        <v/>
      </c>
      <c r="N368" s="7" t="str">
        <f t="shared" si="43"/>
        <v/>
      </c>
      <c r="O368" s="51" t="str">
        <f>IF(G368&gt;0,DT!AC368*I368+DT!AD368*J368+DT!AE368*K368+DT!AF368*L368+DT!AG368*M368+DT!AH368*N368,"")</f>
        <v/>
      </c>
      <c r="P368" s="15"/>
    </row>
    <row r="369" spans="1:16">
      <c r="A369" s="1"/>
      <c r="B369" s="1"/>
      <c r="C369" s="1"/>
      <c r="D369" s="1"/>
      <c r="E369" s="1"/>
      <c r="F369" s="1"/>
      <c r="G369" s="1">
        <f t="shared" si="44"/>
        <v>0</v>
      </c>
      <c r="I369" s="7" t="str">
        <f t="shared" si="38"/>
        <v/>
      </c>
      <c r="J369" s="7" t="str">
        <f t="shared" si="39"/>
        <v/>
      </c>
      <c r="K369" s="7" t="str">
        <f t="shared" si="40"/>
        <v/>
      </c>
      <c r="L369" s="7" t="str">
        <f t="shared" si="41"/>
        <v/>
      </c>
      <c r="M369" s="7" t="str">
        <f t="shared" si="42"/>
        <v/>
      </c>
      <c r="N369" s="7" t="str">
        <f t="shared" si="43"/>
        <v/>
      </c>
      <c r="O369" s="51" t="str">
        <f>IF(G369&gt;0,DT!AC369*I369+DT!AD369*J369+DT!AE369*K369+DT!AF369*L369+DT!AG369*M369+DT!AH369*N369,"")</f>
        <v/>
      </c>
      <c r="P369" s="15"/>
    </row>
    <row r="370" spans="1:16">
      <c r="A370" s="1"/>
      <c r="B370" s="1"/>
      <c r="C370" s="1"/>
      <c r="D370" s="1"/>
      <c r="E370" s="1"/>
      <c r="F370" s="1"/>
      <c r="G370" s="1">
        <f t="shared" si="44"/>
        <v>0</v>
      </c>
      <c r="I370" s="7" t="str">
        <f t="shared" si="38"/>
        <v/>
      </c>
      <c r="J370" s="7" t="str">
        <f t="shared" si="39"/>
        <v/>
      </c>
      <c r="K370" s="7" t="str">
        <f t="shared" si="40"/>
        <v/>
      </c>
      <c r="L370" s="7" t="str">
        <f t="shared" si="41"/>
        <v/>
      </c>
      <c r="M370" s="7" t="str">
        <f t="shared" si="42"/>
        <v/>
      </c>
      <c r="N370" s="7" t="str">
        <f t="shared" si="43"/>
        <v/>
      </c>
      <c r="O370" s="51" t="str">
        <f>IF(G370&gt;0,DT!AC370*I370+DT!AD370*J370+DT!AE370*K370+DT!AF370*L370+DT!AG370*M370+DT!AH370*N370,"")</f>
        <v/>
      </c>
      <c r="P370" s="15"/>
    </row>
    <row r="371" spans="1:16">
      <c r="A371" s="1"/>
      <c r="B371" s="1"/>
      <c r="C371" s="1"/>
      <c r="D371" s="1"/>
      <c r="E371" s="1"/>
      <c r="F371" s="1"/>
      <c r="G371" s="1">
        <f t="shared" si="44"/>
        <v>0</v>
      </c>
      <c r="I371" s="7" t="str">
        <f t="shared" si="38"/>
        <v/>
      </c>
      <c r="J371" s="7" t="str">
        <f t="shared" si="39"/>
        <v/>
      </c>
      <c r="K371" s="7" t="str">
        <f t="shared" si="40"/>
        <v/>
      </c>
      <c r="L371" s="7" t="str">
        <f t="shared" si="41"/>
        <v/>
      </c>
      <c r="M371" s="7" t="str">
        <f t="shared" si="42"/>
        <v/>
      </c>
      <c r="N371" s="7" t="str">
        <f t="shared" si="43"/>
        <v/>
      </c>
      <c r="O371" s="51" t="str">
        <f>IF(G371&gt;0,DT!AC371*I371+DT!AD371*J371+DT!AE371*K371+DT!AF371*L371+DT!AG371*M371+DT!AH371*N371,"")</f>
        <v/>
      </c>
      <c r="P371" s="15"/>
    </row>
    <row r="372" spans="1:16">
      <c r="A372" s="1"/>
      <c r="B372" s="1"/>
      <c r="C372" s="1"/>
      <c r="D372" s="1"/>
      <c r="E372" s="1"/>
      <c r="F372" s="1"/>
      <c r="G372" s="1">
        <f t="shared" si="44"/>
        <v>0</v>
      </c>
      <c r="I372" s="7" t="str">
        <f t="shared" ref="I372:I435" si="45">IF(G372&gt;0,A372/G372,"")</f>
        <v/>
      </c>
      <c r="J372" s="7" t="str">
        <f t="shared" ref="J372:J435" si="46">IF(G372&gt;0,B372/G372,"")</f>
        <v/>
      </c>
      <c r="K372" s="7" t="str">
        <f t="shared" ref="K372:K435" si="47">IF(G372&gt;0,C372/G372,"")</f>
        <v/>
      </c>
      <c r="L372" s="7" t="str">
        <f t="shared" ref="L372:L435" si="48">IF(G372&gt;0,D372/G372,"")</f>
        <v/>
      </c>
      <c r="M372" s="7" t="str">
        <f t="shared" ref="M372:M435" si="49">IF(G372&gt;0,E372/G372,"")</f>
        <v/>
      </c>
      <c r="N372" s="7" t="str">
        <f t="shared" ref="N372:N435" si="50">IF(G372&gt;0,F372/G372,"")</f>
        <v/>
      </c>
      <c r="O372" s="51" t="str">
        <f>IF(G372&gt;0,DT!AC372*I372+DT!AD372*J372+DT!AE372*K372+DT!AF372*L372+DT!AG372*M372+DT!AH372*N372,"")</f>
        <v/>
      </c>
      <c r="P372" s="15"/>
    </row>
    <row r="373" spans="1:16">
      <c r="A373" s="1"/>
      <c r="B373" s="1"/>
      <c r="C373" s="1"/>
      <c r="D373" s="1"/>
      <c r="E373" s="1"/>
      <c r="F373" s="1"/>
      <c r="G373" s="1">
        <f t="shared" si="44"/>
        <v>0</v>
      </c>
      <c r="I373" s="7" t="str">
        <f t="shared" si="45"/>
        <v/>
      </c>
      <c r="J373" s="7" t="str">
        <f t="shared" si="46"/>
        <v/>
      </c>
      <c r="K373" s="7" t="str">
        <f t="shared" si="47"/>
        <v/>
      </c>
      <c r="L373" s="7" t="str">
        <f t="shared" si="48"/>
        <v/>
      </c>
      <c r="M373" s="7" t="str">
        <f t="shared" si="49"/>
        <v/>
      </c>
      <c r="N373" s="7" t="str">
        <f t="shared" si="50"/>
        <v/>
      </c>
      <c r="O373" s="51" t="str">
        <f>IF(G373&gt;0,DT!AC373*I373+DT!AD373*J373+DT!AE373*K373+DT!AF373*L373+DT!AG373*M373+DT!AH373*N373,"")</f>
        <v/>
      </c>
      <c r="P373" s="15"/>
    </row>
    <row r="374" spans="1:16">
      <c r="A374" s="1"/>
      <c r="B374" s="1"/>
      <c r="C374" s="1"/>
      <c r="D374" s="1"/>
      <c r="E374" s="1"/>
      <c r="F374" s="1"/>
      <c r="G374" s="1">
        <f t="shared" si="44"/>
        <v>0</v>
      </c>
      <c r="I374" s="7" t="str">
        <f t="shared" si="45"/>
        <v/>
      </c>
      <c r="J374" s="7" t="str">
        <f t="shared" si="46"/>
        <v/>
      </c>
      <c r="K374" s="7" t="str">
        <f t="shared" si="47"/>
        <v/>
      </c>
      <c r="L374" s="7" t="str">
        <f t="shared" si="48"/>
        <v/>
      </c>
      <c r="M374" s="7" t="str">
        <f t="shared" si="49"/>
        <v/>
      </c>
      <c r="N374" s="7" t="str">
        <f t="shared" si="50"/>
        <v/>
      </c>
      <c r="O374" s="51" t="str">
        <f>IF(G374&gt;0,DT!AC374*I374+DT!AD374*J374+DT!AE374*K374+DT!AF374*L374+DT!AG374*M374+DT!AH374*N374,"")</f>
        <v/>
      </c>
      <c r="P374" s="15"/>
    </row>
    <row r="375" spans="1:16">
      <c r="A375" s="1"/>
      <c r="B375" s="1"/>
      <c r="C375" s="1"/>
      <c r="D375" s="1"/>
      <c r="E375" s="1"/>
      <c r="F375" s="1"/>
      <c r="G375" s="1">
        <f t="shared" si="44"/>
        <v>0</v>
      </c>
      <c r="I375" s="7" t="str">
        <f t="shared" si="45"/>
        <v/>
      </c>
      <c r="J375" s="7" t="str">
        <f t="shared" si="46"/>
        <v/>
      </c>
      <c r="K375" s="7" t="str">
        <f t="shared" si="47"/>
        <v/>
      </c>
      <c r="L375" s="7" t="str">
        <f t="shared" si="48"/>
        <v/>
      </c>
      <c r="M375" s="7" t="str">
        <f t="shared" si="49"/>
        <v/>
      </c>
      <c r="N375" s="7" t="str">
        <f t="shared" si="50"/>
        <v/>
      </c>
      <c r="O375" s="51" t="str">
        <f>IF(G375&gt;0,DT!AC375*I375+DT!AD375*J375+DT!AE375*K375+DT!AF375*L375+DT!AG375*M375+DT!AH375*N375,"")</f>
        <v/>
      </c>
      <c r="P375" s="15"/>
    </row>
    <row r="376" spans="1:16">
      <c r="A376" s="1"/>
      <c r="B376" s="1"/>
      <c r="C376" s="1"/>
      <c r="D376" s="1"/>
      <c r="E376" s="1"/>
      <c r="F376" s="1"/>
      <c r="G376" s="1">
        <f t="shared" si="44"/>
        <v>0</v>
      </c>
      <c r="I376" s="7" t="str">
        <f t="shared" si="45"/>
        <v/>
      </c>
      <c r="J376" s="7" t="str">
        <f t="shared" si="46"/>
        <v/>
      </c>
      <c r="K376" s="7" t="str">
        <f t="shared" si="47"/>
        <v/>
      </c>
      <c r="L376" s="7" t="str">
        <f t="shared" si="48"/>
        <v/>
      </c>
      <c r="M376" s="7" t="str">
        <f t="shared" si="49"/>
        <v/>
      </c>
      <c r="N376" s="7" t="str">
        <f t="shared" si="50"/>
        <v/>
      </c>
      <c r="O376" s="51" t="str">
        <f>IF(G376&gt;0,DT!AC376*I376+DT!AD376*J376+DT!AE376*K376+DT!AF376*L376+DT!AG376*M376+DT!AH376*N376,"")</f>
        <v/>
      </c>
      <c r="P376" s="15"/>
    </row>
    <row r="377" spans="1:16">
      <c r="A377" s="1"/>
      <c r="B377" s="1"/>
      <c r="C377" s="1"/>
      <c r="D377" s="1"/>
      <c r="E377" s="1"/>
      <c r="F377" s="1"/>
      <c r="G377" s="1">
        <f t="shared" si="44"/>
        <v>0</v>
      </c>
      <c r="I377" s="7" t="str">
        <f t="shared" si="45"/>
        <v/>
      </c>
      <c r="J377" s="7" t="str">
        <f t="shared" si="46"/>
        <v/>
      </c>
      <c r="K377" s="7" t="str">
        <f t="shared" si="47"/>
        <v/>
      </c>
      <c r="L377" s="7" t="str">
        <f t="shared" si="48"/>
        <v/>
      </c>
      <c r="M377" s="7" t="str">
        <f t="shared" si="49"/>
        <v/>
      </c>
      <c r="N377" s="7" t="str">
        <f t="shared" si="50"/>
        <v/>
      </c>
      <c r="O377" s="51" t="str">
        <f>IF(G377&gt;0,DT!AC377*I377+DT!AD377*J377+DT!AE377*K377+DT!AF377*L377+DT!AG377*M377+DT!AH377*N377,"")</f>
        <v/>
      </c>
      <c r="P377" s="15"/>
    </row>
    <row r="378" spans="1:16">
      <c r="A378" s="1"/>
      <c r="B378" s="1"/>
      <c r="C378" s="1"/>
      <c r="D378" s="1"/>
      <c r="E378" s="1"/>
      <c r="F378" s="1"/>
      <c r="G378" s="1">
        <f t="shared" si="44"/>
        <v>0</v>
      </c>
      <c r="I378" s="7" t="str">
        <f t="shared" si="45"/>
        <v/>
      </c>
      <c r="J378" s="7" t="str">
        <f t="shared" si="46"/>
        <v/>
      </c>
      <c r="K378" s="7" t="str">
        <f t="shared" si="47"/>
        <v/>
      </c>
      <c r="L378" s="7" t="str">
        <f t="shared" si="48"/>
        <v/>
      </c>
      <c r="M378" s="7" t="str">
        <f t="shared" si="49"/>
        <v/>
      </c>
      <c r="N378" s="7" t="str">
        <f t="shared" si="50"/>
        <v/>
      </c>
      <c r="O378" s="51" t="str">
        <f>IF(G378&gt;0,DT!AC378*I378+DT!AD378*J378+DT!AE378*K378+DT!AF378*L378+DT!AG378*M378+DT!AH378*N378,"")</f>
        <v/>
      </c>
      <c r="P378" s="15"/>
    </row>
    <row r="379" spans="1:16">
      <c r="A379" s="1"/>
      <c r="B379" s="1"/>
      <c r="C379" s="1"/>
      <c r="D379" s="1"/>
      <c r="E379" s="1"/>
      <c r="F379" s="1"/>
      <c r="G379" s="1">
        <f t="shared" si="44"/>
        <v>0</v>
      </c>
      <c r="I379" s="7" t="str">
        <f t="shared" si="45"/>
        <v/>
      </c>
      <c r="J379" s="7" t="str">
        <f t="shared" si="46"/>
        <v/>
      </c>
      <c r="K379" s="7" t="str">
        <f t="shared" si="47"/>
        <v/>
      </c>
      <c r="L379" s="7" t="str">
        <f t="shared" si="48"/>
        <v/>
      </c>
      <c r="M379" s="7" t="str">
        <f t="shared" si="49"/>
        <v/>
      </c>
      <c r="N379" s="7" t="str">
        <f t="shared" si="50"/>
        <v/>
      </c>
      <c r="O379" s="51" t="str">
        <f>IF(G379&gt;0,DT!AC379*I379+DT!AD379*J379+DT!AE379*K379+DT!AF379*L379+DT!AG379*M379+DT!AH379*N379,"")</f>
        <v/>
      </c>
      <c r="P379" s="15"/>
    </row>
    <row r="380" spans="1:16">
      <c r="A380" s="1"/>
      <c r="B380" s="1"/>
      <c r="C380" s="1"/>
      <c r="D380" s="1"/>
      <c r="E380" s="1"/>
      <c r="F380" s="1"/>
      <c r="G380" s="1">
        <f t="shared" si="44"/>
        <v>0</v>
      </c>
      <c r="I380" s="7" t="str">
        <f t="shared" si="45"/>
        <v/>
      </c>
      <c r="J380" s="7" t="str">
        <f t="shared" si="46"/>
        <v/>
      </c>
      <c r="K380" s="7" t="str">
        <f t="shared" si="47"/>
        <v/>
      </c>
      <c r="L380" s="7" t="str">
        <f t="shared" si="48"/>
        <v/>
      </c>
      <c r="M380" s="7" t="str">
        <f t="shared" si="49"/>
        <v/>
      </c>
      <c r="N380" s="7" t="str">
        <f t="shared" si="50"/>
        <v/>
      </c>
      <c r="O380" s="51" t="str">
        <f>IF(G380&gt;0,DT!AC380*I380+DT!AD380*J380+DT!AE380*K380+DT!AF380*L380+DT!AG380*M380+DT!AH380*N380,"")</f>
        <v/>
      </c>
      <c r="P380" s="15"/>
    </row>
    <row r="381" spans="1:16">
      <c r="A381" s="1"/>
      <c r="B381" s="1"/>
      <c r="C381" s="1"/>
      <c r="D381" s="1"/>
      <c r="E381" s="1"/>
      <c r="F381" s="1"/>
      <c r="G381" s="1">
        <f t="shared" si="44"/>
        <v>0</v>
      </c>
      <c r="I381" s="7" t="str">
        <f t="shared" si="45"/>
        <v/>
      </c>
      <c r="J381" s="7" t="str">
        <f t="shared" si="46"/>
        <v/>
      </c>
      <c r="K381" s="7" t="str">
        <f t="shared" si="47"/>
        <v/>
      </c>
      <c r="L381" s="7" t="str">
        <f t="shared" si="48"/>
        <v/>
      </c>
      <c r="M381" s="7" t="str">
        <f t="shared" si="49"/>
        <v/>
      </c>
      <c r="N381" s="7" t="str">
        <f t="shared" si="50"/>
        <v/>
      </c>
      <c r="O381" s="51" t="str">
        <f>IF(G381&gt;0,DT!AC381*I381+DT!AD381*J381+DT!AE381*K381+DT!AF381*L381+DT!AG381*M381+DT!AH381*N381,"")</f>
        <v/>
      </c>
      <c r="P381" s="15"/>
    </row>
    <row r="382" spans="1:16">
      <c r="A382" s="1"/>
      <c r="B382" s="1"/>
      <c r="C382" s="1"/>
      <c r="D382" s="1"/>
      <c r="E382" s="1"/>
      <c r="F382" s="1"/>
      <c r="G382" s="1">
        <f t="shared" si="44"/>
        <v>0</v>
      </c>
      <c r="I382" s="7" t="str">
        <f t="shared" si="45"/>
        <v/>
      </c>
      <c r="J382" s="7" t="str">
        <f t="shared" si="46"/>
        <v/>
      </c>
      <c r="K382" s="7" t="str">
        <f t="shared" si="47"/>
        <v/>
      </c>
      <c r="L382" s="7" t="str">
        <f t="shared" si="48"/>
        <v/>
      </c>
      <c r="M382" s="7" t="str">
        <f t="shared" si="49"/>
        <v/>
      </c>
      <c r="N382" s="7" t="str">
        <f t="shared" si="50"/>
        <v/>
      </c>
      <c r="O382" s="51" t="str">
        <f>IF(G382&gt;0,DT!AC382*I382+DT!AD382*J382+DT!AE382*K382+DT!AF382*L382+DT!AG382*M382+DT!AH382*N382,"")</f>
        <v/>
      </c>
      <c r="P382" s="15"/>
    </row>
    <row r="383" spans="1:16">
      <c r="A383" s="1"/>
      <c r="B383" s="1"/>
      <c r="C383" s="1"/>
      <c r="D383" s="1"/>
      <c r="E383" s="1"/>
      <c r="F383" s="1"/>
      <c r="G383" s="1">
        <f t="shared" si="44"/>
        <v>0</v>
      </c>
      <c r="I383" s="7" t="str">
        <f t="shared" si="45"/>
        <v/>
      </c>
      <c r="J383" s="7" t="str">
        <f t="shared" si="46"/>
        <v/>
      </c>
      <c r="K383" s="7" t="str">
        <f t="shared" si="47"/>
        <v/>
      </c>
      <c r="L383" s="7" t="str">
        <f t="shared" si="48"/>
        <v/>
      </c>
      <c r="M383" s="7" t="str">
        <f t="shared" si="49"/>
        <v/>
      </c>
      <c r="N383" s="7" t="str">
        <f t="shared" si="50"/>
        <v/>
      </c>
      <c r="O383" s="51" t="str">
        <f>IF(G383&gt;0,DT!AC383*I383+DT!AD383*J383+DT!AE383*K383+DT!AF383*L383+DT!AG383*M383+DT!AH383*N383,"")</f>
        <v/>
      </c>
      <c r="P383" s="15"/>
    </row>
    <row r="384" spans="1:16">
      <c r="A384" s="1"/>
      <c r="B384" s="1"/>
      <c r="C384" s="1"/>
      <c r="D384" s="1"/>
      <c r="E384" s="1"/>
      <c r="F384" s="1"/>
      <c r="G384" s="1">
        <f t="shared" si="44"/>
        <v>0</v>
      </c>
      <c r="I384" s="7" t="str">
        <f t="shared" si="45"/>
        <v/>
      </c>
      <c r="J384" s="7" t="str">
        <f t="shared" si="46"/>
        <v/>
      </c>
      <c r="K384" s="7" t="str">
        <f t="shared" si="47"/>
        <v/>
      </c>
      <c r="L384" s="7" t="str">
        <f t="shared" si="48"/>
        <v/>
      </c>
      <c r="M384" s="7" t="str">
        <f t="shared" si="49"/>
        <v/>
      </c>
      <c r="N384" s="7" t="str">
        <f t="shared" si="50"/>
        <v/>
      </c>
      <c r="O384" s="51" t="str">
        <f>IF(G384&gt;0,DT!AC384*I384+DT!AD384*J384+DT!AE384*K384+DT!AF384*L384+DT!AG384*M384+DT!AH384*N384,"")</f>
        <v/>
      </c>
      <c r="P384" s="15"/>
    </row>
    <row r="385" spans="1:16">
      <c r="A385" s="1"/>
      <c r="B385" s="1"/>
      <c r="C385" s="1"/>
      <c r="D385" s="1"/>
      <c r="E385" s="1"/>
      <c r="F385" s="1"/>
      <c r="G385" s="1">
        <f t="shared" si="44"/>
        <v>0</v>
      </c>
      <c r="I385" s="7" t="str">
        <f t="shared" si="45"/>
        <v/>
      </c>
      <c r="J385" s="7" t="str">
        <f t="shared" si="46"/>
        <v/>
      </c>
      <c r="K385" s="7" t="str">
        <f t="shared" si="47"/>
        <v/>
      </c>
      <c r="L385" s="7" t="str">
        <f t="shared" si="48"/>
        <v/>
      </c>
      <c r="M385" s="7" t="str">
        <f t="shared" si="49"/>
        <v/>
      </c>
      <c r="N385" s="7" t="str">
        <f t="shared" si="50"/>
        <v/>
      </c>
      <c r="O385" s="51" t="str">
        <f>IF(G385&gt;0,DT!AC385*I385+DT!AD385*J385+DT!AE385*K385+DT!AF385*L385+DT!AG385*M385+DT!AH385*N385,"")</f>
        <v/>
      </c>
      <c r="P385" s="15"/>
    </row>
    <row r="386" spans="1:16">
      <c r="A386" s="1"/>
      <c r="B386" s="1"/>
      <c r="C386" s="1"/>
      <c r="D386" s="1"/>
      <c r="E386" s="1"/>
      <c r="F386" s="1"/>
      <c r="G386" s="1">
        <f t="shared" si="44"/>
        <v>0</v>
      </c>
      <c r="I386" s="7" t="str">
        <f t="shared" si="45"/>
        <v/>
      </c>
      <c r="J386" s="7" t="str">
        <f t="shared" si="46"/>
        <v/>
      </c>
      <c r="K386" s="7" t="str">
        <f t="shared" si="47"/>
        <v/>
      </c>
      <c r="L386" s="7" t="str">
        <f t="shared" si="48"/>
        <v/>
      </c>
      <c r="M386" s="7" t="str">
        <f t="shared" si="49"/>
        <v/>
      </c>
      <c r="N386" s="7" t="str">
        <f t="shared" si="50"/>
        <v/>
      </c>
      <c r="O386" s="51" t="str">
        <f>IF(G386&gt;0,DT!AC386*I386+DT!AD386*J386+DT!AE386*K386+DT!AF386*L386+DT!AG386*M386+DT!AH386*N386,"")</f>
        <v/>
      </c>
      <c r="P386" s="15"/>
    </row>
    <row r="387" spans="1:16">
      <c r="A387" s="1"/>
      <c r="B387" s="1"/>
      <c r="C387" s="1"/>
      <c r="D387" s="1"/>
      <c r="E387" s="1"/>
      <c r="F387" s="1"/>
      <c r="G387" s="1">
        <f t="shared" si="44"/>
        <v>0</v>
      </c>
      <c r="I387" s="7" t="str">
        <f t="shared" si="45"/>
        <v/>
      </c>
      <c r="J387" s="7" t="str">
        <f t="shared" si="46"/>
        <v/>
      </c>
      <c r="K387" s="7" t="str">
        <f t="shared" si="47"/>
        <v/>
      </c>
      <c r="L387" s="7" t="str">
        <f t="shared" si="48"/>
        <v/>
      </c>
      <c r="M387" s="7" t="str">
        <f t="shared" si="49"/>
        <v/>
      </c>
      <c r="N387" s="7" t="str">
        <f t="shared" si="50"/>
        <v/>
      </c>
      <c r="O387" s="51" t="str">
        <f>IF(G387&gt;0,DT!AC387*I387+DT!AD387*J387+DT!AE387*K387+DT!AF387*L387+DT!AG387*M387+DT!AH387*N387,"")</f>
        <v/>
      </c>
      <c r="P387" s="15"/>
    </row>
    <row r="388" spans="1:16">
      <c r="A388" s="1"/>
      <c r="B388" s="1"/>
      <c r="C388" s="1"/>
      <c r="D388" s="1"/>
      <c r="E388" s="1"/>
      <c r="F388" s="1"/>
      <c r="G388" s="1">
        <f t="shared" si="44"/>
        <v>0</v>
      </c>
      <c r="I388" s="7" t="str">
        <f t="shared" si="45"/>
        <v/>
      </c>
      <c r="J388" s="7" t="str">
        <f t="shared" si="46"/>
        <v/>
      </c>
      <c r="K388" s="7" t="str">
        <f t="shared" si="47"/>
        <v/>
      </c>
      <c r="L388" s="7" t="str">
        <f t="shared" si="48"/>
        <v/>
      </c>
      <c r="M388" s="7" t="str">
        <f t="shared" si="49"/>
        <v/>
      </c>
      <c r="N388" s="7" t="str">
        <f t="shared" si="50"/>
        <v/>
      </c>
      <c r="O388" s="51" t="str">
        <f>IF(G388&gt;0,DT!AC388*I388+DT!AD388*J388+DT!AE388*K388+DT!AF388*L388+DT!AG388*M388+DT!AH388*N388,"")</f>
        <v/>
      </c>
      <c r="P388" s="15"/>
    </row>
    <row r="389" spans="1:16">
      <c r="A389" s="1"/>
      <c r="B389" s="1"/>
      <c r="C389" s="1"/>
      <c r="D389" s="1"/>
      <c r="E389" s="1"/>
      <c r="F389" s="1"/>
      <c r="G389" s="1">
        <f t="shared" ref="G389:G452" si="51">SUM(A389:F389)</f>
        <v>0</v>
      </c>
      <c r="I389" s="7" t="str">
        <f t="shared" si="45"/>
        <v/>
      </c>
      <c r="J389" s="7" t="str">
        <f t="shared" si="46"/>
        <v/>
      </c>
      <c r="K389" s="7" t="str">
        <f t="shared" si="47"/>
        <v/>
      </c>
      <c r="L389" s="7" t="str">
        <f t="shared" si="48"/>
        <v/>
      </c>
      <c r="M389" s="7" t="str">
        <f t="shared" si="49"/>
        <v/>
      </c>
      <c r="N389" s="7" t="str">
        <f t="shared" si="50"/>
        <v/>
      </c>
      <c r="O389" s="51" t="str">
        <f>IF(G389&gt;0,DT!AC389*I389+DT!AD389*J389+DT!AE389*K389+DT!AF389*L389+DT!AG389*M389+DT!AH389*N389,"")</f>
        <v/>
      </c>
      <c r="P389" s="15"/>
    </row>
    <row r="390" spans="1:16">
      <c r="A390" s="1"/>
      <c r="B390" s="1"/>
      <c r="C390" s="1"/>
      <c r="D390" s="1"/>
      <c r="E390" s="1"/>
      <c r="F390" s="1"/>
      <c r="G390" s="1">
        <f t="shared" si="51"/>
        <v>0</v>
      </c>
      <c r="I390" s="7" t="str">
        <f t="shared" si="45"/>
        <v/>
      </c>
      <c r="J390" s="7" t="str">
        <f t="shared" si="46"/>
        <v/>
      </c>
      <c r="K390" s="7" t="str">
        <f t="shared" si="47"/>
        <v/>
      </c>
      <c r="L390" s="7" t="str">
        <f t="shared" si="48"/>
        <v/>
      </c>
      <c r="M390" s="7" t="str">
        <f t="shared" si="49"/>
        <v/>
      </c>
      <c r="N390" s="7" t="str">
        <f t="shared" si="50"/>
        <v/>
      </c>
      <c r="O390" s="51" t="str">
        <f>IF(G390&gt;0,DT!AC390*I390+DT!AD390*J390+DT!AE390*K390+DT!AF390*L390+DT!AG390*M390+DT!AH390*N390,"")</f>
        <v/>
      </c>
      <c r="P390" s="15"/>
    </row>
    <row r="391" spans="1:16">
      <c r="A391" s="1"/>
      <c r="B391" s="1"/>
      <c r="C391" s="1"/>
      <c r="D391" s="1"/>
      <c r="E391" s="1"/>
      <c r="F391" s="1"/>
      <c r="G391" s="1">
        <f t="shared" si="51"/>
        <v>0</v>
      </c>
      <c r="I391" s="7" t="str">
        <f t="shared" si="45"/>
        <v/>
      </c>
      <c r="J391" s="7" t="str">
        <f t="shared" si="46"/>
        <v/>
      </c>
      <c r="K391" s="7" t="str">
        <f t="shared" si="47"/>
        <v/>
      </c>
      <c r="L391" s="7" t="str">
        <f t="shared" si="48"/>
        <v/>
      </c>
      <c r="M391" s="7" t="str">
        <f t="shared" si="49"/>
        <v/>
      </c>
      <c r="N391" s="7" t="str">
        <f t="shared" si="50"/>
        <v/>
      </c>
      <c r="O391" s="51" t="str">
        <f>IF(G391&gt;0,DT!AC391*I391+DT!AD391*J391+DT!AE391*K391+DT!AF391*L391+DT!AG391*M391+DT!AH391*N391,"")</f>
        <v/>
      </c>
      <c r="P391" s="15"/>
    </row>
    <row r="392" spans="1:16">
      <c r="A392" s="1"/>
      <c r="B392" s="1"/>
      <c r="C392" s="1"/>
      <c r="D392" s="1"/>
      <c r="E392" s="1"/>
      <c r="F392" s="1"/>
      <c r="G392" s="1">
        <f t="shared" si="51"/>
        <v>0</v>
      </c>
      <c r="I392" s="7" t="str">
        <f t="shared" si="45"/>
        <v/>
      </c>
      <c r="J392" s="7" t="str">
        <f t="shared" si="46"/>
        <v/>
      </c>
      <c r="K392" s="7" t="str">
        <f t="shared" si="47"/>
        <v/>
      </c>
      <c r="L392" s="7" t="str">
        <f t="shared" si="48"/>
        <v/>
      </c>
      <c r="M392" s="7" t="str">
        <f t="shared" si="49"/>
        <v/>
      </c>
      <c r="N392" s="7" t="str">
        <f t="shared" si="50"/>
        <v/>
      </c>
      <c r="O392" s="51" t="str">
        <f>IF(G392&gt;0,DT!AC392*I392+DT!AD392*J392+DT!AE392*K392+DT!AF392*L392+DT!AG392*M392+DT!AH392*N392,"")</f>
        <v/>
      </c>
      <c r="P392" s="15"/>
    </row>
    <row r="393" spans="1:16">
      <c r="A393" s="1"/>
      <c r="B393" s="1"/>
      <c r="C393" s="1"/>
      <c r="D393" s="1"/>
      <c r="E393" s="1"/>
      <c r="F393" s="1"/>
      <c r="G393" s="1">
        <f t="shared" si="51"/>
        <v>0</v>
      </c>
      <c r="I393" s="7" t="str">
        <f t="shared" si="45"/>
        <v/>
      </c>
      <c r="J393" s="7" t="str">
        <f t="shared" si="46"/>
        <v/>
      </c>
      <c r="K393" s="7" t="str">
        <f t="shared" si="47"/>
        <v/>
      </c>
      <c r="L393" s="7" t="str">
        <f t="shared" si="48"/>
        <v/>
      </c>
      <c r="M393" s="7" t="str">
        <f t="shared" si="49"/>
        <v/>
      </c>
      <c r="N393" s="7" t="str">
        <f t="shared" si="50"/>
        <v/>
      </c>
      <c r="O393" s="51" t="str">
        <f>IF(G393&gt;0,DT!AC393*I393+DT!AD393*J393+DT!AE393*K393+DT!AF393*L393+DT!AG393*M393+DT!AH393*N393,"")</f>
        <v/>
      </c>
      <c r="P393" s="15"/>
    </row>
    <row r="394" spans="1:16">
      <c r="A394" s="1"/>
      <c r="B394" s="1"/>
      <c r="C394" s="1"/>
      <c r="D394" s="1"/>
      <c r="E394" s="1"/>
      <c r="F394" s="1"/>
      <c r="G394" s="1">
        <f t="shared" si="51"/>
        <v>0</v>
      </c>
      <c r="I394" s="7" t="str">
        <f t="shared" si="45"/>
        <v/>
      </c>
      <c r="J394" s="7" t="str">
        <f t="shared" si="46"/>
        <v/>
      </c>
      <c r="K394" s="7" t="str">
        <f t="shared" si="47"/>
        <v/>
      </c>
      <c r="L394" s="7" t="str">
        <f t="shared" si="48"/>
        <v/>
      </c>
      <c r="M394" s="7" t="str">
        <f t="shared" si="49"/>
        <v/>
      </c>
      <c r="N394" s="7" t="str">
        <f t="shared" si="50"/>
        <v/>
      </c>
      <c r="O394" s="51" t="str">
        <f>IF(G394&gt;0,DT!AC394*I394+DT!AD394*J394+DT!AE394*K394+DT!AF394*L394+DT!AG394*M394+DT!AH394*N394,"")</f>
        <v/>
      </c>
      <c r="P394" s="15"/>
    </row>
    <row r="395" spans="1:16">
      <c r="A395" s="1"/>
      <c r="B395" s="1"/>
      <c r="C395" s="1"/>
      <c r="D395" s="1"/>
      <c r="E395" s="1"/>
      <c r="F395" s="1"/>
      <c r="G395" s="1">
        <f t="shared" si="51"/>
        <v>0</v>
      </c>
      <c r="I395" s="7" t="str">
        <f t="shared" si="45"/>
        <v/>
      </c>
      <c r="J395" s="7" t="str">
        <f t="shared" si="46"/>
        <v/>
      </c>
      <c r="K395" s="7" t="str">
        <f t="shared" si="47"/>
        <v/>
      </c>
      <c r="L395" s="7" t="str">
        <f t="shared" si="48"/>
        <v/>
      </c>
      <c r="M395" s="7" t="str">
        <f t="shared" si="49"/>
        <v/>
      </c>
      <c r="N395" s="7" t="str">
        <f t="shared" si="50"/>
        <v/>
      </c>
      <c r="O395" s="51" t="str">
        <f>IF(G395&gt;0,DT!AC395*I395+DT!AD395*J395+DT!AE395*K395+DT!AF395*L395+DT!AG395*M395+DT!AH395*N395,"")</f>
        <v/>
      </c>
      <c r="P395" s="15"/>
    </row>
    <row r="396" spans="1:16">
      <c r="A396" s="1"/>
      <c r="B396" s="1"/>
      <c r="C396" s="1"/>
      <c r="D396" s="1"/>
      <c r="E396" s="1"/>
      <c r="F396" s="1"/>
      <c r="G396" s="1">
        <f t="shared" si="51"/>
        <v>0</v>
      </c>
      <c r="I396" s="7" t="str">
        <f t="shared" si="45"/>
        <v/>
      </c>
      <c r="J396" s="7" t="str">
        <f t="shared" si="46"/>
        <v/>
      </c>
      <c r="K396" s="7" t="str">
        <f t="shared" si="47"/>
        <v/>
      </c>
      <c r="L396" s="7" t="str">
        <f t="shared" si="48"/>
        <v/>
      </c>
      <c r="M396" s="7" t="str">
        <f t="shared" si="49"/>
        <v/>
      </c>
      <c r="N396" s="7" t="str">
        <f t="shared" si="50"/>
        <v/>
      </c>
      <c r="O396" s="51" t="str">
        <f>IF(G396&gt;0,DT!AC396*I396+DT!AD396*J396+DT!AE396*K396+DT!AF396*L396+DT!AG396*M396+DT!AH396*N396,"")</f>
        <v/>
      </c>
      <c r="P396" s="15"/>
    </row>
    <row r="397" spans="1:16">
      <c r="A397" s="1"/>
      <c r="B397" s="1"/>
      <c r="C397" s="1"/>
      <c r="D397" s="1"/>
      <c r="E397" s="1"/>
      <c r="F397" s="1"/>
      <c r="G397" s="1">
        <f t="shared" si="51"/>
        <v>0</v>
      </c>
      <c r="I397" s="7" t="str">
        <f t="shared" si="45"/>
        <v/>
      </c>
      <c r="J397" s="7" t="str">
        <f t="shared" si="46"/>
        <v/>
      </c>
      <c r="K397" s="7" t="str">
        <f t="shared" si="47"/>
        <v/>
      </c>
      <c r="L397" s="7" t="str">
        <f t="shared" si="48"/>
        <v/>
      </c>
      <c r="M397" s="7" t="str">
        <f t="shared" si="49"/>
        <v/>
      </c>
      <c r="N397" s="7" t="str">
        <f t="shared" si="50"/>
        <v/>
      </c>
      <c r="O397" s="51" t="str">
        <f>IF(G397&gt;0,DT!AC397*I397+DT!AD397*J397+DT!AE397*K397+DT!AF397*L397+DT!AG397*M397+DT!AH397*N397,"")</f>
        <v/>
      </c>
      <c r="P397" s="15"/>
    </row>
    <row r="398" spans="1:16">
      <c r="A398" s="1"/>
      <c r="B398" s="1"/>
      <c r="C398" s="1"/>
      <c r="D398" s="1"/>
      <c r="E398" s="1"/>
      <c r="F398" s="1"/>
      <c r="G398" s="1">
        <f t="shared" si="51"/>
        <v>0</v>
      </c>
      <c r="I398" s="7" t="str">
        <f t="shared" si="45"/>
        <v/>
      </c>
      <c r="J398" s="7" t="str">
        <f t="shared" si="46"/>
        <v/>
      </c>
      <c r="K398" s="7" t="str">
        <f t="shared" si="47"/>
        <v/>
      </c>
      <c r="L398" s="7" t="str">
        <f t="shared" si="48"/>
        <v/>
      </c>
      <c r="M398" s="7" t="str">
        <f t="shared" si="49"/>
        <v/>
      </c>
      <c r="N398" s="7" t="str">
        <f t="shared" si="50"/>
        <v/>
      </c>
      <c r="O398" s="51" t="str">
        <f>IF(G398&gt;0,DT!AC398*I398+DT!AD398*J398+DT!AE398*K398+DT!AF398*L398+DT!AG398*M398+DT!AH398*N398,"")</f>
        <v/>
      </c>
      <c r="P398" s="15"/>
    </row>
    <row r="399" spans="1:16">
      <c r="A399" s="1"/>
      <c r="B399" s="1"/>
      <c r="C399" s="1"/>
      <c r="D399" s="1"/>
      <c r="E399" s="1"/>
      <c r="F399" s="1"/>
      <c r="G399" s="1">
        <f t="shared" si="51"/>
        <v>0</v>
      </c>
      <c r="I399" s="7" t="str">
        <f t="shared" si="45"/>
        <v/>
      </c>
      <c r="J399" s="7" t="str">
        <f t="shared" si="46"/>
        <v/>
      </c>
      <c r="K399" s="7" t="str">
        <f t="shared" si="47"/>
        <v/>
      </c>
      <c r="L399" s="7" t="str">
        <f t="shared" si="48"/>
        <v/>
      </c>
      <c r="M399" s="7" t="str">
        <f t="shared" si="49"/>
        <v/>
      </c>
      <c r="N399" s="7" t="str">
        <f t="shared" si="50"/>
        <v/>
      </c>
      <c r="O399" s="51" t="str">
        <f>IF(G399&gt;0,DT!AC399*I399+DT!AD399*J399+DT!AE399*K399+DT!AF399*L399+DT!AG399*M399+DT!AH399*N399,"")</f>
        <v/>
      </c>
      <c r="P399" s="15"/>
    </row>
    <row r="400" spans="1:16">
      <c r="A400" s="1"/>
      <c r="B400" s="1"/>
      <c r="C400" s="1"/>
      <c r="D400" s="1"/>
      <c r="E400" s="1"/>
      <c r="F400" s="1"/>
      <c r="G400" s="1">
        <f t="shared" si="51"/>
        <v>0</v>
      </c>
      <c r="I400" s="7" t="str">
        <f t="shared" si="45"/>
        <v/>
      </c>
      <c r="J400" s="7" t="str">
        <f t="shared" si="46"/>
        <v/>
      </c>
      <c r="K400" s="7" t="str">
        <f t="shared" si="47"/>
        <v/>
      </c>
      <c r="L400" s="7" t="str">
        <f t="shared" si="48"/>
        <v/>
      </c>
      <c r="M400" s="7" t="str">
        <f t="shared" si="49"/>
        <v/>
      </c>
      <c r="N400" s="7" t="str">
        <f t="shared" si="50"/>
        <v/>
      </c>
      <c r="O400" s="51" t="str">
        <f>IF(G400&gt;0,DT!AC400*I400+DT!AD400*J400+DT!AE400*K400+DT!AF400*L400+DT!AG400*M400+DT!AH400*N400,"")</f>
        <v/>
      </c>
      <c r="P400" s="15"/>
    </row>
    <row r="401" spans="1:16">
      <c r="A401" s="1"/>
      <c r="B401" s="1"/>
      <c r="C401" s="1"/>
      <c r="D401" s="1"/>
      <c r="E401" s="1"/>
      <c r="F401" s="1"/>
      <c r="G401" s="1">
        <f t="shared" si="51"/>
        <v>0</v>
      </c>
      <c r="I401" s="7" t="str">
        <f t="shared" si="45"/>
        <v/>
      </c>
      <c r="J401" s="7" t="str">
        <f t="shared" si="46"/>
        <v/>
      </c>
      <c r="K401" s="7" t="str">
        <f t="shared" si="47"/>
        <v/>
      </c>
      <c r="L401" s="7" t="str">
        <f t="shared" si="48"/>
        <v/>
      </c>
      <c r="M401" s="7" t="str">
        <f t="shared" si="49"/>
        <v/>
      </c>
      <c r="N401" s="7" t="str">
        <f t="shared" si="50"/>
        <v/>
      </c>
      <c r="O401" s="51" t="str">
        <f>IF(G401&gt;0,DT!AC401*I401+DT!AD401*J401+DT!AE401*K401+DT!AF401*L401+DT!AG401*M401+DT!AH401*N401,"")</f>
        <v/>
      </c>
      <c r="P401" s="15"/>
    </row>
    <row r="402" spans="1:16">
      <c r="A402" s="1"/>
      <c r="B402" s="1"/>
      <c r="C402" s="1"/>
      <c r="D402" s="1"/>
      <c r="E402" s="1"/>
      <c r="F402" s="1"/>
      <c r="G402" s="1">
        <f t="shared" si="51"/>
        <v>0</v>
      </c>
      <c r="I402" s="7" t="str">
        <f t="shared" si="45"/>
        <v/>
      </c>
      <c r="J402" s="7" t="str">
        <f t="shared" si="46"/>
        <v/>
      </c>
      <c r="K402" s="7" t="str">
        <f t="shared" si="47"/>
        <v/>
      </c>
      <c r="L402" s="7" t="str">
        <f t="shared" si="48"/>
        <v/>
      </c>
      <c r="M402" s="7" t="str">
        <f t="shared" si="49"/>
        <v/>
      </c>
      <c r="N402" s="7" t="str">
        <f t="shared" si="50"/>
        <v/>
      </c>
      <c r="O402" s="51" t="str">
        <f>IF(G402&gt;0,DT!AC402*I402+DT!AD402*J402+DT!AE402*K402+DT!AF402*L402+DT!AG402*M402+DT!AH402*N402,"")</f>
        <v/>
      </c>
      <c r="P402" s="15"/>
    </row>
    <row r="403" spans="1:16">
      <c r="A403" s="1"/>
      <c r="B403" s="1"/>
      <c r="C403" s="1"/>
      <c r="D403" s="1"/>
      <c r="E403" s="1"/>
      <c r="F403" s="1"/>
      <c r="G403" s="1">
        <f t="shared" si="51"/>
        <v>0</v>
      </c>
      <c r="I403" s="7" t="str">
        <f t="shared" si="45"/>
        <v/>
      </c>
      <c r="J403" s="7" t="str">
        <f t="shared" si="46"/>
        <v/>
      </c>
      <c r="K403" s="7" t="str">
        <f t="shared" si="47"/>
        <v/>
      </c>
      <c r="L403" s="7" t="str">
        <f t="shared" si="48"/>
        <v/>
      </c>
      <c r="M403" s="7" t="str">
        <f t="shared" si="49"/>
        <v/>
      </c>
      <c r="N403" s="7" t="str">
        <f t="shared" si="50"/>
        <v/>
      </c>
      <c r="O403" s="51" t="str">
        <f>IF(G403&gt;0,DT!AC403*I403+DT!AD403*J403+DT!AE403*K403+DT!AF403*L403+DT!AG403*M403+DT!AH403*N403,"")</f>
        <v/>
      </c>
      <c r="P403" s="15"/>
    </row>
    <row r="404" spans="1:16">
      <c r="A404" s="1"/>
      <c r="B404" s="1"/>
      <c r="C404" s="1"/>
      <c r="D404" s="1"/>
      <c r="E404" s="1"/>
      <c r="F404" s="1"/>
      <c r="G404" s="1">
        <f t="shared" si="51"/>
        <v>0</v>
      </c>
      <c r="I404" s="7" t="str">
        <f t="shared" si="45"/>
        <v/>
      </c>
      <c r="J404" s="7" t="str">
        <f t="shared" si="46"/>
        <v/>
      </c>
      <c r="K404" s="7" t="str">
        <f t="shared" si="47"/>
        <v/>
      </c>
      <c r="L404" s="7" t="str">
        <f t="shared" si="48"/>
        <v/>
      </c>
      <c r="M404" s="7" t="str">
        <f t="shared" si="49"/>
        <v/>
      </c>
      <c r="N404" s="7" t="str">
        <f t="shared" si="50"/>
        <v/>
      </c>
      <c r="O404" s="51" t="str">
        <f>IF(G404&gt;0,DT!AC404*I404+DT!AD404*J404+DT!AE404*K404+DT!AF404*L404+DT!AG404*M404+DT!AH404*N404,"")</f>
        <v/>
      </c>
      <c r="P404" s="15"/>
    </row>
    <row r="405" spans="1:16">
      <c r="A405" s="1"/>
      <c r="B405" s="1"/>
      <c r="C405" s="1"/>
      <c r="D405" s="1"/>
      <c r="E405" s="1"/>
      <c r="F405" s="1"/>
      <c r="G405" s="1">
        <f t="shared" si="51"/>
        <v>0</v>
      </c>
      <c r="I405" s="7" t="str">
        <f t="shared" si="45"/>
        <v/>
      </c>
      <c r="J405" s="7" t="str">
        <f t="shared" si="46"/>
        <v/>
      </c>
      <c r="K405" s="7" t="str">
        <f t="shared" si="47"/>
        <v/>
      </c>
      <c r="L405" s="7" t="str">
        <f t="shared" si="48"/>
        <v/>
      </c>
      <c r="M405" s="7" t="str">
        <f t="shared" si="49"/>
        <v/>
      </c>
      <c r="N405" s="7" t="str">
        <f t="shared" si="50"/>
        <v/>
      </c>
      <c r="O405" s="51" t="str">
        <f>IF(G405&gt;0,DT!AC405*I405+DT!AD405*J405+DT!AE405*K405+DT!AF405*L405+DT!AG405*M405+DT!AH405*N405,"")</f>
        <v/>
      </c>
      <c r="P405" s="15"/>
    </row>
    <row r="406" spans="1:16">
      <c r="A406" s="1"/>
      <c r="B406" s="1"/>
      <c r="C406" s="1"/>
      <c r="D406" s="1"/>
      <c r="E406" s="1"/>
      <c r="F406" s="1"/>
      <c r="G406" s="1">
        <f t="shared" si="51"/>
        <v>0</v>
      </c>
      <c r="I406" s="7" t="str">
        <f t="shared" si="45"/>
        <v/>
      </c>
      <c r="J406" s="7" t="str">
        <f t="shared" si="46"/>
        <v/>
      </c>
      <c r="K406" s="7" t="str">
        <f t="shared" si="47"/>
        <v/>
      </c>
      <c r="L406" s="7" t="str">
        <f t="shared" si="48"/>
        <v/>
      </c>
      <c r="M406" s="7" t="str">
        <f t="shared" si="49"/>
        <v/>
      </c>
      <c r="N406" s="7" t="str">
        <f t="shared" si="50"/>
        <v/>
      </c>
      <c r="O406" s="51" t="str">
        <f>IF(G406&gt;0,DT!AC406*I406+DT!AD406*J406+DT!AE406*K406+DT!AF406*L406+DT!AG406*M406+DT!AH406*N406,"")</f>
        <v/>
      </c>
      <c r="P406" s="15"/>
    </row>
    <row r="407" spans="1:16">
      <c r="A407" s="1"/>
      <c r="B407" s="1"/>
      <c r="C407" s="1"/>
      <c r="D407" s="1"/>
      <c r="E407" s="1"/>
      <c r="F407" s="1"/>
      <c r="G407" s="1">
        <f t="shared" si="51"/>
        <v>0</v>
      </c>
      <c r="I407" s="7" t="str">
        <f t="shared" si="45"/>
        <v/>
      </c>
      <c r="J407" s="7" t="str">
        <f t="shared" si="46"/>
        <v/>
      </c>
      <c r="K407" s="7" t="str">
        <f t="shared" si="47"/>
        <v/>
      </c>
      <c r="L407" s="7" t="str">
        <f t="shared" si="48"/>
        <v/>
      </c>
      <c r="M407" s="7" t="str">
        <f t="shared" si="49"/>
        <v/>
      </c>
      <c r="N407" s="7" t="str">
        <f t="shared" si="50"/>
        <v/>
      </c>
      <c r="O407" s="51" t="str">
        <f>IF(G407&gt;0,DT!AC407*I407+DT!AD407*J407+DT!AE407*K407+DT!AF407*L407+DT!AG407*M407+DT!AH407*N407,"")</f>
        <v/>
      </c>
      <c r="P407" s="15"/>
    </row>
    <row r="408" spans="1:16">
      <c r="A408" s="1"/>
      <c r="B408" s="1"/>
      <c r="C408" s="1"/>
      <c r="D408" s="1"/>
      <c r="E408" s="1"/>
      <c r="F408" s="1"/>
      <c r="G408" s="1">
        <f t="shared" si="51"/>
        <v>0</v>
      </c>
      <c r="I408" s="7" t="str">
        <f t="shared" si="45"/>
        <v/>
      </c>
      <c r="J408" s="7" t="str">
        <f t="shared" si="46"/>
        <v/>
      </c>
      <c r="K408" s="7" t="str">
        <f t="shared" si="47"/>
        <v/>
      </c>
      <c r="L408" s="7" t="str">
        <f t="shared" si="48"/>
        <v/>
      </c>
      <c r="M408" s="7" t="str">
        <f t="shared" si="49"/>
        <v/>
      </c>
      <c r="N408" s="7" t="str">
        <f t="shared" si="50"/>
        <v/>
      </c>
      <c r="O408" s="51" t="str">
        <f>IF(G408&gt;0,DT!AC408*I408+DT!AD408*J408+DT!AE408*K408+DT!AF408*L408+DT!AG408*M408+DT!AH408*N408,"")</f>
        <v/>
      </c>
      <c r="P408" s="15"/>
    </row>
    <row r="409" spans="1:16">
      <c r="A409" s="1"/>
      <c r="B409" s="1"/>
      <c r="C409" s="1"/>
      <c r="D409" s="1"/>
      <c r="E409" s="1"/>
      <c r="F409" s="1"/>
      <c r="G409" s="1">
        <f t="shared" si="51"/>
        <v>0</v>
      </c>
      <c r="I409" s="7" t="str">
        <f t="shared" si="45"/>
        <v/>
      </c>
      <c r="J409" s="7" t="str">
        <f t="shared" si="46"/>
        <v/>
      </c>
      <c r="K409" s="7" t="str">
        <f t="shared" si="47"/>
        <v/>
      </c>
      <c r="L409" s="7" t="str">
        <f t="shared" si="48"/>
        <v/>
      </c>
      <c r="M409" s="7" t="str">
        <f t="shared" si="49"/>
        <v/>
      </c>
      <c r="N409" s="7" t="str">
        <f t="shared" si="50"/>
        <v/>
      </c>
      <c r="O409" s="51" t="str">
        <f>IF(G409&gt;0,DT!AC409*I409+DT!AD409*J409+DT!AE409*K409+DT!AF409*L409+DT!AG409*M409+DT!AH409*N409,"")</f>
        <v/>
      </c>
      <c r="P409" s="15"/>
    </row>
    <row r="410" spans="1:16">
      <c r="A410" s="1"/>
      <c r="B410" s="1"/>
      <c r="C410" s="1"/>
      <c r="D410" s="1"/>
      <c r="E410" s="1"/>
      <c r="F410" s="1"/>
      <c r="G410" s="1">
        <f t="shared" si="51"/>
        <v>0</v>
      </c>
      <c r="I410" s="7" t="str">
        <f t="shared" si="45"/>
        <v/>
      </c>
      <c r="J410" s="7" t="str">
        <f t="shared" si="46"/>
        <v/>
      </c>
      <c r="K410" s="7" t="str">
        <f t="shared" si="47"/>
        <v/>
      </c>
      <c r="L410" s="7" t="str">
        <f t="shared" si="48"/>
        <v/>
      </c>
      <c r="M410" s="7" t="str">
        <f t="shared" si="49"/>
        <v/>
      </c>
      <c r="N410" s="7" t="str">
        <f t="shared" si="50"/>
        <v/>
      </c>
      <c r="O410" s="51" t="str">
        <f>IF(G410&gt;0,DT!AC410*I410+DT!AD410*J410+DT!AE410*K410+DT!AF410*L410+DT!AG410*M410+DT!AH410*N410,"")</f>
        <v/>
      </c>
      <c r="P410" s="15"/>
    </row>
    <row r="411" spans="1:16">
      <c r="A411" s="1"/>
      <c r="B411" s="1"/>
      <c r="C411" s="1"/>
      <c r="D411" s="1"/>
      <c r="E411" s="1"/>
      <c r="F411" s="1"/>
      <c r="G411" s="1">
        <f t="shared" si="51"/>
        <v>0</v>
      </c>
      <c r="I411" s="7" t="str">
        <f t="shared" si="45"/>
        <v/>
      </c>
      <c r="J411" s="7" t="str">
        <f t="shared" si="46"/>
        <v/>
      </c>
      <c r="K411" s="7" t="str">
        <f t="shared" si="47"/>
        <v/>
      </c>
      <c r="L411" s="7" t="str">
        <f t="shared" si="48"/>
        <v/>
      </c>
      <c r="M411" s="7" t="str">
        <f t="shared" si="49"/>
        <v/>
      </c>
      <c r="N411" s="7" t="str">
        <f t="shared" si="50"/>
        <v/>
      </c>
      <c r="O411" s="51" t="str">
        <f>IF(G411&gt;0,DT!AC411*I411+DT!AD411*J411+DT!AE411*K411+DT!AF411*L411+DT!AG411*M411+DT!AH411*N411,"")</f>
        <v/>
      </c>
      <c r="P411" s="15"/>
    </row>
    <row r="412" spans="1:16">
      <c r="A412" s="1"/>
      <c r="B412" s="1"/>
      <c r="C412" s="1"/>
      <c r="D412" s="1"/>
      <c r="E412" s="1"/>
      <c r="F412" s="1"/>
      <c r="G412" s="1">
        <f t="shared" si="51"/>
        <v>0</v>
      </c>
      <c r="I412" s="7" t="str">
        <f t="shared" si="45"/>
        <v/>
      </c>
      <c r="J412" s="7" t="str">
        <f t="shared" si="46"/>
        <v/>
      </c>
      <c r="K412" s="7" t="str">
        <f t="shared" si="47"/>
        <v/>
      </c>
      <c r="L412" s="7" t="str">
        <f t="shared" si="48"/>
        <v/>
      </c>
      <c r="M412" s="7" t="str">
        <f t="shared" si="49"/>
        <v/>
      </c>
      <c r="N412" s="7" t="str">
        <f t="shared" si="50"/>
        <v/>
      </c>
      <c r="O412" s="51" t="str">
        <f>IF(G412&gt;0,DT!AC412*I412+DT!AD412*J412+DT!AE412*K412+DT!AF412*L412+DT!AG412*M412+DT!AH412*N412,"")</f>
        <v/>
      </c>
      <c r="P412" s="15"/>
    </row>
    <row r="413" spans="1:16">
      <c r="A413" s="1"/>
      <c r="B413" s="1"/>
      <c r="C413" s="1"/>
      <c r="D413" s="1"/>
      <c r="E413" s="1"/>
      <c r="F413" s="1"/>
      <c r="G413" s="1">
        <f t="shared" si="51"/>
        <v>0</v>
      </c>
      <c r="I413" s="7" t="str">
        <f t="shared" si="45"/>
        <v/>
      </c>
      <c r="J413" s="7" t="str">
        <f t="shared" si="46"/>
        <v/>
      </c>
      <c r="K413" s="7" t="str">
        <f t="shared" si="47"/>
        <v/>
      </c>
      <c r="L413" s="7" t="str">
        <f t="shared" si="48"/>
        <v/>
      </c>
      <c r="M413" s="7" t="str">
        <f t="shared" si="49"/>
        <v/>
      </c>
      <c r="N413" s="7" t="str">
        <f t="shared" si="50"/>
        <v/>
      </c>
      <c r="O413" s="51" t="str">
        <f>IF(G413&gt;0,DT!AC413*I413+DT!AD413*J413+DT!AE413*K413+DT!AF413*L413+DT!AG413*M413+DT!AH413*N413,"")</f>
        <v/>
      </c>
      <c r="P413" s="15"/>
    </row>
    <row r="414" spans="1:16">
      <c r="A414" s="1"/>
      <c r="B414" s="1"/>
      <c r="C414" s="1"/>
      <c r="D414" s="1"/>
      <c r="E414" s="1"/>
      <c r="F414" s="1"/>
      <c r="G414" s="1">
        <f t="shared" si="51"/>
        <v>0</v>
      </c>
      <c r="I414" s="7" t="str">
        <f t="shared" si="45"/>
        <v/>
      </c>
      <c r="J414" s="7" t="str">
        <f t="shared" si="46"/>
        <v/>
      </c>
      <c r="K414" s="7" t="str">
        <f t="shared" si="47"/>
        <v/>
      </c>
      <c r="L414" s="7" t="str">
        <f t="shared" si="48"/>
        <v/>
      </c>
      <c r="M414" s="7" t="str">
        <f t="shared" si="49"/>
        <v/>
      </c>
      <c r="N414" s="7" t="str">
        <f t="shared" si="50"/>
        <v/>
      </c>
      <c r="O414" s="51" t="str">
        <f>IF(G414&gt;0,DT!AC414*I414+DT!AD414*J414+DT!AE414*K414+DT!AF414*L414+DT!AG414*M414+DT!AH414*N414,"")</f>
        <v/>
      </c>
      <c r="P414" s="15"/>
    </row>
    <row r="415" spans="1:16">
      <c r="A415" s="1"/>
      <c r="B415" s="1"/>
      <c r="C415" s="1"/>
      <c r="D415" s="1"/>
      <c r="E415" s="1"/>
      <c r="F415" s="1"/>
      <c r="G415" s="1">
        <f t="shared" si="51"/>
        <v>0</v>
      </c>
      <c r="I415" s="7" t="str">
        <f t="shared" si="45"/>
        <v/>
      </c>
      <c r="J415" s="7" t="str">
        <f t="shared" si="46"/>
        <v/>
      </c>
      <c r="K415" s="7" t="str">
        <f t="shared" si="47"/>
        <v/>
      </c>
      <c r="L415" s="7" t="str">
        <f t="shared" si="48"/>
        <v/>
      </c>
      <c r="M415" s="7" t="str">
        <f t="shared" si="49"/>
        <v/>
      </c>
      <c r="N415" s="7" t="str">
        <f t="shared" si="50"/>
        <v/>
      </c>
      <c r="O415" s="51" t="str">
        <f>IF(G415&gt;0,DT!AC415*I415+DT!AD415*J415+DT!AE415*K415+DT!AF415*L415+DT!AG415*M415+DT!AH415*N415,"")</f>
        <v/>
      </c>
      <c r="P415" s="15"/>
    </row>
    <row r="416" spans="1:16">
      <c r="A416" s="1"/>
      <c r="B416" s="1"/>
      <c r="C416" s="1"/>
      <c r="D416" s="1"/>
      <c r="E416" s="1"/>
      <c r="F416" s="1"/>
      <c r="G416" s="1">
        <f t="shared" si="51"/>
        <v>0</v>
      </c>
      <c r="I416" s="7" t="str">
        <f t="shared" si="45"/>
        <v/>
      </c>
      <c r="J416" s="7" t="str">
        <f t="shared" si="46"/>
        <v/>
      </c>
      <c r="K416" s="7" t="str">
        <f t="shared" si="47"/>
        <v/>
      </c>
      <c r="L416" s="7" t="str">
        <f t="shared" si="48"/>
        <v/>
      </c>
      <c r="M416" s="7" t="str">
        <f t="shared" si="49"/>
        <v/>
      </c>
      <c r="N416" s="7" t="str">
        <f t="shared" si="50"/>
        <v/>
      </c>
      <c r="O416" s="51" t="str">
        <f>IF(G416&gt;0,DT!AC416*I416+DT!AD416*J416+DT!AE416*K416+DT!AF416*L416+DT!AG416*M416+DT!AH416*N416,"")</f>
        <v/>
      </c>
      <c r="P416" s="15"/>
    </row>
    <row r="417" spans="1:16">
      <c r="A417" s="1"/>
      <c r="B417" s="1"/>
      <c r="C417" s="1"/>
      <c r="D417" s="1"/>
      <c r="E417" s="1"/>
      <c r="F417" s="1"/>
      <c r="G417" s="1">
        <f t="shared" si="51"/>
        <v>0</v>
      </c>
      <c r="I417" s="7" t="str">
        <f t="shared" si="45"/>
        <v/>
      </c>
      <c r="J417" s="7" t="str">
        <f t="shared" si="46"/>
        <v/>
      </c>
      <c r="K417" s="7" t="str">
        <f t="shared" si="47"/>
        <v/>
      </c>
      <c r="L417" s="7" t="str">
        <f t="shared" si="48"/>
        <v/>
      </c>
      <c r="M417" s="7" t="str">
        <f t="shared" si="49"/>
        <v/>
      </c>
      <c r="N417" s="7" t="str">
        <f t="shared" si="50"/>
        <v/>
      </c>
      <c r="O417" s="51" t="str">
        <f>IF(G417&gt;0,DT!AC417*I417+DT!AD417*J417+DT!AE417*K417+DT!AF417*L417+DT!AG417*M417+DT!AH417*N417,"")</f>
        <v/>
      </c>
      <c r="P417" s="15"/>
    </row>
    <row r="418" spans="1:16">
      <c r="A418" s="1"/>
      <c r="B418" s="1"/>
      <c r="C418" s="1"/>
      <c r="D418" s="1"/>
      <c r="E418" s="1"/>
      <c r="F418" s="1"/>
      <c r="G418" s="1">
        <f t="shared" si="51"/>
        <v>0</v>
      </c>
      <c r="I418" s="7" t="str">
        <f t="shared" si="45"/>
        <v/>
      </c>
      <c r="J418" s="7" t="str">
        <f t="shared" si="46"/>
        <v/>
      </c>
      <c r="K418" s="7" t="str">
        <f t="shared" si="47"/>
        <v/>
      </c>
      <c r="L418" s="7" t="str">
        <f t="shared" si="48"/>
        <v/>
      </c>
      <c r="M418" s="7" t="str">
        <f t="shared" si="49"/>
        <v/>
      </c>
      <c r="N418" s="7" t="str">
        <f t="shared" si="50"/>
        <v/>
      </c>
      <c r="O418" s="51" t="str">
        <f>IF(G418&gt;0,DT!AC418*I418+DT!AD418*J418+DT!AE418*K418+DT!AF418*L418+DT!AG418*M418+DT!AH418*N418,"")</f>
        <v/>
      </c>
      <c r="P418" s="15"/>
    </row>
    <row r="419" spans="1:16">
      <c r="A419" s="1"/>
      <c r="B419" s="1"/>
      <c r="C419" s="1"/>
      <c r="D419" s="1"/>
      <c r="E419" s="1"/>
      <c r="F419" s="1"/>
      <c r="G419" s="1">
        <f t="shared" si="51"/>
        <v>0</v>
      </c>
      <c r="I419" s="7" t="str">
        <f t="shared" si="45"/>
        <v/>
      </c>
      <c r="J419" s="7" t="str">
        <f t="shared" si="46"/>
        <v/>
      </c>
      <c r="K419" s="7" t="str">
        <f t="shared" si="47"/>
        <v/>
      </c>
      <c r="L419" s="7" t="str">
        <f t="shared" si="48"/>
        <v/>
      </c>
      <c r="M419" s="7" t="str">
        <f t="shared" si="49"/>
        <v/>
      </c>
      <c r="N419" s="7" t="str">
        <f t="shared" si="50"/>
        <v/>
      </c>
      <c r="O419" s="51" t="str">
        <f>IF(G419&gt;0,DT!AC419*I419+DT!AD419*J419+DT!AE419*K419+DT!AF419*L419+DT!AG419*M419+DT!AH419*N419,"")</f>
        <v/>
      </c>
      <c r="P419" s="15"/>
    </row>
    <row r="420" spans="1:16">
      <c r="A420" s="1"/>
      <c r="B420" s="1"/>
      <c r="C420" s="1"/>
      <c r="D420" s="1"/>
      <c r="E420" s="1"/>
      <c r="F420" s="1"/>
      <c r="G420" s="1">
        <f t="shared" si="51"/>
        <v>0</v>
      </c>
      <c r="I420" s="7" t="str">
        <f t="shared" si="45"/>
        <v/>
      </c>
      <c r="J420" s="7" t="str">
        <f t="shared" si="46"/>
        <v/>
      </c>
      <c r="K420" s="7" t="str">
        <f t="shared" si="47"/>
        <v/>
      </c>
      <c r="L420" s="7" t="str">
        <f t="shared" si="48"/>
        <v/>
      </c>
      <c r="M420" s="7" t="str">
        <f t="shared" si="49"/>
        <v/>
      </c>
      <c r="N420" s="7" t="str">
        <f t="shared" si="50"/>
        <v/>
      </c>
      <c r="O420" s="51" t="str">
        <f>IF(G420&gt;0,DT!AC420*I420+DT!AD420*J420+DT!AE420*K420+DT!AF420*L420+DT!AG420*M420+DT!AH420*N420,"")</f>
        <v/>
      </c>
      <c r="P420" s="15"/>
    </row>
    <row r="421" spans="1:16">
      <c r="A421" s="1"/>
      <c r="B421" s="1"/>
      <c r="C421" s="1"/>
      <c r="D421" s="1"/>
      <c r="E421" s="1"/>
      <c r="F421" s="1"/>
      <c r="G421" s="1">
        <f t="shared" si="51"/>
        <v>0</v>
      </c>
      <c r="I421" s="7" t="str">
        <f t="shared" si="45"/>
        <v/>
      </c>
      <c r="J421" s="7" t="str">
        <f t="shared" si="46"/>
        <v/>
      </c>
      <c r="K421" s="7" t="str">
        <f t="shared" si="47"/>
        <v/>
      </c>
      <c r="L421" s="7" t="str">
        <f t="shared" si="48"/>
        <v/>
      </c>
      <c r="M421" s="7" t="str">
        <f t="shared" si="49"/>
        <v/>
      </c>
      <c r="N421" s="7" t="str">
        <f t="shared" si="50"/>
        <v/>
      </c>
      <c r="O421" s="51" t="str">
        <f>IF(G421&gt;0,DT!AC421*I421+DT!AD421*J421+DT!AE421*K421+DT!AF421*L421+DT!AG421*M421+DT!AH421*N421,"")</f>
        <v/>
      </c>
      <c r="P421" s="15"/>
    </row>
    <row r="422" spans="1:16">
      <c r="A422" s="1"/>
      <c r="B422" s="1"/>
      <c r="C422" s="1"/>
      <c r="D422" s="1"/>
      <c r="E422" s="1"/>
      <c r="F422" s="1"/>
      <c r="G422" s="1">
        <f t="shared" si="51"/>
        <v>0</v>
      </c>
      <c r="I422" s="7" t="str">
        <f t="shared" si="45"/>
        <v/>
      </c>
      <c r="J422" s="7" t="str">
        <f t="shared" si="46"/>
        <v/>
      </c>
      <c r="K422" s="7" t="str">
        <f t="shared" si="47"/>
        <v/>
      </c>
      <c r="L422" s="7" t="str">
        <f t="shared" si="48"/>
        <v/>
      </c>
      <c r="M422" s="7" t="str">
        <f t="shared" si="49"/>
        <v/>
      </c>
      <c r="N422" s="7" t="str">
        <f t="shared" si="50"/>
        <v/>
      </c>
      <c r="O422" s="51" t="str">
        <f>IF(G422&gt;0,DT!AC422*I422+DT!AD422*J422+DT!AE422*K422+DT!AF422*L422+DT!AG422*M422+DT!AH422*N422,"")</f>
        <v/>
      </c>
      <c r="P422" s="15"/>
    </row>
    <row r="423" spans="1:16">
      <c r="A423" s="1"/>
      <c r="B423" s="1"/>
      <c r="C423" s="1"/>
      <c r="D423" s="1"/>
      <c r="E423" s="1"/>
      <c r="F423" s="1"/>
      <c r="G423" s="1">
        <f t="shared" si="51"/>
        <v>0</v>
      </c>
      <c r="I423" s="7" t="str">
        <f t="shared" si="45"/>
        <v/>
      </c>
      <c r="J423" s="7" t="str">
        <f t="shared" si="46"/>
        <v/>
      </c>
      <c r="K423" s="7" t="str">
        <f t="shared" si="47"/>
        <v/>
      </c>
      <c r="L423" s="7" t="str">
        <f t="shared" si="48"/>
        <v/>
      </c>
      <c r="M423" s="7" t="str">
        <f t="shared" si="49"/>
        <v/>
      </c>
      <c r="N423" s="7" t="str">
        <f t="shared" si="50"/>
        <v/>
      </c>
      <c r="O423" s="51" t="str">
        <f>IF(G423&gt;0,DT!AC423*I423+DT!AD423*J423+DT!AE423*K423+DT!AF423*L423+DT!AG423*M423+DT!AH423*N423,"")</f>
        <v/>
      </c>
      <c r="P423" s="15"/>
    </row>
    <row r="424" spans="1:16">
      <c r="A424" s="1"/>
      <c r="B424" s="1"/>
      <c r="C424" s="1"/>
      <c r="D424" s="1"/>
      <c r="E424" s="1"/>
      <c r="F424" s="1"/>
      <c r="G424" s="1">
        <f t="shared" si="51"/>
        <v>0</v>
      </c>
      <c r="I424" s="7" t="str">
        <f t="shared" si="45"/>
        <v/>
      </c>
      <c r="J424" s="7" t="str">
        <f t="shared" si="46"/>
        <v/>
      </c>
      <c r="K424" s="7" t="str">
        <f t="shared" si="47"/>
        <v/>
      </c>
      <c r="L424" s="7" t="str">
        <f t="shared" si="48"/>
        <v/>
      </c>
      <c r="M424" s="7" t="str">
        <f t="shared" si="49"/>
        <v/>
      </c>
      <c r="N424" s="7" t="str">
        <f t="shared" si="50"/>
        <v/>
      </c>
      <c r="O424" s="51" t="str">
        <f>IF(G424&gt;0,DT!AC424*I424+DT!AD424*J424+DT!AE424*K424+DT!AF424*L424+DT!AG424*M424+DT!AH424*N424,"")</f>
        <v/>
      </c>
      <c r="P424" s="15"/>
    </row>
    <row r="425" spans="1:16">
      <c r="A425" s="1"/>
      <c r="B425" s="1"/>
      <c r="C425" s="1"/>
      <c r="D425" s="1"/>
      <c r="E425" s="1"/>
      <c r="F425" s="1"/>
      <c r="G425" s="1">
        <f t="shared" si="51"/>
        <v>0</v>
      </c>
      <c r="I425" s="7" t="str">
        <f t="shared" si="45"/>
        <v/>
      </c>
      <c r="J425" s="7" t="str">
        <f t="shared" si="46"/>
        <v/>
      </c>
      <c r="K425" s="7" t="str">
        <f t="shared" si="47"/>
        <v/>
      </c>
      <c r="L425" s="7" t="str">
        <f t="shared" si="48"/>
        <v/>
      </c>
      <c r="M425" s="7" t="str">
        <f t="shared" si="49"/>
        <v/>
      </c>
      <c r="N425" s="7" t="str">
        <f t="shared" si="50"/>
        <v/>
      </c>
      <c r="O425" s="51" t="str">
        <f>IF(G425&gt;0,DT!AC425*I425+DT!AD425*J425+DT!AE425*K425+DT!AF425*L425+DT!AG425*M425+DT!AH425*N425,"")</f>
        <v/>
      </c>
      <c r="P425" s="15"/>
    </row>
    <row r="426" spans="1:16">
      <c r="A426" s="1"/>
      <c r="B426" s="1"/>
      <c r="C426" s="1"/>
      <c r="D426" s="1"/>
      <c r="E426" s="1"/>
      <c r="F426" s="1"/>
      <c r="G426" s="1">
        <f t="shared" si="51"/>
        <v>0</v>
      </c>
      <c r="I426" s="7" t="str">
        <f t="shared" si="45"/>
        <v/>
      </c>
      <c r="J426" s="7" t="str">
        <f t="shared" si="46"/>
        <v/>
      </c>
      <c r="K426" s="7" t="str">
        <f t="shared" si="47"/>
        <v/>
      </c>
      <c r="L426" s="7" t="str">
        <f t="shared" si="48"/>
        <v/>
      </c>
      <c r="M426" s="7" t="str">
        <f t="shared" si="49"/>
        <v/>
      </c>
      <c r="N426" s="7" t="str">
        <f t="shared" si="50"/>
        <v/>
      </c>
      <c r="O426" s="51" t="str">
        <f>IF(G426&gt;0,DT!AC426*I426+DT!AD426*J426+DT!AE426*K426+DT!AF426*L426+DT!AG426*M426+DT!AH426*N426,"")</f>
        <v/>
      </c>
      <c r="P426" s="15"/>
    </row>
    <row r="427" spans="1:16">
      <c r="A427" s="1"/>
      <c r="B427" s="1"/>
      <c r="C427" s="1"/>
      <c r="D427" s="1"/>
      <c r="E427" s="1"/>
      <c r="F427" s="1"/>
      <c r="G427" s="1">
        <f t="shared" si="51"/>
        <v>0</v>
      </c>
      <c r="I427" s="7" t="str">
        <f t="shared" si="45"/>
        <v/>
      </c>
      <c r="J427" s="7" t="str">
        <f t="shared" si="46"/>
        <v/>
      </c>
      <c r="K427" s="7" t="str">
        <f t="shared" si="47"/>
        <v/>
      </c>
      <c r="L427" s="7" t="str">
        <f t="shared" si="48"/>
        <v/>
      </c>
      <c r="M427" s="7" t="str">
        <f t="shared" si="49"/>
        <v/>
      </c>
      <c r="N427" s="7" t="str">
        <f t="shared" si="50"/>
        <v/>
      </c>
      <c r="O427" s="51" t="str">
        <f>IF(G427&gt;0,DT!AC427*I427+DT!AD427*J427+DT!AE427*K427+DT!AF427*L427+DT!AG427*M427+DT!AH427*N427,"")</f>
        <v/>
      </c>
      <c r="P427" s="15"/>
    </row>
    <row r="428" spans="1:16">
      <c r="A428" s="1"/>
      <c r="B428" s="1"/>
      <c r="C428" s="1"/>
      <c r="D428" s="1"/>
      <c r="E428" s="1"/>
      <c r="F428" s="1"/>
      <c r="G428" s="1">
        <f t="shared" si="51"/>
        <v>0</v>
      </c>
      <c r="I428" s="7" t="str">
        <f t="shared" si="45"/>
        <v/>
      </c>
      <c r="J428" s="7" t="str">
        <f t="shared" si="46"/>
        <v/>
      </c>
      <c r="K428" s="7" t="str">
        <f t="shared" si="47"/>
        <v/>
      </c>
      <c r="L428" s="7" t="str">
        <f t="shared" si="48"/>
        <v/>
      </c>
      <c r="M428" s="7" t="str">
        <f t="shared" si="49"/>
        <v/>
      </c>
      <c r="N428" s="7" t="str">
        <f t="shared" si="50"/>
        <v/>
      </c>
      <c r="O428" s="51" t="str">
        <f>IF(G428&gt;0,DT!AC428*I428+DT!AD428*J428+DT!AE428*K428+DT!AF428*L428+DT!AG428*M428+DT!AH428*N428,"")</f>
        <v/>
      </c>
      <c r="P428" s="15"/>
    </row>
    <row r="429" spans="1:16">
      <c r="A429" s="1"/>
      <c r="B429" s="1"/>
      <c r="C429" s="1"/>
      <c r="D429" s="1"/>
      <c r="E429" s="1"/>
      <c r="F429" s="1"/>
      <c r="G429" s="1">
        <f t="shared" si="51"/>
        <v>0</v>
      </c>
      <c r="I429" s="7" t="str">
        <f t="shared" si="45"/>
        <v/>
      </c>
      <c r="J429" s="7" t="str">
        <f t="shared" si="46"/>
        <v/>
      </c>
      <c r="K429" s="7" t="str">
        <f t="shared" si="47"/>
        <v/>
      </c>
      <c r="L429" s="7" t="str">
        <f t="shared" si="48"/>
        <v/>
      </c>
      <c r="M429" s="7" t="str">
        <f t="shared" si="49"/>
        <v/>
      </c>
      <c r="N429" s="7" t="str">
        <f t="shared" si="50"/>
        <v/>
      </c>
      <c r="O429" s="51" t="str">
        <f>IF(G429&gt;0,DT!AC429*I429+DT!AD429*J429+DT!AE429*K429+DT!AF429*L429+DT!AG429*M429+DT!AH429*N429,"")</f>
        <v/>
      </c>
      <c r="P429" s="15"/>
    </row>
    <row r="430" spans="1:16">
      <c r="A430" s="1"/>
      <c r="B430" s="1"/>
      <c r="C430" s="1"/>
      <c r="D430" s="1"/>
      <c r="E430" s="1"/>
      <c r="F430" s="1"/>
      <c r="G430" s="1">
        <f t="shared" si="51"/>
        <v>0</v>
      </c>
      <c r="I430" s="7" t="str">
        <f t="shared" si="45"/>
        <v/>
      </c>
      <c r="J430" s="7" t="str">
        <f t="shared" si="46"/>
        <v/>
      </c>
      <c r="K430" s="7" t="str">
        <f t="shared" si="47"/>
        <v/>
      </c>
      <c r="L430" s="7" t="str">
        <f t="shared" si="48"/>
        <v/>
      </c>
      <c r="M430" s="7" t="str">
        <f t="shared" si="49"/>
        <v/>
      </c>
      <c r="N430" s="7" t="str">
        <f t="shared" si="50"/>
        <v/>
      </c>
      <c r="O430" s="51" t="str">
        <f>IF(G430&gt;0,DT!AC430*I430+DT!AD430*J430+DT!AE430*K430+DT!AF430*L430+DT!AG430*M430+DT!AH430*N430,"")</f>
        <v/>
      </c>
      <c r="P430" s="15"/>
    </row>
    <row r="431" spans="1:16">
      <c r="A431" s="1"/>
      <c r="B431" s="1"/>
      <c r="C431" s="1"/>
      <c r="D431" s="1"/>
      <c r="E431" s="1"/>
      <c r="F431" s="1"/>
      <c r="G431" s="1">
        <f t="shared" si="51"/>
        <v>0</v>
      </c>
      <c r="I431" s="7" t="str">
        <f t="shared" si="45"/>
        <v/>
      </c>
      <c r="J431" s="7" t="str">
        <f t="shared" si="46"/>
        <v/>
      </c>
      <c r="K431" s="7" t="str">
        <f t="shared" si="47"/>
        <v/>
      </c>
      <c r="L431" s="7" t="str">
        <f t="shared" si="48"/>
        <v/>
      </c>
      <c r="M431" s="7" t="str">
        <f t="shared" si="49"/>
        <v/>
      </c>
      <c r="N431" s="7" t="str">
        <f t="shared" si="50"/>
        <v/>
      </c>
      <c r="O431" s="51" t="str">
        <f>IF(G431&gt;0,DT!AC431*I431+DT!AD431*J431+DT!AE431*K431+DT!AF431*L431+DT!AG431*M431+DT!AH431*N431,"")</f>
        <v/>
      </c>
      <c r="P431" s="15"/>
    </row>
    <row r="432" spans="1:16">
      <c r="A432" s="1"/>
      <c r="B432" s="1"/>
      <c r="C432" s="1"/>
      <c r="D432" s="1"/>
      <c r="E432" s="1"/>
      <c r="F432" s="1"/>
      <c r="G432" s="1">
        <f t="shared" si="51"/>
        <v>0</v>
      </c>
      <c r="I432" s="7" t="str">
        <f t="shared" si="45"/>
        <v/>
      </c>
      <c r="J432" s="7" t="str">
        <f t="shared" si="46"/>
        <v/>
      </c>
      <c r="K432" s="7" t="str">
        <f t="shared" si="47"/>
        <v/>
      </c>
      <c r="L432" s="7" t="str">
        <f t="shared" si="48"/>
        <v/>
      </c>
      <c r="M432" s="7" t="str">
        <f t="shared" si="49"/>
        <v/>
      </c>
      <c r="N432" s="7" t="str">
        <f t="shared" si="50"/>
        <v/>
      </c>
      <c r="O432" s="51" t="str">
        <f>IF(G432&gt;0,DT!AC432*I432+DT!AD432*J432+DT!AE432*K432+DT!AF432*L432+DT!AG432*M432+DT!AH432*N432,"")</f>
        <v/>
      </c>
      <c r="P432" s="15"/>
    </row>
    <row r="433" spans="1:16">
      <c r="A433" s="1"/>
      <c r="B433" s="1"/>
      <c r="C433" s="1"/>
      <c r="D433" s="1"/>
      <c r="E433" s="1"/>
      <c r="F433" s="1"/>
      <c r="G433" s="1">
        <f t="shared" si="51"/>
        <v>0</v>
      </c>
      <c r="I433" s="7" t="str">
        <f t="shared" si="45"/>
        <v/>
      </c>
      <c r="J433" s="7" t="str">
        <f t="shared" si="46"/>
        <v/>
      </c>
      <c r="K433" s="7" t="str">
        <f t="shared" si="47"/>
        <v/>
      </c>
      <c r="L433" s="7" t="str">
        <f t="shared" si="48"/>
        <v/>
      </c>
      <c r="M433" s="7" t="str">
        <f t="shared" si="49"/>
        <v/>
      </c>
      <c r="N433" s="7" t="str">
        <f t="shared" si="50"/>
        <v/>
      </c>
      <c r="O433" s="51" t="str">
        <f>IF(G433&gt;0,DT!AC433*I433+DT!AD433*J433+DT!AE433*K433+DT!AF433*L433+DT!AG433*M433+DT!AH433*N433,"")</f>
        <v/>
      </c>
      <c r="P433" s="15"/>
    </row>
    <row r="434" spans="1:16">
      <c r="A434" s="1"/>
      <c r="B434" s="1"/>
      <c r="C434" s="1"/>
      <c r="D434" s="1"/>
      <c r="E434" s="1"/>
      <c r="F434" s="1"/>
      <c r="G434" s="1">
        <f t="shared" si="51"/>
        <v>0</v>
      </c>
      <c r="I434" s="7" t="str">
        <f t="shared" si="45"/>
        <v/>
      </c>
      <c r="J434" s="7" t="str">
        <f t="shared" si="46"/>
        <v/>
      </c>
      <c r="K434" s="7" t="str">
        <f t="shared" si="47"/>
        <v/>
      </c>
      <c r="L434" s="7" t="str">
        <f t="shared" si="48"/>
        <v/>
      </c>
      <c r="M434" s="7" t="str">
        <f t="shared" si="49"/>
        <v/>
      </c>
      <c r="N434" s="7" t="str">
        <f t="shared" si="50"/>
        <v/>
      </c>
      <c r="O434" s="51" t="str">
        <f>IF(G434&gt;0,DT!AC434*I434+DT!AD434*J434+DT!AE434*K434+DT!AF434*L434+DT!AG434*M434+DT!AH434*N434,"")</f>
        <v/>
      </c>
      <c r="P434" s="15"/>
    </row>
    <row r="435" spans="1:16">
      <c r="A435" s="1"/>
      <c r="B435" s="1"/>
      <c r="C435" s="1"/>
      <c r="D435" s="1"/>
      <c r="E435" s="1"/>
      <c r="F435" s="1"/>
      <c r="G435" s="1">
        <f t="shared" si="51"/>
        <v>0</v>
      </c>
      <c r="I435" s="7" t="str">
        <f t="shared" si="45"/>
        <v/>
      </c>
      <c r="J435" s="7" t="str">
        <f t="shared" si="46"/>
        <v/>
      </c>
      <c r="K435" s="7" t="str">
        <f t="shared" si="47"/>
        <v/>
      </c>
      <c r="L435" s="7" t="str">
        <f t="shared" si="48"/>
        <v/>
      </c>
      <c r="M435" s="7" t="str">
        <f t="shared" si="49"/>
        <v/>
      </c>
      <c r="N435" s="7" t="str">
        <f t="shared" si="50"/>
        <v/>
      </c>
      <c r="O435" s="51" t="str">
        <f>IF(G435&gt;0,DT!AC435*I435+DT!AD435*J435+DT!AE435*K435+DT!AF435*L435+DT!AG435*M435+DT!AH435*N435,"")</f>
        <v/>
      </c>
      <c r="P435" s="15"/>
    </row>
    <row r="436" spans="1:16">
      <c r="A436" s="1"/>
      <c r="B436" s="1"/>
      <c r="C436" s="1"/>
      <c r="D436" s="1"/>
      <c r="E436" s="1"/>
      <c r="F436" s="1"/>
      <c r="G436" s="1">
        <f t="shared" si="51"/>
        <v>0</v>
      </c>
      <c r="I436" s="7" t="str">
        <f t="shared" ref="I436:I499" si="52">IF(G436&gt;0,A436/G436,"")</f>
        <v/>
      </c>
      <c r="J436" s="7" t="str">
        <f t="shared" ref="J436:J499" si="53">IF(G436&gt;0,B436/G436,"")</f>
        <v/>
      </c>
      <c r="K436" s="7" t="str">
        <f t="shared" ref="K436:K499" si="54">IF(G436&gt;0,C436/G436,"")</f>
        <v/>
      </c>
      <c r="L436" s="7" t="str">
        <f t="shared" ref="L436:L499" si="55">IF(G436&gt;0,D436/G436,"")</f>
        <v/>
      </c>
      <c r="M436" s="7" t="str">
        <f t="shared" ref="M436:M499" si="56">IF(G436&gt;0,E436/G436,"")</f>
        <v/>
      </c>
      <c r="N436" s="7" t="str">
        <f t="shared" ref="N436:N499" si="57">IF(G436&gt;0,F436/G436,"")</f>
        <v/>
      </c>
      <c r="O436" s="51" t="str">
        <f>IF(G436&gt;0,DT!AC436*I436+DT!AD436*J436+DT!AE436*K436+DT!AF436*L436+DT!AG436*M436+DT!AH436*N436,"")</f>
        <v/>
      </c>
      <c r="P436" s="15"/>
    </row>
    <row r="437" spans="1:16">
      <c r="A437" s="1"/>
      <c r="B437" s="1"/>
      <c r="C437" s="1"/>
      <c r="D437" s="1"/>
      <c r="E437" s="1"/>
      <c r="F437" s="1"/>
      <c r="G437" s="1">
        <f t="shared" si="51"/>
        <v>0</v>
      </c>
      <c r="I437" s="7" t="str">
        <f t="shared" si="52"/>
        <v/>
      </c>
      <c r="J437" s="7" t="str">
        <f t="shared" si="53"/>
        <v/>
      </c>
      <c r="K437" s="7" t="str">
        <f t="shared" si="54"/>
        <v/>
      </c>
      <c r="L437" s="7" t="str">
        <f t="shared" si="55"/>
        <v/>
      </c>
      <c r="M437" s="7" t="str">
        <f t="shared" si="56"/>
        <v/>
      </c>
      <c r="N437" s="7" t="str">
        <f t="shared" si="57"/>
        <v/>
      </c>
      <c r="O437" s="51" t="str">
        <f>IF(G437&gt;0,DT!AC437*I437+DT!AD437*J437+DT!AE437*K437+DT!AF437*L437+DT!AG437*M437+DT!AH437*N437,"")</f>
        <v/>
      </c>
      <c r="P437" s="15"/>
    </row>
    <row r="438" spans="1:16">
      <c r="A438" s="1"/>
      <c r="B438" s="1"/>
      <c r="C438" s="1"/>
      <c r="D438" s="1"/>
      <c r="E438" s="1"/>
      <c r="F438" s="1"/>
      <c r="G438" s="1">
        <f t="shared" si="51"/>
        <v>0</v>
      </c>
      <c r="I438" s="7" t="str">
        <f t="shared" si="52"/>
        <v/>
      </c>
      <c r="J438" s="7" t="str">
        <f t="shared" si="53"/>
        <v/>
      </c>
      <c r="K438" s="7" t="str">
        <f t="shared" si="54"/>
        <v/>
      </c>
      <c r="L438" s="7" t="str">
        <f t="shared" si="55"/>
        <v/>
      </c>
      <c r="M438" s="7" t="str">
        <f t="shared" si="56"/>
        <v/>
      </c>
      <c r="N438" s="7" t="str">
        <f t="shared" si="57"/>
        <v/>
      </c>
      <c r="O438" s="51" t="str">
        <f>IF(G438&gt;0,DT!AC438*I438+DT!AD438*J438+DT!AE438*K438+DT!AF438*L438+DT!AG438*M438+DT!AH438*N438,"")</f>
        <v/>
      </c>
      <c r="P438" s="15"/>
    </row>
    <row r="439" spans="1:16">
      <c r="A439" s="1"/>
      <c r="B439" s="1"/>
      <c r="C439" s="1"/>
      <c r="D439" s="1"/>
      <c r="E439" s="1"/>
      <c r="F439" s="1"/>
      <c r="G439" s="1">
        <f t="shared" si="51"/>
        <v>0</v>
      </c>
      <c r="I439" s="7" t="str">
        <f t="shared" si="52"/>
        <v/>
      </c>
      <c r="J439" s="7" t="str">
        <f t="shared" si="53"/>
        <v/>
      </c>
      <c r="K439" s="7" t="str">
        <f t="shared" si="54"/>
        <v/>
      </c>
      <c r="L439" s="7" t="str">
        <f t="shared" si="55"/>
        <v/>
      </c>
      <c r="M439" s="7" t="str">
        <f t="shared" si="56"/>
        <v/>
      </c>
      <c r="N439" s="7" t="str">
        <f t="shared" si="57"/>
        <v/>
      </c>
      <c r="O439" s="51" t="str">
        <f>IF(G439&gt;0,DT!AC439*I439+DT!AD439*J439+DT!AE439*K439+DT!AF439*L439+DT!AG439*M439+DT!AH439*N439,"")</f>
        <v/>
      </c>
      <c r="P439" s="15"/>
    </row>
    <row r="440" spans="1:16">
      <c r="A440" s="1"/>
      <c r="B440" s="1"/>
      <c r="C440" s="1"/>
      <c r="D440" s="1"/>
      <c r="E440" s="1"/>
      <c r="F440" s="1"/>
      <c r="G440" s="1">
        <f t="shared" si="51"/>
        <v>0</v>
      </c>
      <c r="I440" s="7" t="str">
        <f t="shared" si="52"/>
        <v/>
      </c>
      <c r="J440" s="7" t="str">
        <f t="shared" si="53"/>
        <v/>
      </c>
      <c r="K440" s="7" t="str">
        <f t="shared" si="54"/>
        <v/>
      </c>
      <c r="L440" s="7" t="str">
        <f t="shared" si="55"/>
        <v/>
      </c>
      <c r="M440" s="7" t="str">
        <f t="shared" si="56"/>
        <v/>
      </c>
      <c r="N440" s="7" t="str">
        <f t="shared" si="57"/>
        <v/>
      </c>
      <c r="O440" s="51" t="str">
        <f>IF(G440&gt;0,DT!AC440*I440+DT!AD440*J440+DT!AE440*K440+DT!AF440*L440+DT!AG440*M440+DT!AH440*N440,"")</f>
        <v/>
      </c>
      <c r="P440" s="15"/>
    </row>
    <row r="441" spans="1:16">
      <c r="A441" s="1"/>
      <c r="B441" s="1"/>
      <c r="C441" s="1"/>
      <c r="D441" s="1"/>
      <c r="E441" s="1"/>
      <c r="F441" s="1"/>
      <c r="G441" s="1">
        <f t="shared" si="51"/>
        <v>0</v>
      </c>
      <c r="I441" s="7" t="str">
        <f t="shared" si="52"/>
        <v/>
      </c>
      <c r="J441" s="7" t="str">
        <f t="shared" si="53"/>
        <v/>
      </c>
      <c r="K441" s="7" t="str">
        <f t="shared" si="54"/>
        <v/>
      </c>
      <c r="L441" s="7" t="str">
        <f t="shared" si="55"/>
        <v/>
      </c>
      <c r="M441" s="7" t="str">
        <f t="shared" si="56"/>
        <v/>
      </c>
      <c r="N441" s="7" t="str">
        <f t="shared" si="57"/>
        <v/>
      </c>
      <c r="O441" s="51" t="str">
        <f>IF(G441&gt;0,DT!AC441*I441+DT!AD441*J441+DT!AE441*K441+DT!AF441*L441+DT!AG441*M441+DT!AH441*N441,"")</f>
        <v/>
      </c>
      <c r="P441" s="15"/>
    </row>
    <row r="442" spans="1:16">
      <c r="A442" s="1"/>
      <c r="B442" s="1"/>
      <c r="C442" s="1"/>
      <c r="D442" s="1"/>
      <c r="E442" s="1"/>
      <c r="F442" s="1"/>
      <c r="G442" s="1">
        <f t="shared" si="51"/>
        <v>0</v>
      </c>
      <c r="I442" s="7" t="str">
        <f t="shared" si="52"/>
        <v/>
      </c>
      <c r="J442" s="7" t="str">
        <f t="shared" si="53"/>
        <v/>
      </c>
      <c r="K442" s="7" t="str">
        <f t="shared" si="54"/>
        <v/>
      </c>
      <c r="L442" s="7" t="str">
        <f t="shared" si="55"/>
        <v/>
      </c>
      <c r="M442" s="7" t="str">
        <f t="shared" si="56"/>
        <v/>
      </c>
      <c r="N442" s="7" t="str">
        <f t="shared" si="57"/>
        <v/>
      </c>
      <c r="O442" s="51" t="str">
        <f>IF(G442&gt;0,DT!AC442*I442+DT!AD442*J442+DT!AE442*K442+DT!AF442*L442+DT!AG442*M442+DT!AH442*N442,"")</f>
        <v/>
      </c>
      <c r="P442" s="15"/>
    </row>
    <row r="443" spans="1:16">
      <c r="A443" s="1"/>
      <c r="B443" s="1"/>
      <c r="C443" s="1"/>
      <c r="D443" s="1"/>
      <c r="E443" s="1"/>
      <c r="F443" s="1"/>
      <c r="G443" s="1">
        <f t="shared" si="51"/>
        <v>0</v>
      </c>
      <c r="I443" s="7" t="str">
        <f t="shared" si="52"/>
        <v/>
      </c>
      <c r="J443" s="7" t="str">
        <f t="shared" si="53"/>
        <v/>
      </c>
      <c r="K443" s="7" t="str">
        <f t="shared" si="54"/>
        <v/>
      </c>
      <c r="L443" s="7" t="str">
        <f t="shared" si="55"/>
        <v/>
      </c>
      <c r="M443" s="7" t="str">
        <f t="shared" si="56"/>
        <v/>
      </c>
      <c r="N443" s="7" t="str">
        <f t="shared" si="57"/>
        <v/>
      </c>
      <c r="O443" s="51" t="str">
        <f>IF(G443&gt;0,DT!AC443*I443+DT!AD443*J443+DT!AE443*K443+DT!AF443*L443+DT!AG443*M443+DT!AH443*N443,"")</f>
        <v/>
      </c>
      <c r="P443" s="15"/>
    </row>
    <row r="444" spans="1:16">
      <c r="A444" s="1"/>
      <c r="B444" s="1"/>
      <c r="C444" s="1"/>
      <c r="D444" s="1"/>
      <c r="E444" s="1"/>
      <c r="F444" s="1"/>
      <c r="G444" s="1">
        <f t="shared" si="51"/>
        <v>0</v>
      </c>
      <c r="I444" s="7" t="str">
        <f t="shared" si="52"/>
        <v/>
      </c>
      <c r="J444" s="7" t="str">
        <f t="shared" si="53"/>
        <v/>
      </c>
      <c r="K444" s="7" t="str">
        <f t="shared" si="54"/>
        <v/>
      </c>
      <c r="L444" s="7" t="str">
        <f t="shared" si="55"/>
        <v/>
      </c>
      <c r="M444" s="7" t="str">
        <f t="shared" si="56"/>
        <v/>
      </c>
      <c r="N444" s="7" t="str">
        <f t="shared" si="57"/>
        <v/>
      </c>
      <c r="O444" s="51" t="str">
        <f>IF(G444&gt;0,DT!AC444*I444+DT!AD444*J444+DT!AE444*K444+DT!AF444*L444+DT!AG444*M444+DT!AH444*N444,"")</f>
        <v/>
      </c>
      <c r="P444" s="15"/>
    </row>
    <row r="445" spans="1:16">
      <c r="A445" s="1"/>
      <c r="B445" s="1"/>
      <c r="C445" s="1"/>
      <c r="D445" s="1"/>
      <c r="E445" s="1"/>
      <c r="F445" s="1"/>
      <c r="G445" s="1">
        <f t="shared" si="51"/>
        <v>0</v>
      </c>
      <c r="I445" s="7" t="str">
        <f t="shared" si="52"/>
        <v/>
      </c>
      <c r="J445" s="7" t="str">
        <f t="shared" si="53"/>
        <v/>
      </c>
      <c r="K445" s="7" t="str">
        <f t="shared" si="54"/>
        <v/>
      </c>
      <c r="L445" s="7" t="str">
        <f t="shared" si="55"/>
        <v/>
      </c>
      <c r="M445" s="7" t="str">
        <f t="shared" si="56"/>
        <v/>
      </c>
      <c r="N445" s="7" t="str">
        <f t="shared" si="57"/>
        <v/>
      </c>
      <c r="O445" s="51" t="str">
        <f>IF(G445&gt;0,DT!AC445*I445+DT!AD445*J445+DT!AE445*K445+DT!AF445*L445+DT!AG445*M445+DT!AH445*N445,"")</f>
        <v/>
      </c>
      <c r="P445" s="15"/>
    </row>
    <row r="446" spans="1:16">
      <c r="A446" s="1"/>
      <c r="B446" s="1"/>
      <c r="C446" s="1"/>
      <c r="D446" s="1"/>
      <c r="E446" s="1"/>
      <c r="F446" s="1"/>
      <c r="G446" s="1">
        <f t="shared" si="51"/>
        <v>0</v>
      </c>
      <c r="I446" s="7" t="str">
        <f t="shared" si="52"/>
        <v/>
      </c>
      <c r="J446" s="7" t="str">
        <f t="shared" si="53"/>
        <v/>
      </c>
      <c r="K446" s="7" t="str">
        <f t="shared" si="54"/>
        <v/>
      </c>
      <c r="L446" s="7" t="str">
        <f t="shared" si="55"/>
        <v/>
      </c>
      <c r="M446" s="7" t="str">
        <f t="shared" si="56"/>
        <v/>
      </c>
      <c r="N446" s="7" t="str">
        <f t="shared" si="57"/>
        <v/>
      </c>
      <c r="O446" s="51" t="str">
        <f>IF(G446&gt;0,DT!AC446*I446+DT!AD446*J446+DT!AE446*K446+DT!AF446*L446+DT!AG446*M446+DT!AH446*N446,"")</f>
        <v/>
      </c>
      <c r="P446" s="15"/>
    </row>
    <row r="447" spans="1:16">
      <c r="A447" s="1"/>
      <c r="B447" s="1"/>
      <c r="C447" s="1"/>
      <c r="D447" s="1"/>
      <c r="E447" s="1"/>
      <c r="F447" s="1"/>
      <c r="G447" s="1">
        <f t="shared" si="51"/>
        <v>0</v>
      </c>
      <c r="I447" s="7" t="str">
        <f t="shared" si="52"/>
        <v/>
      </c>
      <c r="J447" s="7" t="str">
        <f t="shared" si="53"/>
        <v/>
      </c>
      <c r="K447" s="7" t="str">
        <f t="shared" si="54"/>
        <v/>
      </c>
      <c r="L447" s="7" t="str">
        <f t="shared" si="55"/>
        <v/>
      </c>
      <c r="M447" s="7" t="str">
        <f t="shared" si="56"/>
        <v/>
      </c>
      <c r="N447" s="7" t="str">
        <f t="shared" si="57"/>
        <v/>
      </c>
      <c r="O447" s="51" t="str">
        <f>IF(G447&gt;0,DT!AC447*I447+DT!AD447*J447+DT!AE447*K447+DT!AF447*L447+DT!AG447*M447+DT!AH447*N447,"")</f>
        <v/>
      </c>
      <c r="P447" s="15"/>
    </row>
    <row r="448" spans="1:16">
      <c r="A448" s="1"/>
      <c r="B448" s="1"/>
      <c r="C448" s="1"/>
      <c r="D448" s="1"/>
      <c r="E448" s="1"/>
      <c r="F448" s="1"/>
      <c r="G448" s="1">
        <f t="shared" si="51"/>
        <v>0</v>
      </c>
      <c r="I448" s="7" t="str">
        <f t="shared" si="52"/>
        <v/>
      </c>
      <c r="J448" s="7" t="str">
        <f t="shared" si="53"/>
        <v/>
      </c>
      <c r="K448" s="7" t="str">
        <f t="shared" si="54"/>
        <v/>
      </c>
      <c r="L448" s="7" t="str">
        <f t="shared" si="55"/>
        <v/>
      </c>
      <c r="M448" s="7" t="str">
        <f t="shared" si="56"/>
        <v/>
      </c>
      <c r="N448" s="7" t="str">
        <f t="shared" si="57"/>
        <v/>
      </c>
      <c r="O448" s="51" t="str">
        <f>IF(G448&gt;0,DT!AC448*I448+DT!AD448*J448+DT!AE448*K448+DT!AF448*L448+DT!AG448*M448+DT!AH448*N448,"")</f>
        <v/>
      </c>
      <c r="P448" s="15"/>
    </row>
    <row r="449" spans="1:16">
      <c r="A449" s="1"/>
      <c r="B449" s="1"/>
      <c r="C449" s="1"/>
      <c r="D449" s="1"/>
      <c r="E449" s="1"/>
      <c r="F449" s="1"/>
      <c r="G449" s="1">
        <f t="shared" si="51"/>
        <v>0</v>
      </c>
      <c r="I449" s="7" t="str">
        <f t="shared" si="52"/>
        <v/>
      </c>
      <c r="J449" s="7" t="str">
        <f t="shared" si="53"/>
        <v/>
      </c>
      <c r="K449" s="7" t="str">
        <f t="shared" si="54"/>
        <v/>
      </c>
      <c r="L449" s="7" t="str">
        <f t="shared" si="55"/>
        <v/>
      </c>
      <c r="M449" s="7" t="str">
        <f t="shared" si="56"/>
        <v/>
      </c>
      <c r="N449" s="7" t="str">
        <f t="shared" si="57"/>
        <v/>
      </c>
      <c r="O449" s="51" t="str">
        <f>IF(G449&gt;0,DT!AC449*I449+DT!AD449*J449+DT!AE449*K449+DT!AF449*L449+DT!AG449*M449+DT!AH449*N449,"")</f>
        <v/>
      </c>
      <c r="P449" s="15"/>
    </row>
    <row r="450" spans="1:16">
      <c r="A450" s="1"/>
      <c r="B450" s="1"/>
      <c r="C450" s="1"/>
      <c r="D450" s="1"/>
      <c r="E450" s="1"/>
      <c r="F450" s="1"/>
      <c r="G450" s="1">
        <f t="shared" si="51"/>
        <v>0</v>
      </c>
      <c r="I450" s="7" t="str">
        <f t="shared" si="52"/>
        <v/>
      </c>
      <c r="J450" s="7" t="str">
        <f t="shared" si="53"/>
        <v/>
      </c>
      <c r="K450" s="7" t="str">
        <f t="shared" si="54"/>
        <v/>
      </c>
      <c r="L450" s="7" t="str">
        <f t="shared" si="55"/>
        <v/>
      </c>
      <c r="M450" s="7" t="str">
        <f t="shared" si="56"/>
        <v/>
      </c>
      <c r="N450" s="7" t="str">
        <f t="shared" si="57"/>
        <v/>
      </c>
      <c r="O450" s="51" t="str">
        <f>IF(G450&gt;0,DT!AC450*I450+DT!AD450*J450+DT!AE450*K450+DT!AF450*L450+DT!AG450*M450+DT!AH450*N450,"")</f>
        <v/>
      </c>
      <c r="P450" s="15"/>
    </row>
    <row r="451" spans="1:16">
      <c r="A451" s="1"/>
      <c r="B451" s="1"/>
      <c r="C451" s="1"/>
      <c r="D451" s="1"/>
      <c r="E451" s="1"/>
      <c r="F451" s="1"/>
      <c r="G451" s="1">
        <f t="shared" si="51"/>
        <v>0</v>
      </c>
      <c r="I451" s="7" t="str">
        <f t="shared" si="52"/>
        <v/>
      </c>
      <c r="J451" s="7" t="str">
        <f t="shared" si="53"/>
        <v/>
      </c>
      <c r="K451" s="7" t="str">
        <f t="shared" si="54"/>
        <v/>
      </c>
      <c r="L451" s="7" t="str">
        <f t="shared" si="55"/>
        <v/>
      </c>
      <c r="M451" s="7" t="str">
        <f t="shared" si="56"/>
        <v/>
      </c>
      <c r="N451" s="7" t="str">
        <f t="shared" si="57"/>
        <v/>
      </c>
      <c r="O451" s="51" t="str">
        <f>IF(G451&gt;0,DT!AC451*I451+DT!AD451*J451+DT!AE451*K451+DT!AF451*L451+DT!AG451*M451+DT!AH451*N451,"")</f>
        <v/>
      </c>
      <c r="P451" s="15"/>
    </row>
    <row r="452" spans="1:16">
      <c r="A452" s="1"/>
      <c r="B452" s="1"/>
      <c r="C452" s="1"/>
      <c r="D452" s="1"/>
      <c r="E452" s="1"/>
      <c r="F452" s="1"/>
      <c r="G452" s="1">
        <f t="shared" si="51"/>
        <v>0</v>
      </c>
      <c r="I452" s="7" t="str">
        <f t="shared" si="52"/>
        <v/>
      </c>
      <c r="J452" s="7" t="str">
        <f t="shared" si="53"/>
        <v/>
      </c>
      <c r="K452" s="7" t="str">
        <f t="shared" si="54"/>
        <v/>
      </c>
      <c r="L452" s="7" t="str">
        <f t="shared" si="55"/>
        <v/>
      </c>
      <c r="M452" s="7" t="str">
        <f t="shared" si="56"/>
        <v/>
      </c>
      <c r="N452" s="7" t="str">
        <f t="shared" si="57"/>
        <v/>
      </c>
      <c r="O452" s="51" t="str">
        <f>IF(G452&gt;0,DT!AC452*I452+DT!AD452*J452+DT!AE452*K452+DT!AF452*L452+DT!AG452*M452+DT!AH452*N452,"")</f>
        <v/>
      </c>
      <c r="P452" s="15"/>
    </row>
    <row r="453" spans="1:16">
      <c r="A453" s="1"/>
      <c r="B453" s="1"/>
      <c r="C453" s="1"/>
      <c r="D453" s="1"/>
      <c r="E453" s="1"/>
      <c r="F453" s="1"/>
      <c r="G453" s="1">
        <f t="shared" ref="G453:G516" si="58">SUM(A453:F453)</f>
        <v>0</v>
      </c>
      <c r="I453" s="7" t="str">
        <f t="shared" si="52"/>
        <v/>
      </c>
      <c r="J453" s="7" t="str">
        <f t="shared" si="53"/>
        <v/>
      </c>
      <c r="K453" s="7" t="str">
        <f t="shared" si="54"/>
        <v/>
      </c>
      <c r="L453" s="7" t="str">
        <f t="shared" si="55"/>
        <v/>
      </c>
      <c r="M453" s="7" t="str">
        <f t="shared" si="56"/>
        <v/>
      </c>
      <c r="N453" s="7" t="str">
        <f t="shared" si="57"/>
        <v/>
      </c>
      <c r="O453" s="51" t="str">
        <f>IF(G453&gt;0,DT!AC453*I453+DT!AD453*J453+DT!AE453*K453+DT!AF453*L453+DT!AG453*M453+DT!AH453*N453,"")</f>
        <v/>
      </c>
      <c r="P453" s="15"/>
    </row>
    <row r="454" spans="1:16">
      <c r="A454" s="1"/>
      <c r="B454" s="1"/>
      <c r="C454" s="1"/>
      <c r="D454" s="1"/>
      <c r="E454" s="1"/>
      <c r="F454" s="1"/>
      <c r="G454" s="1">
        <f t="shared" si="58"/>
        <v>0</v>
      </c>
      <c r="I454" s="7" t="str">
        <f t="shared" si="52"/>
        <v/>
      </c>
      <c r="J454" s="7" t="str">
        <f t="shared" si="53"/>
        <v/>
      </c>
      <c r="K454" s="7" t="str">
        <f t="shared" si="54"/>
        <v/>
      </c>
      <c r="L454" s="7" t="str">
        <f t="shared" si="55"/>
        <v/>
      </c>
      <c r="M454" s="7" t="str">
        <f t="shared" si="56"/>
        <v/>
      </c>
      <c r="N454" s="7" t="str">
        <f t="shared" si="57"/>
        <v/>
      </c>
      <c r="O454" s="51" t="str">
        <f>IF(G454&gt;0,DT!AC454*I454+DT!AD454*J454+DT!AE454*K454+DT!AF454*L454+DT!AG454*M454+DT!AH454*N454,"")</f>
        <v/>
      </c>
      <c r="P454" s="15"/>
    </row>
    <row r="455" spans="1:16">
      <c r="A455" s="1"/>
      <c r="B455" s="1"/>
      <c r="C455" s="1"/>
      <c r="D455" s="1"/>
      <c r="E455" s="1"/>
      <c r="F455" s="1"/>
      <c r="G455" s="1">
        <f t="shared" si="58"/>
        <v>0</v>
      </c>
      <c r="I455" s="7" t="str">
        <f t="shared" si="52"/>
        <v/>
      </c>
      <c r="J455" s="7" t="str">
        <f t="shared" si="53"/>
        <v/>
      </c>
      <c r="K455" s="7" t="str">
        <f t="shared" si="54"/>
        <v/>
      </c>
      <c r="L455" s="7" t="str">
        <f t="shared" si="55"/>
        <v/>
      </c>
      <c r="M455" s="7" t="str">
        <f t="shared" si="56"/>
        <v/>
      </c>
      <c r="N455" s="7" t="str">
        <f t="shared" si="57"/>
        <v/>
      </c>
      <c r="O455" s="51" t="str">
        <f>IF(G455&gt;0,DT!AC455*I455+DT!AD455*J455+DT!AE455*K455+DT!AF455*L455+DT!AG455*M455+DT!AH455*N455,"")</f>
        <v/>
      </c>
      <c r="P455" s="15"/>
    </row>
    <row r="456" spans="1:16">
      <c r="A456" s="1"/>
      <c r="B456" s="1"/>
      <c r="C456" s="1"/>
      <c r="D456" s="1"/>
      <c r="E456" s="1"/>
      <c r="F456" s="1"/>
      <c r="G456" s="1">
        <f t="shared" si="58"/>
        <v>0</v>
      </c>
      <c r="I456" s="7" t="str">
        <f t="shared" si="52"/>
        <v/>
      </c>
      <c r="J456" s="7" t="str">
        <f t="shared" si="53"/>
        <v/>
      </c>
      <c r="K456" s="7" t="str">
        <f t="shared" si="54"/>
        <v/>
      </c>
      <c r="L456" s="7" t="str">
        <f t="shared" si="55"/>
        <v/>
      </c>
      <c r="M456" s="7" t="str">
        <f t="shared" si="56"/>
        <v/>
      </c>
      <c r="N456" s="7" t="str">
        <f t="shared" si="57"/>
        <v/>
      </c>
      <c r="O456" s="51" t="str">
        <f>IF(G456&gt;0,DT!AC456*I456+DT!AD456*J456+DT!AE456*K456+DT!AF456*L456+DT!AG456*M456+DT!AH456*N456,"")</f>
        <v/>
      </c>
      <c r="P456" s="15"/>
    </row>
    <row r="457" spans="1:16">
      <c r="A457" s="1"/>
      <c r="B457" s="1"/>
      <c r="C457" s="1"/>
      <c r="D457" s="1"/>
      <c r="E457" s="1"/>
      <c r="F457" s="1"/>
      <c r="G457" s="1">
        <f t="shared" si="58"/>
        <v>0</v>
      </c>
      <c r="I457" s="7" t="str">
        <f t="shared" si="52"/>
        <v/>
      </c>
      <c r="J457" s="7" t="str">
        <f t="shared" si="53"/>
        <v/>
      </c>
      <c r="K457" s="7" t="str">
        <f t="shared" si="54"/>
        <v/>
      </c>
      <c r="L457" s="7" t="str">
        <f t="shared" si="55"/>
        <v/>
      </c>
      <c r="M457" s="7" t="str">
        <f t="shared" si="56"/>
        <v/>
      </c>
      <c r="N457" s="7" t="str">
        <f t="shared" si="57"/>
        <v/>
      </c>
      <c r="O457" s="51" t="str">
        <f>IF(G457&gt;0,DT!AC457*I457+DT!AD457*J457+DT!AE457*K457+DT!AF457*L457+DT!AG457*M457+DT!AH457*N457,"")</f>
        <v/>
      </c>
      <c r="P457" s="15"/>
    </row>
    <row r="458" spans="1:16">
      <c r="A458" s="1"/>
      <c r="B458" s="1"/>
      <c r="C458" s="1"/>
      <c r="D458" s="1"/>
      <c r="E458" s="1"/>
      <c r="F458" s="1"/>
      <c r="G458" s="1">
        <f t="shared" si="58"/>
        <v>0</v>
      </c>
      <c r="I458" s="7" t="str">
        <f t="shared" si="52"/>
        <v/>
      </c>
      <c r="J458" s="7" t="str">
        <f t="shared" si="53"/>
        <v/>
      </c>
      <c r="K458" s="7" t="str">
        <f t="shared" si="54"/>
        <v/>
      </c>
      <c r="L458" s="7" t="str">
        <f t="shared" si="55"/>
        <v/>
      </c>
      <c r="M458" s="7" t="str">
        <f t="shared" si="56"/>
        <v/>
      </c>
      <c r="N458" s="7" t="str">
        <f t="shared" si="57"/>
        <v/>
      </c>
      <c r="O458" s="51" t="str">
        <f>IF(G458&gt;0,DT!AC458*I458+DT!AD458*J458+DT!AE458*K458+DT!AF458*L458+DT!AG458*M458+DT!AH458*N458,"")</f>
        <v/>
      </c>
      <c r="P458" s="15"/>
    </row>
    <row r="459" spans="1:16">
      <c r="A459" s="1"/>
      <c r="B459" s="1"/>
      <c r="C459" s="1"/>
      <c r="D459" s="1"/>
      <c r="E459" s="1"/>
      <c r="F459" s="1"/>
      <c r="G459" s="1">
        <f t="shared" si="58"/>
        <v>0</v>
      </c>
      <c r="I459" s="7" t="str">
        <f t="shared" si="52"/>
        <v/>
      </c>
      <c r="J459" s="7" t="str">
        <f t="shared" si="53"/>
        <v/>
      </c>
      <c r="K459" s="7" t="str">
        <f t="shared" si="54"/>
        <v/>
      </c>
      <c r="L459" s="7" t="str">
        <f t="shared" si="55"/>
        <v/>
      </c>
      <c r="M459" s="7" t="str">
        <f t="shared" si="56"/>
        <v/>
      </c>
      <c r="N459" s="7" t="str">
        <f t="shared" si="57"/>
        <v/>
      </c>
      <c r="O459" s="51" t="str">
        <f>IF(G459&gt;0,DT!AC459*I459+DT!AD459*J459+DT!AE459*K459+DT!AF459*L459+DT!AG459*M459+DT!AH459*N459,"")</f>
        <v/>
      </c>
      <c r="P459" s="15"/>
    </row>
    <row r="460" spans="1:16">
      <c r="A460" s="1"/>
      <c r="B460" s="1"/>
      <c r="C460" s="1"/>
      <c r="D460" s="1"/>
      <c r="E460" s="1"/>
      <c r="F460" s="1"/>
      <c r="G460" s="1">
        <f t="shared" si="58"/>
        <v>0</v>
      </c>
      <c r="I460" s="7" t="str">
        <f t="shared" si="52"/>
        <v/>
      </c>
      <c r="J460" s="7" t="str">
        <f t="shared" si="53"/>
        <v/>
      </c>
      <c r="K460" s="7" t="str">
        <f t="shared" si="54"/>
        <v/>
      </c>
      <c r="L460" s="7" t="str">
        <f t="shared" si="55"/>
        <v/>
      </c>
      <c r="M460" s="7" t="str">
        <f t="shared" si="56"/>
        <v/>
      </c>
      <c r="N460" s="7" t="str">
        <f t="shared" si="57"/>
        <v/>
      </c>
      <c r="O460" s="51" t="str">
        <f>IF(G460&gt;0,DT!AC460*I460+DT!AD460*J460+DT!AE460*K460+DT!AF460*L460+DT!AG460*M460+DT!AH460*N460,"")</f>
        <v/>
      </c>
      <c r="P460" s="15"/>
    </row>
    <row r="461" spans="1:16">
      <c r="A461" s="1"/>
      <c r="B461" s="1"/>
      <c r="C461" s="1"/>
      <c r="D461" s="1"/>
      <c r="E461" s="1"/>
      <c r="F461" s="1"/>
      <c r="G461" s="1">
        <f t="shared" si="58"/>
        <v>0</v>
      </c>
      <c r="I461" s="7" t="str">
        <f t="shared" si="52"/>
        <v/>
      </c>
      <c r="J461" s="7" t="str">
        <f t="shared" si="53"/>
        <v/>
      </c>
      <c r="K461" s="7" t="str">
        <f t="shared" si="54"/>
        <v/>
      </c>
      <c r="L461" s="7" t="str">
        <f t="shared" si="55"/>
        <v/>
      </c>
      <c r="M461" s="7" t="str">
        <f t="shared" si="56"/>
        <v/>
      </c>
      <c r="N461" s="7" t="str">
        <f t="shared" si="57"/>
        <v/>
      </c>
      <c r="O461" s="51" t="str">
        <f>IF(G461&gt;0,DT!AC461*I461+DT!AD461*J461+DT!AE461*K461+DT!AF461*L461+DT!AG461*M461+DT!AH461*N461,"")</f>
        <v/>
      </c>
      <c r="P461" s="15"/>
    </row>
    <row r="462" spans="1:16">
      <c r="A462" s="1"/>
      <c r="B462" s="1"/>
      <c r="C462" s="1"/>
      <c r="D462" s="1"/>
      <c r="E462" s="1"/>
      <c r="F462" s="1"/>
      <c r="G462" s="1">
        <f t="shared" si="58"/>
        <v>0</v>
      </c>
      <c r="I462" s="7" t="str">
        <f t="shared" si="52"/>
        <v/>
      </c>
      <c r="J462" s="7" t="str">
        <f t="shared" si="53"/>
        <v/>
      </c>
      <c r="K462" s="7" t="str">
        <f t="shared" si="54"/>
        <v/>
      </c>
      <c r="L462" s="7" t="str">
        <f t="shared" si="55"/>
        <v/>
      </c>
      <c r="M462" s="7" t="str">
        <f t="shared" si="56"/>
        <v/>
      </c>
      <c r="N462" s="7" t="str">
        <f t="shared" si="57"/>
        <v/>
      </c>
      <c r="O462" s="51" t="str">
        <f>IF(G462&gt;0,DT!AC462*I462+DT!AD462*J462+DT!AE462*K462+DT!AF462*L462+DT!AG462*M462+DT!AH462*N462,"")</f>
        <v/>
      </c>
      <c r="P462" s="15"/>
    </row>
    <row r="463" spans="1:16">
      <c r="A463" s="1"/>
      <c r="B463" s="1"/>
      <c r="C463" s="1"/>
      <c r="D463" s="1"/>
      <c r="E463" s="1"/>
      <c r="F463" s="1"/>
      <c r="G463" s="1">
        <f t="shared" si="58"/>
        <v>0</v>
      </c>
      <c r="I463" s="7" t="str">
        <f t="shared" si="52"/>
        <v/>
      </c>
      <c r="J463" s="7" t="str">
        <f t="shared" si="53"/>
        <v/>
      </c>
      <c r="K463" s="7" t="str">
        <f t="shared" si="54"/>
        <v/>
      </c>
      <c r="L463" s="7" t="str">
        <f t="shared" si="55"/>
        <v/>
      </c>
      <c r="M463" s="7" t="str">
        <f t="shared" si="56"/>
        <v/>
      </c>
      <c r="N463" s="7" t="str">
        <f t="shared" si="57"/>
        <v/>
      </c>
      <c r="O463" s="51" t="str">
        <f>IF(G463&gt;0,DT!AC463*I463+DT!AD463*J463+DT!AE463*K463+DT!AF463*L463+DT!AG463*M463+DT!AH463*N463,"")</f>
        <v/>
      </c>
      <c r="P463" s="15"/>
    </row>
    <row r="464" spans="1:16">
      <c r="A464" s="1"/>
      <c r="B464" s="1"/>
      <c r="C464" s="1"/>
      <c r="D464" s="1"/>
      <c r="E464" s="1"/>
      <c r="F464" s="1"/>
      <c r="G464" s="1">
        <f t="shared" si="58"/>
        <v>0</v>
      </c>
      <c r="I464" s="7" t="str">
        <f t="shared" si="52"/>
        <v/>
      </c>
      <c r="J464" s="7" t="str">
        <f t="shared" si="53"/>
        <v/>
      </c>
      <c r="K464" s="7" t="str">
        <f t="shared" si="54"/>
        <v/>
      </c>
      <c r="L464" s="7" t="str">
        <f t="shared" si="55"/>
        <v/>
      </c>
      <c r="M464" s="7" t="str">
        <f t="shared" si="56"/>
        <v/>
      </c>
      <c r="N464" s="7" t="str">
        <f t="shared" si="57"/>
        <v/>
      </c>
      <c r="O464" s="51" t="str">
        <f>IF(G464&gt;0,DT!AC464*I464+DT!AD464*J464+DT!AE464*K464+DT!AF464*L464+DT!AG464*M464+DT!AH464*N464,"")</f>
        <v/>
      </c>
      <c r="P464" s="15"/>
    </row>
    <row r="465" spans="1:16">
      <c r="A465" s="1"/>
      <c r="B465" s="1"/>
      <c r="C465" s="1"/>
      <c r="D465" s="1"/>
      <c r="E465" s="1"/>
      <c r="F465" s="1"/>
      <c r="G465" s="1">
        <f t="shared" si="58"/>
        <v>0</v>
      </c>
      <c r="I465" s="7" t="str">
        <f t="shared" si="52"/>
        <v/>
      </c>
      <c r="J465" s="7" t="str">
        <f t="shared" si="53"/>
        <v/>
      </c>
      <c r="K465" s="7" t="str">
        <f t="shared" si="54"/>
        <v/>
      </c>
      <c r="L465" s="7" t="str">
        <f t="shared" si="55"/>
        <v/>
      </c>
      <c r="M465" s="7" t="str">
        <f t="shared" si="56"/>
        <v/>
      </c>
      <c r="N465" s="7" t="str">
        <f t="shared" si="57"/>
        <v/>
      </c>
      <c r="O465" s="51" t="str">
        <f>IF(G465&gt;0,DT!AC465*I465+DT!AD465*J465+DT!AE465*K465+DT!AF465*L465+DT!AG465*M465+DT!AH465*N465,"")</f>
        <v/>
      </c>
      <c r="P465" s="15"/>
    </row>
    <row r="466" spans="1:16">
      <c r="A466" s="1"/>
      <c r="B466" s="1"/>
      <c r="C466" s="1"/>
      <c r="D466" s="1"/>
      <c r="E466" s="1"/>
      <c r="F466" s="1"/>
      <c r="G466" s="1">
        <f t="shared" si="58"/>
        <v>0</v>
      </c>
      <c r="I466" s="7" t="str">
        <f t="shared" si="52"/>
        <v/>
      </c>
      <c r="J466" s="7" t="str">
        <f t="shared" si="53"/>
        <v/>
      </c>
      <c r="K466" s="7" t="str">
        <f t="shared" si="54"/>
        <v/>
      </c>
      <c r="L466" s="7" t="str">
        <f t="shared" si="55"/>
        <v/>
      </c>
      <c r="M466" s="7" t="str">
        <f t="shared" si="56"/>
        <v/>
      </c>
      <c r="N466" s="7" t="str">
        <f t="shared" si="57"/>
        <v/>
      </c>
      <c r="O466" s="51" t="str">
        <f>IF(G466&gt;0,DT!AC466*I466+DT!AD466*J466+DT!AE466*K466+DT!AF466*L466+DT!AG466*M466+DT!AH466*N466,"")</f>
        <v/>
      </c>
      <c r="P466" s="15"/>
    </row>
    <row r="467" spans="1:16">
      <c r="A467" s="1"/>
      <c r="B467" s="1"/>
      <c r="C467" s="1"/>
      <c r="D467" s="1"/>
      <c r="E467" s="1"/>
      <c r="F467" s="1"/>
      <c r="G467" s="1">
        <f t="shared" si="58"/>
        <v>0</v>
      </c>
      <c r="I467" s="7" t="str">
        <f t="shared" si="52"/>
        <v/>
      </c>
      <c r="J467" s="7" t="str">
        <f t="shared" si="53"/>
        <v/>
      </c>
      <c r="K467" s="7" t="str">
        <f t="shared" si="54"/>
        <v/>
      </c>
      <c r="L467" s="7" t="str">
        <f t="shared" si="55"/>
        <v/>
      </c>
      <c r="M467" s="7" t="str">
        <f t="shared" si="56"/>
        <v/>
      </c>
      <c r="N467" s="7" t="str">
        <f t="shared" si="57"/>
        <v/>
      </c>
      <c r="O467" s="51" t="str">
        <f>IF(G467&gt;0,DT!AC467*I467+DT!AD467*J467+DT!AE467*K467+DT!AF467*L467+DT!AG467*M467+DT!AH467*N467,"")</f>
        <v/>
      </c>
      <c r="P467" s="15"/>
    </row>
    <row r="468" spans="1:16">
      <c r="A468" s="1"/>
      <c r="B468" s="1"/>
      <c r="C468" s="1"/>
      <c r="D468" s="1"/>
      <c r="E468" s="1"/>
      <c r="F468" s="1"/>
      <c r="G468" s="1">
        <f t="shared" si="58"/>
        <v>0</v>
      </c>
      <c r="I468" s="7" t="str">
        <f t="shared" si="52"/>
        <v/>
      </c>
      <c r="J468" s="7" t="str">
        <f t="shared" si="53"/>
        <v/>
      </c>
      <c r="K468" s="7" t="str">
        <f t="shared" si="54"/>
        <v/>
      </c>
      <c r="L468" s="7" t="str">
        <f t="shared" si="55"/>
        <v/>
      </c>
      <c r="M468" s="7" t="str">
        <f t="shared" si="56"/>
        <v/>
      </c>
      <c r="N468" s="7" t="str">
        <f t="shared" si="57"/>
        <v/>
      </c>
      <c r="O468" s="51" t="str">
        <f>IF(G468&gt;0,DT!AC468*I468+DT!AD468*J468+DT!AE468*K468+DT!AF468*L468+DT!AG468*M468+DT!AH468*N468,"")</f>
        <v/>
      </c>
      <c r="P468" s="15"/>
    </row>
    <row r="469" spans="1:16">
      <c r="A469" s="1"/>
      <c r="B469" s="1"/>
      <c r="C469" s="1"/>
      <c r="D469" s="1"/>
      <c r="E469" s="1"/>
      <c r="F469" s="1"/>
      <c r="G469" s="1">
        <f t="shared" si="58"/>
        <v>0</v>
      </c>
      <c r="I469" s="7" t="str">
        <f t="shared" si="52"/>
        <v/>
      </c>
      <c r="J469" s="7" t="str">
        <f t="shared" si="53"/>
        <v/>
      </c>
      <c r="K469" s="7" t="str">
        <f t="shared" si="54"/>
        <v/>
      </c>
      <c r="L469" s="7" t="str">
        <f t="shared" si="55"/>
        <v/>
      </c>
      <c r="M469" s="7" t="str">
        <f t="shared" si="56"/>
        <v/>
      </c>
      <c r="N469" s="7" t="str">
        <f t="shared" si="57"/>
        <v/>
      </c>
      <c r="O469" s="51" t="str">
        <f>IF(G469&gt;0,DT!AC469*I469+DT!AD469*J469+DT!AE469*K469+DT!AF469*L469+DT!AG469*M469+DT!AH469*N469,"")</f>
        <v/>
      </c>
      <c r="P469" s="15"/>
    </row>
    <row r="470" spans="1:16">
      <c r="A470" s="1"/>
      <c r="B470" s="1"/>
      <c r="C470" s="1"/>
      <c r="D470" s="1"/>
      <c r="E470" s="1"/>
      <c r="F470" s="1"/>
      <c r="G470" s="1">
        <f t="shared" si="58"/>
        <v>0</v>
      </c>
      <c r="I470" s="7" t="str">
        <f t="shared" si="52"/>
        <v/>
      </c>
      <c r="J470" s="7" t="str">
        <f t="shared" si="53"/>
        <v/>
      </c>
      <c r="K470" s="7" t="str">
        <f t="shared" si="54"/>
        <v/>
      </c>
      <c r="L470" s="7" t="str">
        <f t="shared" si="55"/>
        <v/>
      </c>
      <c r="M470" s="7" t="str">
        <f t="shared" si="56"/>
        <v/>
      </c>
      <c r="N470" s="7" t="str">
        <f t="shared" si="57"/>
        <v/>
      </c>
      <c r="O470" s="51" t="str">
        <f>IF(G470&gt;0,DT!AC470*I470+DT!AD470*J470+DT!AE470*K470+DT!AF470*L470+DT!AG470*M470+DT!AH470*N470,"")</f>
        <v/>
      </c>
      <c r="P470" s="15"/>
    </row>
    <row r="471" spans="1:16">
      <c r="A471" s="1"/>
      <c r="B471" s="1"/>
      <c r="C471" s="1"/>
      <c r="D471" s="1"/>
      <c r="E471" s="1"/>
      <c r="F471" s="1"/>
      <c r="G471" s="1">
        <f t="shared" si="58"/>
        <v>0</v>
      </c>
      <c r="I471" s="7" t="str">
        <f t="shared" si="52"/>
        <v/>
      </c>
      <c r="J471" s="7" t="str">
        <f t="shared" si="53"/>
        <v/>
      </c>
      <c r="K471" s="7" t="str">
        <f t="shared" si="54"/>
        <v/>
      </c>
      <c r="L471" s="7" t="str">
        <f t="shared" si="55"/>
        <v/>
      </c>
      <c r="M471" s="7" t="str">
        <f t="shared" si="56"/>
        <v/>
      </c>
      <c r="N471" s="7" t="str">
        <f t="shared" si="57"/>
        <v/>
      </c>
      <c r="O471" s="51" t="str">
        <f>IF(G471&gt;0,DT!AC471*I471+DT!AD471*J471+DT!AE471*K471+DT!AF471*L471+DT!AG471*M471+DT!AH471*N471,"")</f>
        <v/>
      </c>
      <c r="P471" s="15"/>
    </row>
    <row r="472" spans="1:16">
      <c r="A472" s="1"/>
      <c r="B472" s="1"/>
      <c r="C472" s="1"/>
      <c r="D472" s="1"/>
      <c r="E472" s="1"/>
      <c r="F472" s="1"/>
      <c r="G472" s="1">
        <f t="shared" si="58"/>
        <v>0</v>
      </c>
      <c r="I472" s="7" t="str">
        <f t="shared" si="52"/>
        <v/>
      </c>
      <c r="J472" s="7" t="str">
        <f t="shared" si="53"/>
        <v/>
      </c>
      <c r="K472" s="7" t="str">
        <f t="shared" si="54"/>
        <v/>
      </c>
      <c r="L472" s="7" t="str">
        <f t="shared" si="55"/>
        <v/>
      </c>
      <c r="M472" s="7" t="str">
        <f t="shared" si="56"/>
        <v/>
      </c>
      <c r="N472" s="7" t="str">
        <f t="shared" si="57"/>
        <v/>
      </c>
      <c r="O472" s="51" t="str">
        <f>IF(G472&gt;0,DT!AC472*I472+DT!AD472*J472+DT!AE472*K472+DT!AF472*L472+DT!AG472*M472+DT!AH472*N472,"")</f>
        <v/>
      </c>
      <c r="P472" s="15"/>
    </row>
    <row r="473" spans="1:16">
      <c r="A473" s="1"/>
      <c r="B473" s="1"/>
      <c r="C473" s="1"/>
      <c r="D473" s="1"/>
      <c r="E473" s="1"/>
      <c r="F473" s="1"/>
      <c r="G473" s="1">
        <f t="shared" si="58"/>
        <v>0</v>
      </c>
      <c r="I473" s="7" t="str">
        <f t="shared" si="52"/>
        <v/>
      </c>
      <c r="J473" s="7" t="str">
        <f t="shared" si="53"/>
        <v/>
      </c>
      <c r="K473" s="7" t="str">
        <f t="shared" si="54"/>
        <v/>
      </c>
      <c r="L473" s="7" t="str">
        <f t="shared" si="55"/>
        <v/>
      </c>
      <c r="M473" s="7" t="str">
        <f t="shared" si="56"/>
        <v/>
      </c>
      <c r="N473" s="7" t="str">
        <f t="shared" si="57"/>
        <v/>
      </c>
      <c r="O473" s="51" t="str">
        <f>IF(G473&gt;0,DT!AC473*I473+DT!AD473*J473+DT!AE473*K473+DT!AF473*L473+DT!AG473*M473+DT!AH473*N473,"")</f>
        <v/>
      </c>
      <c r="P473" s="15"/>
    </row>
    <row r="474" spans="1:16">
      <c r="A474" s="1"/>
      <c r="B474" s="1"/>
      <c r="C474" s="1"/>
      <c r="D474" s="1"/>
      <c r="E474" s="1"/>
      <c r="F474" s="1"/>
      <c r="G474" s="1">
        <f t="shared" si="58"/>
        <v>0</v>
      </c>
      <c r="I474" s="7" t="str">
        <f t="shared" si="52"/>
        <v/>
      </c>
      <c r="J474" s="7" t="str">
        <f t="shared" si="53"/>
        <v/>
      </c>
      <c r="K474" s="7" t="str">
        <f t="shared" si="54"/>
        <v/>
      </c>
      <c r="L474" s="7" t="str">
        <f t="shared" si="55"/>
        <v/>
      </c>
      <c r="M474" s="7" t="str">
        <f t="shared" si="56"/>
        <v/>
      </c>
      <c r="N474" s="7" t="str">
        <f t="shared" si="57"/>
        <v/>
      </c>
      <c r="O474" s="51" t="str">
        <f>IF(G474&gt;0,DT!AC474*I474+DT!AD474*J474+DT!AE474*K474+DT!AF474*L474+DT!AG474*M474+DT!AH474*N474,"")</f>
        <v/>
      </c>
      <c r="P474" s="15"/>
    </row>
    <row r="475" spans="1:16">
      <c r="A475" s="1"/>
      <c r="B475" s="1"/>
      <c r="C475" s="1"/>
      <c r="D475" s="1"/>
      <c r="E475" s="1"/>
      <c r="F475" s="1"/>
      <c r="G475" s="1">
        <f t="shared" si="58"/>
        <v>0</v>
      </c>
      <c r="I475" s="7" t="str">
        <f t="shared" si="52"/>
        <v/>
      </c>
      <c r="J475" s="7" t="str">
        <f t="shared" si="53"/>
        <v/>
      </c>
      <c r="K475" s="7" t="str">
        <f t="shared" si="54"/>
        <v/>
      </c>
      <c r="L475" s="7" t="str">
        <f t="shared" si="55"/>
        <v/>
      </c>
      <c r="M475" s="7" t="str">
        <f t="shared" si="56"/>
        <v/>
      </c>
      <c r="N475" s="7" t="str">
        <f t="shared" si="57"/>
        <v/>
      </c>
      <c r="O475" s="51" t="str">
        <f>IF(G475&gt;0,DT!AC475*I475+DT!AD475*J475+DT!AE475*K475+DT!AF475*L475+DT!AG475*M475+DT!AH475*N475,"")</f>
        <v/>
      </c>
      <c r="P475" s="15"/>
    </row>
    <row r="476" spans="1:16">
      <c r="A476" s="1"/>
      <c r="B476" s="1"/>
      <c r="C476" s="1"/>
      <c r="D476" s="1"/>
      <c r="E476" s="1"/>
      <c r="F476" s="1"/>
      <c r="G476" s="1">
        <f t="shared" si="58"/>
        <v>0</v>
      </c>
      <c r="I476" s="7" t="str">
        <f t="shared" si="52"/>
        <v/>
      </c>
      <c r="J476" s="7" t="str">
        <f t="shared" si="53"/>
        <v/>
      </c>
      <c r="K476" s="7" t="str">
        <f t="shared" si="54"/>
        <v/>
      </c>
      <c r="L476" s="7" t="str">
        <f t="shared" si="55"/>
        <v/>
      </c>
      <c r="M476" s="7" t="str">
        <f t="shared" si="56"/>
        <v/>
      </c>
      <c r="N476" s="7" t="str">
        <f t="shared" si="57"/>
        <v/>
      </c>
      <c r="O476" s="51" t="str">
        <f>IF(G476&gt;0,DT!AC476*I476+DT!AD476*J476+DT!AE476*K476+DT!AF476*L476+DT!AG476*M476+DT!AH476*N476,"")</f>
        <v/>
      </c>
      <c r="P476" s="15"/>
    </row>
    <row r="477" spans="1:16">
      <c r="A477" s="1"/>
      <c r="B477" s="1"/>
      <c r="C477" s="1"/>
      <c r="D477" s="1"/>
      <c r="E477" s="1"/>
      <c r="F477" s="1"/>
      <c r="G477" s="1">
        <f t="shared" si="58"/>
        <v>0</v>
      </c>
      <c r="I477" s="7" t="str">
        <f t="shared" si="52"/>
        <v/>
      </c>
      <c r="J477" s="7" t="str">
        <f t="shared" si="53"/>
        <v/>
      </c>
      <c r="K477" s="7" t="str">
        <f t="shared" si="54"/>
        <v/>
      </c>
      <c r="L477" s="7" t="str">
        <f t="shared" si="55"/>
        <v/>
      </c>
      <c r="M477" s="7" t="str">
        <f t="shared" si="56"/>
        <v/>
      </c>
      <c r="N477" s="7" t="str">
        <f t="shared" si="57"/>
        <v/>
      </c>
      <c r="O477" s="51" t="str">
        <f>IF(G477&gt;0,DT!AC477*I477+DT!AD477*J477+DT!AE477*K477+DT!AF477*L477+DT!AG477*M477+DT!AH477*N477,"")</f>
        <v/>
      </c>
      <c r="P477" s="15"/>
    </row>
    <row r="478" spans="1:16">
      <c r="A478" s="1"/>
      <c r="B478" s="1"/>
      <c r="C478" s="1"/>
      <c r="D478" s="1"/>
      <c r="E478" s="1"/>
      <c r="F478" s="1"/>
      <c r="G478" s="1">
        <f t="shared" si="58"/>
        <v>0</v>
      </c>
      <c r="I478" s="7" t="str">
        <f t="shared" si="52"/>
        <v/>
      </c>
      <c r="J478" s="7" t="str">
        <f t="shared" si="53"/>
        <v/>
      </c>
      <c r="K478" s="7" t="str">
        <f t="shared" si="54"/>
        <v/>
      </c>
      <c r="L478" s="7" t="str">
        <f t="shared" si="55"/>
        <v/>
      </c>
      <c r="M478" s="7" t="str">
        <f t="shared" si="56"/>
        <v/>
      </c>
      <c r="N478" s="7" t="str">
        <f t="shared" si="57"/>
        <v/>
      </c>
      <c r="O478" s="51" t="str">
        <f>IF(G478&gt;0,DT!AC478*I478+DT!AD478*J478+DT!AE478*K478+DT!AF478*L478+DT!AG478*M478+DT!AH478*N478,"")</f>
        <v/>
      </c>
      <c r="P478" s="15"/>
    </row>
    <row r="479" spans="1:16">
      <c r="A479" s="1"/>
      <c r="B479" s="1"/>
      <c r="C479" s="1"/>
      <c r="D479" s="1"/>
      <c r="E479" s="1"/>
      <c r="F479" s="1"/>
      <c r="G479" s="1">
        <f t="shared" si="58"/>
        <v>0</v>
      </c>
      <c r="I479" s="7" t="str">
        <f t="shared" si="52"/>
        <v/>
      </c>
      <c r="J479" s="7" t="str">
        <f t="shared" si="53"/>
        <v/>
      </c>
      <c r="K479" s="7" t="str">
        <f t="shared" si="54"/>
        <v/>
      </c>
      <c r="L479" s="7" t="str">
        <f t="shared" si="55"/>
        <v/>
      </c>
      <c r="M479" s="7" t="str">
        <f t="shared" si="56"/>
        <v/>
      </c>
      <c r="N479" s="7" t="str">
        <f t="shared" si="57"/>
        <v/>
      </c>
      <c r="O479" s="51" t="str">
        <f>IF(G479&gt;0,DT!AC479*I479+DT!AD479*J479+DT!AE479*K479+DT!AF479*L479+DT!AG479*M479+DT!AH479*N479,"")</f>
        <v/>
      </c>
      <c r="P479" s="15"/>
    </row>
    <row r="480" spans="1:16">
      <c r="A480" s="1"/>
      <c r="B480" s="1"/>
      <c r="C480" s="1"/>
      <c r="D480" s="1"/>
      <c r="E480" s="1"/>
      <c r="F480" s="1"/>
      <c r="G480" s="1">
        <f t="shared" si="58"/>
        <v>0</v>
      </c>
      <c r="I480" s="7" t="str">
        <f t="shared" si="52"/>
        <v/>
      </c>
      <c r="J480" s="7" t="str">
        <f t="shared" si="53"/>
        <v/>
      </c>
      <c r="K480" s="7" t="str">
        <f t="shared" si="54"/>
        <v/>
      </c>
      <c r="L480" s="7" t="str">
        <f t="shared" si="55"/>
        <v/>
      </c>
      <c r="M480" s="7" t="str">
        <f t="shared" si="56"/>
        <v/>
      </c>
      <c r="N480" s="7" t="str">
        <f t="shared" si="57"/>
        <v/>
      </c>
      <c r="O480" s="51" t="str">
        <f>IF(G480&gt;0,DT!AC480*I480+DT!AD480*J480+DT!AE480*K480+DT!AF480*L480+DT!AG480*M480+DT!AH480*N480,"")</f>
        <v/>
      </c>
      <c r="P480" s="15"/>
    </row>
    <row r="481" spans="1:16">
      <c r="A481" s="1"/>
      <c r="B481" s="1"/>
      <c r="C481" s="1"/>
      <c r="D481" s="1"/>
      <c r="E481" s="1"/>
      <c r="F481" s="1"/>
      <c r="G481" s="1">
        <f t="shared" si="58"/>
        <v>0</v>
      </c>
      <c r="I481" s="7" t="str">
        <f t="shared" si="52"/>
        <v/>
      </c>
      <c r="J481" s="7" t="str">
        <f t="shared" si="53"/>
        <v/>
      </c>
      <c r="K481" s="7" t="str">
        <f t="shared" si="54"/>
        <v/>
      </c>
      <c r="L481" s="7" t="str">
        <f t="shared" si="55"/>
        <v/>
      </c>
      <c r="M481" s="7" t="str">
        <f t="shared" si="56"/>
        <v/>
      </c>
      <c r="N481" s="7" t="str">
        <f t="shared" si="57"/>
        <v/>
      </c>
      <c r="O481" s="51" t="str">
        <f>IF(G481&gt;0,DT!AC481*I481+DT!AD481*J481+DT!AE481*K481+DT!AF481*L481+DT!AG481*M481+DT!AH481*N481,"")</f>
        <v/>
      </c>
      <c r="P481" s="15"/>
    </row>
    <row r="482" spans="1:16">
      <c r="A482" s="1"/>
      <c r="B482" s="1"/>
      <c r="C482" s="1"/>
      <c r="D482" s="1"/>
      <c r="E482" s="1"/>
      <c r="F482" s="1"/>
      <c r="G482" s="1">
        <f t="shared" si="58"/>
        <v>0</v>
      </c>
      <c r="I482" s="7" t="str">
        <f t="shared" si="52"/>
        <v/>
      </c>
      <c r="J482" s="7" t="str">
        <f t="shared" si="53"/>
        <v/>
      </c>
      <c r="K482" s="7" t="str">
        <f t="shared" si="54"/>
        <v/>
      </c>
      <c r="L482" s="7" t="str">
        <f t="shared" si="55"/>
        <v/>
      </c>
      <c r="M482" s="7" t="str">
        <f t="shared" si="56"/>
        <v/>
      </c>
      <c r="N482" s="7" t="str">
        <f t="shared" si="57"/>
        <v/>
      </c>
      <c r="O482" s="51" t="str">
        <f>IF(G482&gt;0,DT!AC482*I482+DT!AD482*J482+DT!AE482*K482+DT!AF482*L482+DT!AG482*M482+DT!AH482*N482,"")</f>
        <v/>
      </c>
      <c r="P482" s="15"/>
    </row>
    <row r="483" spans="1:16">
      <c r="A483" s="1"/>
      <c r="B483" s="1"/>
      <c r="C483" s="1"/>
      <c r="D483" s="1"/>
      <c r="E483" s="1"/>
      <c r="F483" s="1"/>
      <c r="G483" s="1">
        <f t="shared" si="58"/>
        <v>0</v>
      </c>
      <c r="I483" s="7" t="str">
        <f t="shared" si="52"/>
        <v/>
      </c>
      <c r="J483" s="7" t="str">
        <f t="shared" si="53"/>
        <v/>
      </c>
      <c r="K483" s="7" t="str">
        <f t="shared" si="54"/>
        <v/>
      </c>
      <c r="L483" s="7" t="str">
        <f t="shared" si="55"/>
        <v/>
      </c>
      <c r="M483" s="7" t="str">
        <f t="shared" si="56"/>
        <v/>
      </c>
      <c r="N483" s="7" t="str">
        <f t="shared" si="57"/>
        <v/>
      </c>
      <c r="O483" s="51" t="str">
        <f>IF(G483&gt;0,DT!AC483*I483+DT!AD483*J483+DT!AE483*K483+DT!AF483*L483+DT!AG483*M483+DT!AH483*N483,"")</f>
        <v/>
      </c>
      <c r="P483" s="15"/>
    </row>
    <row r="484" spans="1:16">
      <c r="A484" s="1"/>
      <c r="B484" s="1"/>
      <c r="C484" s="1"/>
      <c r="D484" s="1"/>
      <c r="E484" s="1"/>
      <c r="F484" s="1"/>
      <c r="G484" s="1">
        <f t="shared" si="58"/>
        <v>0</v>
      </c>
      <c r="I484" s="7" t="str">
        <f t="shared" si="52"/>
        <v/>
      </c>
      <c r="J484" s="7" t="str">
        <f t="shared" si="53"/>
        <v/>
      </c>
      <c r="K484" s="7" t="str">
        <f t="shared" si="54"/>
        <v/>
      </c>
      <c r="L484" s="7" t="str">
        <f t="shared" si="55"/>
        <v/>
      </c>
      <c r="M484" s="7" t="str">
        <f t="shared" si="56"/>
        <v/>
      </c>
      <c r="N484" s="7" t="str">
        <f t="shared" si="57"/>
        <v/>
      </c>
      <c r="O484" s="51" t="str">
        <f>IF(G484&gt;0,DT!AC484*I484+DT!AD484*J484+DT!AE484*K484+DT!AF484*L484+DT!AG484*M484+DT!AH484*N484,"")</f>
        <v/>
      </c>
      <c r="P484" s="15"/>
    </row>
    <row r="485" spans="1:16">
      <c r="A485" s="1"/>
      <c r="B485" s="1"/>
      <c r="C485" s="1"/>
      <c r="D485" s="1"/>
      <c r="E485" s="1"/>
      <c r="F485" s="1"/>
      <c r="G485" s="1">
        <f t="shared" si="58"/>
        <v>0</v>
      </c>
      <c r="I485" s="7" t="str">
        <f t="shared" si="52"/>
        <v/>
      </c>
      <c r="J485" s="7" t="str">
        <f t="shared" si="53"/>
        <v/>
      </c>
      <c r="K485" s="7" t="str">
        <f t="shared" si="54"/>
        <v/>
      </c>
      <c r="L485" s="7" t="str">
        <f t="shared" si="55"/>
        <v/>
      </c>
      <c r="M485" s="7" t="str">
        <f t="shared" si="56"/>
        <v/>
      </c>
      <c r="N485" s="7" t="str">
        <f t="shared" si="57"/>
        <v/>
      </c>
      <c r="O485" s="51" t="str">
        <f>IF(G485&gt;0,DT!AC485*I485+DT!AD485*J485+DT!AE485*K485+DT!AF485*L485+DT!AG485*M485+DT!AH485*N485,"")</f>
        <v/>
      </c>
      <c r="P485" s="15"/>
    </row>
    <row r="486" spans="1:16">
      <c r="A486" s="1"/>
      <c r="B486" s="1"/>
      <c r="C486" s="1"/>
      <c r="D486" s="1"/>
      <c r="E486" s="1"/>
      <c r="F486" s="1"/>
      <c r="G486" s="1">
        <f t="shared" si="58"/>
        <v>0</v>
      </c>
      <c r="I486" s="7" t="str">
        <f t="shared" si="52"/>
        <v/>
      </c>
      <c r="J486" s="7" t="str">
        <f t="shared" si="53"/>
        <v/>
      </c>
      <c r="K486" s="7" t="str">
        <f t="shared" si="54"/>
        <v/>
      </c>
      <c r="L486" s="7" t="str">
        <f t="shared" si="55"/>
        <v/>
      </c>
      <c r="M486" s="7" t="str">
        <f t="shared" si="56"/>
        <v/>
      </c>
      <c r="N486" s="7" t="str">
        <f t="shared" si="57"/>
        <v/>
      </c>
      <c r="O486" s="51" t="str">
        <f>IF(G486&gt;0,DT!AC486*I486+DT!AD486*J486+DT!AE486*K486+DT!AF486*L486+DT!AG486*M486+DT!AH486*N486,"")</f>
        <v/>
      </c>
      <c r="P486" s="15"/>
    </row>
    <row r="487" spans="1:16">
      <c r="A487" s="1"/>
      <c r="B487" s="1"/>
      <c r="C487" s="1"/>
      <c r="D487" s="1"/>
      <c r="E487" s="1"/>
      <c r="F487" s="1"/>
      <c r="G487" s="1">
        <f t="shared" si="58"/>
        <v>0</v>
      </c>
      <c r="I487" s="7" t="str">
        <f t="shared" si="52"/>
        <v/>
      </c>
      <c r="J487" s="7" t="str">
        <f t="shared" si="53"/>
        <v/>
      </c>
      <c r="K487" s="7" t="str">
        <f t="shared" si="54"/>
        <v/>
      </c>
      <c r="L487" s="7" t="str">
        <f t="shared" si="55"/>
        <v/>
      </c>
      <c r="M487" s="7" t="str">
        <f t="shared" si="56"/>
        <v/>
      </c>
      <c r="N487" s="7" t="str">
        <f t="shared" si="57"/>
        <v/>
      </c>
      <c r="O487" s="51" t="str">
        <f>IF(G487&gt;0,DT!AC487*I487+DT!AD487*J487+DT!AE487*K487+DT!AF487*L487+DT!AG487*M487+DT!AH487*N487,"")</f>
        <v/>
      </c>
      <c r="P487" s="15"/>
    </row>
    <row r="488" spans="1:16">
      <c r="A488" s="1"/>
      <c r="B488" s="1"/>
      <c r="C488" s="1"/>
      <c r="D488" s="1"/>
      <c r="E488" s="1"/>
      <c r="F488" s="1"/>
      <c r="G488" s="1">
        <f t="shared" si="58"/>
        <v>0</v>
      </c>
      <c r="I488" s="7" t="str">
        <f t="shared" si="52"/>
        <v/>
      </c>
      <c r="J488" s="7" t="str">
        <f t="shared" si="53"/>
        <v/>
      </c>
      <c r="K488" s="7" t="str">
        <f t="shared" si="54"/>
        <v/>
      </c>
      <c r="L488" s="7" t="str">
        <f t="shared" si="55"/>
        <v/>
      </c>
      <c r="M488" s="7" t="str">
        <f t="shared" si="56"/>
        <v/>
      </c>
      <c r="N488" s="7" t="str">
        <f t="shared" si="57"/>
        <v/>
      </c>
      <c r="O488" s="51" t="str">
        <f>IF(G488&gt;0,DT!AC488*I488+DT!AD488*J488+DT!AE488*K488+DT!AF488*L488+DT!AG488*M488+DT!AH488*N488,"")</f>
        <v/>
      </c>
      <c r="P488" s="15"/>
    </row>
    <row r="489" spans="1:16">
      <c r="A489" s="1"/>
      <c r="B489" s="1"/>
      <c r="C489" s="1"/>
      <c r="D489" s="1"/>
      <c r="E489" s="1"/>
      <c r="F489" s="1"/>
      <c r="G489" s="1">
        <f t="shared" si="58"/>
        <v>0</v>
      </c>
      <c r="I489" s="7" t="str">
        <f t="shared" si="52"/>
        <v/>
      </c>
      <c r="J489" s="7" t="str">
        <f t="shared" si="53"/>
        <v/>
      </c>
      <c r="K489" s="7" t="str">
        <f t="shared" si="54"/>
        <v/>
      </c>
      <c r="L489" s="7" t="str">
        <f t="shared" si="55"/>
        <v/>
      </c>
      <c r="M489" s="7" t="str">
        <f t="shared" si="56"/>
        <v/>
      </c>
      <c r="N489" s="7" t="str">
        <f t="shared" si="57"/>
        <v/>
      </c>
      <c r="O489" s="51" t="str">
        <f>IF(G489&gt;0,DT!AC489*I489+DT!AD489*J489+DT!AE489*K489+DT!AF489*L489+DT!AG489*M489+DT!AH489*N489,"")</f>
        <v/>
      </c>
      <c r="P489" s="15"/>
    </row>
    <row r="490" spans="1:16">
      <c r="A490" s="1"/>
      <c r="B490" s="1"/>
      <c r="C490" s="1"/>
      <c r="D490" s="1"/>
      <c r="E490" s="1"/>
      <c r="F490" s="1"/>
      <c r="G490" s="1">
        <f t="shared" si="58"/>
        <v>0</v>
      </c>
      <c r="I490" s="7" t="str">
        <f t="shared" si="52"/>
        <v/>
      </c>
      <c r="J490" s="7" t="str">
        <f t="shared" si="53"/>
        <v/>
      </c>
      <c r="K490" s="7" t="str">
        <f t="shared" si="54"/>
        <v/>
      </c>
      <c r="L490" s="7" t="str">
        <f t="shared" si="55"/>
        <v/>
      </c>
      <c r="M490" s="7" t="str">
        <f t="shared" si="56"/>
        <v/>
      </c>
      <c r="N490" s="7" t="str">
        <f t="shared" si="57"/>
        <v/>
      </c>
      <c r="O490" s="51" t="str">
        <f>IF(G490&gt;0,DT!AC490*I490+DT!AD490*J490+DT!AE490*K490+DT!AF490*L490+DT!AG490*M490+DT!AH490*N490,"")</f>
        <v/>
      </c>
      <c r="P490" s="15"/>
    </row>
    <row r="491" spans="1:16">
      <c r="A491" s="1"/>
      <c r="B491" s="1"/>
      <c r="C491" s="1"/>
      <c r="D491" s="1"/>
      <c r="E491" s="1"/>
      <c r="F491" s="1"/>
      <c r="G491" s="1">
        <f t="shared" si="58"/>
        <v>0</v>
      </c>
      <c r="I491" s="7" t="str">
        <f t="shared" si="52"/>
        <v/>
      </c>
      <c r="J491" s="7" t="str">
        <f t="shared" si="53"/>
        <v/>
      </c>
      <c r="K491" s="7" t="str">
        <f t="shared" si="54"/>
        <v/>
      </c>
      <c r="L491" s="7" t="str">
        <f t="shared" si="55"/>
        <v/>
      </c>
      <c r="M491" s="7" t="str">
        <f t="shared" si="56"/>
        <v/>
      </c>
      <c r="N491" s="7" t="str">
        <f t="shared" si="57"/>
        <v/>
      </c>
      <c r="O491" s="51" t="str">
        <f>IF(G491&gt;0,DT!AC491*I491+DT!AD491*J491+DT!AE491*K491+DT!AF491*L491+DT!AG491*M491+DT!AH491*N491,"")</f>
        <v/>
      </c>
      <c r="P491" s="15"/>
    </row>
    <row r="492" spans="1:16">
      <c r="A492" s="1"/>
      <c r="B492" s="1"/>
      <c r="C492" s="1"/>
      <c r="D492" s="1"/>
      <c r="E492" s="1"/>
      <c r="F492" s="1"/>
      <c r="G492" s="1">
        <f t="shared" si="58"/>
        <v>0</v>
      </c>
      <c r="I492" s="7" t="str">
        <f t="shared" si="52"/>
        <v/>
      </c>
      <c r="J492" s="7" t="str">
        <f t="shared" si="53"/>
        <v/>
      </c>
      <c r="K492" s="7" t="str">
        <f t="shared" si="54"/>
        <v/>
      </c>
      <c r="L492" s="7" t="str">
        <f t="shared" si="55"/>
        <v/>
      </c>
      <c r="M492" s="7" t="str">
        <f t="shared" si="56"/>
        <v/>
      </c>
      <c r="N492" s="7" t="str">
        <f t="shared" si="57"/>
        <v/>
      </c>
      <c r="O492" s="51" t="str">
        <f>IF(G492&gt;0,DT!AC492*I492+DT!AD492*J492+DT!AE492*K492+DT!AF492*L492+DT!AG492*M492+DT!AH492*N492,"")</f>
        <v/>
      </c>
      <c r="P492" s="15"/>
    </row>
    <row r="493" spans="1:16">
      <c r="A493" s="1"/>
      <c r="B493" s="1"/>
      <c r="C493" s="1"/>
      <c r="D493" s="1"/>
      <c r="E493" s="1"/>
      <c r="F493" s="1"/>
      <c r="G493" s="1">
        <f t="shared" si="58"/>
        <v>0</v>
      </c>
      <c r="I493" s="7" t="str">
        <f t="shared" si="52"/>
        <v/>
      </c>
      <c r="J493" s="7" t="str">
        <f t="shared" si="53"/>
        <v/>
      </c>
      <c r="K493" s="7" t="str">
        <f t="shared" si="54"/>
        <v/>
      </c>
      <c r="L493" s="7" t="str">
        <f t="shared" si="55"/>
        <v/>
      </c>
      <c r="M493" s="7" t="str">
        <f t="shared" si="56"/>
        <v/>
      </c>
      <c r="N493" s="7" t="str">
        <f t="shared" si="57"/>
        <v/>
      </c>
      <c r="O493" s="51" t="str">
        <f>IF(G493&gt;0,DT!AC493*I493+DT!AD493*J493+DT!AE493*K493+DT!AF493*L493+DT!AG493*M493+DT!AH493*N493,"")</f>
        <v/>
      </c>
      <c r="P493" s="15"/>
    </row>
    <row r="494" spans="1:16">
      <c r="A494" s="1"/>
      <c r="B494" s="1"/>
      <c r="C494" s="1"/>
      <c r="D494" s="1"/>
      <c r="E494" s="1"/>
      <c r="F494" s="1"/>
      <c r="G494" s="1">
        <f t="shared" si="58"/>
        <v>0</v>
      </c>
      <c r="I494" s="7" t="str">
        <f t="shared" si="52"/>
        <v/>
      </c>
      <c r="J494" s="7" t="str">
        <f t="shared" si="53"/>
        <v/>
      </c>
      <c r="K494" s="7" t="str">
        <f t="shared" si="54"/>
        <v/>
      </c>
      <c r="L494" s="7" t="str">
        <f t="shared" si="55"/>
        <v/>
      </c>
      <c r="M494" s="7" t="str">
        <f t="shared" si="56"/>
        <v/>
      </c>
      <c r="N494" s="7" t="str">
        <f t="shared" si="57"/>
        <v/>
      </c>
      <c r="O494" s="51" t="str">
        <f>IF(G494&gt;0,DT!AC494*I494+DT!AD494*J494+DT!AE494*K494+DT!AF494*L494+DT!AG494*M494+DT!AH494*N494,"")</f>
        <v/>
      </c>
      <c r="P494" s="15"/>
    </row>
    <row r="495" spans="1:16">
      <c r="A495" s="1"/>
      <c r="B495" s="1"/>
      <c r="C495" s="1"/>
      <c r="D495" s="1"/>
      <c r="E495" s="1"/>
      <c r="F495" s="1"/>
      <c r="G495" s="1">
        <f t="shared" si="58"/>
        <v>0</v>
      </c>
      <c r="I495" s="7" t="str">
        <f t="shared" si="52"/>
        <v/>
      </c>
      <c r="J495" s="7" t="str">
        <f t="shared" si="53"/>
        <v/>
      </c>
      <c r="K495" s="7" t="str">
        <f t="shared" si="54"/>
        <v/>
      </c>
      <c r="L495" s="7" t="str">
        <f t="shared" si="55"/>
        <v/>
      </c>
      <c r="M495" s="7" t="str">
        <f t="shared" si="56"/>
        <v/>
      </c>
      <c r="N495" s="7" t="str">
        <f t="shared" si="57"/>
        <v/>
      </c>
      <c r="O495" s="51" t="str">
        <f>IF(G495&gt;0,DT!AC495*I495+DT!AD495*J495+DT!AE495*K495+DT!AF495*L495+DT!AG495*M495+DT!AH495*N495,"")</f>
        <v/>
      </c>
      <c r="P495" s="15"/>
    </row>
    <row r="496" spans="1:16">
      <c r="A496" s="1"/>
      <c r="B496" s="1"/>
      <c r="C496" s="1"/>
      <c r="D496" s="1"/>
      <c r="E496" s="1"/>
      <c r="F496" s="1"/>
      <c r="G496" s="1">
        <f t="shared" si="58"/>
        <v>0</v>
      </c>
      <c r="I496" s="7" t="str">
        <f t="shared" si="52"/>
        <v/>
      </c>
      <c r="J496" s="7" t="str">
        <f t="shared" si="53"/>
        <v/>
      </c>
      <c r="K496" s="7" t="str">
        <f t="shared" si="54"/>
        <v/>
      </c>
      <c r="L496" s="7" t="str">
        <f t="shared" si="55"/>
        <v/>
      </c>
      <c r="M496" s="7" t="str">
        <f t="shared" si="56"/>
        <v/>
      </c>
      <c r="N496" s="7" t="str">
        <f t="shared" si="57"/>
        <v/>
      </c>
      <c r="O496" s="51" t="str">
        <f>IF(G496&gt;0,DT!AC496*I496+DT!AD496*J496+DT!AE496*K496+DT!AF496*L496+DT!AG496*M496+DT!AH496*N496,"")</f>
        <v/>
      </c>
      <c r="P496" s="15"/>
    </row>
    <row r="497" spans="1:16">
      <c r="A497" s="1"/>
      <c r="B497" s="1"/>
      <c r="C497" s="1"/>
      <c r="D497" s="1"/>
      <c r="E497" s="1"/>
      <c r="F497" s="1"/>
      <c r="G497" s="1">
        <f t="shared" si="58"/>
        <v>0</v>
      </c>
      <c r="I497" s="7" t="str">
        <f t="shared" si="52"/>
        <v/>
      </c>
      <c r="J497" s="7" t="str">
        <f t="shared" si="53"/>
        <v/>
      </c>
      <c r="K497" s="7" t="str">
        <f t="shared" si="54"/>
        <v/>
      </c>
      <c r="L497" s="7" t="str">
        <f t="shared" si="55"/>
        <v/>
      </c>
      <c r="M497" s="7" t="str">
        <f t="shared" si="56"/>
        <v/>
      </c>
      <c r="N497" s="7" t="str">
        <f t="shared" si="57"/>
        <v/>
      </c>
      <c r="O497" s="51" t="str">
        <f>IF(G497&gt;0,DT!AC497*I497+DT!AD497*J497+DT!AE497*K497+DT!AF497*L497+DT!AG497*M497+DT!AH497*N497,"")</f>
        <v/>
      </c>
      <c r="P497" s="15"/>
    </row>
    <row r="498" spans="1:16">
      <c r="A498" s="1"/>
      <c r="B498" s="1"/>
      <c r="C498" s="1"/>
      <c r="D498" s="1"/>
      <c r="E498" s="1"/>
      <c r="F498" s="1"/>
      <c r="G498" s="1">
        <f t="shared" si="58"/>
        <v>0</v>
      </c>
      <c r="I498" s="7" t="str">
        <f t="shared" si="52"/>
        <v/>
      </c>
      <c r="J498" s="7" t="str">
        <f t="shared" si="53"/>
        <v/>
      </c>
      <c r="K498" s="7" t="str">
        <f t="shared" si="54"/>
        <v/>
      </c>
      <c r="L498" s="7" t="str">
        <f t="shared" si="55"/>
        <v/>
      </c>
      <c r="M498" s="7" t="str">
        <f t="shared" si="56"/>
        <v/>
      </c>
      <c r="N498" s="7" t="str">
        <f t="shared" si="57"/>
        <v/>
      </c>
      <c r="O498" s="51" t="str">
        <f>IF(G498&gt;0,DT!AC498*I498+DT!AD498*J498+DT!AE498*K498+DT!AF498*L498+DT!AG498*M498+DT!AH498*N498,"")</f>
        <v/>
      </c>
      <c r="P498" s="15"/>
    </row>
    <row r="499" spans="1:16">
      <c r="A499" s="1"/>
      <c r="B499" s="1"/>
      <c r="C499" s="1"/>
      <c r="D499" s="1"/>
      <c r="E499" s="1"/>
      <c r="F499" s="1"/>
      <c r="G499" s="1">
        <f t="shared" si="58"/>
        <v>0</v>
      </c>
      <c r="I499" s="7" t="str">
        <f t="shared" si="52"/>
        <v/>
      </c>
      <c r="J499" s="7" t="str">
        <f t="shared" si="53"/>
        <v/>
      </c>
      <c r="K499" s="7" t="str">
        <f t="shared" si="54"/>
        <v/>
      </c>
      <c r="L499" s="7" t="str">
        <f t="shared" si="55"/>
        <v/>
      </c>
      <c r="M499" s="7" t="str">
        <f t="shared" si="56"/>
        <v/>
      </c>
      <c r="N499" s="7" t="str">
        <f t="shared" si="57"/>
        <v/>
      </c>
      <c r="O499" s="51" t="str">
        <f>IF(G499&gt;0,DT!AC499*I499+DT!AD499*J499+DT!AE499*K499+DT!AF499*L499+DT!AG499*M499+DT!AH499*N499,"")</f>
        <v/>
      </c>
      <c r="P499" s="15"/>
    </row>
    <row r="500" spans="1:16">
      <c r="A500" s="1"/>
      <c r="B500" s="1"/>
      <c r="C500" s="1"/>
      <c r="D500" s="1"/>
      <c r="E500" s="1"/>
      <c r="F500" s="1"/>
      <c r="G500" s="1">
        <f t="shared" si="58"/>
        <v>0</v>
      </c>
      <c r="I500" s="7" t="str">
        <f t="shared" ref="I500:I563" si="59">IF(G500&gt;0,A500/G500,"")</f>
        <v/>
      </c>
      <c r="J500" s="7" t="str">
        <f t="shared" ref="J500:J563" si="60">IF(G500&gt;0,B500/G500,"")</f>
        <v/>
      </c>
      <c r="K500" s="7" t="str">
        <f t="shared" ref="K500:K563" si="61">IF(G500&gt;0,C500/G500,"")</f>
        <v/>
      </c>
      <c r="L500" s="7" t="str">
        <f t="shared" ref="L500:L563" si="62">IF(G500&gt;0,D500/G500,"")</f>
        <v/>
      </c>
      <c r="M500" s="7" t="str">
        <f t="shared" ref="M500:M563" si="63">IF(G500&gt;0,E500/G500,"")</f>
        <v/>
      </c>
      <c r="N500" s="7" t="str">
        <f t="shared" ref="N500:N563" si="64">IF(G500&gt;0,F500/G500,"")</f>
        <v/>
      </c>
      <c r="O500" s="51" t="str">
        <f>IF(G500&gt;0,DT!AC500*I500+DT!AD500*J500+DT!AE500*K500+DT!AF500*L500+DT!AG500*M500+DT!AH500*N500,"")</f>
        <v/>
      </c>
      <c r="P500" s="15"/>
    </row>
    <row r="501" spans="1:16">
      <c r="A501" s="1"/>
      <c r="B501" s="1"/>
      <c r="C501" s="1"/>
      <c r="D501" s="1"/>
      <c r="E501" s="1"/>
      <c r="F501" s="1"/>
      <c r="G501" s="1">
        <f t="shared" si="58"/>
        <v>0</v>
      </c>
      <c r="I501" s="7" t="str">
        <f t="shared" si="59"/>
        <v/>
      </c>
      <c r="J501" s="7" t="str">
        <f t="shared" si="60"/>
        <v/>
      </c>
      <c r="K501" s="7" t="str">
        <f t="shared" si="61"/>
        <v/>
      </c>
      <c r="L501" s="7" t="str">
        <f t="shared" si="62"/>
        <v/>
      </c>
      <c r="M501" s="7" t="str">
        <f t="shared" si="63"/>
        <v/>
      </c>
      <c r="N501" s="7" t="str">
        <f t="shared" si="64"/>
        <v/>
      </c>
      <c r="O501" s="51" t="str">
        <f>IF(G501&gt;0,DT!AC501*I501+DT!AD501*J501+DT!AE501*K501+DT!AF501*L501+DT!AG501*M501+DT!AH501*N501,"")</f>
        <v/>
      </c>
      <c r="P501" s="15"/>
    </row>
    <row r="502" spans="1:16">
      <c r="A502" s="1"/>
      <c r="B502" s="1"/>
      <c r="C502" s="1"/>
      <c r="D502" s="1"/>
      <c r="E502" s="1"/>
      <c r="F502" s="1"/>
      <c r="G502" s="1">
        <f t="shared" si="58"/>
        <v>0</v>
      </c>
      <c r="I502" s="7" t="str">
        <f t="shared" si="59"/>
        <v/>
      </c>
      <c r="J502" s="7" t="str">
        <f t="shared" si="60"/>
        <v/>
      </c>
      <c r="K502" s="7" t="str">
        <f t="shared" si="61"/>
        <v/>
      </c>
      <c r="L502" s="7" t="str">
        <f t="shared" si="62"/>
        <v/>
      </c>
      <c r="M502" s="7" t="str">
        <f t="shared" si="63"/>
        <v/>
      </c>
      <c r="N502" s="7" t="str">
        <f t="shared" si="64"/>
        <v/>
      </c>
      <c r="O502" s="51" t="str">
        <f>IF(G502&gt;0,DT!AC502*I502+DT!AD502*J502+DT!AE502*K502+DT!AF502*L502+DT!AG502*M502+DT!AH502*N502,"")</f>
        <v/>
      </c>
      <c r="P502" s="15"/>
    </row>
    <row r="503" spans="1:16">
      <c r="A503" s="1"/>
      <c r="B503" s="1"/>
      <c r="C503" s="1"/>
      <c r="D503" s="1"/>
      <c r="E503" s="1"/>
      <c r="F503" s="1"/>
      <c r="G503" s="1">
        <f t="shared" si="58"/>
        <v>0</v>
      </c>
      <c r="I503" s="7" t="str">
        <f t="shared" si="59"/>
        <v/>
      </c>
      <c r="J503" s="7" t="str">
        <f t="shared" si="60"/>
        <v/>
      </c>
      <c r="K503" s="7" t="str">
        <f t="shared" si="61"/>
        <v/>
      </c>
      <c r="L503" s="7" t="str">
        <f t="shared" si="62"/>
        <v/>
      </c>
      <c r="M503" s="7" t="str">
        <f t="shared" si="63"/>
        <v/>
      </c>
      <c r="N503" s="7" t="str">
        <f t="shared" si="64"/>
        <v/>
      </c>
      <c r="O503" s="51" t="str">
        <f>IF(G503&gt;0,DT!AC503*I503+DT!AD503*J503+DT!AE503*K503+DT!AF503*L503+DT!AG503*M503+DT!AH503*N503,"")</f>
        <v/>
      </c>
      <c r="P503" s="15"/>
    </row>
    <row r="504" spans="1:16">
      <c r="A504" s="1"/>
      <c r="B504" s="1"/>
      <c r="C504" s="1"/>
      <c r="D504" s="1"/>
      <c r="E504" s="1"/>
      <c r="F504" s="1"/>
      <c r="G504" s="1">
        <f t="shared" si="58"/>
        <v>0</v>
      </c>
      <c r="I504" s="7" t="str">
        <f t="shared" si="59"/>
        <v/>
      </c>
      <c r="J504" s="7" t="str">
        <f t="shared" si="60"/>
        <v/>
      </c>
      <c r="K504" s="7" t="str">
        <f t="shared" si="61"/>
        <v/>
      </c>
      <c r="L504" s="7" t="str">
        <f t="shared" si="62"/>
        <v/>
      </c>
      <c r="M504" s="7" t="str">
        <f t="shared" si="63"/>
        <v/>
      </c>
      <c r="N504" s="7" t="str">
        <f t="shared" si="64"/>
        <v/>
      </c>
      <c r="O504" s="51" t="str">
        <f>IF(G504&gt;0,DT!AC504*I504+DT!AD504*J504+DT!AE504*K504+DT!AF504*L504+DT!AG504*M504+DT!AH504*N504,"")</f>
        <v/>
      </c>
      <c r="P504" s="15"/>
    </row>
    <row r="505" spans="1:16">
      <c r="A505" s="1"/>
      <c r="B505" s="1"/>
      <c r="C505" s="1"/>
      <c r="D505" s="1"/>
      <c r="E505" s="1"/>
      <c r="F505" s="1"/>
      <c r="G505" s="1">
        <f t="shared" si="58"/>
        <v>0</v>
      </c>
      <c r="I505" s="7" t="str">
        <f t="shared" si="59"/>
        <v/>
      </c>
      <c r="J505" s="7" t="str">
        <f t="shared" si="60"/>
        <v/>
      </c>
      <c r="K505" s="7" t="str">
        <f t="shared" si="61"/>
        <v/>
      </c>
      <c r="L505" s="7" t="str">
        <f t="shared" si="62"/>
        <v/>
      </c>
      <c r="M505" s="7" t="str">
        <f t="shared" si="63"/>
        <v/>
      </c>
      <c r="N505" s="7" t="str">
        <f t="shared" si="64"/>
        <v/>
      </c>
      <c r="O505" s="51" t="str">
        <f>IF(G505&gt;0,DT!AC505*I505+DT!AD505*J505+DT!AE505*K505+DT!AF505*L505+DT!AG505*M505+DT!AH505*N505,"")</f>
        <v/>
      </c>
      <c r="P505" s="15"/>
    </row>
    <row r="506" spans="1:16">
      <c r="A506" s="1"/>
      <c r="B506" s="1"/>
      <c r="C506" s="1"/>
      <c r="D506" s="1"/>
      <c r="E506" s="1"/>
      <c r="F506" s="1"/>
      <c r="G506" s="1">
        <f t="shared" si="58"/>
        <v>0</v>
      </c>
      <c r="I506" s="7" t="str">
        <f t="shared" si="59"/>
        <v/>
      </c>
      <c r="J506" s="7" t="str">
        <f t="shared" si="60"/>
        <v/>
      </c>
      <c r="K506" s="7" t="str">
        <f t="shared" si="61"/>
        <v/>
      </c>
      <c r="L506" s="7" t="str">
        <f t="shared" si="62"/>
        <v/>
      </c>
      <c r="M506" s="7" t="str">
        <f t="shared" si="63"/>
        <v/>
      </c>
      <c r="N506" s="7" t="str">
        <f t="shared" si="64"/>
        <v/>
      </c>
      <c r="O506" s="51" t="str">
        <f>IF(G506&gt;0,DT!AC506*I506+DT!AD506*J506+DT!AE506*K506+DT!AF506*L506+DT!AG506*M506+DT!AH506*N506,"")</f>
        <v/>
      </c>
      <c r="P506" s="15"/>
    </row>
    <row r="507" spans="1:16">
      <c r="A507" s="1"/>
      <c r="B507" s="1"/>
      <c r="C507" s="1"/>
      <c r="D507" s="1"/>
      <c r="E507" s="1"/>
      <c r="F507" s="1"/>
      <c r="G507" s="1">
        <f t="shared" si="58"/>
        <v>0</v>
      </c>
      <c r="I507" s="7" t="str">
        <f t="shared" si="59"/>
        <v/>
      </c>
      <c r="J507" s="7" t="str">
        <f t="shared" si="60"/>
        <v/>
      </c>
      <c r="K507" s="7" t="str">
        <f t="shared" si="61"/>
        <v/>
      </c>
      <c r="L507" s="7" t="str">
        <f t="shared" si="62"/>
        <v/>
      </c>
      <c r="M507" s="7" t="str">
        <f t="shared" si="63"/>
        <v/>
      </c>
      <c r="N507" s="7" t="str">
        <f t="shared" si="64"/>
        <v/>
      </c>
      <c r="O507" s="51" t="str">
        <f>IF(G507&gt;0,DT!AC507*I507+DT!AD507*J507+DT!AE507*K507+DT!AF507*L507+DT!AG507*M507+DT!AH507*N507,"")</f>
        <v/>
      </c>
      <c r="P507" s="15"/>
    </row>
    <row r="508" spans="1:16">
      <c r="A508" s="1"/>
      <c r="B508" s="1"/>
      <c r="C508" s="1"/>
      <c r="D508" s="1"/>
      <c r="E508" s="1"/>
      <c r="F508" s="1"/>
      <c r="G508" s="1">
        <f t="shared" si="58"/>
        <v>0</v>
      </c>
      <c r="I508" s="7" t="str">
        <f t="shared" si="59"/>
        <v/>
      </c>
      <c r="J508" s="7" t="str">
        <f t="shared" si="60"/>
        <v/>
      </c>
      <c r="K508" s="7" t="str">
        <f t="shared" si="61"/>
        <v/>
      </c>
      <c r="L508" s="7" t="str">
        <f t="shared" si="62"/>
        <v/>
      </c>
      <c r="M508" s="7" t="str">
        <f t="shared" si="63"/>
        <v/>
      </c>
      <c r="N508" s="7" t="str">
        <f t="shared" si="64"/>
        <v/>
      </c>
      <c r="O508" s="51" t="str">
        <f>IF(G508&gt;0,DT!AC508*I508+DT!AD508*J508+DT!AE508*K508+DT!AF508*L508+DT!AG508*M508+DT!AH508*N508,"")</f>
        <v/>
      </c>
      <c r="P508" s="15"/>
    </row>
    <row r="509" spans="1:16">
      <c r="A509" s="1"/>
      <c r="B509" s="1"/>
      <c r="C509" s="1"/>
      <c r="D509" s="1"/>
      <c r="E509" s="1"/>
      <c r="F509" s="1"/>
      <c r="G509" s="1">
        <f t="shared" si="58"/>
        <v>0</v>
      </c>
      <c r="I509" s="7" t="str">
        <f t="shared" si="59"/>
        <v/>
      </c>
      <c r="J509" s="7" t="str">
        <f t="shared" si="60"/>
        <v/>
      </c>
      <c r="K509" s="7" t="str">
        <f t="shared" si="61"/>
        <v/>
      </c>
      <c r="L509" s="7" t="str">
        <f t="shared" si="62"/>
        <v/>
      </c>
      <c r="M509" s="7" t="str">
        <f t="shared" si="63"/>
        <v/>
      </c>
      <c r="N509" s="7" t="str">
        <f t="shared" si="64"/>
        <v/>
      </c>
      <c r="O509" s="51" t="str">
        <f>IF(G509&gt;0,DT!AC509*I509+DT!AD509*J509+DT!AE509*K509+DT!AF509*L509+DT!AG509*M509+DT!AH509*N509,"")</f>
        <v/>
      </c>
      <c r="P509" s="15"/>
    </row>
    <row r="510" spans="1:16">
      <c r="A510" s="1"/>
      <c r="B510" s="1"/>
      <c r="C510" s="1"/>
      <c r="D510" s="1"/>
      <c r="E510" s="1"/>
      <c r="F510" s="1"/>
      <c r="G510" s="1">
        <f t="shared" si="58"/>
        <v>0</v>
      </c>
      <c r="I510" s="7" t="str">
        <f t="shared" si="59"/>
        <v/>
      </c>
      <c r="J510" s="7" t="str">
        <f t="shared" si="60"/>
        <v/>
      </c>
      <c r="K510" s="7" t="str">
        <f t="shared" si="61"/>
        <v/>
      </c>
      <c r="L510" s="7" t="str">
        <f t="shared" si="62"/>
        <v/>
      </c>
      <c r="M510" s="7" t="str">
        <f t="shared" si="63"/>
        <v/>
      </c>
      <c r="N510" s="7" t="str">
        <f t="shared" si="64"/>
        <v/>
      </c>
      <c r="O510" s="51" t="str">
        <f>IF(G510&gt;0,DT!AC510*I510+DT!AD510*J510+DT!AE510*K510+DT!AF510*L510+DT!AG510*M510+DT!AH510*N510,"")</f>
        <v/>
      </c>
      <c r="P510" s="15"/>
    </row>
    <row r="511" spans="1:16">
      <c r="A511" s="1"/>
      <c r="B511" s="1"/>
      <c r="C511" s="1"/>
      <c r="D511" s="1"/>
      <c r="E511" s="1"/>
      <c r="F511" s="1"/>
      <c r="G511" s="1">
        <f t="shared" si="58"/>
        <v>0</v>
      </c>
      <c r="I511" s="7" t="str">
        <f t="shared" si="59"/>
        <v/>
      </c>
      <c r="J511" s="7" t="str">
        <f t="shared" si="60"/>
        <v/>
      </c>
      <c r="K511" s="7" t="str">
        <f t="shared" si="61"/>
        <v/>
      </c>
      <c r="L511" s="7" t="str">
        <f t="shared" si="62"/>
        <v/>
      </c>
      <c r="M511" s="7" t="str">
        <f t="shared" si="63"/>
        <v/>
      </c>
      <c r="N511" s="7" t="str">
        <f t="shared" si="64"/>
        <v/>
      </c>
      <c r="O511" s="51" t="str">
        <f>IF(G511&gt;0,DT!AC511*I511+DT!AD511*J511+DT!AE511*K511+DT!AF511*L511+DT!AG511*M511+DT!AH511*N511,"")</f>
        <v/>
      </c>
      <c r="P511" s="15"/>
    </row>
    <row r="512" spans="1:16">
      <c r="A512" s="1"/>
      <c r="B512" s="1"/>
      <c r="C512" s="1"/>
      <c r="D512" s="1"/>
      <c r="E512" s="1"/>
      <c r="F512" s="1"/>
      <c r="G512" s="1">
        <f t="shared" si="58"/>
        <v>0</v>
      </c>
      <c r="I512" s="7" t="str">
        <f t="shared" si="59"/>
        <v/>
      </c>
      <c r="J512" s="7" t="str">
        <f t="shared" si="60"/>
        <v/>
      </c>
      <c r="K512" s="7" t="str">
        <f t="shared" si="61"/>
        <v/>
      </c>
      <c r="L512" s="7" t="str">
        <f t="shared" si="62"/>
        <v/>
      </c>
      <c r="M512" s="7" t="str">
        <f t="shared" si="63"/>
        <v/>
      </c>
      <c r="N512" s="7" t="str">
        <f t="shared" si="64"/>
        <v/>
      </c>
      <c r="O512" s="51" t="str">
        <f>IF(G512&gt;0,DT!AC512*I512+DT!AD512*J512+DT!AE512*K512+DT!AF512*L512+DT!AG512*M512+DT!AH512*N512,"")</f>
        <v/>
      </c>
      <c r="P512" s="15"/>
    </row>
    <row r="513" spans="1:16">
      <c r="A513" s="1"/>
      <c r="B513" s="1"/>
      <c r="C513" s="1"/>
      <c r="D513" s="1"/>
      <c r="E513" s="1"/>
      <c r="F513" s="1"/>
      <c r="G513" s="1">
        <f t="shared" si="58"/>
        <v>0</v>
      </c>
      <c r="I513" s="7" t="str">
        <f t="shared" si="59"/>
        <v/>
      </c>
      <c r="J513" s="7" t="str">
        <f t="shared" si="60"/>
        <v/>
      </c>
      <c r="K513" s="7" t="str">
        <f t="shared" si="61"/>
        <v/>
      </c>
      <c r="L513" s="7" t="str">
        <f t="shared" si="62"/>
        <v/>
      </c>
      <c r="M513" s="7" t="str">
        <f t="shared" si="63"/>
        <v/>
      </c>
      <c r="N513" s="7" t="str">
        <f t="shared" si="64"/>
        <v/>
      </c>
      <c r="O513" s="51" t="str">
        <f>IF(G513&gt;0,DT!AC513*I513+DT!AD513*J513+DT!AE513*K513+DT!AF513*L513+DT!AG513*M513+DT!AH513*N513,"")</f>
        <v/>
      </c>
      <c r="P513" s="15"/>
    </row>
    <row r="514" spans="1:16">
      <c r="A514" s="1"/>
      <c r="B514" s="1"/>
      <c r="C514" s="1"/>
      <c r="D514" s="1"/>
      <c r="E514" s="1"/>
      <c r="F514" s="1"/>
      <c r="G514" s="1">
        <f t="shared" si="58"/>
        <v>0</v>
      </c>
      <c r="I514" s="7" t="str">
        <f t="shared" si="59"/>
        <v/>
      </c>
      <c r="J514" s="7" t="str">
        <f t="shared" si="60"/>
        <v/>
      </c>
      <c r="K514" s="7" t="str">
        <f t="shared" si="61"/>
        <v/>
      </c>
      <c r="L514" s="7" t="str">
        <f t="shared" si="62"/>
        <v/>
      </c>
      <c r="M514" s="7" t="str">
        <f t="shared" si="63"/>
        <v/>
      </c>
      <c r="N514" s="7" t="str">
        <f t="shared" si="64"/>
        <v/>
      </c>
      <c r="O514" s="51" t="str">
        <f>IF(G514&gt;0,DT!AC514*I514+DT!AD514*J514+DT!AE514*K514+DT!AF514*L514+DT!AG514*M514+DT!AH514*N514,"")</f>
        <v/>
      </c>
      <c r="P514" s="15"/>
    </row>
    <row r="515" spans="1:16">
      <c r="A515" s="1"/>
      <c r="B515" s="1"/>
      <c r="C515" s="1"/>
      <c r="D515" s="1"/>
      <c r="E515" s="1"/>
      <c r="F515" s="1"/>
      <c r="G515" s="1">
        <f t="shared" si="58"/>
        <v>0</v>
      </c>
      <c r="I515" s="7" t="str">
        <f t="shared" si="59"/>
        <v/>
      </c>
      <c r="J515" s="7" t="str">
        <f t="shared" si="60"/>
        <v/>
      </c>
      <c r="K515" s="7" t="str">
        <f t="shared" si="61"/>
        <v/>
      </c>
      <c r="L515" s="7" t="str">
        <f t="shared" si="62"/>
        <v/>
      </c>
      <c r="M515" s="7" t="str">
        <f t="shared" si="63"/>
        <v/>
      </c>
      <c r="N515" s="7" t="str">
        <f t="shared" si="64"/>
        <v/>
      </c>
      <c r="O515" s="51" t="str">
        <f>IF(G515&gt;0,DT!AC515*I515+DT!AD515*J515+DT!AE515*K515+DT!AF515*L515+DT!AG515*M515+DT!AH515*N515,"")</f>
        <v/>
      </c>
      <c r="P515" s="15"/>
    </row>
    <row r="516" spans="1:16">
      <c r="A516" s="1"/>
      <c r="B516" s="1"/>
      <c r="C516" s="1"/>
      <c r="D516" s="1"/>
      <c r="E516" s="1"/>
      <c r="F516" s="1"/>
      <c r="G516" s="1">
        <f t="shared" si="58"/>
        <v>0</v>
      </c>
      <c r="I516" s="7" t="str">
        <f t="shared" si="59"/>
        <v/>
      </c>
      <c r="J516" s="7" t="str">
        <f t="shared" si="60"/>
        <v/>
      </c>
      <c r="K516" s="7" t="str">
        <f t="shared" si="61"/>
        <v/>
      </c>
      <c r="L516" s="7" t="str">
        <f t="shared" si="62"/>
        <v/>
      </c>
      <c r="M516" s="7" t="str">
        <f t="shared" si="63"/>
        <v/>
      </c>
      <c r="N516" s="7" t="str">
        <f t="shared" si="64"/>
        <v/>
      </c>
      <c r="O516" s="51" t="str">
        <f>IF(G516&gt;0,DT!AC516*I516+DT!AD516*J516+DT!AE516*K516+DT!AF516*L516+DT!AG516*M516+DT!AH516*N516,"")</f>
        <v/>
      </c>
      <c r="P516" s="15"/>
    </row>
    <row r="517" spans="1:16">
      <c r="A517" s="1"/>
      <c r="B517" s="1"/>
      <c r="C517" s="1"/>
      <c r="D517" s="1"/>
      <c r="E517" s="1"/>
      <c r="F517" s="1"/>
      <c r="G517" s="1">
        <f t="shared" ref="G517:G580" si="65">SUM(A517:F517)</f>
        <v>0</v>
      </c>
      <c r="I517" s="7" t="str">
        <f t="shared" si="59"/>
        <v/>
      </c>
      <c r="J517" s="7" t="str">
        <f t="shared" si="60"/>
        <v/>
      </c>
      <c r="K517" s="7" t="str">
        <f t="shared" si="61"/>
        <v/>
      </c>
      <c r="L517" s="7" t="str">
        <f t="shared" si="62"/>
        <v/>
      </c>
      <c r="M517" s="7" t="str">
        <f t="shared" si="63"/>
        <v/>
      </c>
      <c r="N517" s="7" t="str">
        <f t="shared" si="64"/>
        <v/>
      </c>
      <c r="O517" s="51" t="str">
        <f>IF(G517&gt;0,DT!AC517*I517+DT!AD517*J517+DT!AE517*K517+DT!AF517*L517+DT!AG517*M517+DT!AH517*N517,"")</f>
        <v/>
      </c>
      <c r="P517" s="15"/>
    </row>
    <row r="518" spans="1:16">
      <c r="A518" s="1"/>
      <c r="B518" s="1"/>
      <c r="C518" s="1"/>
      <c r="D518" s="1"/>
      <c r="E518" s="1"/>
      <c r="F518" s="1"/>
      <c r="G518" s="1">
        <f t="shared" si="65"/>
        <v>0</v>
      </c>
      <c r="I518" s="7" t="str">
        <f t="shared" si="59"/>
        <v/>
      </c>
      <c r="J518" s="7" t="str">
        <f t="shared" si="60"/>
        <v/>
      </c>
      <c r="K518" s="7" t="str">
        <f t="shared" si="61"/>
        <v/>
      </c>
      <c r="L518" s="7" t="str">
        <f t="shared" si="62"/>
        <v/>
      </c>
      <c r="M518" s="7" t="str">
        <f t="shared" si="63"/>
        <v/>
      </c>
      <c r="N518" s="7" t="str">
        <f t="shared" si="64"/>
        <v/>
      </c>
      <c r="O518" s="51" t="str">
        <f>IF(G518&gt;0,DT!AC518*I518+DT!AD518*J518+DT!AE518*K518+DT!AF518*L518+DT!AG518*M518+DT!AH518*N518,"")</f>
        <v/>
      </c>
      <c r="P518" s="15"/>
    </row>
    <row r="519" spans="1:16">
      <c r="A519" s="1"/>
      <c r="B519" s="1"/>
      <c r="C519" s="1"/>
      <c r="D519" s="1"/>
      <c r="E519" s="1"/>
      <c r="F519" s="1"/>
      <c r="G519" s="1">
        <f t="shared" si="65"/>
        <v>0</v>
      </c>
      <c r="I519" s="7" t="str">
        <f t="shared" si="59"/>
        <v/>
      </c>
      <c r="J519" s="7" t="str">
        <f t="shared" si="60"/>
        <v/>
      </c>
      <c r="K519" s="7" t="str">
        <f t="shared" si="61"/>
        <v/>
      </c>
      <c r="L519" s="7" t="str">
        <f t="shared" si="62"/>
        <v/>
      </c>
      <c r="M519" s="7" t="str">
        <f t="shared" si="63"/>
        <v/>
      </c>
      <c r="N519" s="7" t="str">
        <f t="shared" si="64"/>
        <v/>
      </c>
      <c r="O519" s="51" t="str">
        <f>IF(G519&gt;0,DT!AC519*I519+DT!AD519*J519+DT!AE519*K519+DT!AF519*L519+DT!AG519*M519+DT!AH519*N519,"")</f>
        <v/>
      </c>
      <c r="P519" s="15"/>
    </row>
    <row r="520" spans="1:16">
      <c r="A520" s="1"/>
      <c r="B520" s="1"/>
      <c r="C520" s="1"/>
      <c r="D520" s="1"/>
      <c r="E520" s="1"/>
      <c r="F520" s="1"/>
      <c r="G520" s="1">
        <f t="shared" si="65"/>
        <v>0</v>
      </c>
      <c r="I520" s="7" t="str">
        <f t="shared" si="59"/>
        <v/>
      </c>
      <c r="J520" s="7" t="str">
        <f t="shared" si="60"/>
        <v/>
      </c>
      <c r="K520" s="7" t="str">
        <f t="shared" si="61"/>
        <v/>
      </c>
      <c r="L520" s="7" t="str">
        <f t="shared" si="62"/>
        <v/>
      </c>
      <c r="M520" s="7" t="str">
        <f t="shared" si="63"/>
        <v/>
      </c>
      <c r="N520" s="7" t="str">
        <f t="shared" si="64"/>
        <v/>
      </c>
      <c r="O520" s="51" t="str">
        <f>IF(G520&gt;0,DT!AC520*I520+DT!AD520*J520+DT!AE520*K520+DT!AF520*L520+DT!AG520*M520+DT!AH520*N520,"")</f>
        <v/>
      </c>
      <c r="P520" s="15"/>
    </row>
    <row r="521" spans="1:16">
      <c r="A521" s="1"/>
      <c r="B521" s="1"/>
      <c r="C521" s="1"/>
      <c r="D521" s="1"/>
      <c r="E521" s="1"/>
      <c r="F521" s="1"/>
      <c r="G521" s="1">
        <f t="shared" si="65"/>
        <v>0</v>
      </c>
      <c r="I521" s="7" t="str">
        <f t="shared" si="59"/>
        <v/>
      </c>
      <c r="J521" s="7" t="str">
        <f t="shared" si="60"/>
        <v/>
      </c>
      <c r="K521" s="7" t="str">
        <f t="shared" si="61"/>
        <v/>
      </c>
      <c r="L521" s="7" t="str">
        <f t="shared" si="62"/>
        <v/>
      </c>
      <c r="M521" s="7" t="str">
        <f t="shared" si="63"/>
        <v/>
      </c>
      <c r="N521" s="7" t="str">
        <f t="shared" si="64"/>
        <v/>
      </c>
      <c r="O521" s="51" t="str">
        <f>IF(G521&gt;0,DT!AC521*I521+DT!AD521*J521+DT!AE521*K521+DT!AF521*L521+DT!AG521*M521+DT!AH521*N521,"")</f>
        <v/>
      </c>
      <c r="P521" s="15"/>
    </row>
    <row r="522" spans="1:16">
      <c r="A522" s="1"/>
      <c r="B522" s="1"/>
      <c r="C522" s="1"/>
      <c r="D522" s="1"/>
      <c r="E522" s="1"/>
      <c r="F522" s="1"/>
      <c r="G522" s="1">
        <f t="shared" si="65"/>
        <v>0</v>
      </c>
      <c r="I522" s="7" t="str">
        <f t="shared" si="59"/>
        <v/>
      </c>
      <c r="J522" s="7" t="str">
        <f t="shared" si="60"/>
        <v/>
      </c>
      <c r="K522" s="7" t="str">
        <f t="shared" si="61"/>
        <v/>
      </c>
      <c r="L522" s="7" t="str">
        <f t="shared" si="62"/>
        <v/>
      </c>
      <c r="M522" s="7" t="str">
        <f t="shared" si="63"/>
        <v/>
      </c>
      <c r="N522" s="7" t="str">
        <f t="shared" si="64"/>
        <v/>
      </c>
      <c r="O522" s="51" t="str">
        <f>IF(G522&gt;0,DT!AC522*I522+DT!AD522*J522+DT!AE522*K522+DT!AF522*L522+DT!AG522*M522+DT!AH522*N522,"")</f>
        <v/>
      </c>
      <c r="P522" s="15"/>
    </row>
    <row r="523" spans="1:16">
      <c r="A523" s="1"/>
      <c r="B523" s="1"/>
      <c r="C523" s="1"/>
      <c r="D523" s="1"/>
      <c r="E523" s="1"/>
      <c r="F523" s="1"/>
      <c r="G523" s="1">
        <f t="shared" si="65"/>
        <v>0</v>
      </c>
      <c r="I523" s="7" t="str">
        <f t="shared" si="59"/>
        <v/>
      </c>
      <c r="J523" s="7" t="str">
        <f t="shared" si="60"/>
        <v/>
      </c>
      <c r="K523" s="7" t="str">
        <f t="shared" si="61"/>
        <v/>
      </c>
      <c r="L523" s="7" t="str">
        <f t="shared" si="62"/>
        <v/>
      </c>
      <c r="M523" s="7" t="str">
        <f t="shared" si="63"/>
        <v/>
      </c>
      <c r="N523" s="7" t="str">
        <f t="shared" si="64"/>
        <v/>
      </c>
      <c r="O523" s="51" t="str">
        <f>IF(G523&gt;0,DT!AC523*I523+DT!AD523*J523+DT!AE523*K523+DT!AF523*L523+DT!AG523*M523+DT!AH523*N523,"")</f>
        <v/>
      </c>
      <c r="P523" s="15"/>
    </row>
    <row r="524" spans="1:16">
      <c r="A524" s="1"/>
      <c r="B524" s="1"/>
      <c r="C524" s="1"/>
      <c r="D524" s="1"/>
      <c r="E524" s="1"/>
      <c r="F524" s="1"/>
      <c r="G524" s="1">
        <f t="shared" si="65"/>
        <v>0</v>
      </c>
      <c r="I524" s="7" t="str">
        <f t="shared" si="59"/>
        <v/>
      </c>
      <c r="J524" s="7" t="str">
        <f t="shared" si="60"/>
        <v/>
      </c>
      <c r="K524" s="7" t="str">
        <f t="shared" si="61"/>
        <v/>
      </c>
      <c r="L524" s="7" t="str">
        <f t="shared" si="62"/>
        <v/>
      </c>
      <c r="M524" s="7" t="str">
        <f t="shared" si="63"/>
        <v/>
      </c>
      <c r="N524" s="7" t="str">
        <f t="shared" si="64"/>
        <v/>
      </c>
      <c r="O524" s="51" t="str">
        <f>IF(G524&gt;0,DT!AC524*I524+DT!AD524*J524+DT!AE524*K524+DT!AF524*L524+DT!AG524*M524+DT!AH524*N524,"")</f>
        <v/>
      </c>
      <c r="P524" s="15"/>
    </row>
    <row r="525" spans="1:16">
      <c r="A525" s="1"/>
      <c r="B525" s="1"/>
      <c r="C525" s="1"/>
      <c r="D525" s="1"/>
      <c r="E525" s="1"/>
      <c r="F525" s="1"/>
      <c r="G525" s="1">
        <f t="shared" si="65"/>
        <v>0</v>
      </c>
      <c r="I525" s="7" t="str">
        <f t="shared" si="59"/>
        <v/>
      </c>
      <c r="J525" s="7" t="str">
        <f t="shared" si="60"/>
        <v/>
      </c>
      <c r="K525" s="7" t="str">
        <f t="shared" si="61"/>
        <v/>
      </c>
      <c r="L525" s="7" t="str">
        <f t="shared" si="62"/>
        <v/>
      </c>
      <c r="M525" s="7" t="str">
        <f t="shared" si="63"/>
        <v/>
      </c>
      <c r="N525" s="7" t="str">
        <f t="shared" si="64"/>
        <v/>
      </c>
      <c r="O525" s="51" t="str">
        <f>IF(G525&gt;0,DT!AC525*I525+DT!AD525*J525+DT!AE525*K525+DT!AF525*L525+DT!AG525*M525+DT!AH525*N525,"")</f>
        <v/>
      </c>
      <c r="P525" s="15"/>
    </row>
    <row r="526" spans="1:16">
      <c r="A526" s="1"/>
      <c r="B526" s="1"/>
      <c r="C526" s="1"/>
      <c r="D526" s="1"/>
      <c r="E526" s="1"/>
      <c r="F526" s="1"/>
      <c r="G526" s="1">
        <f t="shared" si="65"/>
        <v>0</v>
      </c>
      <c r="I526" s="7" t="str">
        <f t="shared" si="59"/>
        <v/>
      </c>
      <c r="J526" s="7" t="str">
        <f t="shared" si="60"/>
        <v/>
      </c>
      <c r="K526" s="7" t="str">
        <f t="shared" si="61"/>
        <v/>
      </c>
      <c r="L526" s="7" t="str">
        <f t="shared" si="62"/>
        <v/>
      </c>
      <c r="M526" s="7" t="str">
        <f t="shared" si="63"/>
        <v/>
      </c>
      <c r="N526" s="7" t="str">
        <f t="shared" si="64"/>
        <v/>
      </c>
      <c r="O526" s="51" t="str">
        <f>IF(G526&gt;0,DT!AC526*I526+DT!AD526*J526+DT!AE526*K526+DT!AF526*L526+DT!AG526*M526+DT!AH526*N526,"")</f>
        <v/>
      </c>
      <c r="P526" s="15"/>
    </row>
    <row r="527" spans="1:16">
      <c r="A527" s="1"/>
      <c r="B527" s="1"/>
      <c r="C527" s="1"/>
      <c r="D527" s="1"/>
      <c r="E527" s="1"/>
      <c r="F527" s="1"/>
      <c r="G527" s="1">
        <f t="shared" si="65"/>
        <v>0</v>
      </c>
      <c r="I527" s="7" t="str">
        <f t="shared" si="59"/>
        <v/>
      </c>
      <c r="J527" s="7" t="str">
        <f t="shared" si="60"/>
        <v/>
      </c>
      <c r="K527" s="7" t="str">
        <f t="shared" si="61"/>
        <v/>
      </c>
      <c r="L527" s="7" t="str">
        <f t="shared" si="62"/>
        <v/>
      </c>
      <c r="M527" s="7" t="str">
        <f t="shared" si="63"/>
        <v/>
      </c>
      <c r="N527" s="7" t="str">
        <f t="shared" si="64"/>
        <v/>
      </c>
      <c r="O527" s="51" t="str">
        <f>IF(G527&gt;0,DT!AC527*I527+DT!AD527*J527+DT!AE527*K527+DT!AF527*L527+DT!AG527*M527+DT!AH527*N527,"")</f>
        <v/>
      </c>
      <c r="P527" s="15"/>
    </row>
    <row r="528" spans="1:16">
      <c r="A528" s="1"/>
      <c r="B528" s="1"/>
      <c r="C528" s="1"/>
      <c r="D528" s="1"/>
      <c r="E528" s="1"/>
      <c r="F528" s="1"/>
      <c r="G528" s="1">
        <f t="shared" si="65"/>
        <v>0</v>
      </c>
      <c r="I528" s="7" t="str">
        <f t="shared" si="59"/>
        <v/>
      </c>
      <c r="J528" s="7" t="str">
        <f t="shared" si="60"/>
        <v/>
      </c>
      <c r="K528" s="7" t="str">
        <f t="shared" si="61"/>
        <v/>
      </c>
      <c r="L528" s="7" t="str">
        <f t="shared" si="62"/>
        <v/>
      </c>
      <c r="M528" s="7" t="str">
        <f t="shared" si="63"/>
        <v/>
      </c>
      <c r="N528" s="7" t="str">
        <f t="shared" si="64"/>
        <v/>
      </c>
      <c r="O528" s="51" t="str">
        <f>IF(G528&gt;0,DT!AC528*I528+DT!AD528*J528+DT!AE528*K528+DT!AF528*L528+DT!AG528*M528+DT!AH528*N528,"")</f>
        <v/>
      </c>
      <c r="P528" s="15"/>
    </row>
    <row r="529" spans="1:16">
      <c r="A529" s="1"/>
      <c r="B529" s="1"/>
      <c r="C529" s="1"/>
      <c r="D529" s="1"/>
      <c r="E529" s="1"/>
      <c r="F529" s="1"/>
      <c r="G529" s="1">
        <f t="shared" si="65"/>
        <v>0</v>
      </c>
      <c r="I529" s="7" t="str">
        <f t="shared" si="59"/>
        <v/>
      </c>
      <c r="J529" s="7" t="str">
        <f t="shared" si="60"/>
        <v/>
      </c>
      <c r="K529" s="7" t="str">
        <f t="shared" si="61"/>
        <v/>
      </c>
      <c r="L529" s="7" t="str">
        <f t="shared" si="62"/>
        <v/>
      </c>
      <c r="M529" s="7" t="str">
        <f t="shared" si="63"/>
        <v/>
      </c>
      <c r="N529" s="7" t="str">
        <f t="shared" si="64"/>
        <v/>
      </c>
      <c r="O529" s="51" t="str">
        <f>IF(G529&gt;0,DT!AC529*I529+DT!AD529*J529+DT!AE529*K529+DT!AF529*L529+DT!AG529*M529+DT!AH529*N529,"")</f>
        <v/>
      </c>
      <c r="P529" s="15"/>
    </row>
    <row r="530" spans="1:16">
      <c r="A530" s="1"/>
      <c r="B530" s="1"/>
      <c r="C530" s="1"/>
      <c r="D530" s="1"/>
      <c r="E530" s="1"/>
      <c r="F530" s="1"/>
      <c r="G530" s="1">
        <f t="shared" si="65"/>
        <v>0</v>
      </c>
      <c r="I530" s="7" t="str">
        <f t="shared" si="59"/>
        <v/>
      </c>
      <c r="J530" s="7" t="str">
        <f t="shared" si="60"/>
        <v/>
      </c>
      <c r="K530" s="7" t="str">
        <f t="shared" si="61"/>
        <v/>
      </c>
      <c r="L530" s="7" t="str">
        <f t="shared" si="62"/>
        <v/>
      </c>
      <c r="M530" s="7" t="str">
        <f t="shared" si="63"/>
        <v/>
      </c>
      <c r="N530" s="7" t="str">
        <f t="shared" si="64"/>
        <v/>
      </c>
      <c r="O530" s="51" t="str">
        <f>IF(G530&gt;0,DT!AC530*I530+DT!AD530*J530+DT!AE530*K530+DT!AF530*L530+DT!AG530*M530+DT!AH530*N530,"")</f>
        <v/>
      </c>
      <c r="P530" s="15"/>
    </row>
    <row r="531" spans="1:16">
      <c r="A531" s="1"/>
      <c r="B531" s="1"/>
      <c r="C531" s="1"/>
      <c r="D531" s="1"/>
      <c r="E531" s="1"/>
      <c r="F531" s="1"/>
      <c r="G531" s="1">
        <f t="shared" si="65"/>
        <v>0</v>
      </c>
      <c r="I531" s="7" t="str">
        <f t="shared" si="59"/>
        <v/>
      </c>
      <c r="J531" s="7" t="str">
        <f t="shared" si="60"/>
        <v/>
      </c>
      <c r="K531" s="7" t="str">
        <f t="shared" si="61"/>
        <v/>
      </c>
      <c r="L531" s="7" t="str">
        <f t="shared" si="62"/>
        <v/>
      </c>
      <c r="M531" s="7" t="str">
        <f t="shared" si="63"/>
        <v/>
      </c>
      <c r="N531" s="7" t="str">
        <f t="shared" si="64"/>
        <v/>
      </c>
      <c r="O531" s="51" t="str">
        <f>IF(G531&gt;0,DT!AC531*I531+DT!AD531*J531+DT!AE531*K531+DT!AF531*L531+DT!AG531*M531+DT!AH531*N531,"")</f>
        <v/>
      </c>
      <c r="P531" s="15"/>
    </row>
    <row r="532" spans="1:16">
      <c r="A532" s="1"/>
      <c r="B532" s="1"/>
      <c r="C532" s="1"/>
      <c r="D532" s="1"/>
      <c r="E532" s="1"/>
      <c r="F532" s="1"/>
      <c r="G532" s="1">
        <f t="shared" si="65"/>
        <v>0</v>
      </c>
      <c r="I532" s="7" t="str">
        <f t="shared" si="59"/>
        <v/>
      </c>
      <c r="J532" s="7" t="str">
        <f t="shared" si="60"/>
        <v/>
      </c>
      <c r="K532" s="7" t="str">
        <f t="shared" si="61"/>
        <v/>
      </c>
      <c r="L532" s="7" t="str">
        <f t="shared" si="62"/>
        <v/>
      </c>
      <c r="M532" s="7" t="str">
        <f t="shared" si="63"/>
        <v/>
      </c>
      <c r="N532" s="7" t="str">
        <f t="shared" si="64"/>
        <v/>
      </c>
      <c r="O532" s="51" t="str">
        <f>IF(G532&gt;0,DT!AC532*I532+DT!AD532*J532+DT!AE532*K532+DT!AF532*L532+DT!AG532*M532+DT!AH532*N532,"")</f>
        <v/>
      </c>
      <c r="P532" s="15"/>
    </row>
    <row r="533" spans="1:16">
      <c r="A533" s="1"/>
      <c r="B533" s="1"/>
      <c r="C533" s="1"/>
      <c r="D533" s="1"/>
      <c r="E533" s="1"/>
      <c r="F533" s="1"/>
      <c r="G533" s="1">
        <f t="shared" si="65"/>
        <v>0</v>
      </c>
      <c r="I533" s="7" t="str">
        <f t="shared" si="59"/>
        <v/>
      </c>
      <c r="J533" s="7" t="str">
        <f t="shared" si="60"/>
        <v/>
      </c>
      <c r="K533" s="7" t="str">
        <f t="shared" si="61"/>
        <v/>
      </c>
      <c r="L533" s="7" t="str">
        <f t="shared" si="62"/>
        <v/>
      </c>
      <c r="M533" s="7" t="str">
        <f t="shared" si="63"/>
        <v/>
      </c>
      <c r="N533" s="7" t="str">
        <f t="shared" si="64"/>
        <v/>
      </c>
      <c r="O533" s="51" t="str">
        <f>IF(G533&gt;0,DT!AC533*I533+DT!AD533*J533+DT!AE533*K533+DT!AF533*L533+DT!AG533*M533+DT!AH533*N533,"")</f>
        <v/>
      </c>
      <c r="P533" s="15"/>
    </row>
    <row r="534" spans="1:16">
      <c r="A534" s="1"/>
      <c r="B534" s="1"/>
      <c r="C534" s="1"/>
      <c r="D534" s="1"/>
      <c r="E534" s="1"/>
      <c r="F534" s="1"/>
      <c r="G534" s="1">
        <f t="shared" si="65"/>
        <v>0</v>
      </c>
      <c r="I534" s="7" t="str">
        <f t="shared" si="59"/>
        <v/>
      </c>
      <c r="J534" s="7" t="str">
        <f t="shared" si="60"/>
        <v/>
      </c>
      <c r="K534" s="7" t="str">
        <f t="shared" si="61"/>
        <v/>
      </c>
      <c r="L534" s="7" t="str">
        <f t="shared" si="62"/>
        <v/>
      </c>
      <c r="M534" s="7" t="str">
        <f t="shared" si="63"/>
        <v/>
      </c>
      <c r="N534" s="7" t="str">
        <f t="shared" si="64"/>
        <v/>
      </c>
      <c r="O534" s="51" t="str">
        <f>IF(G534&gt;0,DT!AC534*I534+DT!AD534*J534+DT!AE534*K534+DT!AF534*L534+DT!AG534*M534+DT!AH534*N534,"")</f>
        <v/>
      </c>
      <c r="P534" s="15"/>
    </row>
    <row r="535" spans="1:16">
      <c r="A535" s="1"/>
      <c r="B535" s="1"/>
      <c r="C535" s="1"/>
      <c r="D535" s="1"/>
      <c r="E535" s="1"/>
      <c r="F535" s="1"/>
      <c r="G535" s="1">
        <f t="shared" si="65"/>
        <v>0</v>
      </c>
      <c r="I535" s="7" t="str">
        <f t="shared" si="59"/>
        <v/>
      </c>
      <c r="J535" s="7" t="str">
        <f t="shared" si="60"/>
        <v/>
      </c>
      <c r="K535" s="7" t="str">
        <f t="shared" si="61"/>
        <v/>
      </c>
      <c r="L535" s="7" t="str">
        <f t="shared" si="62"/>
        <v/>
      </c>
      <c r="M535" s="7" t="str">
        <f t="shared" si="63"/>
        <v/>
      </c>
      <c r="N535" s="7" t="str">
        <f t="shared" si="64"/>
        <v/>
      </c>
      <c r="O535" s="51" t="str">
        <f>IF(G535&gt;0,DT!AC535*I535+DT!AD535*J535+DT!AE535*K535+DT!AF535*L535+DT!AG535*M535+DT!AH535*N535,"")</f>
        <v/>
      </c>
      <c r="P535" s="15"/>
    </row>
    <row r="536" spans="1:16">
      <c r="A536" s="1"/>
      <c r="B536" s="1"/>
      <c r="C536" s="1"/>
      <c r="D536" s="1"/>
      <c r="E536" s="1"/>
      <c r="F536" s="1"/>
      <c r="G536" s="1">
        <f t="shared" si="65"/>
        <v>0</v>
      </c>
      <c r="I536" s="7" t="str">
        <f t="shared" si="59"/>
        <v/>
      </c>
      <c r="J536" s="7" t="str">
        <f t="shared" si="60"/>
        <v/>
      </c>
      <c r="K536" s="7" t="str">
        <f t="shared" si="61"/>
        <v/>
      </c>
      <c r="L536" s="7" t="str">
        <f t="shared" si="62"/>
        <v/>
      </c>
      <c r="M536" s="7" t="str">
        <f t="shared" si="63"/>
        <v/>
      </c>
      <c r="N536" s="7" t="str">
        <f t="shared" si="64"/>
        <v/>
      </c>
      <c r="O536" s="51" t="str">
        <f>IF(G536&gt;0,DT!AC536*I536+DT!AD536*J536+DT!AE536*K536+DT!AF536*L536+DT!AG536*M536+DT!AH536*N536,"")</f>
        <v/>
      </c>
      <c r="P536" s="15"/>
    </row>
    <row r="537" spans="1:16">
      <c r="A537" s="1"/>
      <c r="B537" s="1"/>
      <c r="C537" s="1"/>
      <c r="D537" s="1"/>
      <c r="E537" s="1"/>
      <c r="F537" s="1"/>
      <c r="G537" s="1">
        <f t="shared" si="65"/>
        <v>0</v>
      </c>
      <c r="I537" s="7" t="str">
        <f t="shared" si="59"/>
        <v/>
      </c>
      <c r="J537" s="7" t="str">
        <f t="shared" si="60"/>
        <v/>
      </c>
      <c r="K537" s="7" t="str">
        <f t="shared" si="61"/>
        <v/>
      </c>
      <c r="L537" s="7" t="str">
        <f t="shared" si="62"/>
        <v/>
      </c>
      <c r="M537" s="7" t="str">
        <f t="shared" si="63"/>
        <v/>
      </c>
      <c r="N537" s="7" t="str">
        <f t="shared" si="64"/>
        <v/>
      </c>
      <c r="O537" s="51" t="str">
        <f>IF(G537&gt;0,DT!AC537*I537+DT!AD537*J537+DT!AE537*K537+DT!AF537*L537+DT!AG537*M537+DT!AH537*N537,"")</f>
        <v/>
      </c>
      <c r="P537" s="15"/>
    </row>
    <row r="538" spans="1:16">
      <c r="A538" s="1"/>
      <c r="B538" s="1"/>
      <c r="C538" s="1"/>
      <c r="D538" s="1"/>
      <c r="E538" s="1"/>
      <c r="F538" s="1"/>
      <c r="G538" s="1">
        <f t="shared" si="65"/>
        <v>0</v>
      </c>
      <c r="I538" s="7" t="str">
        <f t="shared" si="59"/>
        <v/>
      </c>
      <c r="J538" s="7" t="str">
        <f t="shared" si="60"/>
        <v/>
      </c>
      <c r="K538" s="7" t="str">
        <f t="shared" si="61"/>
        <v/>
      </c>
      <c r="L538" s="7" t="str">
        <f t="shared" si="62"/>
        <v/>
      </c>
      <c r="M538" s="7" t="str">
        <f t="shared" si="63"/>
        <v/>
      </c>
      <c r="N538" s="7" t="str">
        <f t="shared" si="64"/>
        <v/>
      </c>
      <c r="O538" s="51" t="str">
        <f>IF(G538&gt;0,DT!AC538*I538+DT!AD538*J538+DT!AE538*K538+DT!AF538*L538+DT!AG538*M538+DT!AH538*N538,"")</f>
        <v/>
      </c>
      <c r="P538" s="15"/>
    </row>
    <row r="539" spans="1:16">
      <c r="A539" s="1"/>
      <c r="B539" s="1"/>
      <c r="C539" s="1"/>
      <c r="D539" s="1"/>
      <c r="E539" s="1"/>
      <c r="F539" s="1"/>
      <c r="G539" s="1">
        <f t="shared" si="65"/>
        <v>0</v>
      </c>
      <c r="I539" s="7" t="str">
        <f t="shared" si="59"/>
        <v/>
      </c>
      <c r="J539" s="7" t="str">
        <f t="shared" si="60"/>
        <v/>
      </c>
      <c r="K539" s="7" t="str">
        <f t="shared" si="61"/>
        <v/>
      </c>
      <c r="L539" s="7" t="str">
        <f t="shared" si="62"/>
        <v/>
      </c>
      <c r="M539" s="7" t="str">
        <f t="shared" si="63"/>
        <v/>
      </c>
      <c r="N539" s="7" t="str">
        <f t="shared" si="64"/>
        <v/>
      </c>
      <c r="O539" s="51" t="str">
        <f>IF(G539&gt;0,DT!AC539*I539+DT!AD539*J539+DT!AE539*K539+DT!AF539*L539+DT!AG539*M539+DT!AH539*N539,"")</f>
        <v/>
      </c>
      <c r="P539" s="15"/>
    </row>
    <row r="540" spans="1:16">
      <c r="A540" s="1"/>
      <c r="B540" s="1"/>
      <c r="C540" s="1"/>
      <c r="D540" s="1"/>
      <c r="E540" s="1"/>
      <c r="F540" s="1"/>
      <c r="G540" s="1">
        <f t="shared" si="65"/>
        <v>0</v>
      </c>
      <c r="I540" s="7" t="str">
        <f t="shared" si="59"/>
        <v/>
      </c>
      <c r="J540" s="7" t="str">
        <f t="shared" si="60"/>
        <v/>
      </c>
      <c r="K540" s="7" t="str">
        <f t="shared" si="61"/>
        <v/>
      </c>
      <c r="L540" s="7" t="str">
        <f t="shared" si="62"/>
        <v/>
      </c>
      <c r="M540" s="7" t="str">
        <f t="shared" si="63"/>
        <v/>
      </c>
      <c r="N540" s="7" t="str">
        <f t="shared" si="64"/>
        <v/>
      </c>
      <c r="O540" s="51" t="str">
        <f>IF(G540&gt;0,DT!AC540*I540+DT!AD540*J540+DT!AE540*K540+DT!AF540*L540+DT!AG540*M540+DT!AH540*N540,"")</f>
        <v/>
      </c>
      <c r="P540" s="15"/>
    </row>
    <row r="541" spans="1:16">
      <c r="A541" s="1"/>
      <c r="B541" s="1"/>
      <c r="C541" s="1"/>
      <c r="D541" s="1"/>
      <c r="E541" s="1"/>
      <c r="F541" s="1"/>
      <c r="G541" s="1">
        <f t="shared" si="65"/>
        <v>0</v>
      </c>
      <c r="I541" s="7" t="str">
        <f t="shared" si="59"/>
        <v/>
      </c>
      <c r="J541" s="7" t="str">
        <f t="shared" si="60"/>
        <v/>
      </c>
      <c r="K541" s="7" t="str">
        <f t="shared" si="61"/>
        <v/>
      </c>
      <c r="L541" s="7" t="str">
        <f t="shared" si="62"/>
        <v/>
      </c>
      <c r="M541" s="7" t="str">
        <f t="shared" si="63"/>
        <v/>
      </c>
      <c r="N541" s="7" t="str">
        <f t="shared" si="64"/>
        <v/>
      </c>
      <c r="O541" s="51" t="str">
        <f>IF(G541&gt;0,DT!AC541*I541+DT!AD541*J541+DT!AE541*K541+DT!AF541*L541+DT!AG541*M541+DT!AH541*N541,"")</f>
        <v/>
      </c>
      <c r="P541" s="15"/>
    </row>
    <row r="542" spans="1:16">
      <c r="A542" s="1"/>
      <c r="B542" s="1"/>
      <c r="C542" s="1"/>
      <c r="D542" s="1"/>
      <c r="E542" s="1"/>
      <c r="F542" s="1"/>
      <c r="G542" s="1">
        <f t="shared" si="65"/>
        <v>0</v>
      </c>
      <c r="I542" s="7" t="str">
        <f t="shared" si="59"/>
        <v/>
      </c>
      <c r="J542" s="7" t="str">
        <f t="shared" si="60"/>
        <v/>
      </c>
      <c r="K542" s="7" t="str">
        <f t="shared" si="61"/>
        <v/>
      </c>
      <c r="L542" s="7" t="str">
        <f t="shared" si="62"/>
        <v/>
      </c>
      <c r="M542" s="7" t="str">
        <f t="shared" si="63"/>
        <v/>
      </c>
      <c r="N542" s="7" t="str">
        <f t="shared" si="64"/>
        <v/>
      </c>
      <c r="O542" s="51" t="str">
        <f>IF(G542&gt;0,DT!AC542*I542+DT!AD542*J542+DT!AE542*K542+DT!AF542*L542+DT!AG542*M542+DT!AH542*N542,"")</f>
        <v/>
      </c>
      <c r="P542" s="15"/>
    </row>
    <row r="543" spans="1:16">
      <c r="A543" s="1"/>
      <c r="B543" s="1"/>
      <c r="C543" s="1"/>
      <c r="D543" s="1"/>
      <c r="E543" s="1"/>
      <c r="F543" s="1"/>
      <c r="G543" s="1">
        <f t="shared" si="65"/>
        <v>0</v>
      </c>
      <c r="I543" s="7" t="str">
        <f t="shared" si="59"/>
        <v/>
      </c>
      <c r="J543" s="7" t="str">
        <f t="shared" si="60"/>
        <v/>
      </c>
      <c r="K543" s="7" t="str">
        <f t="shared" si="61"/>
        <v/>
      </c>
      <c r="L543" s="7" t="str">
        <f t="shared" si="62"/>
        <v/>
      </c>
      <c r="M543" s="7" t="str">
        <f t="shared" si="63"/>
        <v/>
      </c>
      <c r="N543" s="7" t="str">
        <f t="shared" si="64"/>
        <v/>
      </c>
      <c r="O543" s="51" t="str">
        <f>IF(G543&gt;0,DT!AC543*I543+DT!AD543*J543+DT!AE543*K543+DT!AF543*L543+DT!AG543*M543+DT!AH543*N543,"")</f>
        <v/>
      </c>
      <c r="P543" s="15"/>
    </row>
    <row r="544" spans="1:16">
      <c r="A544" s="1"/>
      <c r="B544" s="1"/>
      <c r="C544" s="1"/>
      <c r="D544" s="1"/>
      <c r="E544" s="1"/>
      <c r="F544" s="1"/>
      <c r="G544" s="1">
        <f t="shared" si="65"/>
        <v>0</v>
      </c>
      <c r="I544" s="7" t="str">
        <f t="shared" si="59"/>
        <v/>
      </c>
      <c r="J544" s="7" t="str">
        <f t="shared" si="60"/>
        <v/>
      </c>
      <c r="K544" s="7" t="str">
        <f t="shared" si="61"/>
        <v/>
      </c>
      <c r="L544" s="7" t="str">
        <f t="shared" si="62"/>
        <v/>
      </c>
      <c r="M544" s="7" t="str">
        <f t="shared" si="63"/>
        <v/>
      </c>
      <c r="N544" s="7" t="str">
        <f t="shared" si="64"/>
        <v/>
      </c>
      <c r="O544" s="51" t="str">
        <f>IF(G544&gt;0,DT!AC544*I544+DT!AD544*J544+DT!AE544*K544+DT!AF544*L544+DT!AG544*M544+DT!AH544*N544,"")</f>
        <v/>
      </c>
      <c r="P544" s="15"/>
    </row>
    <row r="545" spans="1:16">
      <c r="A545" s="1"/>
      <c r="B545" s="1"/>
      <c r="C545" s="1"/>
      <c r="D545" s="1"/>
      <c r="E545" s="1"/>
      <c r="F545" s="1"/>
      <c r="G545" s="1">
        <f t="shared" si="65"/>
        <v>0</v>
      </c>
      <c r="I545" s="7" t="str">
        <f t="shared" si="59"/>
        <v/>
      </c>
      <c r="J545" s="7" t="str">
        <f t="shared" si="60"/>
        <v/>
      </c>
      <c r="K545" s="7" t="str">
        <f t="shared" si="61"/>
        <v/>
      </c>
      <c r="L545" s="7" t="str">
        <f t="shared" si="62"/>
        <v/>
      </c>
      <c r="M545" s="7" t="str">
        <f t="shared" si="63"/>
        <v/>
      </c>
      <c r="N545" s="7" t="str">
        <f t="shared" si="64"/>
        <v/>
      </c>
      <c r="O545" s="51" t="str">
        <f>IF(G545&gt;0,DT!AC545*I545+DT!AD545*J545+DT!AE545*K545+DT!AF545*L545+DT!AG545*M545+DT!AH545*N545,"")</f>
        <v/>
      </c>
      <c r="P545" s="15"/>
    </row>
    <row r="546" spans="1:16">
      <c r="A546" s="1"/>
      <c r="B546" s="1"/>
      <c r="C546" s="1"/>
      <c r="D546" s="1"/>
      <c r="E546" s="1"/>
      <c r="F546" s="1"/>
      <c r="G546" s="1">
        <f t="shared" si="65"/>
        <v>0</v>
      </c>
      <c r="I546" s="7" t="str">
        <f t="shared" si="59"/>
        <v/>
      </c>
      <c r="J546" s="7" t="str">
        <f t="shared" si="60"/>
        <v/>
      </c>
      <c r="K546" s="7" t="str">
        <f t="shared" si="61"/>
        <v/>
      </c>
      <c r="L546" s="7" t="str">
        <f t="shared" si="62"/>
        <v/>
      </c>
      <c r="M546" s="7" t="str">
        <f t="shared" si="63"/>
        <v/>
      </c>
      <c r="N546" s="7" t="str">
        <f t="shared" si="64"/>
        <v/>
      </c>
      <c r="O546" s="51" t="str">
        <f>IF(G546&gt;0,DT!AC546*I546+DT!AD546*J546+DT!AE546*K546+DT!AF546*L546+DT!AG546*M546+DT!AH546*N546,"")</f>
        <v/>
      </c>
      <c r="P546" s="15"/>
    </row>
    <row r="547" spans="1:16">
      <c r="A547" s="1"/>
      <c r="B547" s="1"/>
      <c r="C547" s="1"/>
      <c r="D547" s="1"/>
      <c r="E547" s="1"/>
      <c r="F547" s="1"/>
      <c r="G547" s="1">
        <f t="shared" si="65"/>
        <v>0</v>
      </c>
      <c r="I547" s="7" t="str">
        <f t="shared" si="59"/>
        <v/>
      </c>
      <c r="J547" s="7" t="str">
        <f t="shared" si="60"/>
        <v/>
      </c>
      <c r="K547" s="7" t="str">
        <f t="shared" si="61"/>
        <v/>
      </c>
      <c r="L547" s="7" t="str">
        <f t="shared" si="62"/>
        <v/>
      </c>
      <c r="M547" s="7" t="str">
        <f t="shared" si="63"/>
        <v/>
      </c>
      <c r="N547" s="7" t="str">
        <f t="shared" si="64"/>
        <v/>
      </c>
      <c r="O547" s="51" t="str">
        <f>IF(G547&gt;0,DT!AC547*I547+DT!AD547*J547+DT!AE547*K547+DT!AF547*L547+DT!AG547*M547+DT!AH547*N547,"")</f>
        <v/>
      </c>
      <c r="P547" s="15"/>
    </row>
    <row r="548" spans="1:16">
      <c r="A548" s="1"/>
      <c r="B548" s="1"/>
      <c r="C548" s="1"/>
      <c r="D548" s="1"/>
      <c r="E548" s="1"/>
      <c r="F548" s="1"/>
      <c r="G548" s="1">
        <f t="shared" si="65"/>
        <v>0</v>
      </c>
      <c r="I548" s="7" t="str">
        <f t="shared" si="59"/>
        <v/>
      </c>
      <c r="J548" s="7" t="str">
        <f t="shared" si="60"/>
        <v/>
      </c>
      <c r="K548" s="7" t="str">
        <f t="shared" si="61"/>
        <v/>
      </c>
      <c r="L548" s="7" t="str">
        <f t="shared" si="62"/>
        <v/>
      </c>
      <c r="M548" s="7" t="str">
        <f t="shared" si="63"/>
        <v/>
      </c>
      <c r="N548" s="7" t="str">
        <f t="shared" si="64"/>
        <v/>
      </c>
      <c r="O548" s="51" t="str">
        <f>IF(G548&gt;0,DT!AC548*I548+DT!AD548*J548+DT!AE548*K548+DT!AF548*L548+DT!AG548*M548+DT!AH548*N548,"")</f>
        <v/>
      </c>
      <c r="P548" s="15"/>
    </row>
    <row r="549" spans="1:16">
      <c r="A549" s="1"/>
      <c r="B549" s="1"/>
      <c r="C549" s="1"/>
      <c r="D549" s="1"/>
      <c r="E549" s="1"/>
      <c r="F549" s="1"/>
      <c r="G549" s="1">
        <f t="shared" si="65"/>
        <v>0</v>
      </c>
      <c r="I549" s="7" t="str">
        <f t="shared" si="59"/>
        <v/>
      </c>
      <c r="J549" s="7" t="str">
        <f t="shared" si="60"/>
        <v/>
      </c>
      <c r="K549" s="7" t="str">
        <f t="shared" si="61"/>
        <v/>
      </c>
      <c r="L549" s="7" t="str">
        <f t="shared" si="62"/>
        <v/>
      </c>
      <c r="M549" s="7" t="str">
        <f t="shared" si="63"/>
        <v/>
      </c>
      <c r="N549" s="7" t="str">
        <f t="shared" si="64"/>
        <v/>
      </c>
      <c r="O549" s="51" t="str">
        <f>IF(G549&gt;0,DT!AC549*I549+DT!AD549*J549+DT!AE549*K549+DT!AF549*L549+DT!AG549*M549+DT!AH549*N549,"")</f>
        <v/>
      </c>
      <c r="P549" s="15"/>
    </row>
    <row r="550" spans="1:16">
      <c r="A550" s="1"/>
      <c r="B550" s="1"/>
      <c r="C550" s="1"/>
      <c r="D550" s="1"/>
      <c r="E550" s="1"/>
      <c r="F550" s="1"/>
      <c r="G550" s="1">
        <f t="shared" si="65"/>
        <v>0</v>
      </c>
      <c r="I550" s="7" t="str">
        <f t="shared" si="59"/>
        <v/>
      </c>
      <c r="J550" s="7" t="str">
        <f t="shared" si="60"/>
        <v/>
      </c>
      <c r="K550" s="7" t="str">
        <f t="shared" si="61"/>
        <v/>
      </c>
      <c r="L550" s="7" t="str">
        <f t="shared" si="62"/>
        <v/>
      </c>
      <c r="M550" s="7" t="str">
        <f t="shared" si="63"/>
        <v/>
      </c>
      <c r="N550" s="7" t="str">
        <f t="shared" si="64"/>
        <v/>
      </c>
      <c r="O550" s="51" t="str">
        <f>IF(G550&gt;0,DT!AC550*I550+DT!AD550*J550+DT!AE550*K550+DT!AF550*L550+DT!AG550*M550+DT!AH550*N550,"")</f>
        <v/>
      </c>
      <c r="P550" s="15"/>
    </row>
    <row r="551" spans="1:16">
      <c r="A551" s="1"/>
      <c r="B551" s="1"/>
      <c r="C551" s="1"/>
      <c r="D551" s="1"/>
      <c r="E551" s="1"/>
      <c r="F551" s="1"/>
      <c r="G551" s="1">
        <f t="shared" si="65"/>
        <v>0</v>
      </c>
      <c r="I551" s="7" t="str">
        <f t="shared" si="59"/>
        <v/>
      </c>
      <c r="J551" s="7" t="str">
        <f t="shared" si="60"/>
        <v/>
      </c>
      <c r="K551" s="7" t="str">
        <f t="shared" si="61"/>
        <v/>
      </c>
      <c r="L551" s="7" t="str">
        <f t="shared" si="62"/>
        <v/>
      </c>
      <c r="M551" s="7" t="str">
        <f t="shared" si="63"/>
        <v/>
      </c>
      <c r="N551" s="7" t="str">
        <f t="shared" si="64"/>
        <v/>
      </c>
      <c r="O551" s="51" t="str">
        <f>IF(G551&gt;0,DT!AC551*I551+DT!AD551*J551+DT!AE551*K551+DT!AF551*L551+DT!AG551*M551+DT!AH551*N551,"")</f>
        <v/>
      </c>
      <c r="P551" s="15"/>
    </row>
    <row r="552" spans="1:16">
      <c r="A552" s="1"/>
      <c r="B552" s="1"/>
      <c r="C552" s="1"/>
      <c r="D552" s="1"/>
      <c r="E552" s="1"/>
      <c r="F552" s="1"/>
      <c r="G552" s="1">
        <f t="shared" si="65"/>
        <v>0</v>
      </c>
      <c r="I552" s="7" t="str">
        <f t="shared" si="59"/>
        <v/>
      </c>
      <c r="J552" s="7" t="str">
        <f t="shared" si="60"/>
        <v/>
      </c>
      <c r="K552" s="7" t="str">
        <f t="shared" si="61"/>
        <v/>
      </c>
      <c r="L552" s="7" t="str">
        <f t="shared" si="62"/>
        <v/>
      </c>
      <c r="M552" s="7" t="str">
        <f t="shared" si="63"/>
        <v/>
      </c>
      <c r="N552" s="7" t="str">
        <f t="shared" si="64"/>
        <v/>
      </c>
      <c r="O552" s="51" t="str">
        <f>IF(G552&gt;0,DT!AC552*I552+DT!AD552*J552+DT!AE552*K552+DT!AF552*L552+DT!AG552*M552+DT!AH552*N552,"")</f>
        <v/>
      </c>
      <c r="P552" s="15"/>
    </row>
    <row r="553" spans="1:16">
      <c r="A553" s="1"/>
      <c r="B553" s="1"/>
      <c r="C553" s="1"/>
      <c r="D553" s="1"/>
      <c r="E553" s="1"/>
      <c r="F553" s="1"/>
      <c r="G553" s="1">
        <f t="shared" si="65"/>
        <v>0</v>
      </c>
      <c r="I553" s="7" t="str">
        <f t="shared" si="59"/>
        <v/>
      </c>
      <c r="J553" s="7" t="str">
        <f t="shared" si="60"/>
        <v/>
      </c>
      <c r="K553" s="7" t="str">
        <f t="shared" si="61"/>
        <v/>
      </c>
      <c r="L553" s="7" t="str">
        <f t="shared" si="62"/>
        <v/>
      </c>
      <c r="M553" s="7" t="str">
        <f t="shared" si="63"/>
        <v/>
      </c>
      <c r="N553" s="7" t="str">
        <f t="shared" si="64"/>
        <v/>
      </c>
      <c r="O553" s="51" t="str">
        <f>IF(G553&gt;0,DT!AC553*I553+DT!AD553*J553+DT!AE553*K553+DT!AF553*L553+DT!AG553*M553+DT!AH553*N553,"")</f>
        <v/>
      </c>
      <c r="P553" s="15"/>
    </row>
    <row r="554" spans="1:16">
      <c r="A554" s="1"/>
      <c r="B554" s="1"/>
      <c r="C554" s="1"/>
      <c r="D554" s="1"/>
      <c r="E554" s="1"/>
      <c r="F554" s="1"/>
      <c r="G554" s="1">
        <f t="shared" si="65"/>
        <v>0</v>
      </c>
      <c r="I554" s="7" t="str">
        <f t="shared" si="59"/>
        <v/>
      </c>
      <c r="J554" s="7" t="str">
        <f t="shared" si="60"/>
        <v/>
      </c>
      <c r="K554" s="7" t="str">
        <f t="shared" si="61"/>
        <v/>
      </c>
      <c r="L554" s="7" t="str">
        <f t="shared" si="62"/>
        <v/>
      </c>
      <c r="M554" s="7" t="str">
        <f t="shared" si="63"/>
        <v/>
      </c>
      <c r="N554" s="7" t="str">
        <f t="shared" si="64"/>
        <v/>
      </c>
      <c r="O554" s="51" t="str">
        <f>IF(G554&gt;0,DT!AC554*I554+DT!AD554*J554+DT!AE554*K554+DT!AF554*L554+DT!AG554*M554+DT!AH554*N554,"")</f>
        <v/>
      </c>
      <c r="P554" s="15"/>
    </row>
    <row r="555" spans="1:16">
      <c r="A555" s="1"/>
      <c r="B555" s="1"/>
      <c r="C555" s="1"/>
      <c r="D555" s="1"/>
      <c r="E555" s="1"/>
      <c r="F555" s="1"/>
      <c r="G555" s="1">
        <f t="shared" si="65"/>
        <v>0</v>
      </c>
      <c r="I555" s="7" t="str">
        <f t="shared" si="59"/>
        <v/>
      </c>
      <c r="J555" s="7" t="str">
        <f t="shared" si="60"/>
        <v/>
      </c>
      <c r="K555" s="7" t="str">
        <f t="shared" si="61"/>
        <v/>
      </c>
      <c r="L555" s="7" t="str">
        <f t="shared" si="62"/>
        <v/>
      </c>
      <c r="M555" s="7" t="str">
        <f t="shared" si="63"/>
        <v/>
      </c>
      <c r="N555" s="7" t="str">
        <f t="shared" si="64"/>
        <v/>
      </c>
      <c r="O555" s="51" t="str">
        <f>IF(G555&gt;0,DT!AC555*I555+DT!AD555*J555+DT!AE555*K555+DT!AF555*L555+DT!AG555*M555+DT!AH555*N555,"")</f>
        <v/>
      </c>
      <c r="P555" s="15"/>
    </row>
    <row r="556" spans="1:16">
      <c r="A556" s="1"/>
      <c r="B556" s="1"/>
      <c r="C556" s="1"/>
      <c r="D556" s="1"/>
      <c r="E556" s="1"/>
      <c r="F556" s="1"/>
      <c r="G556" s="1">
        <f t="shared" si="65"/>
        <v>0</v>
      </c>
      <c r="I556" s="7" t="str">
        <f t="shared" si="59"/>
        <v/>
      </c>
      <c r="J556" s="7" t="str">
        <f t="shared" si="60"/>
        <v/>
      </c>
      <c r="K556" s="7" t="str">
        <f t="shared" si="61"/>
        <v/>
      </c>
      <c r="L556" s="7" t="str">
        <f t="shared" si="62"/>
        <v/>
      </c>
      <c r="M556" s="7" t="str">
        <f t="shared" si="63"/>
        <v/>
      </c>
      <c r="N556" s="7" t="str">
        <f t="shared" si="64"/>
        <v/>
      </c>
      <c r="O556" s="51" t="str">
        <f>IF(G556&gt;0,DT!AC556*I556+DT!AD556*J556+DT!AE556*K556+DT!AF556*L556+DT!AG556*M556+DT!AH556*N556,"")</f>
        <v/>
      </c>
      <c r="P556" s="15"/>
    </row>
    <row r="557" spans="1:16">
      <c r="A557" s="1"/>
      <c r="B557" s="1"/>
      <c r="C557" s="1"/>
      <c r="D557" s="1"/>
      <c r="E557" s="1"/>
      <c r="F557" s="1"/>
      <c r="G557" s="1">
        <f t="shared" si="65"/>
        <v>0</v>
      </c>
      <c r="I557" s="7" t="str">
        <f t="shared" si="59"/>
        <v/>
      </c>
      <c r="J557" s="7" t="str">
        <f t="shared" si="60"/>
        <v/>
      </c>
      <c r="K557" s="7" t="str">
        <f t="shared" si="61"/>
        <v/>
      </c>
      <c r="L557" s="7" t="str">
        <f t="shared" si="62"/>
        <v/>
      </c>
      <c r="M557" s="7" t="str">
        <f t="shared" si="63"/>
        <v/>
      </c>
      <c r="N557" s="7" t="str">
        <f t="shared" si="64"/>
        <v/>
      </c>
      <c r="O557" s="51" t="str">
        <f>IF(G557&gt;0,DT!AC557*I557+DT!AD557*J557+DT!AE557*K557+DT!AF557*L557+DT!AG557*M557+DT!AH557*N557,"")</f>
        <v/>
      </c>
      <c r="P557" s="15"/>
    </row>
    <row r="558" spans="1:16">
      <c r="A558" s="1"/>
      <c r="B558" s="1"/>
      <c r="C558" s="1"/>
      <c r="D558" s="1"/>
      <c r="E558" s="1"/>
      <c r="F558" s="1"/>
      <c r="G558" s="1">
        <f t="shared" si="65"/>
        <v>0</v>
      </c>
      <c r="I558" s="7" t="str">
        <f t="shared" si="59"/>
        <v/>
      </c>
      <c r="J558" s="7" t="str">
        <f t="shared" si="60"/>
        <v/>
      </c>
      <c r="K558" s="7" t="str">
        <f t="shared" si="61"/>
        <v/>
      </c>
      <c r="L558" s="7" t="str">
        <f t="shared" si="62"/>
        <v/>
      </c>
      <c r="M558" s="7" t="str">
        <f t="shared" si="63"/>
        <v/>
      </c>
      <c r="N558" s="7" t="str">
        <f t="shared" si="64"/>
        <v/>
      </c>
      <c r="O558" s="51" t="str">
        <f>IF(G558&gt;0,DT!AC558*I558+DT!AD558*J558+DT!AE558*K558+DT!AF558*L558+DT!AG558*M558+DT!AH558*N558,"")</f>
        <v/>
      </c>
      <c r="P558" s="15"/>
    </row>
    <row r="559" spans="1:16">
      <c r="A559" s="1"/>
      <c r="B559" s="1"/>
      <c r="C559" s="1"/>
      <c r="D559" s="1"/>
      <c r="E559" s="1"/>
      <c r="F559" s="1"/>
      <c r="G559" s="1">
        <f t="shared" si="65"/>
        <v>0</v>
      </c>
      <c r="I559" s="7" t="str">
        <f t="shared" si="59"/>
        <v/>
      </c>
      <c r="J559" s="7" t="str">
        <f t="shared" si="60"/>
        <v/>
      </c>
      <c r="K559" s="7" t="str">
        <f t="shared" si="61"/>
        <v/>
      </c>
      <c r="L559" s="7" t="str">
        <f t="shared" si="62"/>
        <v/>
      </c>
      <c r="M559" s="7" t="str">
        <f t="shared" si="63"/>
        <v/>
      </c>
      <c r="N559" s="7" t="str">
        <f t="shared" si="64"/>
        <v/>
      </c>
      <c r="O559" s="51" t="str">
        <f>IF(G559&gt;0,DT!AC559*I559+DT!AD559*J559+DT!AE559*K559+DT!AF559*L559+DT!AG559*M559+DT!AH559*N559,"")</f>
        <v/>
      </c>
      <c r="P559" s="15"/>
    </row>
    <row r="560" spans="1:16">
      <c r="A560" s="1"/>
      <c r="B560" s="1"/>
      <c r="C560" s="1"/>
      <c r="D560" s="1"/>
      <c r="E560" s="1"/>
      <c r="F560" s="1"/>
      <c r="G560" s="1">
        <f t="shared" si="65"/>
        <v>0</v>
      </c>
      <c r="I560" s="7" t="str">
        <f t="shared" si="59"/>
        <v/>
      </c>
      <c r="J560" s="7" t="str">
        <f t="shared" si="60"/>
        <v/>
      </c>
      <c r="K560" s="7" t="str">
        <f t="shared" si="61"/>
        <v/>
      </c>
      <c r="L560" s="7" t="str">
        <f t="shared" si="62"/>
        <v/>
      </c>
      <c r="M560" s="7" t="str">
        <f t="shared" si="63"/>
        <v/>
      </c>
      <c r="N560" s="7" t="str">
        <f t="shared" si="64"/>
        <v/>
      </c>
      <c r="O560" s="51" t="str">
        <f>IF(G560&gt;0,DT!AC560*I560+DT!AD560*J560+DT!AE560*K560+DT!AF560*L560+DT!AG560*M560+DT!AH560*N560,"")</f>
        <v/>
      </c>
      <c r="P560" s="15"/>
    </row>
    <row r="561" spans="1:16">
      <c r="A561" s="1"/>
      <c r="B561" s="1"/>
      <c r="C561" s="1"/>
      <c r="D561" s="1"/>
      <c r="E561" s="1"/>
      <c r="F561" s="1"/>
      <c r="G561" s="1">
        <f t="shared" si="65"/>
        <v>0</v>
      </c>
      <c r="I561" s="7" t="str">
        <f t="shared" si="59"/>
        <v/>
      </c>
      <c r="J561" s="7" t="str">
        <f t="shared" si="60"/>
        <v/>
      </c>
      <c r="K561" s="7" t="str">
        <f t="shared" si="61"/>
        <v/>
      </c>
      <c r="L561" s="7" t="str">
        <f t="shared" si="62"/>
        <v/>
      </c>
      <c r="M561" s="7" t="str">
        <f t="shared" si="63"/>
        <v/>
      </c>
      <c r="N561" s="7" t="str">
        <f t="shared" si="64"/>
        <v/>
      </c>
      <c r="O561" s="51" t="str">
        <f>IF(G561&gt;0,DT!AC561*I561+DT!AD561*J561+DT!AE561*K561+DT!AF561*L561+DT!AG561*M561+DT!AH561*N561,"")</f>
        <v/>
      </c>
      <c r="P561" s="15"/>
    </row>
    <row r="562" spans="1:16">
      <c r="A562" s="1"/>
      <c r="B562" s="1"/>
      <c r="C562" s="1"/>
      <c r="D562" s="1"/>
      <c r="E562" s="1"/>
      <c r="F562" s="1"/>
      <c r="G562" s="1">
        <f t="shared" si="65"/>
        <v>0</v>
      </c>
      <c r="I562" s="7" t="str">
        <f t="shared" si="59"/>
        <v/>
      </c>
      <c r="J562" s="7" t="str">
        <f t="shared" si="60"/>
        <v/>
      </c>
      <c r="K562" s="7" t="str">
        <f t="shared" si="61"/>
        <v/>
      </c>
      <c r="L562" s="7" t="str">
        <f t="shared" si="62"/>
        <v/>
      </c>
      <c r="M562" s="7" t="str">
        <f t="shared" si="63"/>
        <v/>
      </c>
      <c r="N562" s="7" t="str">
        <f t="shared" si="64"/>
        <v/>
      </c>
      <c r="O562" s="51" t="str">
        <f>IF(G562&gt;0,DT!AC562*I562+DT!AD562*J562+DT!AE562*K562+DT!AF562*L562+DT!AG562*M562+DT!AH562*N562,"")</f>
        <v/>
      </c>
      <c r="P562" s="15"/>
    </row>
    <row r="563" spans="1:16">
      <c r="A563" s="1"/>
      <c r="B563" s="1"/>
      <c r="C563" s="1"/>
      <c r="D563" s="1"/>
      <c r="E563" s="1"/>
      <c r="F563" s="1"/>
      <c r="G563" s="1">
        <f t="shared" si="65"/>
        <v>0</v>
      </c>
      <c r="I563" s="7" t="str">
        <f t="shared" si="59"/>
        <v/>
      </c>
      <c r="J563" s="7" t="str">
        <f t="shared" si="60"/>
        <v/>
      </c>
      <c r="K563" s="7" t="str">
        <f t="shared" si="61"/>
        <v/>
      </c>
      <c r="L563" s="7" t="str">
        <f t="shared" si="62"/>
        <v/>
      </c>
      <c r="M563" s="7" t="str">
        <f t="shared" si="63"/>
        <v/>
      </c>
      <c r="N563" s="7" t="str">
        <f t="shared" si="64"/>
        <v/>
      </c>
      <c r="O563" s="51" t="str">
        <f>IF(G563&gt;0,DT!AC563*I563+DT!AD563*J563+DT!AE563*K563+DT!AF563*L563+DT!AG563*M563+DT!AH563*N563,"")</f>
        <v/>
      </c>
      <c r="P563" s="15"/>
    </row>
    <row r="564" spans="1:16">
      <c r="A564" s="1"/>
      <c r="B564" s="1"/>
      <c r="C564" s="1"/>
      <c r="D564" s="1"/>
      <c r="E564" s="1"/>
      <c r="F564" s="1"/>
      <c r="G564" s="1">
        <f t="shared" si="65"/>
        <v>0</v>
      </c>
      <c r="I564" s="7" t="str">
        <f t="shared" ref="I564:I627" si="66">IF(G564&gt;0,A564/G564,"")</f>
        <v/>
      </c>
      <c r="J564" s="7" t="str">
        <f t="shared" ref="J564:J627" si="67">IF(G564&gt;0,B564/G564,"")</f>
        <v/>
      </c>
      <c r="K564" s="7" t="str">
        <f t="shared" ref="K564:K627" si="68">IF(G564&gt;0,C564/G564,"")</f>
        <v/>
      </c>
      <c r="L564" s="7" t="str">
        <f t="shared" ref="L564:L627" si="69">IF(G564&gt;0,D564/G564,"")</f>
        <v/>
      </c>
      <c r="M564" s="7" t="str">
        <f t="shared" ref="M564:M627" si="70">IF(G564&gt;0,E564/G564,"")</f>
        <v/>
      </c>
      <c r="N564" s="7" t="str">
        <f t="shared" ref="N564:N627" si="71">IF(G564&gt;0,F564/G564,"")</f>
        <v/>
      </c>
      <c r="O564" s="51" t="str">
        <f>IF(G564&gt;0,DT!AC564*I564+DT!AD564*J564+DT!AE564*K564+DT!AF564*L564+DT!AG564*M564+DT!AH564*N564,"")</f>
        <v/>
      </c>
      <c r="P564" s="15"/>
    </row>
    <row r="565" spans="1:16">
      <c r="A565" s="1"/>
      <c r="B565" s="1"/>
      <c r="C565" s="1"/>
      <c r="D565" s="1"/>
      <c r="E565" s="1"/>
      <c r="F565" s="1"/>
      <c r="G565" s="1">
        <f t="shared" si="65"/>
        <v>0</v>
      </c>
      <c r="I565" s="7" t="str">
        <f t="shared" si="66"/>
        <v/>
      </c>
      <c r="J565" s="7" t="str">
        <f t="shared" si="67"/>
        <v/>
      </c>
      <c r="K565" s="7" t="str">
        <f t="shared" si="68"/>
        <v/>
      </c>
      <c r="L565" s="7" t="str">
        <f t="shared" si="69"/>
        <v/>
      </c>
      <c r="M565" s="7" t="str">
        <f t="shared" si="70"/>
        <v/>
      </c>
      <c r="N565" s="7" t="str">
        <f t="shared" si="71"/>
        <v/>
      </c>
      <c r="O565" s="51" t="str">
        <f>IF(G565&gt;0,DT!AC565*I565+DT!AD565*J565+DT!AE565*K565+DT!AF565*L565+DT!AG565*M565+DT!AH565*N565,"")</f>
        <v/>
      </c>
      <c r="P565" s="15"/>
    </row>
    <row r="566" spans="1:16">
      <c r="A566" s="1"/>
      <c r="B566" s="1"/>
      <c r="C566" s="1"/>
      <c r="D566" s="1"/>
      <c r="E566" s="1"/>
      <c r="F566" s="1"/>
      <c r="G566" s="1">
        <f t="shared" si="65"/>
        <v>0</v>
      </c>
      <c r="I566" s="7" t="str">
        <f t="shared" si="66"/>
        <v/>
      </c>
      <c r="J566" s="7" t="str">
        <f t="shared" si="67"/>
        <v/>
      </c>
      <c r="K566" s="7" t="str">
        <f t="shared" si="68"/>
        <v/>
      </c>
      <c r="L566" s="7" t="str">
        <f t="shared" si="69"/>
        <v/>
      </c>
      <c r="M566" s="7" t="str">
        <f t="shared" si="70"/>
        <v/>
      </c>
      <c r="N566" s="7" t="str">
        <f t="shared" si="71"/>
        <v/>
      </c>
      <c r="O566" s="51" t="str">
        <f>IF(G566&gt;0,DT!AC566*I566+DT!AD566*J566+DT!AE566*K566+DT!AF566*L566+DT!AG566*M566+DT!AH566*N566,"")</f>
        <v/>
      </c>
      <c r="P566" s="15"/>
    </row>
    <row r="567" spans="1:16">
      <c r="A567" s="1"/>
      <c r="B567" s="1"/>
      <c r="C567" s="1"/>
      <c r="D567" s="1"/>
      <c r="E567" s="1"/>
      <c r="F567" s="1"/>
      <c r="G567" s="1">
        <f t="shared" si="65"/>
        <v>0</v>
      </c>
      <c r="I567" s="7" t="str">
        <f t="shared" si="66"/>
        <v/>
      </c>
      <c r="J567" s="7" t="str">
        <f t="shared" si="67"/>
        <v/>
      </c>
      <c r="K567" s="7" t="str">
        <f t="shared" si="68"/>
        <v/>
      </c>
      <c r="L567" s="7" t="str">
        <f t="shared" si="69"/>
        <v/>
      </c>
      <c r="M567" s="7" t="str">
        <f t="shared" si="70"/>
        <v/>
      </c>
      <c r="N567" s="7" t="str">
        <f t="shared" si="71"/>
        <v/>
      </c>
      <c r="O567" s="51" t="str">
        <f>IF(G567&gt;0,DT!AC567*I567+DT!AD567*J567+DT!AE567*K567+DT!AF567*L567+DT!AG567*M567+DT!AH567*N567,"")</f>
        <v/>
      </c>
      <c r="P567" s="15"/>
    </row>
    <row r="568" spans="1:16">
      <c r="A568" s="1"/>
      <c r="B568" s="1"/>
      <c r="C568" s="1"/>
      <c r="D568" s="1"/>
      <c r="E568" s="1"/>
      <c r="F568" s="1"/>
      <c r="G568" s="1">
        <f t="shared" si="65"/>
        <v>0</v>
      </c>
      <c r="I568" s="7" t="str">
        <f t="shared" si="66"/>
        <v/>
      </c>
      <c r="J568" s="7" t="str">
        <f t="shared" si="67"/>
        <v/>
      </c>
      <c r="K568" s="7" t="str">
        <f t="shared" si="68"/>
        <v/>
      </c>
      <c r="L568" s="7" t="str">
        <f t="shared" si="69"/>
        <v/>
      </c>
      <c r="M568" s="7" t="str">
        <f t="shared" si="70"/>
        <v/>
      </c>
      <c r="N568" s="7" t="str">
        <f t="shared" si="71"/>
        <v/>
      </c>
      <c r="O568" s="51" t="str">
        <f>IF(G568&gt;0,DT!AC568*I568+DT!AD568*J568+DT!AE568*K568+DT!AF568*L568+DT!AG568*M568+DT!AH568*N568,"")</f>
        <v/>
      </c>
      <c r="P568" s="15"/>
    </row>
    <row r="569" spans="1:16">
      <c r="A569" s="1"/>
      <c r="B569" s="1"/>
      <c r="C569" s="1"/>
      <c r="D569" s="1"/>
      <c r="E569" s="1"/>
      <c r="F569" s="1"/>
      <c r="G569" s="1">
        <f t="shared" si="65"/>
        <v>0</v>
      </c>
      <c r="I569" s="7" t="str">
        <f t="shared" si="66"/>
        <v/>
      </c>
      <c r="J569" s="7" t="str">
        <f t="shared" si="67"/>
        <v/>
      </c>
      <c r="K569" s="7" t="str">
        <f t="shared" si="68"/>
        <v/>
      </c>
      <c r="L569" s="7" t="str">
        <f t="shared" si="69"/>
        <v/>
      </c>
      <c r="M569" s="7" t="str">
        <f t="shared" si="70"/>
        <v/>
      </c>
      <c r="N569" s="7" t="str">
        <f t="shared" si="71"/>
        <v/>
      </c>
      <c r="O569" s="51" t="str">
        <f>IF(G569&gt;0,DT!AC569*I569+DT!AD569*J569+DT!AE569*K569+DT!AF569*L569+DT!AG569*M569+DT!AH569*N569,"")</f>
        <v/>
      </c>
      <c r="P569" s="15"/>
    </row>
    <row r="570" spans="1:16">
      <c r="A570" s="1"/>
      <c r="B570" s="1"/>
      <c r="C570" s="1"/>
      <c r="D570" s="1"/>
      <c r="E570" s="1"/>
      <c r="F570" s="1"/>
      <c r="G570" s="1">
        <f t="shared" si="65"/>
        <v>0</v>
      </c>
      <c r="I570" s="7" t="str">
        <f t="shared" si="66"/>
        <v/>
      </c>
      <c r="J570" s="7" t="str">
        <f t="shared" si="67"/>
        <v/>
      </c>
      <c r="K570" s="7" t="str">
        <f t="shared" si="68"/>
        <v/>
      </c>
      <c r="L570" s="7" t="str">
        <f t="shared" si="69"/>
        <v/>
      </c>
      <c r="M570" s="7" t="str">
        <f t="shared" si="70"/>
        <v/>
      </c>
      <c r="N570" s="7" t="str">
        <f t="shared" si="71"/>
        <v/>
      </c>
      <c r="O570" s="51" t="str">
        <f>IF(G570&gt;0,DT!AC570*I570+DT!AD570*J570+DT!AE570*K570+DT!AF570*L570+DT!AG570*M570+DT!AH570*N570,"")</f>
        <v/>
      </c>
      <c r="P570" s="15"/>
    </row>
    <row r="571" spans="1:16">
      <c r="A571" s="1"/>
      <c r="B571" s="1"/>
      <c r="C571" s="1"/>
      <c r="D571" s="1"/>
      <c r="E571" s="1"/>
      <c r="F571" s="1"/>
      <c r="G571" s="1">
        <f t="shared" si="65"/>
        <v>0</v>
      </c>
      <c r="I571" s="7" t="str">
        <f t="shared" si="66"/>
        <v/>
      </c>
      <c r="J571" s="7" t="str">
        <f t="shared" si="67"/>
        <v/>
      </c>
      <c r="K571" s="7" t="str">
        <f t="shared" si="68"/>
        <v/>
      </c>
      <c r="L571" s="7" t="str">
        <f t="shared" si="69"/>
        <v/>
      </c>
      <c r="M571" s="7" t="str">
        <f t="shared" si="70"/>
        <v/>
      </c>
      <c r="N571" s="7" t="str">
        <f t="shared" si="71"/>
        <v/>
      </c>
      <c r="O571" s="51" t="str">
        <f>IF(G571&gt;0,DT!AC571*I571+DT!AD571*J571+DT!AE571*K571+DT!AF571*L571+DT!AG571*M571+DT!AH571*N571,"")</f>
        <v/>
      </c>
      <c r="P571" s="15"/>
    </row>
    <row r="572" spans="1:16">
      <c r="A572" s="1"/>
      <c r="B572" s="1"/>
      <c r="C572" s="1"/>
      <c r="D572" s="1"/>
      <c r="E572" s="1"/>
      <c r="F572" s="1"/>
      <c r="G572" s="1">
        <f t="shared" si="65"/>
        <v>0</v>
      </c>
      <c r="I572" s="7" t="str">
        <f t="shared" si="66"/>
        <v/>
      </c>
      <c r="J572" s="7" t="str">
        <f t="shared" si="67"/>
        <v/>
      </c>
      <c r="K572" s="7" t="str">
        <f t="shared" si="68"/>
        <v/>
      </c>
      <c r="L572" s="7" t="str">
        <f t="shared" si="69"/>
        <v/>
      </c>
      <c r="M572" s="7" t="str">
        <f t="shared" si="70"/>
        <v/>
      </c>
      <c r="N572" s="7" t="str">
        <f t="shared" si="71"/>
        <v/>
      </c>
      <c r="O572" s="51" t="str">
        <f>IF(G572&gt;0,DT!AC572*I572+DT!AD572*J572+DT!AE572*K572+DT!AF572*L572+DT!AG572*M572+DT!AH572*N572,"")</f>
        <v/>
      </c>
      <c r="P572" s="15"/>
    </row>
    <row r="573" spans="1:16">
      <c r="A573" s="1"/>
      <c r="B573" s="1"/>
      <c r="C573" s="1"/>
      <c r="D573" s="1"/>
      <c r="E573" s="1"/>
      <c r="F573" s="1"/>
      <c r="G573" s="1">
        <f t="shared" si="65"/>
        <v>0</v>
      </c>
      <c r="I573" s="7" t="str">
        <f t="shared" si="66"/>
        <v/>
      </c>
      <c r="J573" s="7" t="str">
        <f t="shared" si="67"/>
        <v/>
      </c>
      <c r="K573" s="7" t="str">
        <f t="shared" si="68"/>
        <v/>
      </c>
      <c r="L573" s="7" t="str">
        <f t="shared" si="69"/>
        <v/>
      </c>
      <c r="M573" s="7" t="str">
        <f t="shared" si="70"/>
        <v/>
      </c>
      <c r="N573" s="7" t="str">
        <f t="shared" si="71"/>
        <v/>
      </c>
      <c r="O573" s="51" t="str">
        <f>IF(G573&gt;0,DT!AC573*I573+DT!AD573*J573+DT!AE573*K573+DT!AF573*L573+DT!AG573*M573+DT!AH573*N573,"")</f>
        <v/>
      </c>
      <c r="P573" s="15"/>
    </row>
    <row r="574" spans="1:16">
      <c r="A574" s="1"/>
      <c r="B574" s="1"/>
      <c r="C574" s="1"/>
      <c r="D574" s="1"/>
      <c r="E574" s="1"/>
      <c r="F574" s="1"/>
      <c r="G574" s="1">
        <f t="shared" si="65"/>
        <v>0</v>
      </c>
      <c r="I574" s="7" t="str">
        <f t="shared" si="66"/>
        <v/>
      </c>
      <c r="J574" s="7" t="str">
        <f t="shared" si="67"/>
        <v/>
      </c>
      <c r="K574" s="7" t="str">
        <f t="shared" si="68"/>
        <v/>
      </c>
      <c r="L574" s="7" t="str">
        <f t="shared" si="69"/>
        <v/>
      </c>
      <c r="M574" s="7" t="str">
        <f t="shared" si="70"/>
        <v/>
      </c>
      <c r="N574" s="7" t="str">
        <f t="shared" si="71"/>
        <v/>
      </c>
      <c r="O574" s="51" t="str">
        <f>IF(G574&gt;0,DT!AC574*I574+DT!AD574*J574+DT!AE574*K574+DT!AF574*L574+DT!AG574*M574+DT!AH574*N574,"")</f>
        <v/>
      </c>
      <c r="P574" s="15"/>
    </row>
    <row r="575" spans="1:16">
      <c r="A575" s="1"/>
      <c r="B575" s="1"/>
      <c r="C575" s="1"/>
      <c r="D575" s="1"/>
      <c r="E575" s="1"/>
      <c r="F575" s="1"/>
      <c r="G575" s="1">
        <f t="shared" si="65"/>
        <v>0</v>
      </c>
      <c r="I575" s="7" t="str">
        <f t="shared" si="66"/>
        <v/>
      </c>
      <c r="J575" s="7" t="str">
        <f t="shared" si="67"/>
        <v/>
      </c>
      <c r="K575" s="7" t="str">
        <f t="shared" si="68"/>
        <v/>
      </c>
      <c r="L575" s="7" t="str">
        <f t="shared" si="69"/>
        <v/>
      </c>
      <c r="M575" s="7" t="str">
        <f t="shared" si="70"/>
        <v/>
      </c>
      <c r="N575" s="7" t="str">
        <f t="shared" si="71"/>
        <v/>
      </c>
      <c r="O575" s="51" t="str">
        <f>IF(G575&gt;0,DT!AC575*I575+DT!AD575*J575+DT!AE575*K575+DT!AF575*L575+DT!AG575*M575+DT!AH575*N575,"")</f>
        <v/>
      </c>
      <c r="P575" s="15"/>
    </row>
    <row r="576" spans="1:16">
      <c r="A576" s="1"/>
      <c r="B576" s="1"/>
      <c r="C576" s="1"/>
      <c r="D576" s="1"/>
      <c r="E576" s="1"/>
      <c r="F576" s="1"/>
      <c r="G576" s="1">
        <f t="shared" si="65"/>
        <v>0</v>
      </c>
      <c r="I576" s="7" t="str">
        <f t="shared" si="66"/>
        <v/>
      </c>
      <c r="J576" s="7" t="str">
        <f t="shared" si="67"/>
        <v/>
      </c>
      <c r="K576" s="7" t="str">
        <f t="shared" si="68"/>
        <v/>
      </c>
      <c r="L576" s="7" t="str">
        <f t="shared" si="69"/>
        <v/>
      </c>
      <c r="M576" s="7" t="str">
        <f t="shared" si="70"/>
        <v/>
      </c>
      <c r="N576" s="7" t="str">
        <f t="shared" si="71"/>
        <v/>
      </c>
      <c r="O576" s="51" t="str">
        <f>IF(G576&gt;0,DT!AC576*I576+DT!AD576*J576+DT!AE576*K576+DT!AF576*L576+DT!AG576*M576+DT!AH576*N576,"")</f>
        <v/>
      </c>
      <c r="P576" s="15"/>
    </row>
    <row r="577" spans="1:16">
      <c r="A577" s="1"/>
      <c r="B577" s="1"/>
      <c r="C577" s="1"/>
      <c r="D577" s="1"/>
      <c r="E577" s="1"/>
      <c r="F577" s="1"/>
      <c r="G577" s="1">
        <f t="shared" si="65"/>
        <v>0</v>
      </c>
      <c r="I577" s="7" t="str">
        <f t="shared" si="66"/>
        <v/>
      </c>
      <c r="J577" s="7" t="str">
        <f t="shared" si="67"/>
        <v/>
      </c>
      <c r="K577" s="7" t="str">
        <f t="shared" si="68"/>
        <v/>
      </c>
      <c r="L577" s="7" t="str">
        <f t="shared" si="69"/>
        <v/>
      </c>
      <c r="M577" s="7" t="str">
        <f t="shared" si="70"/>
        <v/>
      </c>
      <c r="N577" s="7" t="str">
        <f t="shared" si="71"/>
        <v/>
      </c>
      <c r="O577" s="51" t="str">
        <f>IF(G577&gt;0,DT!AC577*I577+DT!AD577*J577+DT!AE577*K577+DT!AF577*L577+DT!AG577*M577+DT!AH577*N577,"")</f>
        <v/>
      </c>
      <c r="P577" s="15"/>
    </row>
    <row r="578" spans="1:16">
      <c r="A578" s="1"/>
      <c r="B578" s="1"/>
      <c r="C578" s="1"/>
      <c r="D578" s="1"/>
      <c r="E578" s="1"/>
      <c r="F578" s="1"/>
      <c r="G578" s="1">
        <f t="shared" si="65"/>
        <v>0</v>
      </c>
      <c r="I578" s="7" t="str">
        <f t="shared" si="66"/>
        <v/>
      </c>
      <c r="J578" s="7" t="str">
        <f t="shared" si="67"/>
        <v/>
      </c>
      <c r="K578" s="7" t="str">
        <f t="shared" si="68"/>
        <v/>
      </c>
      <c r="L578" s="7" t="str">
        <f t="shared" si="69"/>
        <v/>
      </c>
      <c r="M578" s="7" t="str">
        <f t="shared" si="70"/>
        <v/>
      </c>
      <c r="N578" s="7" t="str">
        <f t="shared" si="71"/>
        <v/>
      </c>
      <c r="O578" s="51" t="str">
        <f>IF(G578&gt;0,DT!AC578*I578+DT!AD578*J578+DT!AE578*K578+DT!AF578*L578+DT!AG578*M578+DT!AH578*N578,"")</f>
        <v/>
      </c>
      <c r="P578" s="15"/>
    </row>
    <row r="579" spans="1:16">
      <c r="A579" s="1"/>
      <c r="B579" s="1"/>
      <c r="C579" s="1"/>
      <c r="D579" s="1"/>
      <c r="E579" s="1"/>
      <c r="F579" s="1"/>
      <c r="G579" s="1">
        <f t="shared" si="65"/>
        <v>0</v>
      </c>
      <c r="I579" s="7" t="str">
        <f t="shared" si="66"/>
        <v/>
      </c>
      <c r="J579" s="7" t="str">
        <f t="shared" si="67"/>
        <v/>
      </c>
      <c r="K579" s="7" t="str">
        <f t="shared" si="68"/>
        <v/>
      </c>
      <c r="L579" s="7" t="str">
        <f t="shared" si="69"/>
        <v/>
      </c>
      <c r="M579" s="7" t="str">
        <f t="shared" si="70"/>
        <v/>
      </c>
      <c r="N579" s="7" t="str">
        <f t="shared" si="71"/>
        <v/>
      </c>
      <c r="O579" s="51" t="str">
        <f>IF(G579&gt;0,DT!AC579*I579+DT!AD579*J579+DT!AE579*K579+DT!AF579*L579+DT!AG579*M579+DT!AH579*N579,"")</f>
        <v/>
      </c>
      <c r="P579" s="15"/>
    </row>
    <row r="580" spans="1:16">
      <c r="A580" s="1"/>
      <c r="B580" s="1"/>
      <c r="C580" s="1"/>
      <c r="D580" s="1"/>
      <c r="E580" s="1"/>
      <c r="F580" s="1"/>
      <c r="G580" s="1">
        <f t="shared" si="65"/>
        <v>0</v>
      </c>
      <c r="I580" s="7" t="str">
        <f t="shared" si="66"/>
        <v/>
      </c>
      <c r="J580" s="7" t="str">
        <f t="shared" si="67"/>
        <v/>
      </c>
      <c r="K580" s="7" t="str">
        <f t="shared" si="68"/>
        <v/>
      </c>
      <c r="L580" s="7" t="str">
        <f t="shared" si="69"/>
        <v/>
      </c>
      <c r="M580" s="7" t="str">
        <f t="shared" si="70"/>
        <v/>
      </c>
      <c r="N580" s="7" t="str">
        <f t="shared" si="71"/>
        <v/>
      </c>
      <c r="O580" s="51" t="str">
        <f>IF(G580&gt;0,DT!AC580*I580+DT!AD580*J580+DT!AE580*K580+DT!AF580*L580+DT!AG580*M580+DT!AH580*N580,"")</f>
        <v/>
      </c>
      <c r="P580" s="15"/>
    </row>
    <row r="581" spans="1:16">
      <c r="A581" s="1"/>
      <c r="B581" s="1"/>
      <c r="C581" s="1"/>
      <c r="D581" s="1"/>
      <c r="E581" s="1"/>
      <c r="F581" s="1"/>
      <c r="G581" s="1">
        <f t="shared" ref="G581:G644" si="72">SUM(A581:F581)</f>
        <v>0</v>
      </c>
      <c r="I581" s="7" t="str">
        <f t="shared" si="66"/>
        <v/>
      </c>
      <c r="J581" s="7" t="str">
        <f t="shared" si="67"/>
        <v/>
      </c>
      <c r="K581" s="7" t="str">
        <f t="shared" si="68"/>
        <v/>
      </c>
      <c r="L581" s="7" t="str">
        <f t="shared" si="69"/>
        <v/>
      </c>
      <c r="M581" s="7" t="str">
        <f t="shared" si="70"/>
        <v/>
      </c>
      <c r="N581" s="7" t="str">
        <f t="shared" si="71"/>
        <v/>
      </c>
      <c r="O581" s="51" t="str">
        <f>IF(G581&gt;0,DT!AC581*I581+DT!AD581*J581+DT!AE581*K581+DT!AF581*L581+DT!AG581*M581+DT!AH581*N581,"")</f>
        <v/>
      </c>
      <c r="P581" s="15"/>
    </row>
    <row r="582" spans="1:16">
      <c r="A582" s="1"/>
      <c r="B582" s="1"/>
      <c r="C582" s="1"/>
      <c r="D582" s="1"/>
      <c r="E582" s="1"/>
      <c r="F582" s="1"/>
      <c r="G582" s="1">
        <f t="shared" si="72"/>
        <v>0</v>
      </c>
      <c r="I582" s="7" t="str">
        <f t="shared" si="66"/>
        <v/>
      </c>
      <c r="J582" s="7" t="str">
        <f t="shared" si="67"/>
        <v/>
      </c>
      <c r="K582" s="7" t="str">
        <f t="shared" si="68"/>
        <v/>
      </c>
      <c r="L582" s="7" t="str">
        <f t="shared" si="69"/>
        <v/>
      </c>
      <c r="M582" s="7" t="str">
        <f t="shared" si="70"/>
        <v/>
      </c>
      <c r="N582" s="7" t="str">
        <f t="shared" si="71"/>
        <v/>
      </c>
      <c r="O582" s="51" t="str">
        <f>IF(G582&gt;0,DT!AC582*I582+DT!AD582*J582+DT!AE582*K582+DT!AF582*L582+DT!AG582*M582+DT!AH582*N582,"")</f>
        <v/>
      </c>
      <c r="P582" s="15"/>
    </row>
    <row r="583" spans="1:16">
      <c r="A583" s="1"/>
      <c r="B583" s="1"/>
      <c r="C583" s="1"/>
      <c r="D583" s="1"/>
      <c r="E583" s="1"/>
      <c r="F583" s="1"/>
      <c r="G583" s="1">
        <f t="shared" si="72"/>
        <v>0</v>
      </c>
      <c r="I583" s="7" t="str">
        <f t="shared" si="66"/>
        <v/>
      </c>
      <c r="J583" s="7" t="str">
        <f t="shared" si="67"/>
        <v/>
      </c>
      <c r="K583" s="7" t="str">
        <f t="shared" si="68"/>
        <v/>
      </c>
      <c r="L583" s="7" t="str">
        <f t="shared" si="69"/>
        <v/>
      </c>
      <c r="M583" s="7" t="str">
        <f t="shared" si="70"/>
        <v/>
      </c>
      <c r="N583" s="7" t="str">
        <f t="shared" si="71"/>
        <v/>
      </c>
      <c r="O583" s="51" t="str">
        <f>IF(G583&gt;0,DT!AC583*I583+DT!AD583*J583+DT!AE583*K583+DT!AF583*L583+DT!AG583*M583+DT!AH583*N583,"")</f>
        <v/>
      </c>
      <c r="P583" s="15"/>
    </row>
    <row r="584" spans="1:16">
      <c r="A584" s="1"/>
      <c r="B584" s="1"/>
      <c r="C584" s="1"/>
      <c r="D584" s="1"/>
      <c r="E584" s="1"/>
      <c r="F584" s="1"/>
      <c r="G584" s="1">
        <f t="shared" si="72"/>
        <v>0</v>
      </c>
      <c r="I584" s="7" t="str">
        <f t="shared" si="66"/>
        <v/>
      </c>
      <c r="J584" s="7" t="str">
        <f t="shared" si="67"/>
        <v/>
      </c>
      <c r="K584" s="7" t="str">
        <f t="shared" si="68"/>
        <v/>
      </c>
      <c r="L584" s="7" t="str">
        <f t="shared" si="69"/>
        <v/>
      </c>
      <c r="M584" s="7" t="str">
        <f t="shared" si="70"/>
        <v/>
      </c>
      <c r="N584" s="7" t="str">
        <f t="shared" si="71"/>
        <v/>
      </c>
      <c r="O584" s="51" t="str">
        <f>IF(G584&gt;0,DT!AC584*I584+DT!AD584*J584+DT!AE584*K584+DT!AF584*L584+DT!AG584*M584+DT!AH584*N584,"")</f>
        <v/>
      </c>
      <c r="P584" s="15"/>
    </row>
    <row r="585" spans="1:16">
      <c r="A585" s="1"/>
      <c r="B585" s="1"/>
      <c r="C585" s="1"/>
      <c r="D585" s="1"/>
      <c r="E585" s="1"/>
      <c r="F585" s="1"/>
      <c r="G585" s="1">
        <f t="shared" si="72"/>
        <v>0</v>
      </c>
      <c r="I585" s="7" t="str">
        <f t="shared" si="66"/>
        <v/>
      </c>
      <c r="J585" s="7" t="str">
        <f t="shared" si="67"/>
        <v/>
      </c>
      <c r="K585" s="7" t="str">
        <f t="shared" si="68"/>
        <v/>
      </c>
      <c r="L585" s="7" t="str">
        <f t="shared" si="69"/>
        <v/>
      </c>
      <c r="M585" s="7" t="str">
        <f t="shared" si="70"/>
        <v/>
      </c>
      <c r="N585" s="7" t="str">
        <f t="shared" si="71"/>
        <v/>
      </c>
      <c r="O585" s="51" t="str">
        <f>IF(G585&gt;0,DT!AC585*I585+DT!AD585*J585+DT!AE585*K585+DT!AF585*L585+DT!AG585*M585+DT!AH585*N585,"")</f>
        <v/>
      </c>
      <c r="P585" s="15"/>
    </row>
    <row r="586" spans="1:16">
      <c r="A586" s="1"/>
      <c r="B586" s="1"/>
      <c r="C586" s="1"/>
      <c r="D586" s="1"/>
      <c r="E586" s="1"/>
      <c r="F586" s="1"/>
      <c r="G586" s="1">
        <f t="shared" si="72"/>
        <v>0</v>
      </c>
      <c r="I586" s="7" t="str">
        <f t="shared" si="66"/>
        <v/>
      </c>
      <c r="J586" s="7" t="str">
        <f t="shared" si="67"/>
        <v/>
      </c>
      <c r="K586" s="7" t="str">
        <f t="shared" si="68"/>
        <v/>
      </c>
      <c r="L586" s="7" t="str">
        <f t="shared" si="69"/>
        <v/>
      </c>
      <c r="M586" s="7" t="str">
        <f t="shared" si="70"/>
        <v/>
      </c>
      <c r="N586" s="7" t="str">
        <f t="shared" si="71"/>
        <v/>
      </c>
      <c r="O586" s="51" t="str">
        <f>IF(G586&gt;0,DT!AC586*I586+DT!AD586*J586+DT!AE586*K586+DT!AF586*L586+DT!AG586*M586+DT!AH586*N586,"")</f>
        <v/>
      </c>
      <c r="P586" s="15"/>
    </row>
    <row r="587" spans="1:16">
      <c r="A587" s="1"/>
      <c r="B587" s="1"/>
      <c r="C587" s="1"/>
      <c r="D587" s="1"/>
      <c r="E587" s="1"/>
      <c r="F587" s="1"/>
      <c r="G587" s="1">
        <f t="shared" si="72"/>
        <v>0</v>
      </c>
      <c r="I587" s="7" t="str">
        <f t="shared" si="66"/>
        <v/>
      </c>
      <c r="J587" s="7" t="str">
        <f t="shared" si="67"/>
        <v/>
      </c>
      <c r="K587" s="7" t="str">
        <f t="shared" si="68"/>
        <v/>
      </c>
      <c r="L587" s="7" t="str">
        <f t="shared" si="69"/>
        <v/>
      </c>
      <c r="M587" s="7" t="str">
        <f t="shared" si="70"/>
        <v/>
      </c>
      <c r="N587" s="7" t="str">
        <f t="shared" si="71"/>
        <v/>
      </c>
      <c r="O587" s="51" t="str">
        <f>IF(G587&gt;0,DT!AC587*I587+DT!AD587*J587+DT!AE587*K587+DT!AF587*L587+DT!AG587*M587+DT!AH587*N587,"")</f>
        <v/>
      </c>
      <c r="P587" s="15"/>
    </row>
    <row r="588" spans="1:16">
      <c r="A588" s="1"/>
      <c r="B588" s="1"/>
      <c r="C588" s="1"/>
      <c r="D588" s="1"/>
      <c r="E588" s="1"/>
      <c r="F588" s="1"/>
      <c r="G588" s="1">
        <f t="shared" si="72"/>
        <v>0</v>
      </c>
      <c r="I588" s="7" t="str">
        <f t="shared" si="66"/>
        <v/>
      </c>
      <c r="J588" s="7" t="str">
        <f t="shared" si="67"/>
        <v/>
      </c>
      <c r="K588" s="7" t="str">
        <f t="shared" si="68"/>
        <v/>
      </c>
      <c r="L588" s="7" t="str">
        <f t="shared" si="69"/>
        <v/>
      </c>
      <c r="M588" s="7" t="str">
        <f t="shared" si="70"/>
        <v/>
      </c>
      <c r="N588" s="7" t="str">
        <f t="shared" si="71"/>
        <v/>
      </c>
      <c r="O588" s="51" t="str">
        <f>IF(G588&gt;0,DT!AC588*I588+DT!AD588*J588+DT!AE588*K588+DT!AF588*L588+DT!AG588*M588+DT!AH588*N588,"")</f>
        <v/>
      </c>
      <c r="P588" s="15"/>
    </row>
    <row r="589" spans="1:16">
      <c r="A589" s="1"/>
      <c r="B589" s="1"/>
      <c r="C589" s="1"/>
      <c r="D589" s="1"/>
      <c r="E589" s="1"/>
      <c r="F589" s="1"/>
      <c r="G589" s="1">
        <f t="shared" si="72"/>
        <v>0</v>
      </c>
      <c r="I589" s="7" t="str">
        <f t="shared" si="66"/>
        <v/>
      </c>
      <c r="J589" s="7" t="str">
        <f t="shared" si="67"/>
        <v/>
      </c>
      <c r="K589" s="7" t="str">
        <f t="shared" si="68"/>
        <v/>
      </c>
      <c r="L589" s="7" t="str">
        <f t="shared" si="69"/>
        <v/>
      </c>
      <c r="M589" s="7" t="str">
        <f t="shared" si="70"/>
        <v/>
      </c>
      <c r="N589" s="7" t="str">
        <f t="shared" si="71"/>
        <v/>
      </c>
      <c r="O589" s="51" t="str">
        <f>IF(G589&gt;0,DT!AC589*I589+DT!AD589*J589+DT!AE589*K589+DT!AF589*L589+DT!AG589*M589+DT!AH589*N589,"")</f>
        <v/>
      </c>
      <c r="P589" s="15"/>
    </row>
    <row r="590" spans="1:16">
      <c r="A590" s="1"/>
      <c r="B590" s="1"/>
      <c r="C590" s="1"/>
      <c r="D590" s="1"/>
      <c r="E590" s="1"/>
      <c r="F590" s="1"/>
      <c r="G590" s="1">
        <f t="shared" si="72"/>
        <v>0</v>
      </c>
      <c r="I590" s="7" t="str">
        <f t="shared" si="66"/>
        <v/>
      </c>
      <c r="J590" s="7" t="str">
        <f t="shared" si="67"/>
        <v/>
      </c>
      <c r="K590" s="7" t="str">
        <f t="shared" si="68"/>
        <v/>
      </c>
      <c r="L590" s="7" t="str">
        <f t="shared" si="69"/>
        <v/>
      </c>
      <c r="M590" s="7" t="str">
        <f t="shared" si="70"/>
        <v/>
      </c>
      <c r="N590" s="7" t="str">
        <f t="shared" si="71"/>
        <v/>
      </c>
      <c r="O590" s="51" t="str">
        <f>IF(G590&gt;0,DT!AC590*I590+DT!AD590*J590+DT!AE590*K590+DT!AF590*L590+DT!AG590*M590+DT!AH590*N590,"")</f>
        <v/>
      </c>
      <c r="P590" s="15"/>
    </row>
    <row r="591" spans="1:16">
      <c r="A591" s="1"/>
      <c r="B591" s="1"/>
      <c r="C591" s="1"/>
      <c r="D591" s="1"/>
      <c r="E591" s="1"/>
      <c r="F591" s="1"/>
      <c r="G591" s="1">
        <f t="shared" si="72"/>
        <v>0</v>
      </c>
      <c r="I591" s="7" t="str">
        <f t="shared" si="66"/>
        <v/>
      </c>
      <c r="J591" s="7" t="str">
        <f t="shared" si="67"/>
        <v/>
      </c>
      <c r="K591" s="7" t="str">
        <f t="shared" si="68"/>
        <v/>
      </c>
      <c r="L591" s="7" t="str">
        <f t="shared" si="69"/>
        <v/>
      </c>
      <c r="M591" s="7" t="str">
        <f t="shared" si="70"/>
        <v/>
      </c>
      <c r="N591" s="7" t="str">
        <f t="shared" si="71"/>
        <v/>
      </c>
      <c r="O591" s="51" t="str">
        <f>IF(G591&gt;0,DT!AC591*I591+DT!AD591*J591+DT!AE591*K591+DT!AF591*L591+DT!AG591*M591+DT!AH591*N591,"")</f>
        <v/>
      </c>
      <c r="P591" s="15"/>
    </row>
    <row r="592" spans="1:16">
      <c r="A592" s="1"/>
      <c r="B592" s="1"/>
      <c r="C592" s="1"/>
      <c r="D592" s="1"/>
      <c r="E592" s="1"/>
      <c r="F592" s="1"/>
      <c r="G592" s="1">
        <f t="shared" si="72"/>
        <v>0</v>
      </c>
      <c r="I592" s="7" t="str">
        <f t="shared" si="66"/>
        <v/>
      </c>
      <c r="J592" s="7" t="str">
        <f t="shared" si="67"/>
        <v/>
      </c>
      <c r="K592" s="7" t="str">
        <f t="shared" si="68"/>
        <v/>
      </c>
      <c r="L592" s="7" t="str">
        <f t="shared" si="69"/>
        <v/>
      </c>
      <c r="M592" s="7" t="str">
        <f t="shared" si="70"/>
        <v/>
      </c>
      <c r="N592" s="7" t="str">
        <f t="shared" si="71"/>
        <v/>
      </c>
      <c r="O592" s="51" t="str">
        <f>IF(G592&gt;0,DT!AC592*I592+DT!AD592*J592+DT!AE592*K592+DT!AF592*L592+DT!AG592*M592+DT!AH592*N592,"")</f>
        <v/>
      </c>
      <c r="P592" s="15"/>
    </row>
    <row r="593" spans="1:16">
      <c r="A593" s="1"/>
      <c r="B593" s="1"/>
      <c r="C593" s="1"/>
      <c r="D593" s="1"/>
      <c r="E593" s="1"/>
      <c r="F593" s="1"/>
      <c r="G593" s="1">
        <f t="shared" si="72"/>
        <v>0</v>
      </c>
      <c r="I593" s="7" t="str">
        <f t="shared" si="66"/>
        <v/>
      </c>
      <c r="J593" s="7" t="str">
        <f t="shared" si="67"/>
        <v/>
      </c>
      <c r="K593" s="7" t="str">
        <f t="shared" si="68"/>
        <v/>
      </c>
      <c r="L593" s="7" t="str">
        <f t="shared" si="69"/>
        <v/>
      </c>
      <c r="M593" s="7" t="str">
        <f t="shared" si="70"/>
        <v/>
      </c>
      <c r="N593" s="7" t="str">
        <f t="shared" si="71"/>
        <v/>
      </c>
      <c r="O593" s="51" t="str">
        <f>IF(G593&gt;0,DT!AC593*I593+DT!AD593*J593+DT!AE593*K593+DT!AF593*L593+DT!AG593*M593+DT!AH593*N593,"")</f>
        <v/>
      </c>
      <c r="P593" s="15"/>
    </row>
    <row r="594" spans="1:16">
      <c r="A594" s="1"/>
      <c r="B594" s="1"/>
      <c r="C594" s="1"/>
      <c r="D594" s="1"/>
      <c r="E594" s="1"/>
      <c r="F594" s="1"/>
      <c r="G594" s="1">
        <f t="shared" si="72"/>
        <v>0</v>
      </c>
      <c r="I594" s="7" t="str">
        <f t="shared" si="66"/>
        <v/>
      </c>
      <c r="J594" s="7" t="str">
        <f t="shared" si="67"/>
        <v/>
      </c>
      <c r="K594" s="7" t="str">
        <f t="shared" si="68"/>
        <v/>
      </c>
      <c r="L594" s="7" t="str">
        <f t="shared" si="69"/>
        <v/>
      </c>
      <c r="M594" s="7" t="str">
        <f t="shared" si="70"/>
        <v/>
      </c>
      <c r="N594" s="7" t="str">
        <f t="shared" si="71"/>
        <v/>
      </c>
      <c r="O594" s="51" t="str">
        <f>IF(G594&gt;0,DT!AC594*I594+DT!AD594*J594+DT!AE594*K594+DT!AF594*L594+DT!AG594*M594+DT!AH594*N594,"")</f>
        <v/>
      </c>
      <c r="P594" s="15"/>
    </row>
    <row r="595" spans="1:16">
      <c r="A595" s="1"/>
      <c r="B595" s="1"/>
      <c r="C595" s="1"/>
      <c r="D595" s="1"/>
      <c r="E595" s="1"/>
      <c r="F595" s="1"/>
      <c r="G595" s="1">
        <f t="shared" si="72"/>
        <v>0</v>
      </c>
      <c r="I595" s="7" t="str">
        <f t="shared" si="66"/>
        <v/>
      </c>
      <c r="J595" s="7" t="str">
        <f t="shared" si="67"/>
        <v/>
      </c>
      <c r="K595" s="7" t="str">
        <f t="shared" si="68"/>
        <v/>
      </c>
      <c r="L595" s="7" t="str">
        <f t="shared" si="69"/>
        <v/>
      </c>
      <c r="M595" s="7" t="str">
        <f t="shared" si="70"/>
        <v/>
      </c>
      <c r="N595" s="7" t="str">
        <f t="shared" si="71"/>
        <v/>
      </c>
      <c r="O595" s="51" t="str">
        <f>IF(G595&gt;0,DT!AC595*I595+DT!AD595*J595+DT!AE595*K595+DT!AF595*L595+DT!AG595*M595+DT!AH595*N595,"")</f>
        <v/>
      </c>
      <c r="P595" s="15"/>
    </row>
    <row r="596" spans="1:16">
      <c r="A596" s="1"/>
      <c r="B596" s="1"/>
      <c r="C596" s="1"/>
      <c r="D596" s="1"/>
      <c r="E596" s="1"/>
      <c r="F596" s="1"/>
      <c r="G596" s="1">
        <f t="shared" si="72"/>
        <v>0</v>
      </c>
      <c r="I596" s="7" t="str">
        <f t="shared" si="66"/>
        <v/>
      </c>
      <c r="J596" s="7" t="str">
        <f t="shared" si="67"/>
        <v/>
      </c>
      <c r="K596" s="7" t="str">
        <f t="shared" si="68"/>
        <v/>
      </c>
      <c r="L596" s="7" t="str">
        <f t="shared" si="69"/>
        <v/>
      </c>
      <c r="M596" s="7" t="str">
        <f t="shared" si="70"/>
        <v/>
      </c>
      <c r="N596" s="7" t="str">
        <f t="shared" si="71"/>
        <v/>
      </c>
      <c r="O596" s="51" t="str">
        <f>IF(G596&gt;0,DT!AC596*I596+DT!AD596*J596+DT!AE596*K596+DT!AF596*L596+DT!AG596*M596+DT!AH596*N596,"")</f>
        <v/>
      </c>
      <c r="P596" s="15"/>
    </row>
    <row r="597" spans="1:16">
      <c r="A597" s="1"/>
      <c r="B597" s="1"/>
      <c r="C597" s="1"/>
      <c r="D597" s="1"/>
      <c r="E597" s="1"/>
      <c r="F597" s="1"/>
      <c r="G597" s="1">
        <f t="shared" si="72"/>
        <v>0</v>
      </c>
      <c r="I597" s="7" t="str">
        <f t="shared" si="66"/>
        <v/>
      </c>
      <c r="J597" s="7" t="str">
        <f t="shared" si="67"/>
        <v/>
      </c>
      <c r="K597" s="7" t="str">
        <f t="shared" si="68"/>
        <v/>
      </c>
      <c r="L597" s="7" t="str">
        <f t="shared" si="69"/>
        <v/>
      </c>
      <c r="M597" s="7" t="str">
        <f t="shared" si="70"/>
        <v/>
      </c>
      <c r="N597" s="7" t="str">
        <f t="shared" si="71"/>
        <v/>
      </c>
      <c r="O597" s="51" t="str">
        <f>IF(G597&gt;0,DT!AC597*I597+DT!AD597*J597+DT!AE597*K597+DT!AF597*L597+DT!AG597*M597+DT!AH597*N597,"")</f>
        <v/>
      </c>
      <c r="P597" s="15"/>
    </row>
    <row r="598" spans="1:16">
      <c r="A598" s="1"/>
      <c r="B598" s="1"/>
      <c r="C598" s="1"/>
      <c r="D598" s="1"/>
      <c r="E598" s="1"/>
      <c r="F598" s="1"/>
      <c r="G598" s="1">
        <f t="shared" si="72"/>
        <v>0</v>
      </c>
      <c r="I598" s="7" t="str">
        <f t="shared" si="66"/>
        <v/>
      </c>
      <c r="J598" s="7" t="str">
        <f t="shared" si="67"/>
        <v/>
      </c>
      <c r="K598" s="7" t="str">
        <f t="shared" si="68"/>
        <v/>
      </c>
      <c r="L598" s="7" t="str">
        <f t="shared" si="69"/>
        <v/>
      </c>
      <c r="M598" s="7" t="str">
        <f t="shared" si="70"/>
        <v/>
      </c>
      <c r="N598" s="7" t="str">
        <f t="shared" si="71"/>
        <v/>
      </c>
      <c r="O598" s="51" t="str">
        <f>IF(G598&gt;0,DT!AC598*I598+DT!AD598*J598+DT!AE598*K598+DT!AF598*L598+DT!AG598*M598+DT!AH598*N598,"")</f>
        <v/>
      </c>
      <c r="P598" s="15"/>
    </row>
    <row r="599" spans="1:16">
      <c r="A599" s="1"/>
      <c r="B599" s="1"/>
      <c r="C599" s="1"/>
      <c r="D599" s="1"/>
      <c r="E599" s="1"/>
      <c r="F599" s="1"/>
      <c r="G599" s="1">
        <f t="shared" si="72"/>
        <v>0</v>
      </c>
      <c r="I599" s="7" t="str">
        <f t="shared" si="66"/>
        <v/>
      </c>
      <c r="J599" s="7" t="str">
        <f t="shared" si="67"/>
        <v/>
      </c>
      <c r="K599" s="7" t="str">
        <f t="shared" si="68"/>
        <v/>
      </c>
      <c r="L599" s="7" t="str">
        <f t="shared" si="69"/>
        <v/>
      </c>
      <c r="M599" s="7" t="str">
        <f t="shared" si="70"/>
        <v/>
      </c>
      <c r="N599" s="7" t="str">
        <f t="shared" si="71"/>
        <v/>
      </c>
      <c r="O599" s="51" t="str">
        <f>IF(G599&gt;0,DT!AC599*I599+DT!AD599*J599+DT!AE599*K599+DT!AF599*L599+DT!AG599*M599+DT!AH599*N599,"")</f>
        <v/>
      </c>
      <c r="P599" s="15"/>
    </row>
    <row r="600" spans="1:16">
      <c r="A600" s="1"/>
      <c r="B600" s="1"/>
      <c r="C600" s="1"/>
      <c r="D600" s="1"/>
      <c r="E600" s="1"/>
      <c r="F600" s="1"/>
      <c r="G600" s="1">
        <f t="shared" si="72"/>
        <v>0</v>
      </c>
      <c r="I600" s="7" t="str">
        <f t="shared" si="66"/>
        <v/>
      </c>
      <c r="J600" s="7" t="str">
        <f t="shared" si="67"/>
        <v/>
      </c>
      <c r="K600" s="7" t="str">
        <f t="shared" si="68"/>
        <v/>
      </c>
      <c r="L600" s="7" t="str">
        <f t="shared" si="69"/>
        <v/>
      </c>
      <c r="M600" s="7" t="str">
        <f t="shared" si="70"/>
        <v/>
      </c>
      <c r="N600" s="7" t="str">
        <f t="shared" si="71"/>
        <v/>
      </c>
      <c r="O600" s="51" t="str">
        <f>IF(G600&gt;0,DT!AC600*I600+DT!AD600*J600+DT!AE600*K600+DT!AF600*L600+DT!AG600*M600+DT!AH600*N600,"")</f>
        <v/>
      </c>
      <c r="P600" s="15"/>
    </row>
    <row r="601" spans="1:16">
      <c r="A601" s="1"/>
      <c r="B601" s="1"/>
      <c r="C601" s="1"/>
      <c r="D601" s="1"/>
      <c r="E601" s="1"/>
      <c r="F601" s="1"/>
      <c r="G601" s="1">
        <f t="shared" si="72"/>
        <v>0</v>
      </c>
      <c r="I601" s="7" t="str">
        <f t="shared" si="66"/>
        <v/>
      </c>
      <c r="J601" s="7" t="str">
        <f t="shared" si="67"/>
        <v/>
      </c>
      <c r="K601" s="7" t="str">
        <f t="shared" si="68"/>
        <v/>
      </c>
      <c r="L601" s="7" t="str">
        <f t="shared" si="69"/>
        <v/>
      </c>
      <c r="M601" s="7" t="str">
        <f t="shared" si="70"/>
        <v/>
      </c>
      <c r="N601" s="7" t="str">
        <f t="shared" si="71"/>
        <v/>
      </c>
      <c r="O601" s="51" t="str">
        <f>IF(G601&gt;0,DT!AC601*I601+DT!AD601*J601+DT!AE601*K601+DT!AF601*L601+DT!AG601*M601+DT!AH601*N601,"")</f>
        <v/>
      </c>
      <c r="P601" s="15"/>
    </row>
    <row r="602" spans="1:16">
      <c r="A602" s="1"/>
      <c r="B602" s="1"/>
      <c r="C602" s="1"/>
      <c r="D602" s="1"/>
      <c r="E602" s="1"/>
      <c r="F602" s="1"/>
      <c r="G602" s="1">
        <f t="shared" si="72"/>
        <v>0</v>
      </c>
      <c r="I602" s="7" t="str">
        <f t="shared" si="66"/>
        <v/>
      </c>
      <c r="J602" s="7" t="str">
        <f t="shared" si="67"/>
        <v/>
      </c>
      <c r="K602" s="7" t="str">
        <f t="shared" si="68"/>
        <v/>
      </c>
      <c r="L602" s="7" t="str">
        <f t="shared" si="69"/>
        <v/>
      </c>
      <c r="M602" s="7" t="str">
        <f t="shared" si="70"/>
        <v/>
      </c>
      <c r="N602" s="7" t="str">
        <f t="shared" si="71"/>
        <v/>
      </c>
      <c r="O602" s="51" t="str">
        <f>IF(G602&gt;0,DT!AC602*I602+DT!AD602*J602+DT!AE602*K602+DT!AF602*L602+DT!AG602*M602+DT!AH602*N602,"")</f>
        <v/>
      </c>
      <c r="P602" s="15"/>
    </row>
    <row r="603" spans="1:16">
      <c r="A603" s="1"/>
      <c r="B603" s="1"/>
      <c r="C603" s="1"/>
      <c r="D603" s="1"/>
      <c r="E603" s="1"/>
      <c r="F603" s="1"/>
      <c r="G603" s="1">
        <f t="shared" si="72"/>
        <v>0</v>
      </c>
      <c r="I603" s="7" t="str">
        <f t="shared" si="66"/>
        <v/>
      </c>
      <c r="J603" s="7" t="str">
        <f t="shared" si="67"/>
        <v/>
      </c>
      <c r="K603" s="7" t="str">
        <f t="shared" si="68"/>
        <v/>
      </c>
      <c r="L603" s="7" t="str">
        <f t="shared" si="69"/>
        <v/>
      </c>
      <c r="M603" s="7" t="str">
        <f t="shared" si="70"/>
        <v/>
      </c>
      <c r="N603" s="7" t="str">
        <f t="shared" si="71"/>
        <v/>
      </c>
      <c r="O603" s="51" t="str">
        <f>IF(G603&gt;0,DT!AC603*I603+DT!AD603*J603+DT!AE603*K603+DT!AF603*L603+DT!AG603*M603+DT!AH603*N603,"")</f>
        <v/>
      </c>
      <c r="P603" s="15"/>
    </row>
    <row r="604" spans="1:16">
      <c r="A604" s="1"/>
      <c r="B604" s="1"/>
      <c r="C604" s="1"/>
      <c r="D604" s="1"/>
      <c r="E604" s="1"/>
      <c r="F604" s="1"/>
      <c r="G604" s="1">
        <f t="shared" si="72"/>
        <v>0</v>
      </c>
      <c r="I604" s="7" t="str">
        <f t="shared" si="66"/>
        <v/>
      </c>
      <c r="J604" s="7" t="str">
        <f t="shared" si="67"/>
        <v/>
      </c>
      <c r="K604" s="7" t="str">
        <f t="shared" si="68"/>
        <v/>
      </c>
      <c r="L604" s="7" t="str">
        <f t="shared" si="69"/>
        <v/>
      </c>
      <c r="M604" s="7" t="str">
        <f t="shared" si="70"/>
        <v/>
      </c>
      <c r="N604" s="7" t="str">
        <f t="shared" si="71"/>
        <v/>
      </c>
      <c r="O604" s="51" t="str">
        <f>IF(G604&gt;0,DT!AC604*I604+DT!AD604*J604+DT!AE604*K604+DT!AF604*L604+DT!AG604*M604+DT!AH604*N604,"")</f>
        <v/>
      </c>
      <c r="P604" s="15"/>
    </row>
    <row r="605" spans="1:16">
      <c r="A605" s="1"/>
      <c r="B605" s="1"/>
      <c r="C605" s="1"/>
      <c r="D605" s="1"/>
      <c r="E605" s="1"/>
      <c r="F605" s="1"/>
      <c r="G605" s="1">
        <f t="shared" si="72"/>
        <v>0</v>
      </c>
      <c r="I605" s="7" t="str">
        <f t="shared" si="66"/>
        <v/>
      </c>
      <c r="J605" s="7" t="str">
        <f t="shared" si="67"/>
        <v/>
      </c>
      <c r="K605" s="7" t="str">
        <f t="shared" si="68"/>
        <v/>
      </c>
      <c r="L605" s="7" t="str">
        <f t="shared" si="69"/>
        <v/>
      </c>
      <c r="M605" s="7" t="str">
        <f t="shared" si="70"/>
        <v/>
      </c>
      <c r="N605" s="7" t="str">
        <f t="shared" si="71"/>
        <v/>
      </c>
      <c r="O605" s="51" t="str">
        <f>IF(G605&gt;0,DT!AC605*I605+DT!AD605*J605+DT!AE605*K605+DT!AF605*L605+DT!AG605*M605+DT!AH605*N605,"")</f>
        <v/>
      </c>
      <c r="P605" s="15"/>
    </row>
    <row r="606" spans="1:16">
      <c r="A606" s="1"/>
      <c r="B606" s="1"/>
      <c r="C606" s="1"/>
      <c r="D606" s="1"/>
      <c r="E606" s="1"/>
      <c r="F606" s="1"/>
      <c r="G606" s="1">
        <f t="shared" si="72"/>
        <v>0</v>
      </c>
      <c r="I606" s="7" t="str">
        <f t="shared" si="66"/>
        <v/>
      </c>
      <c r="J606" s="7" t="str">
        <f t="shared" si="67"/>
        <v/>
      </c>
      <c r="K606" s="7" t="str">
        <f t="shared" si="68"/>
        <v/>
      </c>
      <c r="L606" s="7" t="str">
        <f t="shared" si="69"/>
        <v/>
      </c>
      <c r="M606" s="7" t="str">
        <f t="shared" si="70"/>
        <v/>
      </c>
      <c r="N606" s="7" t="str">
        <f t="shared" si="71"/>
        <v/>
      </c>
      <c r="O606" s="51" t="str">
        <f>IF(G606&gt;0,DT!AC606*I606+DT!AD606*J606+DT!AE606*K606+DT!AF606*L606+DT!AG606*M606+DT!AH606*N606,"")</f>
        <v/>
      </c>
      <c r="P606" s="15"/>
    </row>
    <row r="607" spans="1:16">
      <c r="A607" s="1"/>
      <c r="B607" s="1"/>
      <c r="C607" s="1"/>
      <c r="D607" s="1"/>
      <c r="E607" s="1"/>
      <c r="F607" s="1"/>
      <c r="G607" s="1">
        <f t="shared" si="72"/>
        <v>0</v>
      </c>
      <c r="I607" s="7" t="str">
        <f t="shared" si="66"/>
        <v/>
      </c>
      <c r="J607" s="7" t="str">
        <f t="shared" si="67"/>
        <v/>
      </c>
      <c r="K607" s="7" t="str">
        <f t="shared" si="68"/>
        <v/>
      </c>
      <c r="L607" s="7" t="str">
        <f t="shared" si="69"/>
        <v/>
      </c>
      <c r="M607" s="7" t="str">
        <f t="shared" si="70"/>
        <v/>
      </c>
      <c r="N607" s="7" t="str">
        <f t="shared" si="71"/>
        <v/>
      </c>
      <c r="O607" s="51" t="str">
        <f>IF(G607&gt;0,DT!AC607*I607+DT!AD607*J607+DT!AE607*K607+DT!AF607*L607+DT!AG607*M607+DT!AH607*N607,"")</f>
        <v/>
      </c>
      <c r="P607" s="15"/>
    </row>
    <row r="608" spans="1:16">
      <c r="A608" s="1"/>
      <c r="B608" s="1"/>
      <c r="C608" s="1"/>
      <c r="D608" s="1"/>
      <c r="E608" s="1"/>
      <c r="F608" s="1"/>
      <c r="G608" s="1">
        <f t="shared" si="72"/>
        <v>0</v>
      </c>
      <c r="I608" s="7" t="str">
        <f t="shared" si="66"/>
        <v/>
      </c>
      <c r="J608" s="7" t="str">
        <f t="shared" si="67"/>
        <v/>
      </c>
      <c r="K608" s="7" t="str">
        <f t="shared" si="68"/>
        <v/>
      </c>
      <c r="L608" s="7" t="str">
        <f t="shared" si="69"/>
        <v/>
      </c>
      <c r="M608" s="7" t="str">
        <f t="shared" si="70"/>
        <v/>
      </c>
      <c r="N608" s="7" t="str">
        <f t="shared" si="71"/>
        <v/>
      </c>
      <c r="O608" s="51" t="str">
        <f>IF(G608&gt;0,DT!AC608*I608+DT!AD608*J608+DT!AE608*K608+DT!AF608*L608+DT!AG608*M608+DT!AH608*N608,"")</f>
        <v/>
      </c>
      <c r="P608" s="15"/>
    </row>
    <row r="609" spans="1:16">
      <c r="A609" s="1"/>
      <c r="B609" s="1"/>
      <c r="C609" s="1"/>
      <c r="D609" s="1"/>
      <c r="E609" s="1"/>
      <c r="F609" s="1"/>
      <c r="G609" s="1">
        <f t="shared" si="72"/>
        <v>0</v>
      </c>
      <c r="I609" s="7" t="str">
        <f t="shared" si="66"/>
        <v/>
      </c>
      <c r="J609" s="7" t="str">
        <f t="shared" si="67"/>
        <v/>
      </c>
      <c r="K609" s="7" t="str">
        <f t="shared" si="68"/>
        <v/>
      </c>
      <c r="L609" s="7" t="str">
        <f t="shared" si="69"/>
        <v/>
      </c>
      <c r="M609" s="7" t="str">
        <f t="shared" si="70"/>
        <v/>
      </c>
      <c r="N609" s="7" t="str">
        <f t="shared" si="71"/>
        <v/>
      </c>
      <c r="O609" s="51" t="str">
        <f>IF(G609&gt;0,DT!AC609*I609+DT!AD609*J609+DT!AE609*K609+DT!AF609*L609+DT!AG609*M609+DT!AH609*N609,"")</f>
        <v/>
      </c>
      <c r="P609" s="15"/>
    </row>
    <row r="610" spans="1:16">
      <c r="A610" s="1"/>
      <c r="B610" s="1"/>
      <c r="C610" s="1"/>
      <c r="D610" s="1"/>
      <c r="E610" s="1"/>
      <c r="F610" s="1"/>
      <c r="G610" s="1">
        <f t="shared" si="72"/>
        <v>0</v>
      </c>
      <c r="I610" s="7" t="str">
        <f t="shared" si="66"/>
        <v/>
      </c>
      <c r="J610" s="7" t="str">
        <f t="shared" si="67"/>
        <v/>
      </c>
      <c r="K610" s="7" t="str">
        <f t="shared" si="68"/>
        <v/>
      </c>
      <c r="L610" s="7" t="str">
        <f t="shared" si="69"/>
        <v/>
      </c>
      <c r="M610" s="7" t="str">
        <f t="shared" si="70"/>
        <v/>
      </c>
      <c r="N610" s="7" t="str">
        <f t="shared" si="71"/>
        <v/>
      </c>
      <c r="O610" s="51" t="str">
        <f>IF(G610&gt;0,DT!AC610*I610+DT!AD610*J610+DT!AE610*K610+DT!AF610*L610+DT!AG610*M610+DT!AH610*N610,"")</f>
        <v/>
      </c>
      <c r="P610" s="15"/>
    </row>
    <row r="611" spans="1:16">
      <c r="A611" s="1"/>
      <c r="B611" s="1"/>
      <c r="C611" s="1"/>
      <c r="D611" s="1"/>
      <c r="E611" s="1"/>
      <c r="F611" s="1"/>
      <c r="G611" s="1">
        <f t="shared" si="72"/>
        <v>0</v>
      </c>
      <c r="I611" s="7" t="str">
        <f t="shared" si="66"/>
        <v/>
      </c>
      <c r="J611" s="7" t="str">
        <f t="shared" si="67"/>
        <v/>
      </c>
      <c r="K611" s="7" t="str">
        <f t="shared" si="68"/>
        <v/>
      </c>
      <c r="L611" s="7" t="str">
        <f t="shared" si="69"/>
        <v/>
      </c>
      <c r="M611" s="7" t="str">
        <f t="shared" si="70"/>
        <v/>
      </c>
      <c r="N611" s="7" t="str">
        <f t="shared" si="71"/>
        <v/>
      </c>
      <c r="O611" s="51" t="str">
        <f>IF(G611&gt;0,DT!AC611*I611+DT!AD611*J611+DT!AE611*K611+DT!AF611*L611+DT!AG611*M611+DT!AH611*N611,"")</f>
        <v/>
      </c>
      <c r="P611" s="15"/>
    </row>
    <row r="612" spans="1:16">
      <c r="A612" s="1"/>
      <c r="B612" s="1"/>
      <c r="C612" s="1"/>
      <c r="D612" s="1"/>
      <c r="E612" s="1"/>
      <c r="F612" s="1"/>
      <c r="G612" s="1">
        <f t="shared" si="72"/>
        <v>0</v>
      </c>
      <c r="I612" s="7" t="str">
        <f t="shared" si="66"/>
        <v/>
      </c>
      <c r="J612" s="7" t="str">
        <f t="shared" si="67"/>
        <v/>
      </c>
      <c r="K612" s="7" t="str">
        <f t="shared" si="68"/>
        <v/>
      </c>
      <c r="L612" s="7" t="str">
        <f t="shared" si="69"/>
        <v/>
      </c>
      <c r="M612" s="7" t="str">
        <f t="shared" si="70"/>
        <v/>
      </c>
      <c r="N612" s="7" t="str">
        <f t="shared" si="71"/>
        <v/>
      </c>
      <c r="O612" s="51" t="str">
        <f>IF(G612&gt;0,DT!AC612*I612+DT!AD612*J612+DT!AE612*K612+DT!AF612*L612+DT!AG612*M612+DT!AH612*N612,"")</f>
        <v/>
      </c>
      <c r="P612" s="15"/>
    </row>
    <row r="613" spans="1:16">
      <c r="A613" s="1"/>
      <c r="B613" s="1"/>
      <c r="C613" s="1"/>
      <c r="D613" s="1"/>
      <c r="E613" s="1"/>
      <c r="F613" s="1"/>
      <c r="G613" s="1">
        <f t="shared" si="72"/>
        <v>0</v>
      </c>
      <c r="I613" s="7" t="str">
        <f t="shared" si="66"/>
        <v/>
      </c>
      <c r="J613" s="7" t="str">
        <f t="shared" si="67"/>
        <v/>
      </c>
      <c r="K613" s="7" t="str">
        <f t="shared" si="68"/>
        <v/>
      </c>
      <c r="L613" s="7" t="str">
        <f t="shared" si="69"/>
        <v/>
      </c>
      <c r="M613" s="7" t="str">
        <f t="shared" si="70"/>
        <v/>
      </c>
      <c r="N613" s="7" t="str">
        <f t="shared" si="71"/>
        <v/>
      </c>
      <c r="O613" s="51" t="str">
        <f>IF(G613&gt;0,DT!AC613*I613+DT!AD613*J613+DT!AE613*K613+DT!AF613*L613+DT!AG613*M613+DT!AH613*N613,"")</f>
        <v/>
      </c>
      <c r="P613" s="15"/>
    </row>
    <row r="614" spans="1:16">
      <c r="A614" s="1"/>
      <c r="B614" s="1"/>
      <c r="C614" s="1"/>
      <c r="D614" s="1"/>
      <c r="E614" s="1"/>
      <c r="F614" s="1"/>
      <c r="G614" s="1">
        <f t="shared" si="72"/>
        <v>0</v>
      </c>
      <c r="I614" s="7" t="str">
        <f t="shared" si="66"/>
        <v/>
      </c>
      <c r="J614" s="7" t="str">
        <f t="shared" si="67"/>
        <v/>
      </c>
      <c r="K614" s="7" t="str">
        <f t="shared" si="68"/>
        <v/>
      </c>
      <c r="L614" s="7" t="str">
        <f t="shared" si="69"/>
        <v/>
      </c>
      <c r="M614" s="7" t="str">
        <f t="shared" si="70"/>
        <v/>
      </c>
      <c r="N614" s="7" t="str">
        <f t="shared" si="71"/>
        <v/>
      </c>
      <c r="O614" s="51" t="str">
        <f>IF(G614&gt;0,DT!AC614*I614+DT!AD614*J614+DT!AE614*K614+DT!AF614*L614+DT!AG614*M614+DT!AH614*N614,"")</f>
        <v/>
      </c>
      <c r="P614" s="15"/>
    </row>
    <row r="615" spans="1:16">
      <c r="A615" s="1"/>
      <c r="B615" s="1"/>
      <c r="C615" s="1"/>
      <c r="D615" s="1"/>
      <c r="E615" s="1"/>
      <c r="F615" s="1"/>
      <c r="G615" s="1">
        <f t="shared" si="72"/>
        <v>0</v>
      </c>
      <c r="I615" s="7" t="str">
        <f t="shared" si="66"/>
        <v/>
      </c>
      <c r="J615" s="7" t="str">
        <f t="shared" si="67"/>
        <v/>
      </c>
      <c r="K615" s="7" t="str">
        <f t="shared" si="68"/>
        <v/>
      </c>
      <c r="L615" s="7" t="str">
        <f t="shared" si="69"/>
        <v/>
      </c>
      <c r="M615" s="7" t="str">
        <f t="shared" si="70"/>
        <v/>
      </c>
      <c r="N615" s="7" t="str">
        <f t="shared" si="71"/>
        <v/>
      </c>
      <c r="O615" s="51" t="str">
        <f>IF(G615&gt;0,DT!AC615*I615+DT!AD615*J615+DT!AE615*K615+DT!AF615*L615+DT!AG615*M615+DT!AH615*N615,"")</f>
        <v/>
      </c>
      <c r="P615" s="15"/>
    </row>
    <row r="616" spans="1:16">
      <c r="A616" s="1"/>
      <c r="B616" s="1"/>
      <c r="C616" s="1"/>
      <c r="D616" s="1"/>
      <c r="E616" s="1"/>
      <c r="F616" s="1"/>
      <c r="G616" s="1">
        <f t="shared" si="72"/>
        <v>0</v>
      </c>
      <c r="I616" s="7" t="str">
        <f t="shared" si="66"/>
        <v/>
      </c>
      <c r="J616" s="7" t="str">
        <f t="shared" si="67"/>
        <v/>
      </c>
      <c r="K616" s="7" t="str">
        <f t="shared" si="68"/>
        <v/>
      </c>
      <c r="L616" s="7" t="str">
        <f t="shared" si="69"/>
        <v/>
      </c>
      <c r="M616" s="7" t="str">
        <f t="shared" si="70"/>
        <v/>
      </c>
      <c r="N616" s="7" t="str">
        <f t="shared" si="71"/>
        <v/>
      </c>
      <c r="O616" s="51" t="str">
        <f>IF(G616&gt;0,DT!AC616*I616+DT!AD616*J616+DT!AE616*K616+DT!AF616*L616+DT!AG616*M616+DT!AH616*N616,"")</f>
        <v/>
      </c>
      <c r="P616" s="15"/>
    </row>
    <row r="617" spans="1:16">
      <c r="A617" s="1"/>
      <c r="B617" s="1"/>
      <c r="C617" s="1"/>
      <c r="D617" s="1"/>
      <c r="E617" s="1"/>
      <c r="F617" s="1"/>
      <c r="G617" s="1">
        <f t="shared" si="72"/>
        <v>0</v>
      </c>
      <c r="I617" s="7" t="str">
        <f t="shared" si="66"/>
        <v/>
      </c>
      <c r="J617" s="7" t="str">
        <f t="shared" si="67"/>
        <v/>
      </c>
      <c r="K617" s="7" t="str">
        <f t="shared" si="68"/>
        <v/>
      </c>
      <c r="L617" s="7" t="str">
        <f t="shared" si="69"/>
        <v/>
      </c>
      <c r="M617" s="7" t="str">
        <f t="shared" si="70"/>
        <v/>
      </c>
      <c r="N617" s="7" t="str">
        <f t="shared" si="71"/>
        <v/>
      </c>
      <c r="O617" s="51" t="str">
        <f>IF(G617&gt;0,DT!AC617*I617+DT!AD617*J617+DT!AE617*K617+DT!AF617*L617+DT!AG617*M617+DT!AH617*N617,"")</f>
        <v/>
      </c>
      <c r="P617" s="15"/>
    </row>
    <row r="618" spans="1:16">
      <c r="A618" s="1"/>
      <c r="B618" s="1"/>
      <c r="C618" s="1"/>
      <c r="D618" s="1"/>
      <c r="E618" s="1"/>
      <c r="F618" s="1"/>
      <c r="G618" s="1">
        <f t="shared" si="72"/>
        <v>0</v>
      </c>
      <c r="I618" s="7" t="str">
        <f t="shared" si="66"/>
        <v/>
      </c>
      <c r="J618" s="7" t="str">
        <f t="shared" si="67"/>
        <v/>
      </c>
      <c r="K618" s="7" t="str">
        <f t="shared" si="68"/>
        <v/>
      </c>
      <c r="L618" s="7" t="str">
        <f t="shared" si="69"/>
        <v/>
      </c>
      <c r="M618" s="7" t="str">
        <f t="shared" si="70"/>
        <v/>
      </c>
      <c r="N618" s="7" t="str">
        <f t="shared" si="71"/>
        <v/>
      </c>
      <c r="O618" s="51" t="str">
        <f>IF(G618&gt;0,DT!AC618*I618+DT!AD618*J618+DT!AE618*K618+DT!AF618*L618+DT!AG618*M618+DT!AH618*N618,"")</f>
        <v/>
      </c>
      <c r="P618" s="15"/>
    </row>
    <row r="619" spans="1:16">
      <c r="A619" s="1"/>
      <c r="B619" s="1"/>
      <c r="C619" s="1"/>
      <c r="D619" s="1"/>
      <c r="E619" s="1"/>
      <c r="F619" s="1"/>
      <c r="G619" s="1">
        <f t="shared" si="72"/>
        <v>0</v>
      </c>
      <c r="I619" s="7" t="str">
        <f t="shared" si="66"/>
        <v/>
      </c>
      <c r="J619" s="7" t="str">
        <f t="shared" si="67"/>
        <v/>
      </c>
      <c r="K619" s="7" t="str">
        <f t="shared" si="68"/>
        <v/>
      </c>
      <c r="L619" s="7" t="str">
        <f t="shared" si="69"/>
        <v/>
      </c>
      <c r="M619" s="7" t="str">
        <f t="shared" si="70"/>
        <v/>
      </c>
      <c r="N619" s="7" t="str">
        <f t="shared" si="71"/>
        <v/>
      </c>
      <c r="O619" s="51" t="str">
        <f>IF(G619&gt;0,DT!AC619*I619+DT!AD619*J619+DT!AE619*K619+DT!AF619*L619+DT!AG619*M619+DT!AH619*N619,"")</f>
        <v/>
      </c>
      <c r="P619" s="15"/>
    </row>
    <row r="620" spans="1:16">
      <c r="A620" s="1"/>
      <c r="B620" s="1"/>
      <c r="C620" s="1"/>
      <c r="D620" s="1"/>
      <c r="E620" s="1"/>
      <c r="F620" s="1"/>
      <c r="G620" s="1">
        <f t="shared" si="72"/>
        <v>0</v>
      </c>
      <c r="I620" s="7" t="str">
        <f t="shared" si="66"/>
        <v/>
      </c>
      <c r="J620" s="7" t="str">
        <f t="shared" si="67"/>
        <v/>
      </c>
      <c r="K620" s="7" t="str">
        <f t="shared" si="68"/>
        <v/>
      </c>
      <c r="L620" s="7" t="str">
        <f t="shared" si="69"/>
        <v/>
      </c>
      <c r="M620" s="7" t="str">
        <f t="shared" si="70"/>
        <v/>
      </c>
      <c r="N620" s="7" t="str">
        <f t="shared" si="71"/>
        <v/>
      </c>
      <c r="O620" s="51" t="str">
        <f>IF(G620&gt;0,DT!AC620*I620+DT!AD620*J620+DT!AE620*K620+DT!AF620*L620+DT!AG620*M620+DT!AH620*N620,"")</f>
        <v/>
      </c>
      <c r="P620" s="15"/>
    </row>
    <row r="621" spans="1:16">
      <c r="A621" s="1"/>
      <c r="B621" s="1"/>
      <c r="C621" s="1"/>
      <c r="D621" s="1"/>
      <c r="E621" s="1"/>
      <c r="F621" s="1"/>
      <c r="G621" s="1">
        <f t="shared" si="72"/>
        <v>0</v>
      </c>
      <c r="I621" s="7" t="str">
        <f t="shared" si="66"/>
        <v/>
      </c>
      <c r="J621" s="7" t="str">
        <f t="shared" si="67"/>
        <v/>
      </c>
      <c r="K621" s="7" t="str">
        <f t="shared" si="68"/>
        <v/>
      </c>
      <c r="L621" s="7" t="str">
        <f t="shared" si="69"/>
        <v/>
      </c>
      <c r="M621" s="7" t="str">
        <f t="shared" si="70"/>
        <v/>
      </c>
      <c r="N621" s="7" t="str">
        <f t="shared" si="71"/>
        <v/>
      </c>
      <c r="O621" s="51" t="str">
        <f>IF(G621&gt;0,DT!AC621*I621+DT!AD621*J621+DT!AE621*K621+DT!AF621*L621+DT!AG621*M621+DT!AH621*N621,"")</f>
        <v/>
      </c>
      <c r="P621" s="15"/>
    </row>
    <row r="622" spans="1:16">
      <c r="A622" s="1"/>
      <c r="B622" s="1"/>
      <c r="C622" s="1"/>
      <c r="D622" s="1"/>
      <c r="E622" s="1"/>
      <c r="F622" s="1"/>
      <c r="G622" s="1">
        <f t="shared" si="72"/>
        <v>0</v>
      </c>
      <c r="I622" s="7" t="str">
        <f t="shared" si="66"/>
        <v/>
      </c>
      <c r="J622" s="7" t="str">
        <f t="shared" si="67"/>
        <v/>
      </c>
      <c r="K622" s="7" t="str">
        <f t="shared" si="68"/>
        <v/>
      </c>
      <c r="L622" s="7" t="str">
        <f t="shared" si="69"/>
        <v/>
      </c>
      <c r="M622" s="7" t="str">
        <f t="shared" si="70"/>
        <v/>
      </c>
      <c r="N622" s="7" t="str">
        <f t="shared" si="71"/>
        <v/>
      </c>
      <c r="O622" s="51" t="str">
        <f>IF(G622&gt;0,DT!AC622*I622+DT!AD622*J622+DT!AE622*K622+DT!AF622*L622+DT!AG622*M622+DT!AH622*N622,"")</f>
        <v/>
      </c>
      <c r="P622" s="15"/>
    </row>
    <row r="623" spans="1:16">
      <c r="A623" s="1"/>
      <c r="B623" s="1"/>
      <c r="C623" s="1"/>
      <c r="D623" s="1"/>
      <c r="E623" s="1"/>
      <c r="F623" s="1"/>
      <c r="G623" s="1">
        <f t="shared" si="72"/>
        <v>0</v>
      </c>
      <c r="I623" s="7" t="str">
        <f t="shared" si="66"/>
        <v/>
      </c>
      <c r="J623" s="7" t="str">
        <f t="shared" si="67"/>
        <v/>
      </c>
      <c r="K623" s="7" t="str">
        <f t="shared" si="68"/>
        <v/>
      </c>
      <c r="L623" s="7" t="str">
        <f t="shared" si="69"/>
        <v/>
      </c>
      <c r="M623" s="7" t="str">
        <f t="shared" si="70"/>
        <v/>
      </c>
      <c r="N623" s="7" t="str">
        <f t="shared" si="71"/>
        <v/>
      </c>
      <c r="O623" s="51" t="str">
        <f>IF(G623&gt;0,DT!AC623*I623+DT!AD623*J623+DT!AE623*K623+DT!AF623*L623+DT!AG623*M623+DT!AH623*N623,"")</f>
        <v/>
      </c>
      <c r="P623" s="15"/>
    </row>
    <row r="624" spans="1:16">
      <c r="A624" s="1"/>
      <c r="B624" s="1"/>
      <c r="C624" s="1"/>
      <c r="D624" s="1"/>
      <c r="E624" s="1"/>
      <c r="F624" s="1"/>
      <c r="G624" s="1">
        <f t="shared" si="72"/>
        <v>0</v>
      </c>
      <c r="I624" s="7" t="str">
        <f t="shared" si="66"/>
        <v/>
      </c>
      <c r="J624" s="7" t="str">
        <f t="shared" si="67"/>
        <v/>
      </c>
      <c r="K624" s="7" t="str">
        <f t="shared" si="68"/>
        <v/>
      </c>
      <c r="L624" s="7" t="str">
        <f t="shared" si="69"/>
        <v/>
      </c>
      <c r="M624" s="7" t="str">
        <f t="shared" si="70"/>
        <v/>
      </c>
      <c r="N624" s="7" t="str">
        <f t="shared" si="71"/>
        <v/>
      </c>
      <c r="O624" s="51" t="str">
        <f>IF(G624&gt;0,DT!AC624*I624+DT!AD624*J624+DT!AE624*K624+DT!AF624*L624+DT!AG624*M624+DT!AH624*N624,"")</f>
        <v/>
      </c>
      <c r="P624" s="15"/>
    </row>
    <row r="625" spans="1:16">
      <c r="A625" s="1"/>
      <c r="B625" s="1"/>
      <c r="C625" s="1"/>
      <c r="D625" s="1"/>
      <c r="E625" s="1"/>
      <c r="F625" s="1"/>
      <c r="G625" s="1">
        <f t="shared" si="72"/>
        <v>0</v>
      </c>
      <c r="I625" s="7" t="str">
        <f t="shared" si="66"/>
        <v/>
      </c>
      <c r="J625" s="7" t="str">
        <f t="shared" si="67"/>
        <v/>
      </c>
      <c r="K625" s="7" t="str">
        <f t="shared" si="68"/>
        <v/>
      </c>
      <c r="L625" s="7" t="str">
        <f t="shared" si="69"/>
        <v/>
      </c>
      <c r="M625" s="7" t="str">
        <f t="shared" si="70"/>
        <v/>
      </c>
      <c r="N625" s="7" t="str">
        <f t="shared" si="71"/>
        <v/>
      </c>
      <c r="O625" s="51" t="str">
        <f>IF(G625&gt;0,DT!AC625*I625+DT!AD625*J625+DT!AE625*K625+DT!AF625*L625+DT!AG625*M625+DT!AH625*N625,"")</f>
        <v/>
      </c>
      <c r="P625" s="15"/>
    </row>
    <row r="626" spans="1:16">
      <c r="A626" s="1"/>
      <c r="B626" s="1"/>
      <c r="C626" s="1"/>
      <c r="D626" s="1"/>
      <c r="E626" s="1"/>
      <c r="F626" s="1"/>
      <c r="G626" s="1">
        <f t="shared" si="72"/>
        <v>0</v>
      </c>
      <c r="I626" s="7" t="str">
        <f t="shared" si="66"/>
        <v/>
      </c>
      <c r="J626" s="7" t="str">
        <f t="shared" si="67"/>
        <v/>
      </c>
      <c r="K626" s="7" t="str">
        <f t="shared" si="68"/>
        <v/>
      </c>
      <c r="L626" s="7" t="str">
        <f t="shared" si="69"/>
        <v/>
      </c>
      <c r="M626" s="7" t="str">
        <f t="shared" si="70"/>
        <v/>
      </c>
      <c r="N626" s="7" t="str">
        <f t="shared" si="71"/>
        <v/>
      </c>
      <c r="O626" s="51" t="str">
        <f>IF(G626&gt;0,DT!AC626*I626+DT!AD626*J626+DT!AE626*K626+DT!AF626*L626+DT!AG626*M626+DT!AH626*N626,"")</f>
        <v/>
      </c>
      <c r="P626" s="15"/>
    </row>
    <row r="627" spans="1:16">
      <c r="A627" s="1"/>
      <c r="B627" s="1"/>
      <c r="C627" s="1"/>
      <c r="D627" s="1"/>
      <c r="E627" s="1"/>
      <c r="F627" s="1"/>
      <c r="G627" s="1">
        <f t="shared" si="72"/>
        <v>0</v>
      </c>
      <c r="I627" s="7" t="str">
        <f t="shared" si="66"/>
        <v/>
      </c>
      <c r="J627" s="7" t="str">
        <f t="shared" si="67"/>
        <v/>
      </c>
      <c r="K627" s="7" t="str">
        <f t="shared" si="68"/>
        <v/>
      </c>
      <c r="L627" s="7" t="str">
        <f t="shared" si="69"/>
        <v/>
      </c>
      <c r="M627" s="7" t="str">
        <f t="shared" si="70"/>
        <v/>
      </c>
      <c r="N627" s="7" t="str">
        <f t="shared" si="71"/>
        <v/>
      </c>
      <c r="O627" s="51" t="str">
        <f>IF(G627&gt;0,DT!AC627*I627+DT!AD627*J627+DT!AE627*K627+DT!AF627*L627+DT!AG627*M627+DT!AH627*N627,"")</f>
        <v/>
      </c>
      <c r="P627" s="15"/>
    </row>
    <row r="628" spans="1:16">
      <c r="A628" s="1"/>
      <c r="B628" s="1"/>
      <c r="C628" s="1"/>
      <c r="D628" s="1"/>
      <c r="E628" s="1"/>
      <c r="F628" s="1"/>
      <c r="G628" s="1">
        <f t="shared" si="72"/>
        <v>0</v>
      </c>
      <c r="I628" s="7" t="str">
        <f t="shared" ref="I628:I691" si="73">IF(G628&gt;0,A628/G628,"")</f>
        <v/>
      </c>
      <c r="J628" s="7" t="str">
        <f t="shared" ref="J628:J691" si="74">IF(G628&gt;0,B628/G628,"")</f>
        <v/>
      </c>
      <c r="K628" s="7" t="str">
        <f t="shared" ref="K628:K691" si="75">IF(G628&gt;0,C628/G628,"")</f>
        <v/>
      </c>
      <c r="L628" s="7" t="str">
        <f t="shared" ref="L628:L691" si="76">IF(G628&gt;0,D628/G628,"")</f>
        <v/>
      </c>
      <c r="M628" s="7" t="str">
        <f t="shared" ref="M628:M691" si="77">IF(G628&gt;0,E628/G628,"")</f>
        <v/>
      </c>
      <c r="N628" s="7" t="str">
        <f t="shared" ref="N628:N691" si="78">IF(G628&gt;0,F628/G628,"")</f>
        <v/>
      </c>
      <c r="O628" s="51" t="str">
        <f>IF(G628&gt;0,DT!AC628*I628+DT!AD628*J628+DT!AE628*K628+DT!AF628*L628+DT!AG628*M628+DT!AH628*N628,"")</f>
        <v/>
      </c>
      <c r="P628" s="15"/>
    </row>
    <row r="629" spans="1:16">
      <c r="A629" s="1"/>
      <c r="B629" s="1"/>
      <c r="C629" s="1"/>
      <c r="D629" s="1"/>
      <c r="E629" s="1"/>
      <c r="F629" s="1"/>
      <c r="G629" s="1">
        <f t="shared" si="72"/>
        <v>0</v>
      </c>
      <c r="I629" s="7" t="str">
        <f t="shared" si="73"/>
        <v/>
      </c>
      <c r="J629" s="7" t="str">
        <f t="shared" si="74"/>
        <v/>
      </c>
      <c r="K629" s="7" t="str">
        <f t="shared" si="75"/>
        <v/>
      </c>
      <c r="L629" s="7" t="str">
        <f t="shared" si="76"/>
        <v/>
      </c>
      <c r="M629" s="7" t="str">
        <f t="shared" si="77"/>
        <v/>
      </c>
      <c r="N629" s="7" t="str">
        <f t="shared" si="78"/>
        <v/>
      </c>
      <c r="O629" s="51" t="str">
        <f>IF(G629&gt;0,DT!AC629*I629+DT!AD629*J629+DT!AE629*K629+DT!AF629*L629+DT!AG629*M629+DT!AH629*N629,"")</f>
        <v/>
      </c>
      <c r="P629" s="15"/>
    </row>
    <row r="630" spans="1:16">
      <c r="A630" s="1"/>
      <c r="B630" s="1"/>
      <c r="C630" s="1"/>
      <c r="D630" s="1"/>
      <c r="E630" s="1"/>
      <c r="F630" s="1"/>
      <c r="G630" s="1">
        <f t="shared" si="72"/>
        <v>0</v>
      </c>
      <c r="I630" s="7" t="str">
        <f t="shared" si="73"/>
        <v/>
      </c>
      <c r="J630" s="7" t="str">
        <f t="shared" si="74"/>
        <v/>
      </c>
      <c r="K630" s="7" t="str">
        <f t="shared" si="75"/>
        <v/>
      </c>
      <c r="L630" s="7" t="str">
        <f t="shared" si="76"/>
        <v/>
      </c>
      <c r="M630" s="7" t="str">
        <f t="shared" si="77"/>
        <v/>
      </c>
      <c r="N630" s="7" t="str">
        <f t="shared" si="78"/>
        <v/>
      </c>
      <c r="O630" s="51" t="str">
        <f>IF(G630&gt;0,DT!AC630*I630+DT!AD630*J630+DT!AE630*K630+DT!AF630*L630+DT!AG630*M630+DT!AH630*N630,"")</f>
        <v/>
      </c>
      <c r="P630" s="15"/>
    </row>
    <row r="631" spans="1:16">
      <c r="A631" s="1"/>
      <c r="B631" s="1"/>
      <c r="C631" s="1"/>
      <c r="D631" s="1"/>
      <c r="E631" s="1"/>
      <c r="F631" s="1"/>
      <c r="G631" s="1">
        <f t="shared" si="72"/>
        <v>0</v>
      </c>
      <c r="I631" s="7" t="str">
        <f t="shared" si="73"/>
        <v/>
      </c>
      <c r="J631" s="7" t="str">
        <f t="shared" si="74"/>
        <v/>
      </c>
      <c r="K631" s="7" t="str">
        <f t="shared" si="75"/>
        <v/>
      </c>
      <c r="L631" s="7" t="str">
        <f t="shared" si="76"/>
        <v/>
      </c>
      <c r="M631" s="7" t="str">
        <f t="shared" si="77"/>
        <v/>
      </c>
      <c r="N631" s="7" t="str">
        <f t="shared" si="78"/>
        <v/>
      </c>
      <c r="O631" s="51" t="str">
        <f>IF(G631&gt;0,DT!AC631*I631+DT!AD631*J631+DT!AE631*K631+DT!AF631*L631+DT!AG631*M631+DT!AH631*N631,"")</f>
        <v/>
      </c>
      <c r="P631" s="15"/>
    </row>
    <row r="632" spans="1:16">
      <c r="A632" s="1"/>
      <c r="B632" s="1"/>
      <c r="C632" s="1"/>
      <c r="D632" s="1"/>
      <c r="E632" s="1"/>
      <c r="F632" s="1"/>
      <c r="G632" s="1">
        <f t="shared" si="72"/>
        <v>0</v>
      </c>
      <c r="I632" s="7" t="str">
        <f t="shared" si="73"/>
        <v/>
      </c>
      <c r="J632" s="7" t="str">
        <f t="shared" si="74"/>
        <v/>
      </c>
      <c r="K632" s="7" t="str">
        <f t="shared" si="75"/>
        <v/>
      </c>
      <c r="L632" s="7" t="str">
        <f t="shared" si="76"/>
        <v/>
      </c>
      <c r="M632" s="7" t="str">
        <f t="shared" si="77"/>
        <v/>
      </c>
      <c r="N632" s="7" t="str">
        <f t="shared" si="78"/>
        <v/>
      </c>
      <c r="O632" s="51" t="str">
        <f>IF(G632&gt;0,DT!AC632*I632+DT!AD632*J632+DT!AE632*K632+DT!AF632*L632+DT!AG632*M632+DT!AH632*N632,"")</f>
        <v/>
      </c>
      <c r="P632" s="15"/>
    </row>
    <row r="633" spans="1:16">
      <c r="A633" s="1"/>
      <c r="B633" s="1"/>
      <c r="C633" s="1"/>
      <c r="D633" s="1"/>
      <c r="E633" s="1"/>
      <c r="F633" s="1"/>
      <c r="G633" s="1">
        <f t="shared" si="72"/>
        <v>0</v>
      </c>
      <c r="I633" s="7" t="str">
        <f t="shared" si="73"/>
        <v/>
      </c>
      <c r="J633" s="7" t="str">
        <f t="shared" si="74"/>
        <v/>
      </c>
      <c r="K633" s="7" t="str">
        <f t="shared" si="75"/>
        <v/>
      </c>
      <c r="L633" s="7" t="str">
        <f t="shared" si="76"/>
        <v/>
      </c>
      <c r="M633" s="7" t="str">
        <f t="shared" si="77"/>
        <v/>
      </c>
      <c r="N633" s="7" t="str">
        <f t="shared" si="78"/>
        <v/>
      </c>
      <c r="O633" s="51" t="str">
        <f>IF(G633&gt;0,DT!AC633*I633+DT!AD633*J633+DT!AE633*K633+DT!AF633*L633+DT!AG633*M633+DT!AH633*N633,"")</f>
        <v/>
      </c>
      <c r="P633" s="15"/>
    </row>
    <row r="634" spans="1:16">
      <c r="A634" s="1"/>
      <c r="B634" s="1"/>
      <c r="C634" s="1"/>
      <c r="D634" s="1"/>
      <c r="E634" s="1"/>
      <c r="F634" s="1"/>
      <c r="G634" s="1">
        <f t="shared" si="72"/>
        <v>0</v>
      </c>
      <c r="I634" s="7" t="str">
        <f t="shared" si="73"/>
        <v/>
      </c>
      <c r="J634" s="7" t="str">
        <f t="shared" si="74"/>
        <v/>
      </c>
      <c r="K634" s="7" t="str">
        <f t="shared" si="75"/>
        <v/>
      </c>
      <c r="L634" s="7" t="str">
        <f t="shared" si="76"/>
        <v/>
      </c>
      <c r="M634" s="7" t="str">
        <f t="shared" si="77"/>
        <v/>
      </c>
      <c r="N634" s="7" t="str">
        <f t="shared" si="78"/>
        <v/>
      </c>
      <c r="O634" s="51" t="str">
        <f>IF(G634&gt;0,DT!AC634*I634+DT!AD634*J634+DT!AE634*K634+DT!AF634*L634+DT!AG634*M634+DT!AH634*N634,"")</f>
        <v/>
      </c>
      <c r="P634" s="15"/>
    </row>
    <row r="635" spans="1:16">
      <c r="A635" s="1"/>
      <c r="B635" s="1"/>
      <c r="C635" s="1"/>
      <c r="D635" s="1"/>
      <c r="E635" s="1"/>
      <c r="F635" s="1"/>
      <c r="G635" s="1">
        <f t="shared" si="72"/>
        <v>0</v>
      </c>
      <c r="I635" s="7" t="str">
        <f t="shared" si="73"/>
        <v/>
      </c>
      <c r="J635" s="7" t="str">
        <f t="shared" si="74"/>
        <v/>
      </c>
      <c r="K635" s="7" t="str">
        <f t="shared" si="75"/>
        <v/>
      </c>
      <c r="L635" s="7" t="str">
        <f t="shared" si="76"/>
        <v/>
      </c>
      <c r="M635" s="7" t="str">
        <f t="shared" si="77"/>
        <v/>
      </c>
      <c r="N635" s="7" t="str">
        <f t="shared" si="78"/>
        <v/>
      </c>
      <c r="O635" s="51" t="str">
        <f>IF(G635&gt;0,DT!AC635*I635+DT!AD635*J635+DT!AE635*K635+DT!AF635*L635+DT!AG635*M635+DT!AH635*N635,"")</f>
        <v/>
      </c>
      <c r="P635" s="15"/>
    </row>
    <row r="636" spans="1:16">
      <c r="A636" s="1"/>
      <c r="B636" s="1"/>
      <c r="C636" s="1"/>
      <c r="D636" s="1"/>
      <c r="E636" s="1"/>
      <c r="F636" s="1"/>
      <c r="G636" s="1">
        <f t="shared" si="72"/>
        <v>0</v>
      </c>
      <c r="I636" s="7" t="str">
        <f t="shared" si="73"/>
        <v/>
      </c>
      <c r="J636" s="7" t="str">
        <f t="shared" si="74"/>
        <v/>
      </c>
      <c r="K636" s="7" t="str">
        <f t="shared" si="75"/>
        <v/>
      </c>
      <c r="L636" s="7" t="str">
        <f t="shared" si="76"/>
        <v/>
      </c>
      <c r="M636" s="7" t="str">
        <f t="shared" si="77"/>
        <v/>
      </c>
      <c r="N636" s="7" t="str">
        <f t="shared" si="78"/>
        <v/>
      </c>
      <c r="O636" s="51" t="str">
        <f>IF(G636&gt;0,DT!AC636*I636+DT!AD636*J636+DT!AE636*K636+DT!AF636*L636+DT!AG636*M636+DT!AH636*N636,"")</f>
        <v/>
      </c>
      <c r="P636" s="15"/>
    </row>
    <row r="637" spans="1:16">
      <c r="A637" s="1"/>
      <c r="B637" s="1"/>
      <c r="C637" s="1"/>
      <c r="D637" s="1"/>
      <c r="E637" s="1"/>
      <c r="F637" s="1"/>
      <c r="G637" s="1">
        <f t="shared" si="72"/>
        <v>0</v>
      </c>
      <c r="I637" s="7" t="str">
        <f t="shared" si="73"/>
        <v/>
      </c>
      <c r="J637" s="7" t="str">
        <f t="shared" si="74"/>
        <v/>
      </c>
      <c r="K637" s="7" t="str">
        <f t="shared" si="75"/>
        <v/>
      </c>
      <c r="L637" s="7" t="str">
        <f t="shared" si="76"/>
        <v/>
      </c>
      <c r="M637" s="7" t="str">
        <f t="shared" si="77"/>
        <v/>
      </c>
      <c r="N637" s="7" t="str">
        <f t="shared" si="78"/>
        <v/>
      </c>
      <c r="O637" s="51" t="str">
        <f>IF(G637&gt;0,DT!AC637*I637+DT!AD637*J637+DT!AE637*K637+DT!AF637*L637+DT!AG637*M637+DT!AH637*N637,"")</f>
        <v/>
      </c>
      <c r="P637" s="15"/>
    </row>
    <row r="638" spans="1:16">
      <c r="A638" s="1"/>
      <c r="B638" s="1"/>
      <c r="C638" s="1"/>
      <c r="D638" s="1"/>
      <c r="E638" s="1"/>
      <c r="F638" s="1"/>
      <c r="G638" s="1">
        <f t="shared" si="72"/>
        <v>0</v>
      </c>
      <c r="I638" s="7" t="str">
        <f t="shared" si="73"/>
        <v/>
      </c>
      <c r="J638" s="7" t="str">
        <f t="shared" si="74"/>
        <v/>
      </c>
      <c r="K638" s="7" t="str">
        <f t="shared" si="75"/>
        <v/>
      </c>
      <c r="L638" s="7" t="str">
        <f t="shared" si="76"/>
        <v/>
      </c>
      <c r="M638" s="7" t="str">
        <f t="shared" si="77"/>
        <v/>
      </c>
      <c r="N638" s="7" t="str">
        <f t="shared" si="78"/>
        <v/>
      </c>
      <c r="O638" s="51" t="str">
        <f>IF(G638&gt;0,DT!AC638*I638+DT!AD638*J638+DT!AE638*K638+DT!AF638*L638+DT!AG638*M638+DT!AH638*N638,"")</f>
        <v/>
      </c>
      <c r="P638" s="15"/>
    </row>
    <row r="639" spans="1:16">
      <c r="A639" s="1"/>
      <c r="B639" s="1"/>
      <c r="C639" s="1"/>
      <c r="D639" s="1"/>
      <c r="E639" s="1"/>
      <c r="F639" s="1"/>
      <c r="G639" s="1">
        <f t="shared" si="72"/>
        <v>0</v>
      </c>
      <c r="I639" s="7" t="str">
        <f t="shared" si="73"/>
        <v/>
      </c>
      <c r="J639" s="7" t="str">
        <f t="shared" si="74"/>
        <v/>
      </c>
      <c r="K639" s="7" t="str">
        <f t="shared" si="75"/>
        <v/>
      </c>
      <c r="L639" s="7" t="str">
        <f t="shared" si="76"/>
        <v/>
      </c>
      <c r="M639" s="7" t="str">
        <f t="shared" si="77"/>
        <v/>
      </c>
      <c r="N639" s="7" t="str">
        <f t="shared" si="78"/>
        <v/>
      </c>
      <c r="O639" s="51" t="str">
        <f>IF(G639&gt;0,DT!AC639*I639+DT!AD639*J639+DT!AE639*K639+DT!AF639*L639+DT!AG639*M639+DT!AH639*N639,"")</f>
        <v/>
      </c>
      <c r="P639" s="15"/>
    </row>
    <row r="640" spans="1:16">
      <c r="A640" s="1"/>
      <c r="B640" s="1"/>
      <c r="C640" s="1"/>
      <c r="D640" s="1"/>
      <c r="E640" s="1"/>
      <c r="F640" s="1"/>
      <c r="G640" s="1">
        <f t="shared" si="72"/>
        <v>0</v>
      </c>
      <c r="I640" s="7" t="str">
        <f t="shared" si="73"/>
        <v/>
      </c>
      <c r="J640" s="7" t="str">
        <f t="shared" si="74"/>
        <v/>
      </c>
      <c r="K640" s="7" t="str">
        <f t="shared" si="75"/>
        <v/>
      </c>
      <c r="L640" s="7" t="str">
        <f t="shared" si="76"/>
        <v/>
      </c>
      <c r="M640" s="7" t="str">
        <f t="shared" si="77"/>
        <v/>
      </c>
      <c r="N640" s="7" t="str">
        <f t="shared" si="78"/>
        <v/>
      </c>
      <c r="O640" s="51" t="str">
        <f>IF(G640&gt;0,DT!AC640*I640+DT!AD640*J640+DT!AE640*K640+DT!AF640*L640+DT!AG640*M640+DT!AH640*N640,"")</f>
        <v/>
      </c>
      <c r="P640" s="15"/>
    </row>
    <row r="641" spans="1:16">
      <c r="A641" s="1"/>
      <c r="B641" s="1"/>
      <c r="C641" s="1"/>
      <c r="D641" s="1"/>
      <c r="E641" s="1"/>
      <c r="F641" s="1"/>
      <c r="G641" s="1">
        <f t="shared" si="72"/>
        <v>0</v>
      </c>
      <c r="I641" s="7" t="str">
        <f t="shared" si="73"/>
        <v/>
      </c>
      <c r="J641" s="7" t="str">
        <f t="shared" si="74"/>
        <v/>
      </c>
      <c r="K641" s="7" t="str">
        <f t="shared" si="75"/>
        <v/>
      </c>
      <c r="L641" s="7" t="str">
        <f t="shared" si="76"/>
        <v/>
      </c>
      <c r="M641" s="7" t="str">
        <f t="shared" si="77"/>
        <v/>
      </c>
      <c r="N641" s="7" t="str">
        <f t="shared" si="78"/>
        <v/>
      </c>
      <c r="O641" s="51" t="str">
        <f>IF(G641&gt;0,DT!AC641*I641+DT!AD641*J641+DT!AE641*K641+DT!AF641*L641+DT!AG641*M641+DT!AH641*N641,"")</f>
        <v/>
      </c>
      <c r="P641" s="15"/>
    </row>
    <row r="642" spans="1:16">
      <c r="A642" s="1"/>
      <c r="B642" s="1"/>
      <c r="C642" s="1"/>
      <c r="D642" s="1"/>
      <c r="E642" s="1"/>
      <c r="F642" s="1"/>
      <c r="G642" s="1">
        <f t="shared" si="72"/>
        <v>0</v>
      </c>
      <c r="I642" s="7" t="str">
        <f t="shared" si="73"/>
        <v/>
      </c>
      <c r="J642" s="7" t="str">
        <f t="shared" si="74"/>
        <v/>
      </c>
      <c r="K642" s="7" t="str">
        <f t="shared" si="75"/>
        <v/>
      </c>
      <c r="L642" s="7" t="str">
        <f t="shared" si="76"/>
        <v/>
      </c>
      <c r="M642" s="7" t="str">
        <f t="shared" si="77"/>
        <v/>
      </c>
      <c r="N642" s="7" t="str">
        <f t="shared" si="78"/>
        <v/>
      </c>
      <c r="O642" s="51" t="str">
        <f>IF(G642&gt;0,DT!AC642*I642+DT!AD642*J642+DT!AE642*K642+DT!AF642*L642+DT!AG642*M642+DT!AH642*N642,"")</f>
        <v/>
      </c>
      <c r="P642" s="15"/>
    </row>
    <row r="643" spans="1:16">
      <c r="A643" s="1"/>
      <c r="B643" s="1"/>
      <c r="C643" s="1"/>
      <c r="D643" s="1"/>
      <c r="E643" s="1"/>
      <c r="F643" s="1"/>
      <c r="G643" s="1">
        <f t="shared" si="72"/>
        <v>0</v>
      </c>
      <c r="I643" s="7" t="str">
        <f t="shared" si="73"/>
        <v/>
      </c>
      <c r="J643" s="7" t="str">
        <f t="shared" si="74"/>
        <v/>
      </c>
      <c r="K643" s="7" t="str">
        <f t="shared" si="75"/>
        <v/>
      </c>
      <c r="L643" s="7" t="str">
        <f t="shared" si="76"/>
        <v/>
      </c>
      <c r="M643" s="7" t="str">
        <f t="shared" si="77"/>
        <v/>
      </c>
      <c r="N643" s="7" t="str">
        <f t="shared" si="78"/>
        <v/>
      </c>
      <c r="O643" s="51" t="str">
        <f>IF(G643&gt;0,DT!AC643*I643+DT!AD643*J643+DT!AE643*K643+DT!AF643*L643+DT!AG643*M643+DT!AH643*N643,"")</f>
        <v/>
      </c>
      <c r="P643" s="15"/>
    </row>
    <row r="644" spans="1:16">
      <c r="A644" s="1"/>
      <c r="B644" s="1"/>
      <c r="C644" s="1"/>
      <c r="D644" s="1"/>
      <c r="E644" s="1"/>
      <c r="F644" s="1"/>
      <c r="G644" s="1">
        <f t="shared" si="72"/>
        <v>0</v>
      </c>
      <c r="I644" s="7" t="str">
        <f t="shared" si="73"/>
        <v/>
      </c>
      <c r="J644" s="7" t="str">
        <f t="shared" si="74"/>
        <v/>
      </c>
      <c r="K644" s="7" t="str">
        <f t="shared" si="75"/>
        <v/>
      </c>
      <c r="L644" s="7" t="str">
        <f t="shared" si="76"/>
        <v/>
      </c>
      <c r="M644" s="7" t="str">
        <f t="shared" si="77"/>
        <v/>
      </c>
      <c r="N644" s="7" t="str">
        <f t="shared" si="78"/>
        <v/>
      </c>
      <c r="O644" s="51" t="str">
        <f>IF(G644&gt;0,DT!AC644*I644+DT!AD644*J644+DT!AE644*K644+DT!AF644*L644+DT!AG644*M644+DT!AH644*N644,"")</f>
        <v/>
      </c>
      <c r="P644" s="15"/>
    </row>
    <row r="645" spans="1:16">
      <c r="A645" s="1"/>
      <c r="B645" s="1"/>
      <c r="C645" s="1"/>
      <c r="D645" s="1"/>
      <c r="E645" s="1"/>
      <c r="F645" s="1"/>
      <c r="G645" s="1">
        <f t="shared" ref="G645:G708" si="79">SUM(A645:F645)</f>
        <v>0</v>
      </c>
      <c r="I645" s="7" t="str">
        <f t="shared" si="73"/>
        <v/>
      </c>
      <c r="J645" s="7" t="str">
        <f t="shared" si="74"/>
        <v/>
      </c>
      <c r="K645" s="7" t="str">
        <f t="shared" si="75"/>
        <v/>
      </c>
      <c r="L645" s="7" t="str">
        <f t="shared" si="76"/>
        <v/>
      </c>
      <c r="M645" s="7" t="str">
        <f t="shared" si="77"/>
        <v/>
      </c>
      <c r="N645" s="7" t="str">
        <f t="shared" si="78"/>
        <v/>
      </c>
      <c r="O645" s="51" t="str">
        <f>IF(G645&gt;0,DT!AC645*I645+DT!AD645*J645+DT!AE645*K645+DT!AF645*L645+DT!AG645*M645+DT!AH645*N645,"")</f>
        <v/>
      </c>
      <c r="P645" s="15"/>
    </row>
    <row r="646" spans="1:16">
      <c r="A646" s="1"/>
      <c r="B646" s="1"/>
      <c r="C646" s="1"/>
      <c r="D646" s="1"/>
      <c r="E646" s="1"/>
      <c r="F646" s="1"/>
      <c r="G646" s="1">
        <f t="shared" si="79"/>
        <v>0</v>
      </c>
      <c r="I646" s="7" t="str">
        <f t="shared" si="73"/>
        <v/>
      </c>
      <c r="J646" s="7" t="str">
        <f t="shared" si="74"/>
        <v/>
      </c>
      <c r="K646" s="7" t="str">
        <f t="shared" si="75"/>
        <v/>
      </c>
      <c r="L646" s="7" t="str">
        <f t="shared" si="76"/>
        <v/>
      </c>
      <c r="M646" s="7" t="str">
        <f t="shared" si="77"/>
        <v/>
      </c>
      <c r="N646" s="7" t="str">
        <f t="shared" si="78"/>
        <v/>
      </c>
      <c r="O646" s="51" t="str">
        <f>IF(G646&gt;0,DT!AC646*I646+DT!AD646*J646+DT!AE646*K646+DT!AF646*L646+DT!AG646*M646+DT!AH646*N646,"")</f>
        <v/>
      </c>
      <c r="P646" s="15"/>
    </row>
    <row r="647" spans="1:16">
      <c r="A647" s="1"/>
      <c r="B647" s="1"/>
      <c r="C647" s="1"/>
      <c r="D647" s="1"/>
      <c r="E647" s="1"/>
      <c r="F647" s="1"/>
      <c r="G647" s="1">
        <f t="shared" si="79"/>
        <v>0</v>
      </c>
      <c r="I647" s="7" t="str">
        <f t="shared" si="73"/>
        <v/>
      </c>
      <c r="J647" s="7" t="str">
        <f t="shared" si="74"/>
        <v/>
      </c>
      <c r="K647" s="7" t="str">
        <f t="shared" si="75"/>
        <v/>
      </c>
      <c r="L647" s="7" t="str">
        <f t="shared" si="76"/>
        <v/>
      </c>
      <c r="M647" s="7" t="str">
        <f t="shared" si="77"/>
        <v/>
      </c>
      <c r="N647" s="7" t="str">
        <f t="shared" si="78"/>
        <v/>
      </c>
      <c r="O647" s="51" t="str">
        <f>IF(G647&gt;0,DT!AC647*I647+DT!AD647*J647+DT!AE647*K647+DT!AF647*L647+DT!AG647*M647+DT!AH647*N647,"")</f>
        <v/>
      </c>
      <c r="P647" s="15"/>
    </row>
    <row r="648" spans="1:16">
      <c r="A648" s="1"/>
      <c r="B648" s="1"/>
      <c r="C648" s="1"/>
      <c r="D648" s="1"/>
      <c r="E648" s="1"/>
      <c r="F648" s="1"/>
      <c r="G648" s="1">
        <f t="shared" si="79"/>
        <v>0</v>
      </c>
      <c r="I648" s="7" t="str">
        <f t="shared" si="73"/>
        <v/>
      </c>
      <c r="J648" s="7" t="str">
        <f t="shared" si="74"/>
        <v/>
      </c>
      <c r="K648" s="7" t="str">
        <f t="shared" si="75"/>
        <v/>
      </c>
      <c r="L648" s="7" t="str">
        <f t="shared" si="76"/>
        <v/>
      </c>
      <c r="M648" s="7" t="str">
        <f t="shared" si="77"/>
        <v/>
      </c>
      <c r="N648" s="7" t="str">
        <f t="shared" si="78"/>
        <v/>
      </c>
      <c r="O648" s="51" t="str">
        <f>IF(G648&gt;0,DT!AC648*I648+DT!AD648*J648+DT!AE648*K648+DT!AF648*L648+DT!AG648*M648+DT!AH648*N648,"")</f>
        <v/>
      </c>
      <c r="P648" s="15"/>
    </row>
    <row r="649" spans="1:16">
      <c r="A649" s="1"/>
      <c r="B649" s="1"/>
      <c r="C649" s="1"/>
      <c r="D649" s="1"/>
      <c r="E649" s="1"/>
      <c r="F649" s="1"/>
      <c r="G649" s="1">
        <f t="shared" si="79"/>
        <v>0</v>
      </c>
      <c r="I649" s="7" t="str">
        <f t="shared" si="73"/>
        <v/>
      </c>
      <c r="J649" s="7" t="str">
        <f t="shared" si="74"/>
        <v/>
      </c>
      <c r="K649" s="7" t="str">
        <f t="shared" si="75"/>
        <v/>
      </c>
      <c r="L649" s="7" t="str">
        <f t="shared" si="76"/>
        <v/>
      </c>
      <c r="M649" s="7" t="str">
        <f t="shared" si="77"/>
        <v/>
      </c>
      <c r="N649" s="7" t="str">
        <f t="shared" si="78"/>
        <v/>
      </c>
      <c r="O649" s="51" t="str">
        <f>IF(G649&gt;0,DT!AC649*I649+DT!AD649*J649+DT!AE649*K649+DT!AF649*L649+DT!AG649*M649+DT!AH649*N649,"")</f>
        <v/>
      </c>
      <c r="P649" s="15"/>
    </row>
    <row r="650" spans="1:16">
      <c r="A650" s="1"/>
      <c r="B650" s="1"/>
      <c r="C650" s="1"/>
      <c r="D650" s="1"/>
      <c r="E650" s="1"/>
      <c r="F650" s="1"/>
      <c r="G650" s="1">
        <f t="shared" si="79"/>
        <v>0</v>
      </c>
      <c r="I650" s="7" t="str">
        <f t="shared" si="73"/>
        <v/>
      </c>
      <c r="J650" s="7" t="str">
        <f t="shared" si="74"/>
        <v/>
      </c>
      <c r="K650" s="7" t="str">
        <f t="shared" si="75"/>
        <v/>
      </c>
      <c r="L650" s="7" t="str">
        <f t="shared" si="76"/>
        <v/>
      </c>
      <c r="M650" s="7" t="str">
        <f t="shared" si="77"/>
        <v/>
      </c>
      <c r="N650" s="7" t="str">
        <f t="shared" si="78"/>
        <v/>
      </c>
      <c r="O650" s="51" t="str">
        <f>IF(G650&gt;0,DT!AC650*I650+DT!AD650*J650+DT!AE650*K650+DT!AF650*L650+DT!AG650*M650+DT!AH650*N650,"")</f>
        <v/>
      </c>
      <c r="P650" s="15"/>
    </row>
    <row r="651" spans="1:16">
      <c r="A651" s="1"/>
      <c r="B651" s="1"/>
      <c r="C651" s="1"/>
      <c r="D651" s="1"/>
      <c r="E651" s="1"/>
      <c r="F651" s="1"/>
      <c r="G651" s="1">
        <f t="shared" si="79"/>
        <v>0</v>
      </c>
      <c r="I651" s="7" t="str">
        <f t="shared" si="73"/>
        <v/>
      </c>
      <c r="J651" s="7" t="str">
        <f t="shared" si="74"/>
        <v/>
      </c>
      <c r="K651" s="7" t="str">
        <f t="shared" si="75"/>
        <v/>
      </c>
      <c r="L651" s="7" t="str">
        <f t="shared" si="76"/>
        <v/>
      </c>
      <c r="M651" s="7" t="str">
        <f t="shared" si="77"/>
        <v/>
      </c>
      <c r="N651" s="7" t="str">
        <f t="shared" si="78"/>
        <v/>
      </c>
      <c r="O651" s="51" t="str">
        <f>IF(G651&gt;0,DT!AC651*I651+DT!AD651*J651+DT!AE651*K651+DT!AF651*L651+DT!AG651*M651+DT!AH651*N651,"")</f>
        <v/>
      </c>
      <c r="P651" s="15"/>
    </row>
    <row r="652" spans="1:16">
      <c r="A652" s="1"/>
      <c r="B652" s="1"/>
      <c r="C652" s="1"/>
      <c r="D652" s="1"/>
      <c r="E652" s="1"/>
      <c r="F652" s="1"/>
      <c r="G652" s="1">
        <f t="shared" si="79"/>
        <v>0</v>
      </c>
      <c r="I652" s="7" t="str">
        <f t="shared" si="73"/>
        <v/>
      </c>
      <c r="J652" s="7" t="str">
        <f t="shared" si="74"/>
        <v/>
      </c>
      <c r="K652" s="7" t="str">
        <f t="shared" si="75"/>
        <v/>
      </c>
      <c r="L652" s="7" t="str">
        <f t="shared" si="76"/>
        <v/>
      </c>
      <c r="M652" s="7" t="str">
        <f t="shared" si="77"/>
        <v/>
      </c>
      <c r="N652" s="7" t="str">
        <f t="shared" si="78"/>
        <v/>
      </c>
      <c r="O652" s="51" t="str">
        <f>IF(G652&gt;0,DT!AC652*I652+DT!AD652*J652+DT!AE652*K652+DT!AF652*L652+DT!AG652*M652+DT!AH652*N652,"")</f>
        <v/>
      </c>
      <c r="P652" s="15"/>
    </row>
    <row r="653" spans="1:16">
      <c r="A653" s="1"/>
      <c r="B653" s="1"/>
      <c r="C653" s="1"/>
      <c r="D653" s="1"/>
      <c r="E653" s="1"/>
      <c r="F653" s="1"/>
      <c r="G653" s="1">
        <f t="shared" si="79"/>
        <v>0</v>
      </c>
      <c r="I653" s="7" t="str">
        <f t="shared" si="73"/>
        <v/>
      </c>
      <c r="J653" s="7" t="str">
        <f t="shared" si="74"/>
        <v/>
      </c>
      <c r="K653" s="7" t="str">
        <f t="shared" si="75"/>
        <v/>
      </c>
      <c r="L653" s="7" t="str">
        <f t="shared" si="76"/>
        <v/>
      </c>
      <c r="M653" s="7" t="str">
        <f t="shared" si="77"/>
        <v/>
      </c>
      <c r="N653" s="7" t="str">
        <f t="shared" si="78"/>
        <v/>
      </c>
      <c r="O653" s="51" t="str">
        <f>IF(G653&gt;0,DT!AC653*I653+DT!AD653*J653+DT!AE653*K653+DT!AF653*L653+DT!AG653*M653+DT!AH653*N653,"")</f>
        <v/>
      </c>
      <c r="P653" s="15"/>
    </row>
    <row r="654" spans="1:16">
      <c r="A654" s="1"/>
      <c r="B654" s="1"/>
      <c r="C654" s="1"/>
      <c r="D654" s="1"/>
      <c r="E654" s="1"/>
      <c r="F654" s="1"/>
      <c r="G654" s="1">
        <f t="shared" si="79"/>
        <v>0</v>
      </c>
      <c r="I654" s="7" t="str">
        <f t="shared" si="73"/>
        <v/>
      </c>
      <c r="J654" s="7" t="str">
        <f t="shared" si="74"/>
        <v/>
      </c>
      <c r="K654" s="7" t="str">
        <f t="shared" si="75"/>
        <v/>
      </c>
      <c r="L654" s="7" t="str">
        <f t="shared" si="76"/>
        <v/>
      </c>
      <c r="M654" s="7" t="str">
        <f t="shared" si="77"/>
        <v/>
      </c>
      <c r="N654" s="7" t="str">
        <f t="shared" si="78"/>
        <v/>
      </c>
      <c r="O654" s="51" t="str">
        <f>IF(G654&gt;0,DT!AC654*I654+DT!AD654*J654+DT!AE654*K654+DT!AF654*L654+DT!AG654*M654+DT!AH654*N654,"")</f>
        <v/>
      </c>
      <c r="P654" s="15"/>
    </row>
    <row r="655" spans="1:16">
      <c r="A655" s="1"/>
      <c r="B655" s="1"/>
      <c r="C655" s="1"/>
      <c r="D655" s="1"/>
      <c r="E655" s="1"/>
      <c r="F655" s="1"/>
      <c r="G655" s="1">
        <f t="shared" si="79"/>
        <v>0</v>
      </c>
      <c r="I655" s="7" t="str">
        <f t="shared" si="73"/>
        <v/>
      </c>
      <c r="J655" s="7" t="str">
        <f t="shared" si="74"/>
        <v/>
      </c>
      <c r="K655" s="7" t="str">
        <f t="shared" si="75"/>
        <v/>
      </c>
      <c r="L655" s="7" t="str">
        <f t="shared" si="76"/>
        <v/>
      </c>
      <c r="M655" s="7" t="str">
        <f t="shared" si="77"/>
        <v/>
      </c>
      <c r="N655" s="7" t="str">
        <f t="shared" si="78"/>
        <v/>
      </c>
      <c r="O655" s="51" t="str">
        <f>IF(G655&gt;0,DT!AC655*I655+DT!AD655*J655+DT!AE655*K655+DT!AF655*L655+DT!AG655*M655+DT!AH655*N655,"")</f>
        <v/>
      </c>
      <c r="P655" s="15"/>
    </row>
    <row r="656" spans="1:16">
      <c r="A656" s="1"/>
      <c r="B656" s="1"/>
      <c r="C656" s="1"/>
      <c r="D656" s="1"/>
      <c r="E656" s="1"/>
      <c r="F656" s="1"/>
      <c r="G656" s="1">
        <f t="shared" si="79"/>
        <v>0</v>
      </c>
      <c r="I656" s="7" t="str">
        <f t="shared" si="73"/>
        <v/>
      </c>
      <c r="J656" s="7" t="str">
        <f t="shared" si="74"/>
        <v/>
      </c>
      <c r="K656" s="7" t="str">
        <f t="shared" si="75"/>
        <v/>
      </c>
      <c r="L656" s="7" t="str">
        <f t="shared" si="76"/>
        <v/>
      </c>
      <c r="M656" s="7" t="str">
        <f t="shared" si="77"/>
        <v/>
      </c>
      <c r="N656" s="7" t="str">
        <f t="shared" si="78"/>
        <v/>
      </c>
      <c r="O656" s="51" t="str">
        <f>IF(G656&gt;0,DT!AC656*I656+DT!AD656*J656+DT!AE656*K656+DT!AF656*L656+DT!AG656*M656+DT!AH656*N656,"")</f>
        <v/>
      </c>
      <c r="P656" s="15"/>
    </row>
    <row r="657" spans="1:16">
      <c r="A657" s="1"/>
      <c r="B657" s="1"/>
      <c r="C657" s="1"/>
      <c r="D657" s="1"/>
      <c r="E657" s="1"/>
      <c r="F657" s="1"/>
      <c r="G657" s="1">
        <f t="shared" si="79"/>
        <v>0</v>
      </c>
      <c r="I657" s="7" t="str">
        <f t="shared" si="73"/>
        <v/>
      </c>
      <c r="J657" s="7" t="str">
        <f t="shared" si="74"/>
        <v/>
      </c>
      <c r="K657" s="7" t="str">
        <f t="shared" si="75"/>
        <v/>
      </c>
      <c r="L657" s="7" t="str">
        <f t="shared" si="76"/>
        <v/>
      </c>
      <c r="M657" s="7" t="str">
        <f t="shared" si="77"/>
        <v/>
      </c>
      <c r="N657" s="7" t="str">
        <f t="shared" si="78"/>
        <v/>
      </c>
      <c r="O657" s="51" t="str">
        <f>IF(G657&gt;0,DT!AC657*I657+DT!AD657*J657+DT!AE657*K657+DT!AF657*L657+DT!AG657*M657+DT!AH657*N657,"")</f>
        <v/>
      </c>
      <c r="P657" s="15"/>
    </row>
    <row r="658" spans="1:16">
      <c r="A658" s="1"/>
      <c r="B658" s="1"/>
      <c r="C658" s="1"/>
      <c r="D658" s="1"/>
      <c r="E658" s="1"/>
      <c r="F658" s="1"/>
      <c r="G658" s="1">
        <f t="shared" si="79"/>
        <v>0</v>
      </c>
      <c r="I658" s="7" t="str">
        <f t="shared" si="73"/>
        <v/>
      </c>
      <c r="J658" s="7" t="str">
        <f t="shared" si="74"/>
        <v/>
      </c>
      <c r="K658" s="7" t="str">
        <f t="shared" si="75"/>
        <v/>
      </c>
      <c r="L658" s="7" t="str">
        <f t="shared" si="76"/>
        <v/>
      </c>
      <c r="M658" s="7" t="str">
        <f t="shared" si="77"/>
        <v/>
      </c>
      <c r="N658" s="7" t="str">
        <f t="shared" si="78"/>
        <v/>
      </c>
      <c r="O658" s="51" t="str">
        <f>IF(G658&gt;0,DT!AC658*I658+DT!AD658*J658+DT!AE658*K658+DT!AF658*L658+DT!AG658*M658+DT!AH658*N658,"")</f>
        <v/>
      </c>
      <c r="P658" s="15"/>
    </row>
    <row r="659" spans="1:16">
      <c r="A659" s="1"/>
      <c r="B659" s="1"/>
      <c r="C659" s="1"/>
      <c r="D659" s="1"/>
      <c r="E659" s="1"/>
      <c r="F659" s="1"/>
      <c r="G659" s="1">
        <f t="shared" si="79"/>
        <v>0</v>
      </c>
      <c r="I659" s="7" t="str">
        <f t="shared" si="73"/>
        <v/>
      </c>
      <c r="J659" s="7" t="str">
        <f t="shared" si="74"/>
        <v/>
      </c>
      <c r="K659" s="7" t="str">
        <f t="shared" si="75"/>
        <v/>
      </c>
      <c r="L659" s="7" t="str">
        <f t="shared" si="76"/>
        <v/>
      </c>
      <c r="M659" s="7" t="str">
        <f t="shared" si="77"/>
        <v/>
      </c>
      <c r="N659" s="7" t="str">
        <f t="shared" si="78"/>
        <v/>
      </c>
      <c r="O659" s="51" t="str">
        <f>IF(G659&gt;0,DT!AC659*I659+DT!AD659*J659+DT!AE659*K659+DT!AF659*L659+DT!AG659*M659+DT!AH659*N659,"")</f>
        <v/>
      </c>
      <c r="P659" s="15"/>
    </row>
    <row r="660" spans="1:16">
      <c r="A660" s="1"/>
      <c r="B660" s="1"/>
      <c r="C660" s="1"/>
      <c r="D660" s="1"/>
      <c r="E660" s="1"/>
      <c r="F660" s="1"/>
      <c r="G660" s="1">
        <f t="shared" si="79"/>
        <v>0</v>
      </c>
      <c r="I660" s="7" t="str">
        <f t="shared" si="73"/>
        <v/>
      </c>
      <c r="J660" s="7" t="str">
        <f t="shared" si="74"/>
        <v/>
      </c>
      <c r="K660" s="7" t="str">
        <f t="shared" si="75"/>
        <v/>
      </c>
      <c r="L660" s="7" t="str">
        <f t="shared" si="76"/>
        <v/>
      </c>
      <c r="M660" s="7" t="str">
        <f t="shared" si="77"/>
        <v/>
      </c>
      <c r="N660" s="7" t="str">
        <f t="shared" si="78"/>
        <v/>
      </c>
      <c r="O660" s="51" t="str">
        <f>IF(G660&gt;0,DT!AC660*I660+DT!AD660*J660+DT!AE660*K660+DT!AF660*L660+DT!AG660*M660+DT!AH660*N660,"")</f>
        <v/>
      </c>
      <c r="P660" s="15"/>
    </row>
    <row r="661" spans="1:16">
      <c r="A661" s="1"/>
      <c r="B661" s="1"/>
      <c r="C661" s="1"/>
      <c r="D661" s="1"/>
      <c r="E661" s="1"/>
      <c r="F661" s="1"/>
      <c r="G661" s="1">
        <f t="shared" si="79"/>
        <v>0</v>
      </c>
      <c r="I661" s="7" t="str">
        <f t="shared" si="73"/>
        <v/>
      </c>
      <c r="J661" s="7" t="str">
        <f t="shared" si="74"/>
        <v/>
      </c>
      <c r="K661" s="7" t="str">
        <f t="shared" si="75"/>
        <v/>
      </c>
      <c r="L661" s="7" t="str">
        <f t="shared" si="76"/>
        <v/>
      </c>
      <c r="M661" s="7" t="str">
        <f t="shared" si="77"/>
        <v/>
      </c>
      <c r="N661" s="7" t="str">
        <f t="shared" si="78"/>
        <v/>
      </c>
      <c r="O661" s="51" t="str">
        <f>IF(G661&gt;0,DT!AC661*I661+DT!AD661*J661+DT!AE661*K661+DT!AF661*L661+DT!AG661*M661+DT!AH661*N661,"")</f>
        <v/>
      </c>
      <c r="P661" s="15"/>
    </row>
    <row r="662" spans="1:16">
      <c r="A662" s="1"/>
      <c r="B662" s="1"/>
      <c r="C662" s="1"/>
      <c r="D662" s="1"/>
      <c r="E662" s="1"/>
      <c r="F662" s="1"/>
      <c r="G662" s="1">
        <f t="shared" si="79"/>
        <v>0</v>
      </c>
      <c r="I662" s="7" t="str">
        <f t="shared" si="73"/>
        <v/>
      </c>
      <c r="J662" s="7" t="str">
        <f t="shared" si="74"/>
        <v/>
      </c>
      <c r="K662" s="7" t="str">
        <f t="shared" si="75"/>
        <v/>
      </c>
      <c r="L662" s="7" t="str">
        <f t="shared" si="76"/>
        <v/>
      </c>
      <c r="M662" s="7" t="str">
        <f t="shared" si="77"/>
        <v/>
      </c>
      <c r="N662" s="7" t="str">
        <f t="shared" si="78"/>
        <v/>
      </c>
      <c r="O662" s="51" t="str">
        <f>IF(G662&gt;0,DT!AC662*I662+DT!AD662*J662+DT!AE662*K662+DT!AF662*L662+DT!AG662*M662+DT!AH662*N662,"")</f>
        <v/>
      </c>
      <c r="P662" s="15"/>
    </row>
    <row r="663" spans="1:16">
      <c r="A663" s="1"/>
      <c r="B663" s="1"/>
      <c r="C663" s="1"/>
      <c r="D663" s="1"/>
      <c r="E663" s="1"/>
      <c r="F663" s="1"/>
      <c r="G663" s="1">
        <f t="shared" si="79"/>
        <v>0</v>
      </c>
      <c r="I663" s="7" t="str">
        <f t="shared" si="73"/>
        <v/>
      </c>
      <c r="J663" s="7" t="str">
        <f t="shared" si="74"/>
        <v/>
      </c>
      <c r="K663" s="7" t="str">
        <f t="shared" si="75"/>
        <v/>
      </c>
      <c r="L663" s="7" t="str">
        <f t="shared" si="76"/>
        <v/>
      </c>
      <c r="M663" s="7" t="str">
        <f t="shared" si="77"/>
        <v/>
      </c>
      <c r="N663" s="7" t="str">
        <f t="shared" si="78"/>
        <v/>
      </c>
      <c r="O663" s="51" t="str">
        <f>IF(G663&gt;0,DT!AC663*I663+DT!AD663*J663+DT!AE663*K663+DT!AF663*L663+DT!AG663*M663+DT!AH663*N663,"")</f>
        <v/>
      </c>
      <c r="P663" s="15"/>
    </row>
    <row r="664" spans="1:16">
      <c r="A664" s="1"/>
      <c r="B664" s="1"/>
      <c r="C664" s="1"/>
      <c r="D664" s="1"/>
      <c r="E664" s="1"/>
      <c r="F664" s="1"/>
      <c r="G664" s="1">
        <f t="shared" si="79"/>
        <v>0</v>
      </c>
      <c r="I664" s="7" t="str">
        <f t="shared" si="73"/>
        <v/>
      </c>
      <c r="J664" s="7" t="str">
        <f t="shared" si="74"/>
        <v/>
      </c>
      <c r="K664" s="7" t="str">
        <f t="shared" si="75"/>
        <v/>
      </c>
      <c r="L664" s="7" t="str">
        <f t="shared" si="76"/>
        <v/>
      </c>
      <c r="M664" s="7" t="str">
        <f t="shared" si="77"/>
        <v/>
      </c>
      <c r="N664" s="7" t="str">
        <f t="shared" si="78"/>
        <v/>
      </c>
      <c r="O664" s="51" t="str">
        <f>IF(G664&gt;0,DT!AC664*I664+DT!AD664*J664+DT!AE664*K664+DT!AF664*L664+DT!AG664*M664+DT!AH664*N664,"")</f>
        <v/>
      </c>
      <c r="P664" s="15"/>
    </row>
    <row r="665" spans="1:16">
      <c r="A665" s="1"/>
      <c r="B665" s="1"/>
      <c r="C665" s="1"/>
      <c r="D665" s="1"/>
      <c r="E665" s="1"/>
      <c r="F665" s="1"/>
      <c r="G665" s="1">
        <f t="shared" si="79"/>
        <v>0</v>
      </c>
      <c r="I665" s="7" t="str">
        <f t="shared" si="73"/>
        <v/>
      </c>
      <c r="J665" s="7" t="str">
        <f t="shared" si="74"/>
        <v/>
      </c>
      <c r="K665" s="7" t="str">
        <f t="shared" si="75"/>
        <v/>
      </c>
      <c r="L665" s="7" t="str">
        <f t="shared" si="76"/>
        <v/>
      </c>
      <c r="M665" s="7" t="str">
        <f t="shared" si="77"/>
        <v/>
      </c>
      <c r="N665" s="7" t="str">
        <f t="shared" si="78"/>
        <v/>
      </c>
      <c r="O665" s="51" t="str">
        <f>IF(G665&gt;0,DT!AC665*I665+DT!AD665*J665+DT!AE665*K665+DT!AF665*L665+DT!AG665*M665+DT!AH665*N665,"")</f>
        <v/>
      </c>
      <c r="P665" s="15"/>
    </row>
    <row r="666" spans="1:16">
      <c r="A666" s="1"/>
      <c r="B666" s="1"/>
      <c r="C666" s="1"/>
      <c r="D666" s="1"/>
      <c r="E666" s="1"/>
      <c r="F666" s="1"/>
      <c r="G666" s="1">
        <f t="shared" si="79"/>
        <v>0</v>
      </c>
      <c r="I666" s="7" t="str">
        <f t="shared" si="73"/>
        <v/>
      </c>
      <c r="J666" s="7" t="str">
        <f t="shared" si="74"/>
        <v/>
      </c>
      <c r="K666" s="7" t="str">
        <f t="shared" si="75"/>
        <v/>
      </c>
      <c r="L666" s="7" t="str">
        <f t="shared" si="76"/>
        <v/>
      </c>
      <c r="M666" s="7" t="str">
        <f t="shared" si="77"/>
        <v/>
      </c>
      <c r="N666" s="7" t="str">
        <f t="shared" si="78"/>
        <v/>
      </c>
      <c r="O666" s="51" t="str">
        <f>IF(G666&gt;0,DT!AC666*I666+DT!AD666*J666+DT!AE666*K666+DT!AF666*L666+DT!AG666*M666+DT!AH666*N666,"")</f>
        <v/>
      </c>
      <c r="P666" s="15"/>
    </row>
    <row r="667" spans="1:16">
      <c r="A667" s="1"/>
      <c r="B667" s="1"/>
      <c r="C667" s="1"/>
      <c r="D667" s="1"/>
      <c r="E667" s="1"/>
      <c r="F667" s="1"/>
      <c r="G667" s="1">
        <f t="shared" si="79"/>
        <v>0</v>
      </c>
      <c r="I667" s="7" t="str">
        <f t="shared" si="73"/>
        <v/>
      </c>
      <c r="J667" s="7" t="str">
        <f t="shared" si="74"/>
        <v/>
      </c>
      <c r="K667" s="7" t="str">
        <f t="shared" si="75"/>
        <v/>
      </c>
      <c r="L667" s="7" t="str">
        <f t="shared" si="76"/>
        <v/>
      </c>
      <c r="M667" s="7" t="str">
        <f t="shared" si="77"/>
        <v/>
      </c>
      <c r="N667" s="7" t="str">
        <f t="shared" si="78"/>
        <v/>
      </c>
      <c r="O667" s="51" t="str">
        <f>IF(G667&gt;0,DT!AC667*I667+DT!AD667*J667+DT!AE667*K667+DT!AF667*L667+DT!AG667*M667+DT!AH667*N667,"")</f>
        <v/>
      </c>
      <c r="P667" s="15"/>
    </row>
    <row r="668" spans="1:16">
      <c r="A668" s="1"/>
      <c r="B668" s="1"/>
      <c r="C668" s="1"/>
      <c r="D668" s="1"/>
      <c r="E668" s="1"/>
      <c r="F668" s="1"/>
      <c r="G668" s="1">
        <f t="shared" si="79"/>
        <v>0</v>
      </c>
      <c r="I668" s="7" t="str">
        <f t="shared" si="73"/>
        <v/>
      </c>
      <c r="J668" s="7" t="str">
        <f t="shared" si="74"/>
        <v/>
      </c>
      <c r="K668" s="7" t="str">
        <f t="shared" si="75"/>
        <v/>
      </c>
      <c r="L668" s="7" t="str">
        <f t="shared" si="76"/>
        <v/>
      </c>
      <c r="M668" s="7" t="str">
        <f t="shared" si="77"/>
        <v/>
      </c>
      <c r="N668" s="7" t="str">
        <f t="shared" si="78"/>
        <v/>
      </c>
      <c r="O668" s="51" t="str">
        <f>IF(G668&gt;0,DT!AC668*I668+DT!AD668*J668+DT!AE668*K668+DT!AF668*L668+DT!AG668*M668+DT!AH668*N668,"")</f>
        <v/>
      </c>
      <c r="P668" s="15"/>
    </row>
    <row r="669" spans="1:16">
      <c r="A669" s="1"/>
      <c r="B669" s="1"/>
      <c r="C669" s="1"/>
      <c r="D669" s="1"/>
      <c r="E669" s="1"/>
      <c r="F669" s="1"/>
      <c r="G669" s="1">
        <f t="shared" si="79"/>
        <v>0</v>
      </c>
      <c r="I669" s="7" t="str">
        <f t="shared" si="73"/>
        <v/>
      </c>
      <c r="J669" s="7" t="str">
        <f t="shared" si="74"/>
        <v/>
      </c>
      <c r="K669" s="7" t="str">
        <f t="shared" si="75"/>
        <v/>
      </c>
      <c r="L669" s="7" t="str">
        <f t="shared" si="76"/>
        <v/>
      </c>
      <c r="M669" s="7" t="str">
        <f t="shared" si="77"/>
        <v/>
      </c>
      <c r="N669" s="7" t="str">
        <f t="shared" si="78"/>
        <v/>
      </c>
      <c r="O669" s="51" t="str">
        <f>IF(G669&gt;0,DT!AC669*I669+DT!AD669*J669+DT!AE669*K669+DT!AF669*L669+DT!AG669*M669+DT!AH669*N669,"")</f>
        <v/>
      </c>
      <c r="P669" s="15"/>
    </row>
    <row r="670" spans="1:16">
      <c r="A670" s="1"/>
      <c r="B670" s="1"/>
      <c r="C670" s="1"/>
      <c r="D670" s="1"/>
      <c r="E670" s="1"/>
      <c r="F670" s="1"/>
      <c r="G670" s="1">
        <f t="shared" si="79"/>
        <v>0</v>
      </c>
      <c r="I670" s="7" t="str">
        <f t="shared" si="73"/>
        <v/>
      </c>
      <c r="J670" s="7" t="str">
        <f t="shared" si="74"/>
        <v/>
      </c>
      <c r="K670" s="7" t="str">
        <f t="shared" si="75"/>
        <v/>
      </c>
      <c r="L670" s="7" t="str">
        <f t="shared" si="76"/>
        <v/>
      </c>
      <c r="M670" s="7" t="str">
        <f t="shared" si="77"/>
        <v/>
      </c>
      <c r="N670" s="7" t="str">
        <f t="shared" si="78"/>
        <v/>
      </c>
      <c r="O670" s="51" t="str">
        <f>IF(G670&gt;0,DT!AC670*I670+DT!AD670*J670+DT!AE670*K670+DT!AF670*L670+DT!AG670*M670+DT!AH670*N670,"")</f>
        <v/>
      </c>
      <c r="P670" s="15"/>
    </row>
    <row r="671" spans="1:16">
      <c r="A671" s="1"/>
      <c r="B671" s="1"/>
      <c r="C671" s="1"/>
      <c r="D671" s="1"/>
      <c r="E671" s="1"/>
      <c r="F671" s="1"/>
      <c r="G671" s="1">
        <f t="shared" si="79"/>
        <v>0</v>
      </c>
      <c r="I671" s="7" t="str">
        <f t="shared" si="73"/>
        <v/>
      </c>
      <c r="J671" s="7" t="str">
        <f t="shared" si="74"/>
        <v/>
      </c>
      <c r="K671" s="7" t="str">
        <f t="shared" si="75"/>
        <v/>
      </c>
      <c r="L671" s="7" t="str">
        <f t="shared" si="76"/>
        <v/>
      </c>
      <c r="M671" s="7" t="str">
        <f t="shared" si="77"/>
        <v/>
      </c>
      <c r="N671" s="7" t="str">
        <f t="shared" si="78"/>
        <v/>
      </c>
      <c r="O671" s="51" t="str">
        <f>IF(G671&gt;0,DT!AC671*I671+DT!AD671*J671+DT!AE671*K671+DT!AF671*L671+DT!AG671*M671+DT!AH671*N671,"")</f>
        <v/>
      </c>
      <c r="P671" s="15"/>
    </row>
    <row r="672" spans="1:16">
      <c r="A672" s="1"/>
      <c r="B672" s="1"/>
      <c r="C672" s="1"/>
      <c r="D672" s="1"/>
      <c r="E672" s="1"/>
      <c r="F672" s="1"/>
      <c r="G672" s="1">
        <f t="shared" si="79"/>
        <v>0</v>
      </c>
      <c r="I672" s="7" t="str">
        <f t="shared" si="73"/>
        <v/>
      </c>
      <c r="J672" s="7" t="str">
        <f t="shared" si="74"/>
        <v/>
      </c>
      <c r="K672" s="7" t="str">
        <f t="shared" si="75"/>
        <v/>
      </c>
      <c r="L672" s="7" t="str">
        <f t="shared" si="76"/>
        <v/>
      </c>
      <c r="M672" s="7" t="str">
        <f t="shared" si="77"/>
        <v/>
      </c>
      <c r="N672" s="7" t="str">
        <f t="shared" si="78"/>
        <v/>
      </c>
      <c r="O672" s="51" t="str">
        <f>IF(G672&gt;0,DT!AC672*I672+DT!AD672*J672+DT!AE672*K672+DT!AF672*L672+DT!AG672*M672+DT!AH672*N672,"")</f>
        <v/>
      </c>
      <c r="P672" s="15"/>
    </row>
    <row r="673" spans="1:16">
      <c r="A673" s="1"/>
      <c r="B673" s="1"/>
      <c r="C673" s="1"/>
      <c r="D673" s="1"/>
      <c r="E673" s="1"/>
      <c r="F673" s="1"/>
      <c r="G673" s="1">
        <f t="shared" si="79"/>
        <v>0</v>
      </c>
      <c r="I673" s="7" t="str">
        <f t="shared" si="73"/>
        <v/>
      </c>
      <c r="J673" s="7" t="str">
        <f t="shared" si="74"/>
        <v/>
      </c>
      <c r="K673" s="7" t="str">
        <f t="shared" si="75"/>
        <v/>
      </c>
      <c r="L673" s="7" t="str">
        <f t="shared" si="76"/>
        <v/>
      </c>
      <c r="M673" s="7" t="str">
        <f t="shared" si="77"/>
        <v/>
      </c>
      <c r="N673" s="7" t="str">
        <f t="shared" si="78"/>
        <v/>
      </c>
      <c r="O673" s="51" t="str">
        <f>IF(G673&gt;0,DT!AC673*I673+DT!AD673*J673+DT!AE673*K673+DT!AF673*L673+DT!AG673*M673+DT!AH673*N673,"")</f>
        <v/>
      </c>
      <c r="P673" s="15"/>
    </row>
    <row r="674" spans="1:16">
      <c r="A674" s="1"/>
      <c r="B674" s="1"/>
      <c r="C674" s="1"/>
      <c r="D674" s="1"/>
      <c r="E674" s="1"/>
      <c r="F674" s="1"/>
      <c r="G674" s="1">
        <f t="shared" si="79"/>
        <v>0</v>
      </c>
      <c r="I674" s="7" t="str">
        <f t="shared" si="73"/>
        <v/>
      </c>
      <c r="J674" s="7" t="str">
        <f t="shared" si="74"/>
        <v/>
      </c>
      <c r="K674" s="7" t="str">
        <f t="shared" si="75"/>
        <v/>
      </c>
      <c r="L674" s="7" t="str">
        <f t="shared" si="76"/>
        <v/>
      </c>
      <c r="M674" s="7" t="str">
        <f t="shared" si="77"/>
        <v/>
      </c>
      <c r="N674" s="7" t="str">
        <f t="shared" si="78"/>
        <v/>
      </c>
      <c r="O674" s="51" t="str">
        <f>IF(G674&gt;0,DT!AC674*I674+DT!AD674*J674+DT!AE674*K674+DT!AF674*L674+DT!AG674*M674+DT!AH674*N674,"")</f>
        <v/>
      </c>
      <c r="P674" s="15"/>
    </row>
    <row r="675" spans="1:16">
      <c r="A675" s="1"/>
      <c r="B675" s="1"/>
      <c r="C675" s="1"/>
      <c r="D675" s="1"/>
      <c r="E675" s="1"/>
      <c r="F675" s="1"/>
      <c r="G675" s="1">
        <f t="shared" si="79"/>
        <v>0</v>
      </c>
      <c r="I675" s="7" t="str">
        <f t="shared" si="73"/>
        <v/>
      </c>
      <c r="J675" s="7" t="str">
        <f t="shared" si="74"/>
        <v/>
      </c>
      <c r="K675" s="7" t="str">
        <f t="shared" si="75"/>
        <v/>
      </c>
      <c r="L675" s="7" t="str">
        <f t="shared" si="76"/>
        <v/>
      </c>
      <c r="M675" s="7" t="str">
        <f t="shared" si="77"/>
        <v/>
      </c>
      <c r="N675" s="7" t="str">
        <f t="shared" si="78"/>
        <v/>
      </c>
      <c r="O675" s="51" t="str">
        <f>IF(G675&gt;0,DT!AC675*I675+DT!AD675*J675+DT!AE675*K675+DT!AF675*L675+DT!AG675*M675+DT!AH675*N675,"")</f>
        <v/>
      </c>
      <c r="P675" s="15"/>
    </row>
    <row r="676" spans="1:16">
      <c r="A676" s="1"/>
      <c r="B676" s="1"/>
      <c r="C676" s="1"/>
      <c r="D676" s="1"/>
      <c r="E676" s="1"/>
      <c r="F676" s="1"/>
      <c r="G676" s="1">
        <f t="shared" si="79"/>
        <v>0</v>
      </c>
      <c r="I676" s="7" t="str">
        <f t="shared" si="73"/>
        <v/>
      </c>
      <c r="J676" s="7" t="str">
        <f t="shared" si="74"/>
        <v/>
      </c>
      <c r="K676" s="7" t="str">
        <f t="shared" si="75"/>
        <v/>
      </c>
      <c r="L676" s="7" t="str">
        <f t="shared" si="76"/>
        <v/>
      </c>
      <c r="M676" s="7" t="str">
        <f t="shared" si="77"/>
        <v/>
      </c>
      <c r="N676" s="7" t="str">
        <f t="shared" si="78"/>
        <v/>
      </c>
      <c r="O676" s="51" t="str">
        <f>IF(G676&gt;0,DT!AC676*I676+DT!AD676*J676+DT!AE676*K676+DT!AF676*L676+DT!AG676*M676+DT!AH676*N676,"")</f>
        <v/>
      </c>
      <c r="P676" s="15"/>
    </row>
    <row r="677" spans="1:16">
      <c r="A677" s="1"/>
      <c r="B677" s="1"/>
      <c r="C677" s="1"/>
      <c r="D677" s="1"/>
      <c r="E677" s="1"/>
      <c r="F677" s="1"/>
      <c r="G677" s="1">
        <f t="shared" si="79"/>
        <v>0</v>
      </c>
      <c r="I677" s="7" t="str">
        <f t="shared" si="73"/>
        <v/>
      </c>
      <c r="J677" s="7" t="str">
        <f t="shared" si="74"/>
        <v/>
      </c>
      <c r="K677" s="7" t="str">
        <f t="shared" si="75"/>
        <v/>
      </c>
      <c r="L677" s="7" t="str">
        <f t="shared" si="76"/>
        <v/>
      </c>
      <c r="M677" s="7" t="str">
        <f t="shared" si="77"/>
        <v/>
      </c>
      <c r="N677" s="7" t="str">
        <f t="shared" si="78"/>
        <v/>
      </c>
      <c r="O677" s="51" t="str">
        <f>IF(G677&gt;0,DT!AC677*I677+DT!AD677*J677+DT!AE677*K677+DT!AF677*L677+DT!AG677*M677+DT!AH677*N677,"")</f>
        <v/>
      </c>
      <c r="P677" s="15"/>
    </row>
    <row r="678" spans="1:16">
      <c r="A678" s="1"/>
      <c r="B678" s="1"/>
      <c r="C678" s="1"/>
      <c r="D678" s="1"/>
      <c r="E678" s="1"/>
      <c r="F678" s="1"/>
      <c r="G678" s="1">
        <f t="shared" si="79"/>
        <v>0</v>
      </c>
      <c r="I678" s="7" t="str">
        <f t="shared" si="73"/>
        <v/>
      </c>
      <c r="J678" s="7" t="str">
        <f t="shared" si="74"/>
        <v/>
      </c>
      <c r="K678" s="7" t="str">
        <f t="shared" si="75"/>
        <v/>
      </c>
      <c r="L678" s="7" t="str">
        <f t="shared" si="76"/>
        <v/>
      </c>
      <c r="M678" s="7" t="str">
        <f t="shared" si="77"/>
        <v/>
      </c>
      <c r="N678" s="7" t="str">
        <f t="shared" si="78"/>
        <v/>
      </c>
      <c r="O678" s="51" t="str">
        <f>IF(G678&gt;0,DT!AC678*I678+DT!AD678*J678+DT!AE678*K678+DT!AF678*L678+DT!AG678*M678+DT!AH678*N678,"")</f>
        <v/>
      </c>
      <c r="P678" s="15"/>
    </row>
    <row r="679" spans="1:16">
      <c r="A679" s="1"/>
      <c r="B679" s="1"/>
      <c r="C679" s="1"/>
      <c r="D679" s="1"/>
      <c r="E679" s="1"/>
      <c r="F679" s="1"/>
      <c r="G679" s="1">
        <f t="shared" si="79"/>
        <v>0</v>
      </c>
      <c r="I679" s="7" t="str">
        <f t="shared" si="73"/>
        <v/>
      </c>
      <c r="J679" s="7" t="str">
        <f t="shared" si="74"/>
        <v/>
      </c>
      <c r="K679" s="7" t="str">
        <f t="shared" si="75"/>
        <v/>
      </c>
      <c r="L679" s="7" t="str">
        <f t="shared" si="76"/>
        <v/>
      </c>
      <c r="M679" s="7" t="str">
        <f t="shared" si="77"/>
        <v/>
      </c>
      <c r="N679" s="7" t="str">
        <f t="shared" si="78"/>
        <v/>
      </c>
      <c r="O679" s="51" t="str">
        <f>IF(G679&gt;0,DT!AC679*I679+DT!AD679*J679+DT!AE679*K679+DT!AF679*L679+DT!AG679*M679+DT!AH679*N679,"")</f>
        <v/>
      </c>
      <c r="P679" s="15"/>
    </row>
    <row r="680" spans="1:16">
      <c r="A680" s="1"/>
      <c r="B680" s="1"/>
      <c r="C680" s="1"/>
      <c r="D680" s="1"/>
      <c r="E680" s="1"/>
      <c r="F680" s="1"/>
      <c r="G680" s="1">
        <f t="shared" si="79"/>
        <v>0</v>
      </c>
      <c r="I680" s="7" t="str">
        <f t="shared" si="73"/>
        <v/>
      </c>
      <c r="J680" s="7" t="str">
        <f t="shared" si="74"/>
        <v/>
      </c>
      <c r="K680" s="7" t="str">
        <f t="shared" si="75"/>
        <v/>
      </c>
      <c r="L680" s="7" t="str">
        <f t="shared" si="76"/>
        <v/>
      </c>
      <c r="M680" s="7" t="str">
        <f t="shared" si="77"/>
        <v/>
      </c>
      <c r="N680" s="7" t="str">
        <f t="shared" si="78"/>
        <v/>
      </c>
      <c r="O680" s="51" t="str">
        <f>IF(G680&gt;0,DT!AC680*I680+DT!AD680*J680+DT!AE680*K680+DT!AF680*L680+DT!AG680*M680+DT!AH680*N680,"")</f>
        <v/>
      </c>
      <c r="P680" s="15"/>
    </row>
    <row r="681" spans="1:16">
      <c r="A681" s="1"/>
      <c r="B681" s="1"/>
      <c r="C681" s="1"/>
      <c r="D681" s="1"/>
      <c r="E681" s="1"/>
      <c r="F681" s="1"/>
      <c r="G681" s="1">
        <f t="shared" si="79"/>
        <v>0</v>
      </c>
      <c r="I681" s="7" t="str">
        <f t="shared" si="73"/>
        <v/>
      </c>
      <c r="J681" s="7" t="str">
        <f t="shared" si="74"/>
        <v/>
      </c>
      <c r="K681" s="7" t="str">
        <f t="shared" si="75"/>
        <v/>
      </c>
      <c r="L681" s="7" t="str">
        <f t="shared" si="76"/>
        <v/>
      </c>
      <c r="M681" s="7" t="str">
        <f t="shared" si="77"/>
        <v/>
      </c>
      <c r="N681" s="7" t="str">
        <f t="shared" si="78"/>
        <v/>
      </c>
      <c r="O681" s="51" t="str">
        <f>IF(G681&gt;0,DT!AC681*I681+DT!AD681*J681+DT!AE681*K681+DT!AF681*L681+DT!AG681*M681+DT!AH681*N681,"")</f>
        <v/>
      </c>
      <c r="P681" s="15"/>
    </row>
    <row r="682" spans="1:16">
      <c r="A682" s="1"/>
      <c r="B682" s="1"/>
      <c r="C682" s="1"/>
      <c r="D682" s="1"/>
      <c r="E682" s="1"/>
      <c r="F682" s="1"/>
      <c r="G682" s="1">
        <f t="shared" si="79"/>
        <v>0</v>
      </c>
      <c r="I682" s="7" t="str">
        <f t="shared" si="73"/>
        <v/>
      </c>
      <c r="J682" s="7" t="str">
        <f t="shared" si="74"/>
        <v/>
      </c>
      <c r="K682" s="7" t="str">
        <f t="shared" si="75"/>
        <v/>
      </c>
      <c r="L682" s="7" t="str">
        <f t="shared" si="76"/>
        <v/>
      </c>
      <c r="M682" s="7" t="str">
        <f t="shared" si="77"/>
        <v/>
      </c>
      <c r="N682" s="7" t="str">
        <f t="shared" si="78"/>
        <v/>
      </c>
      <c r="O682" s="51" t="str">
        <f>IF(G682&gt;0,DT!AC682*I682+DT!AD682*J682+DT!AE682*K682+DT!AF682*L682+DT!AG682*M682+DT!AH682*N682,"")</f>
        <v/>
      </c>
      <c r="P682" s="15"/>
    </row>
    <row r="683" spans="1:16">
      <c r="A683" s="1"/>
      <c r="B683" s="1"/>
      <c r="C683" s="1"/>
      <c r="D683" s="1"/>
      <c r="E683" s="1"/>
      <c r="F683" s="1"/>
      <c r="G683" s="1">
        <f t="shared" si="79"/>
        <v>0</v>
      </c>
      <c r="I683" s="7" t="str">
        <f t="shared" si="73"/>
        <v/>
      </c>
      <c r="J683" s="7" t="str">
        <f t="shared" si="74"/>
        <v/>
      </c>
      <c r="K683" s="7" t="str">
        <f t="shared" si="75"/>
        <v/>
      </c>
      <c r="L683" s="7" t="str">
        <f t="shared" si="76"/>
        <v/>
      </c>
      <c r="M683" s="7" t="str">
        <f t="shared" si="77"/>
        <v/>
      </c>
      <c r="N683" s="7" t="str">
        <f t="shared" si="78"/>
        <v/>
      </c>
      <c r="O683" s="51" t="str">
        <f>IF(G683&gt;0,DT!AC683*I683+DT!AD683*J683+DT!AE683*K683+DT!AF683*L683+DT!AG683*M683+DT!AH683*N683,"")</f>
        <v/>
      </c>
      <c r="P683" s="15"/>
    </row>
    <row r="684" spans="1:16">
      <c r="A684" s="1"/>
      <c r="B684" s="1"/>
      <c r="C684" s="1"/>
      <c r="D684" s="1"/>
      <c r="E684" s="1"/>
      <c r="F684" s="1"/>
      <c r="G684" s="1">
        <f t="shared" si="79"/>
        <v>0</v>
      </c>
      <c r="I684" s="7" t="str">
        <f t="shared" si="73"/>
        <v/>
      </c>
      <c r="J684" s="7" t="str">
        <f t="shared" si="74"/>
        <v/>
      </c>
      <c r="K684" s="7" t="str">
        <f t="shared" si="75"/>
        <v/>
      </c>
      <c r="L684" s="7" t="str">
        <f t="shared" si="76"/>
        <v/>
      </c>
      <c r="M684" s="7" t="str">
        <f t="shared" si="77"/>
        <v/>
      </c>
      <c r="N684" s="7" t="str">
        <f t="shared" si="78"/>
        <v/>
      </c>
      <c r="O684" s="51" t="str">
        <f>IF(G684&gt;0,DT!AC684*I684+DT!AD684*J684+DT!AE684*K684+DT!AF684*L684+DT!AG684*M684+DT!AH684*N684,"")</f>
        <v/>
      </c>
      <c r="P684" s="15"/>
    </row>
    <row r="685" spans="1:16">
      <c r="A685" s="1"/>
      <c r="B685" s="1"/>
      <c r="C685" s="1"/>
      <c r="D685" s="1"/>
      <c r="E685" s="1"/>
      <c r="F685" s="1"/>
      <c r="G685" s="1">
        <f t="shared" si="79"/>
        <v>0</v>
      </c>
      <c r="I685" s="7" t="str">
        <f t="shared" si="73"/>
        <v/>
      </c>
      <c r="J685" s="7" t="str">
        <f t="shared" si="74"/>
        <v/>
      </c>
      <c r="K685" s="7" t="str">
        <f t="shared" si="75"/>
        <v/>
      </c>
      <c r="L685" s="7" t="str">
        <f t="shared" si="76"/>
        <v/>
      </c>
      <c r="M685" s="7" t="str">
        <f t="shared" si="77"/>
        <v/>
      </c>
      <c r="N685" s="7" t="str">
        <f t="shared" si="78"/>
        <v/>
      </c>
      <c r="O685" s="51" t="str">
        <f>IF(G685&gt;0,DT!AC685*I685+DT!AD685*J685+DT!AE685*K685+DT!AF685*L685+DT!AG685*M685+DT!AH685*N685,"")</f>
        <v/>
      </c>
      <c r="P685" s="15"/>
    </row>
    <row r="686" spans="1:16">
      <c r="A686" s="1"/>
      <c r="B686" s="1"/>
      <c r="C686" s="1"/>
      <c r="D686" s="1"/>
      <c r="E686" s="1"/>
      <c r="F686" s="1"/>
      <c r="G686" s="1">
        <f t="shared" si="79"/>
        <v>0</v>
      </c>
      <c r="I686" s="7" t="str">
        <f t="shared" si="73"/>
        <v/>
      </c>
      <c r="J686" s="7" t="str">
        <f t="shared" si="74"/>
        <v/>
      </c>
      <c r="K686" s="7" t="str">
        <f t="shared" si="75"/>
        <v/>
      </c>
      <c r="L686" s="7" t="str">
        <f t="shared" si="76"/>
        <v/>
      </c>
      <c r="M686" s="7" t="str">
        <f t="shared" si="77"/>
        <v/>
      </c>
      <c r="N686" s="7" t="str">
        <f t="shared" si="78"/>
        <v/>
      </c>
      <c r="O686" s="51" t="str">
        <f>IF(G686&gt;0,DT!AC686*I686+DT!AD686*J686+DT!AE686*K686+DT!AF686*L686+DT!AG686*M686+DT!AH686*N686,"")</f>
        <v/>
      </c>
      <c r="P686" s="15"/>
    </row>
    <row r="687" spans="1:16">
      <c r="A687" s="1"/>
      <c r="B687" s="1"/>
      <c r="C687" s="1"/>
      <c r="D687" s="1"/>
      <c r="E687" s="1"/>
      <c r="F687" s="1"/>
      <c r="G687" s="1">
        <f t="shared" si="79"/>
        <v>0</v>
      </c>
      <c r="I687" s="7" t="str">
        <f t="shared" si="73"/>
        <v/>
      </c>
      <c r="J687" s="7" t="str">
        <f t="shared" si="74"/>
        <v/>
      </c>
      <c r="K687" s="7" t="str">
        <f t="shared" si="75"/>
        <v/>
      </c>
      <c r="L687" s="7" t="str">
        <f t="shared" si="76"/>
        <v/>
      </c>
      <c r="M687" s="7" t="str">
        <f t="shared" si="77"/>
        <v/>
      </c>
      <c r="N687" s="7" t="str">
        <f t="shared" si="78"/>
        <v/>
      </c>
      <c r="O687" s="51" t="str">
        <f>IF(G687&gt;0,DT!AC687*I687+DT!AD687*J687+DT!AE687*K687+DT!AF687*L687+DT!AG687*M687+DT!AH687*N687,"")</f>
        <v/>
      </c>
      <c r="P687" s="15"/>
    </row>
    <row r="688" spans="1:16">
      <c r="A688" s="1"/>
      <c r="B688" s="1"/>
      <c r="C688" s="1"/>
      <c r="D688" s="1"/>
      <c r="E688" s="1"/>
      <c r="F688" s="1"/>
      <c r="G688" s="1">
        <f t="shared" si="79"/>
        <v>0</v>
      </c>
      <c r="I688" s="7" t="str">
        <f t="shared" si="73"/>
        <v/>
      </c>
      <c r="J688" s="7" t="str">
        <f t="shared" si="74"/>
        <v/>
      </c>
      <c r="K688" s="7" t="str">
        <f t="shared" si="75"/>
        <v/>
      </c>
      <c r="L688" s="7" t="str">
        <f t="shared" si="76"/>
        <v/>
      </c>
      <c r="M688" s="7" t="str">
        <f t="shared" si="77"/>
        <v/>
      </c>
      <c r="N688" s="7" t="str">
        <f t="shared" si="78"/>
        <v/>
      </c>
      <c r="O688" s="51" t="str">
        <f>IF(G688&gt;0,DT!AC688*I688+DT!AD688*J688+DT!AE688*K688+DT!AF688*L688+DT!AG688*M688+DT!AH688*N688,"")</f>
        <v/>
      </c>
      <c r="P688" s="15"/>
    </row>
    <row r="689" spans="1:16">
      <c r="A689" s="1"/>
      <c r="B689" s="1"/>
      <c r="C689" s="1"/>
      <c r="D689" s="1"/>
      <c r="E689" s="1"/>
      <c r="F689" s="1"/>
      <c r="G689" s="1">
        <f t="shared" si="79"/>
        <v>0</v>
      </c>
      <c r="I689" s="7" t="str">
        <f t="shared" si="73"/>
        <v/>
      </c>
      <c r="J689" s="7" t="str">
        <f t="shared" si="74"/>
        <v/>
      </c>
      <c r="K689" s="7" t="str">
        <f t="shared" si="75"/>
        <v/>
      </c>
      <c r="L689" s="7" t="str">
        <f t="shared" si="76"/>
        <v/>
      </c>
      <c r="M689" s="7" t="str">
        <f t="shared" si="77"/>
        <v/>
      </c>
      <c r="N689" s="7" t="str">
        <f t="shared" si="78"/>
        <v/>
      </c>
      <c r="O689" s="51" t="str">
        <f>IF(G689&gt;0,DT!AC689*I689+DT!AD689*J689+DT!AE689*K689+DT!AF689*L689+DT!AG689*M689+DT!AH689*N689,"")</f>
        <v/>
      </c>
      <c r="P689" s="15"/>
    </row>
    <row r="690" spans="1:16">
      <c r="A690" s="1"/>
      <c r="B690" s="1"/>
      <c r="C690" s="1"/>
      <c r="D690" s="1"/>
      <c r="E690" s="1"/>
      <c r="F690" s="1"/>
      <c r="G690" s="1">
        <f t="shared" si="79"/>
        <v>0</v>
      </c>
      <c r="I690" s="7" t="str">
        <f t="shared" si="73"/>
        <v/>
      </c>
      <c r="J690" s="7" t="str">
        <f t="shared" si="74"/>
        <v/>
      </c>
      <c r="K690" s="7" t="str">
        <f t="shared" si="75"/>
        <v/>
      </c>
      <c r="L690" s="7" t="str">
        <f t="shared" si="76"/>
        <v/>
      </c>
      <c r="M690" s="7" t="str">
        <f t="shared" si="77"/>
        <v/>
      </c>
      <c r="N690" s="7" t="str">
        <f t="shared" si="78"/>
        <v/>
      </c>
      <c r="O690" s="51" t="str">
        <f>IF(G690&gt;0,DT!AC690*I690+DT!AD690*J690+DT!AE690*K690+DT!AF690*L690+DT!AG690*M690+DT!AH690*N690,"")</f>
        <v/>
      </c>
      <c r="P690" s="15"/>
    </row>
    <row r="691" spans="1:16">
      <c r="A691" s="1"/>
      <c r="B691" s="1"/>
      <c r="C691" s="1"/>
      <c r="D691" s="1"/>
      <c r="E691" s="1"/>
      <c r="F691" s="1"/>
      <c r="G691" s="1">
        <f t="shared" si="79"/>
        <v>0</v>
      </c>
      <c r="I691" s="7" t="str">
        <f t="shared" si="73"/>
        <v/>
      </c>
      <c r="J691" s="7" t="str">
        <f t="shared" si="74"/>
        <v/>
      </c>
      <c r="K691" s="7" t="str">
        <f t="shared" si="75"/>
        <v/>
      </c>
      <c r="L691" s="7" t="str">
        <f t="shared" si="76"/>
        <v/>
      </c>
      <c r="M691" s="7" t="str">
        <f t="shared" si="77"/>
        <v/>
      </c>
      <c r="N691" s="7" t="str">
        <f t="shared" si="78"/>
        <v/>
      </c>
      <c r="O691" s="51" t="str">
        <f>IF(G691&gt;0,DT!AC691*I691+DT!AD691*J691+DT!AE691*K691+DT!AF691*L691+DT!AG691*M691+DT!AH691*N691,"")</f>
        <v/>
      </c>
      <c r="P691" s="15"/>
    </row>
    <row r="692" spans="1:16">
      <c r="A692" s="1"/>
      <c r="B692" s="1"/>
      <c r="C692" s="1"/>
      <c r="D692" s="1"/>
      <c r="E692" s="1"/>
      <c r="F692" s="1"/>
      <c r="G692" s="1">
        <f t="shared" si="79"/>
        <v>0</v>
      </c>
      <c r="I692" s="7" t="str">
        <f t="shared" ref="I692:I755" si="80">IF(G692&gt;0,A692/G692,"")</f>
        <v/>
      </c>
      <c r="J692" s="7" t="str">
        <f t="shared" ref="J692:J755" si="81">IF(G692&gt;0,B692/G692,"")</f>
        <v/>
      </c>
      <c r="K692" s="7" t="str">
        <f t="shared" ref="K692:K755" si="82">IF(G692&gt;0,C692/G692,"")</f>
        <v/>
      </c>
      <c r="L692" s="7" t="str">
        <f t="shared" ref="L692:L755" si="83">IF(G692&gt;0,D692/G692,"")</f>
        <v/>
      </c>
      <c r="M692" s="7" t="str">
        <f t="shared" ref="M692:M755" si="84">IF(G692&gt;0,E692/G692,"")</f>
        <v/>
      </c>
      <c r="N692" s="7" t="str">
        <f t="shared" ref="N692:N755" si="85">IF(G692&gt;0,F692/G692,"")</f>
        <v/>
      </c>
      <c r="O692" s="51" t="str">
        <f>IF(G692&gt;0,DT!AC692*I692+DT!AD692*J692+DT!AE692*K692+DT!AF692*L692+DT!AG692*M692+DT!AH692*N692,"")</f>
        <v/>
      </c>
      <c r="P692" s="15"/>
    </row>
    <row r="693" spans="1:16">
      <c r="A693" s="1"/>
      <c r="B693" s="1"/>
      <c r="C693" s="1"/>
      <c r="D693" s="1"/>
      <c r="E693" s="1"/>
      <c r="F693" s="1"/>
      <c r="G693" s="1">
        <f t="shared" si="79"/>
        <v>0</v>
      </c>
      <c r="I693" s="7" t="str">
        <f t="shared" si="80"/>
        <v/>
      </c>
      <c r="J693" s="7" t="str">
        <f t="shared" si="81"/>
        <v/>
      </c>
      <c r="K693" s="7" t="str">
        <f t="shared" si="82"/>
        <v/>
      </c>
      <c r="L693" s="7" t="str">
        <f t="shared" si="83"/>
        <v/>
      </c>
      <c r="M693" s="7" t="str">
        <f t="shared" si="84"/>
        <v/>
      </c>
      <c r="N693" s="7" t="str">
        <f t="shared" si="85"/>
        <v/>
      </c>
      <c r="O693" s="51" t="str">
        <f>IF(G693&gt;0,DT!AC693*I693+DT!AD693*J693+DT!AE693*K693+DT!AF693*L693+DT!AG693*M693+DT!AH693*N693,"")</f>
        <v/>
      </c>
      <c r="P693" s="15"/>
    </row>
    <row r="694" spans="1:16">
      <c r="A694" s="1"/>
      <c r="B694" s="1"/>
      <c r="C694" s="1"/>
      <c r="D694" s="1"/>
      <c r="E694" s="1"/>
      <c r="F694" s="1"/>
      <c r="G694" s="1">
        <f t="shared" si="79"/>
        <v>0</v>
      </c>
      <c r="I694" s="7" t="str">
        <f t="shared" si="80"/>
        <v/>
      </c>
      <c r="J694" s="7" t="str">
        <f t="shared" si="81"/>
        <v/>
      </c>
      <c r="K694" s="7" t="str">
        <f t="shared" si="82"/>
        <v/>
      </c>
      <c r="L694" s="7" t="str">
        <f t="shared" si="83"/>
        <v/>
      </c>
      <c r="M694" s="7" t="str">
        <f t="shared" si="84"/>
        <v/>
      </c>
      <c r="N694" s="7" t="str">
        <f t="shared" si="85"/>
        <v/>
      </c>
      <c r="O694" s="51" t="str">
        <f>IF(G694&gt;0,DT!AC694*I694+DT!AD694*J694+DT!AE694*K694+DT!AF694*L694+DT!AG694*M694+DT!AH694*N694,"")</f>
        <v/>
      </c>
      <c r="P694" s="15"/>
    </row>
    <row r="695" spans="1:16">
      <c r="A695" s="1"/>
      <c r="B695" s="1"/>
      <c r="C695" s="1"/>
      <c r="D695" s="1"/>
      <c r="E695" s="1"/>
      <c r="F695" s="1"/>
      <c r="G695" s="1">
        <f t="shared" si="79"/>
        <v>0</v>
      </c>
      <c r="I695" s="7" t="str">
        <f t="shared" si="80"/>
        <v/>
      </c>
      <c r="J695" s="7" t="str">
        <f t="shared" si="81"/>
        <v/>
      </c>
      <c r="K695" s="7" t="str">
        <f t="shared" si="82"/>
        <v/>
      </c>
      <c r="L695" s="7" t="str">
        <f t="shared" si="83"/>
        <v/>
      </c>
      <c r="M695" s="7" t="str">
        <f t="shared" si="84"/>
        <v/>
      </c>
      <c r="N695" s="7" t="str">
        <f t="shared" si="85"/>
        <v/>
      </c>
      <c r="O695" s="51" t="str">
        <f>IF(G695&gt;0,DT!AC695*I695+DT!AD695*J695+DT!AE695*K695+DT!AF695*L695+DT!AG695*M695+DT!AH695*N695,"")</f>
        <v/>
      </c>
      <c r="P695" s="15"/>
    </row>
    <row r="696" spans="1:16">
      <c r="A696" s="1"/>
      <c r="B696" s="1"/>
      <c r="C696" s="1"/>
      <c r="D696" s="1"/>
      <c r="E696" s="1"/>
      <c r="F696" s="1"/>
      <c r="G696" s="1">
        <f t="shared" si="79"/>
        <v>0</v>
      </c>
      <c r="I696" s="7" t="str">
        <f t="shared" si="80"/>
        <v/>
      </c>
      <c r="J696" s="7" t="str">
        <f t="shared" si="81"/>
        <v/>
      </c>
      <c r="K696" s="7" t="str">
        <f t="shared" si="82"/>
        <v/>
      </c>
      <c r="L696" s="7" t="str">
        <f t="shared" si="83"/>
        <v/>
      </c>
      <c r="M696" s="7" t="str">
        <f t="shared" si="84"/>
        <v/>
      </c>
      <c r="N696" s="7" t="str">
        <f t="shared" si="85"/>
        <v/>
      </c>
      <c r="O696" s="51" t="str">
        <f>IF(G696&gt;0,DT!AC696*I696+DT!AD696*J696+DT!AE696*K696+DT!AF696*L696+DT!AG696*M696+DT!AH696*N696,"")</f>
        <v/>
      </c>
      <c r="P696" s="15"/>
    </row>
    <row r="697" spans="1:16">
      <c r="A697" s="1"/>
      <c r="B697" s="1"/>
      <c r="C697" s="1"/>
      <c r="D697" s="1"/>
      <c r="E697" s="1"/>
      <c r="F697" s="1"/>
      <c r="G697" s="1">
        <f t="shared" si="79"/>
        <v>0</v>
      </c>
      <c r="I697" s="7" t="str">
        <f t="shared" si="80"/>
        <v/>
      </c>
      <c r="J697" s="7" t="str">
        <f t="shared" si="81"/>
        <v/>
      </c>
      <c r="K697" s="7" t="str">
        <f t="shared" si="82"/>
        <v/>
      </c>
      <c r="L697" s="7" t="str">
        <f t="shared" si="83"/>
        <v/>
      </c>
      <c r="M697" s="7" t="str">
        <f t="shared" si="84"/>
        <v/>
      </c>
      <c r="N697" s="7" t="str">
        <f t="shared" si="85"/>
        <v/>
      </c>
      <c r="O697" s="51" t="str">
        <f>IF(G697&gt;0,DT!AC697*I697+DT!AD697*J697+DT!AE697*K697+DT!AF697*L697+DT!AG697*M697+DT!AH697*N697,"")</f>
        <v/>
      </c>
      <c r="P697" s="15"/>
    </row>
    <row r="698" spans="1:16">
      <c r="A698" s="1"/>
      <c r="B698" s="1"/>
      <c r="C698" s="1"/>
      <c r="D698" s="1"/>
      <c r="E698" s="1"/>
      <c r="F698" s="1"/>
      <c r="G698" s="1">
        <f t="shared" si="79"/>
        <v>0</v>
      </c>
      <c r="I698" s="7" t="str">
        <f t="shared" si="80"/>
        <v/>
      </c>
      <c r="J698" s="7" t="str">
        <f t="shared" si="81"/>
        <v/>
      </c>
      <c r="K698" s="7" t="str">
        <f t="shared" si="82"/>
        <v/>
      </c>
      <c r="L698" s="7" t="str">
        <f t="shared" si="83"/>
        <v/>
      </c>
      <c r="M698" s="7" t="str">
        <f t="shared" si="84"/>
        <v/>
      </c>
      <c r="N698" s="7" t="str">
        <f t="shared" si="85"/>
        <v/>
      </c>
      <c r="O698" s="51" t="str">
        <f>IF(G698&gt;0,DT!AC698*I698+DT!AD698*J698+DT!AE698*K698+DT!AF698*L698+DT!AG698*M698+DT!AH698*N698,"")</f>
        <v/>
      </c>
      <c r="P698" s="15"/>
    </row>
    <row r="699" spans="1:16">
      <c r="A699" s="1"/>
      <c r="B699" s="1"/>
      <c r="C699" s="1"/>
      <c r="D699" s="1"/>
      <c r="E699" s="1"/>
      <c r="F699" s="1"/>
      <c r="G699" s="1">
        <f t="shared" si="79"/>
        <v>0</v>
      </c>
      <c r="I699" s="7" t="str">
        <f t="shared" si="80"/>
        <v/>
      </c>
      <c r="J699" s="7" t="str">
        <f t="shared" si="81"/>
        <v/>
      </c>
      <c r="K699" s="7" t="str">
        <f t="shared" si="82"/>
        <v/>
      </c>
      <c r="L699" s="7" t="str">
        <f t="shared" si="83"/>
        <v/>
      </c>
      <c r="M699" s="7" t="str">
        <f t="shared" si="84"/>
        <v/>
      </c>
      <c r="N699" s="7" t="str">
        <f t="shared" si="85"/>
        <v/>
      </c>
      <c r="O699" s="51" t="str">
        <f>IF(G699&gt;0,DT!AC699*I699+DT!AD699*J699+DT!AE699*K699+DT!AF699*L699+DT!AG699*M699+DT!AH699*N699,"")</f>
        <v/>
      </c>
      <c r="P699" s="15"/>
    </row>
    <row r="700" spans="1:16">
      <c r="A700" s="1"/>
      <c r="B700" s="1"/>
      <c r="C700" s="1"/>
      <c r="D700" s="1"/>
      <c r="E700" s="1"/>
      <c r="F700" s="1"/>
      <c r="G700" s="1">
        <f t="shared" si="79"/>
        <v>0</v>
      </c>
      <c r="I700" s="7" t="str">
        <f t="shared" si="80"/>
        <v/>
      </c>
      <c r="J700" s="7" t="str">
        <f t="shared" si="81"/>
        <v/>
      </c>
      <c r="K700" s="7" t="str">
        <f t="shared" si="82"/>
        <v/>
      </c>
      <c r="L700" s="7" t="str">
        <f t="shared" si="83"/>
        <v/>
      </c>
      <c r="M700" s="7" t="str">
        <f t="shared" si="84"/>
        <v/>
      </c>
      <c r="N700" s="7" t="str">
        <f t="shared" si="85"/>
        <v/>
      </c>
      <c r="O700" s="51" t="str">
        <f>IF(G700&gt;0,DT!AC700*I700+DT!AD700*J700+DT!AE700*K700+DT!AF700*L700+DT!AG700*M700+DT!AH700*N700,"")</f>
        <v/>
      </c>
      <c r="P700" s="15"/>
    </row>
    <row r="701" spans="1:16">
      <c r="A701" s="1"/>
      <c r="B701" s="1"/>
      <c r="C701" s="1"/>
      <c r="D701" s="1"/>
      <c r="E701" s="1"/>
      <c r="F701" s="1"/>
      <c r="G701" s="1">
        <f t="shared" si="79"/>
        <v>0</v>
      </c>
      <c r="I701" s="7" t="str">
        <f t="shared" si="80"/>
        <v/>
      </c>
      <c r="J701" s="7" t="str">
        <f t="shared" si="81"/>
        <v/>
      </c>
      <c r="K701" s="7" t="str">
        <f t="shared" si="82"/>
        <v/>
      </c>
      <c r="L701" s="7" t="str">
        <f t="shared" si="83"/>
        <v/>
      </c>
      <c r="M701" s="7" t="str">
        <f t="shared" si="84"/>
        <v/>
      </c>
      <c r="N701" s="7" t="str">
        <f t="shared" si="85"/>
        <v/>
      </c>
      <c r="O701" s="51" t="str">
        <f>IF(G701&gt;0,DT!AC701*I701+DT!AD701*J701+DT!AE701*K701+DT!AF701*L701+DT!AG701*M701+DT!AH701*N701,"")</f>
        <v/>
      </c>
      <c r="P701" s="15"/>
    </row>
    <row r="702" spans="1:16">
      <c r="A702" s="1"/>
      <c r="B702" s="1"/>
      <c r="C702" s="1"/>
      <c r="D702" s="1"/>
      <c r="E702" s="1"/>
      <c r="F702" s="1"/>
      <c r="G702" s="1">
        <f t="shared" si="79"/>
        <v>0</v>
      </c>
      <c r="I702" s="7" t="str">
        <f t="shared" si="80"/>
        <v/>
      </c>
      <c r="J702" s="7" t="str">
        <f t="shared" si="81"/>
        <v/>
      </c>
      <c r="K702" s="7" t="str">
        <f t="shared" si="82"/>
        <v/>
      </c>
      <c r="L702" s="7" t="str">
        <f t="shared" si="83"/>
        <v/>
      </c>
      <c r="M702" s="7" t="str">
        <f t="shared" si="84"/>
        <v/>
      </c>
      <c r="N702" s="7" t="str">
        <f t="shared" si="85"/>
        <v/>
      </c>
      <c r="O702" s="51" t="str">
        <f>IF(G702&gt;0,DT!AC702*I702+DT!AD702*J702+DT!AE702*K702+DT!AF702*L702+DT!AG702*M702+DT!AH702*N702,"")</f>
        <v/>
      </c>
      <c r="P702" s="15"/>
    </row>
    <row r="703" spans="1:16">
      <c r="A703" s="1"/>
      <c r="B703" s="1"/>
      <c r="C703" s="1"/>
      <c r="D703" s="1"/>
      <c r="E703" s="1"/>
      <c r="F703" s="1"/>
      <c r="G703" s="1">
        <f t="shared" si="79"/>
        <v>0</v>
      </c>
      <c r="I703" s="7" t="str">
        <f t="shared" si="80"/>
        <v/>
      </c>
      <c r="J703" s="7" t="str">
        <f t="shared" si="81"/>
        <v/>
      </c>
      <c r="K703" s="7" t="str">
        <f t="shared" si="82"/>
        <v/>
      </c>
      <c r="L703" s="7" t="str">
        <f t="shared" si="83"/>
        <v/>
      </c>
      <c r="M703" s="7" t="str">
        <f t="shared" si="84"/>
        <v/>
      </c>
      <c r="N703" s="7" t="str">
        <f t="shared" si="85"/>
        <v/>
      </c>
      <c r="O703" s="51" t="str">
        <f>IF(G703&gt;0,DT!AC703*I703+DT!AD703*J703+DT!AE703*K703+DT!AF703*L703+DT!AG703*M703+DT!AH703*N703,"")</f>
        <v/>
      </c>
      <c r="P703" s="15"/>
    </row>
    <row r="704" spans="1:16">
      <c r="A704" s="1"/>
      <c r="B704" s="1"/>
      <c r="C704" s="1"/>
      <c r="D704" s="1"/>
      <c r="E704" s="1"/>
      <c r="F704" s="1"/>
      <c r="G704" s="1">
        <f t="shared" si="79"/>
        <v>0</v>
      </c>
      <c r="I704" s="7" t="str">
        <f t="shared" si="80"/>
        <v/>
      </c>
      <c r="J704" s="7" t="str">
        <f t="shared" si="81"/>
        <v/>
      </c>
      <c r="K704" s="7" t="str">
        <f t="shared" si="82"/>
        <v/>
      </c>
      <c r="L704" s="7" t="str">
        <f t="shared" si="83"/>
        <v/>
      </c>
      <c r="M704" s="7" t="str">
        <f t="shared" si="84"/>
        <v/>
      </c>
      <c r="N704" s="7" t="str">
        <f t="shared" si="85"/>
        <v/>
      </c>
      <c r="O704" s="51" t="str">
        <f>IF(G704&gt;0,DT!AC704*I704+DT!AD704*J704+DT!AE704*K704+DT!AF704*L704+DT!AG704*M704+DT!AH704*N704,"")</f>
        <v/>
      </c>
      <c r="P704" s="15"/>
    </row>
    <row r="705" spans="1:16">
      <c r="A705" s="1"/>
      <c r="B705" s="1"/>
      <c r="C705" s="1"/>
      <c r="D705" s="1"/>
      <c r="E705" s="1"/>
      <c r="F705" s="1"/>
      <c r="G705" s="1">
        <f t="shared" si="79"/>
        <v>0</v>
      </c>
      <c r="I705" s="7" t="str">
        <f t="shared" si="80"/>
        <v/>
      </c>
      <c r="J705" s="7" t="str">
        <f t="shared" si="81"/>
        <v/>
      </c>
      <c r="K705" s="7" t="str">
        <f t="shared" si="82"/>
        <v/>
      </c>
      <c r="L705" s="7" t="str">
        <f t="shared" si="83"/>
        <v/>
      </c>
      <c r="M705" s="7" t="str">
        <f t="shared" si="84"/>
        <v/>
      </c>
      <c r="N705" s="7" t="str">
        <f t="shared" si="85"/>
        <v/>
      </c>
      <c r="O705" s="51" t="str">
        <f>IF(G705&gt;0,DT!AC705*I705+DT!AD705*J705+DT!AE705*K705+DT!AF705*L705+DT!AG705*M705+DT!AH705*N705,"")</f>
        <v/>
      </c>
      <c r="P705" s="15"/>
    </row>
    <row r="706" spans="1:16">
      <c r="A706" s="1"/>
      <c r="B706" s="1"/>
      <c r="C706" s="1"/>
      <c r="D706" s="1"/>
      <c r="E706" s="1"/>
      <c r="F706" s="1"/>
      <c r="G706" s="1">
        <f t="shared" si="79"/>
        <v>0</v>
      </c>
      <c r="I706" s="7" t="str">
        <f t="shared" si="80"/>
        <v/>
      </c>
      <c r="J706" s="7" t="str">
        <f t="shared" si="81"/>
        <v/>
      </c>
      <c r="K706" s="7" t="str">
        <f t="shared" si="82"/>
        <v/>
      </c>
      <c r="L706" s="7" t="str">
        <f t="shared" si="83"/>
        <v/>
      </c>
      <c r="M706" s="7" t="str">
        <f t="shared" si="84"/>
        <v/>
      </c>
      <c r="N706" s="7" t="str">
        <f t="shared" si="85"/>
        <v/>
      </c>
      <c r="O706" s="51" t="str">
        <f>IF(G706&gt;0,DT!AC706*I706+DT!AD706*J706+DT!AE706*K706+DT!AF706*L706+DT!AG706*M706+DT!AH706*N706,"")</f>
        <v/>
      </c>
      <c r="P706" s="15"/>
    </row>
    <row r="707" spans="1:16">
      <c r="A707" s="1"/>
      <c r="B707" s="1"/>
      <c r="C707" s="1"/>
      <c r="D707" s="1"/>
      <c r="E707" s="1"/>
      <c r="F707" s="1"/>
      <c r="G707" s="1">
        <f t="shared" si="79"/>
        <v>0</v>
      </c>
      <c r="I707" s="7" t="str">
        <f t="shared" si="80"/>
        <v/>
      </c>
      <c r="J707" s="7" t="str">
        <f t="shared" si="81"/>
        <v/>
      </c>
      <c r="K707" s="7" t="str">
        <f t="shared" si="82"/>
        <v/>
      </c>
      <c r="L707" s="7" t="str">
        <f t="shared" si="83"/>
        <v/>
      </c>
      <c r="M707" s="7" t="str">
        <f t="shared" si="84"/>
        <v/>
      </c>
      <c r="N707" s="7" t="str">
        <f t="shared" si="85"/>
        <v/>
      </c>
      <c r="O707" s="51" t="str">
        <f>IF(G707&gt;0,DT!AC707*I707+DT!AD707*J707+DT!AE707*K707+DT!AF707*L707+DT!AG707*M707+DT!AH707*N707,"")</f>
        <v/>
      </c>
      <c r="P707" s="15"/>
    </row>
    <row r="708" spans="1:16">
      <c r="A708" s="1"/>
      <c r="B708" s="1"/>
      <c r="C708" s="1"/>
      <c r="D708" s="1"/>
      <c r="E708" s="1"/>
      <c r="F708" s="1"/>
      <c r="G708" s="1">
        <f t="shared" si="79"/>
        <v>0</v>
      </c>
      <c r="I708" s="7" t="str">
        <f t="shared" si="80"/>
        <v/>
      </c>
      <c r="J708" s="7" t="str">
        <f t="shared" si="81"/>
        <v/>
      </c>
      <c r="K708" s="7" t="str">
        <f t="shared" si="82"/>
        <v/>
      </c>
      <c r="L708" s="7" t="str">
        <f t="shared" si="83"/>
        <v/>
      </c>
      <c r="M708" s="7" t="str">
        <f t="shared" si="84"/>
        <v/>
      </c>
      <c r="N708" s="7" t="str">
        <f t="shared" si="85"/>
        <v/>
      </c>
      <c r="O708" s="51" t="str">
        <f>IF(G708&gt;0,DT!AC708*I708+DT!AD708*J708+DT!AE708*K708+DT!AF708*L708+DT!AG708*M708+DT!AH708*N708,"")</f>
        <v/>
      </c>
      <c r="P708" s="15"/>
    </row>
    <row r="709" spans="1:16">
      <c r="A709" s="1"/>
      <c r="B709" s="1"/>
      <c r="C709" s="1"/>
      <c r="D709" s="1"/>
      <c r="E709" s="1"/>
      <c r="F709" s="1"/>
      <c r="G709" s="1">
        <f t="shared" ref="G709:G772" si="86">SUM(A709:F709)</f>
        <v>0</v>
      </c>
      <c r="I709" s="7" t="str">
        <f t="shared" si="80"/>
        <v/>
      </c>
      <c r="J709" s="7" t="str">
        <f t="shared" si="81"/>
        <v/>
      </c>
      <c r="K709" s="7" t="str">
        <f t="shared" si="82"/>
        <v/>
      </c>
      <c r="L709" s="7" t="str">
        <f t="shared" si="83"/>
        <v/>
      </c>
      <c r="M709" s="7" t="str">
        <f t="shared" si="84"/>
        <v/>
      </c>
      <c r="N709" s="7" t="str">
        <f t="shared" si="85"/>
        <v/>
      </c>
      <c r="O709" s="51" t="str">
        <f>IF(G709&gt;0,DT!AC709*I709+DT!AD709*J709+DT!AE709*K709+DT!AF709*L709+DT!AG709*M709+DT!AH709*N709,"")</f>
        <v/>
      </c>
      <c r="P709" s="15"/>
    </row>
    <row r="710" spans="1:16">
      <c r="A710" s="1"/>
      <c r="B710" s="1"/>
      <c r="C710" s="1"/>
      <c r="D710" s="1"/>
      <c r="E710" s="1"/>
      <c r="F710" s="1"/>
      <c r="G710" s="1">
        <f t="shared" si="86"/>
        <v>0</v>
      </c>
      <c r="I710" s="7" t="str">
        <f t="shared" si="80"/>
        <v/>
      </c>
      <c r="J710" s="7" t="str">
        <f t="shared" si="81"/>
        <v/>
      </c>
      <c r="K710" s="7" t="str">
        <f t="shared" si="82"/>
        <v/>
      </c>
      <c r="L710" s="7" t="str">
        <f t="shared" si="83"/>
        <v/>
      </c>
      <c r="M710" s="7" t="str">
        <f t="shared" si="84"/>
        <v/>
      </c>
      <c r="N710" s="7" t="str">
        <f t="shared" si="85"/>
        <v/>
      </c>
      <c r="O710" s="51" t="str">
        <f>IF(G710&gt;0,DT!AC710*I710+DT!AD710*J710+DT!AE710*K710+DT!AF710*L710+DT!AG710*M710+DT!AH710*N710,"")</f>
        <v/>
      </c>
      <c r="P710" s="15"/>
    </row>
    <row r="711" spans="1:16">
      <c r="A711" s="1"/>
      <c r="B711" s="1"/>
      <c r="C711" s="1"/>
      <c r="D711" s="1"/>
      <c r="E711" s="1"/>
      <c r="F711" s="1"/>
      <c r="G711" s="1">
        <f t="shared" si="86"/>
        <v>0</v>
      </c>
      <c r="I711" s="7" t="str">
        <f t="shared" si="80"/>
        <v/>
      </c>
      <c r="J711" s="7" t="str">
        <f t="shared" si="81"/>
        <v/>
      </c>
      <c r="K711" s="7" t="str">
        <f t="shared" si="82"/>
        <v/>
      </c>
      <c r="L711" s="7" t="str">
        <f t="shared" si="83"/>
        <v/>
      </c>
      <c r="M711" s="7" t="str">
        <f t="shared" si="84"/>
        <v/>
      </c>
      <c r="N711" s="7" t="str">
        <f t="shared" si="85"/>
        <v/>
      </c>
      <c r="O711" s="51" t="str">
        <f>IF(G711&gt;0,DT!AC711*I711+DT!AD711*J711+DT!AE711*K711+DT!AF711*L711+DT!AG711*M711+DT!AH711*N711,"")</f>
        <v/>
      </c>
      <c r="P711" s="15"/>
    </row>
    <row r="712" spans="1:16">
      <c r="A712" s="1"/>
      <c r="B712" s="1"/>
      <c r="C712" s="1"/>
      <c r="D712" s="1"/>
      <c r="E712" s="1"/>
      <c r="F712" s="1"/>
      <c r="G712" s="1">
        <f t="shared" si="86"/>
        <v>0</v>
      </c>
      <c r="I712" s="7" t="str">
        <f t="shared" si="80"/>
        <v/>
      </c>
      <c r="J712" s="7" t="str">
        <f t="shared" si="81"/>
        <v/>
      </c>
      <c r="K712" s="7" t="str">
        <f t="shared" si="82"/>
        <v/>
      </c>
      <c r="L712" s="7" t="str">
        <f t="shared" si="83"/>
        <v/>
      </c>
      <c r="M712" s="7" t="str">
        <f t="shared" si="84"/>
        <v/>
      </c>
      <c r="N712" s="7" t="str">
        <f t="shared" si="85"/>
        <v/>
      </c>
      <c r="O712" s="51" t="str">
        <f>IF(G712&gt;0,DT!AC712*I712+DT!AD712*J712+DT!AE712*K712+DT!AF712*L712+DT!AG712*M712+DT!AH712*N712,"")</f>
        <v/>
      </c>
      <c r="P712" s="15"/>
    </row>
    <row r="713" spans="1:16">
      <c r="A713" s="1"/>
      <c r="B713" s="1"/>
      <c r="C713" s="1"/>
      <c r="D713" s="1"/>
      <c r="E713" s="1"/>
      <c r="F713" s="1"/>
      <c r="G713" s="1">
        <f t="shared" si="86"/>
        <v>0</v>
      </c>
      <c r="I713" s="7" t="str">
        <f t="shared" si="80"/>
        <v/>
      </c>
      <c r="J713" s="7" t="str">
        <f t="shared" si="81"/>
        <v/>
      </c>
      <c r="K713" s="7" t="str">
        <f t="shared" si="82"/>
        <v/>
      </c>
      <c r="L713" s="7" t="str">
        <f t="shared" si="83"/>
        <v/>
      </c>
      <c r="M713" s="7" t="str">
        <f t="shared" si="84"/>
        <v/>
      </c>
      <c r="N713" s="7" t="str">
        <f t="shared" si="85"/>
        <v/>
      </c>
      <c r="O713" s="51" t="str">
        <f>IF(G713&gt;0,DT!AC713*I713+DT!AD713*J713+DT!AE713*K713+DT!AF713*L713+DT!AG713*M713+DT!AH713*N713,"")</f>
        <v/>
      </c>
      <c r="P713" s="15"/>
    </row>
    <row r="714" spans="1:16">
      <c r="A714" s="1"/>
      <c r="B714" s="1"/>
      <c r="C714" s="1"/>
      <c r="D714" s="1"/>
      <c r="E714" s="1"/>
      <c r="F714" s="1"/>
      <c r="G714" s="1">
        <f t="shared" si="86"/>
        <v>0</v>
      </c>
      <c r="I714" s="7" t="str">
        <f t="shared" si="80"/>
        <v/>
      </c>
      <c r="J714" s="7" t="str">
        <f t="shared" si="81"/>
        <v/>
      </c>
      <c r="K714" s="7" t="str">
        <f t="shared" si="82"/>
        <v/>
      </c>
      <c r="L714" s="7" t="str">
        <f t="shared" si="83"/>
        <v/>
      </c>
      <c r="M714" s="7" t="str">
        <f t="shared" si="84"/>
        <v/>
      </c>
      <c r="N714" s="7" t="str">
        <f t="shared" si="85"/>
        <v/>
      </c>
      <c r="O714" s="51" t="str">
        <f>IF(G714&gt;0,DT!AC714*I714+DT!AD714*J714+DT!AE714*K714+DT!AF714*L714+DT!AG714*M714+DT!AH714*N714,"")</f>
        <v/>
      </c>
      <c r="P714" s="15"/>
    </row>
    <row r="715" spans="1:16">
      <c r="A715" s="1"/>
      <c r="B715" s="1"/>
      <c r="C715" s="1"/>
      <c r="D715" s="1"/>
      <c r="E715" s="1"/>
      <c r="F715" s="1"/>
      <c r="G715" s="1">
        <f t="shared" si="86"/>
        <v>0</v>
      </c>
      <c r="I715" s="7" t="str">
        <f t="shared" si="80"/>
        <v/>
      </c>
      <c r="J715" s="7" t="str">
        <f t="shared" si="81"/>
        <v/>
      </c>
      <c r="K715" s="7" t="str">
        <f t="shared" si="82"/>
        <v/>
      </c>
      <c r="L715" s="7" t="str">
        <f t="shared" si="83"/>
        <v/>
      </c>
      <c r="M715" s="7" t="str">
        <f t="shared" si="84"/>
        <v/>
      </c>
      <c r="N715" s="7" t="str">
        <f t="shared" si="85"/>
        <v/>
      </c>
      <c r="O715" s="51" t="str">
        <f>IF(G715&gt;0,DT!AC715*I715+DT!AD715*J715+DT!AE715*K715+DT!AF715*L715+DT!AG715*M715+DT!AH715*N715,"")</f>
        <v/>
      </c>
      <c r="P715" s="15"/>
    </row>
    <row r="716" spans="1:16">
      <c r="A716" s="1"/>
      <c r="B716" s="1"/>
      <c r="C716" s="1"/>
      <c r="D716" s="1"/>
      <c r="E716" s="1"/>
      <c r="F716" s="1"/>
      <c r="G716" s="1">
        <f t="shared" si="86"/>
        <v>0</v>
      </c>
      <c r="I716" s="7" t="str">
        <f t="shared" si="80"/>
        <v/>
      </c>
      <c r="J716" s="7" t="str">
        <f t="shared" si="81"/>
        <v/>
      </c>
      <c r="K716" s="7" t="str">
        <f t="shared" si="82"/>
        <v/>
      </c>
      <c r="L716" s="7" t="str">
        <f t="shared" si="83"/>
        <v/>
      </c>
      <c r="M716" s="7" t="str">
        <f t="shared" si="84"/>
        <v/>
      </c>
      <c r="N716" s="7" t="str">
        <f t="shared" si="85"/>
        <v/>
      </c>
      <c r="O716" s="51" t="str">
        <f>IF(G716&gt;0,DT!AC716*I716+DT!AD716*J716+DT!AE716*K716+DT!AF716*L716+DT!AG716*M716+DT!AH716*N716,"")</f>
        <v/>
      </c>
      <c r="P716" s="15"/>
    </row>
    <row r="717" spans="1:16">
      <c r="A717" s="1"/>
      <c r="B717" s="1"/>
      <c r="C717" s="1"/>
      <c r="D717" s="1"/>
      <c r="E717" s="1"/>
      <c r="F717" s="1"/>
      <c r="G717" s="1">
        <f t="shared" si="86"/>
        <v>0</v>
      </c>
      <c r="I717" s="7" t="str">
        <f t="shared" si="80"/>
        <v/>
      </c>
      <c r="J717" s="7" t="str">
        <f t="shared" si="81"/>
        <v/>
      </c>
      <c r="K717" s="7" t="str">
        <f t="shared" si="82"/>
        <v/>
      </c>
      <c r="L717" s="7" t="str">
        <f t="shared" si="83"/>
        <v/>
      </c>
      <c r="M717" s="7" t="str">
        <f t="shared" si="84"/>
        <v/>
      </c>
      <c r="N717" s="7" t="str">
        <f t="shared" si="85"/>
        <v/>
      </c>
      <c r="O717" s="51" t="str">
        <f>IF(G717&gt;0,DT!AC717*I717+DT!AD717*J717+DT!AE717*K717+DT!AF717*L717+DT!AG717*M717+DT!AH717*N717,"")</f>
        <v/>
      </c>
      <c r="P717" s="15"/>
    </row>
    <row r="718" spans="1:16">
      <c r="A718" s="1"/>
      <c r="B718" s="1"/>
      <c r="C718" s="1"/>
      <c r="D718" s="1"/>
      <c r="E718" s="1"/>
      <c r="F718" s="1"/>
      <c r="G718" s="1">
        <f t="shared" si="86"/>
        <v>0</v>
      </c>
      <c r="I718" s="7" t="str">
        <f t="shared" si="80"/>
        <v/>
      </c>
      <c r="J718" s="7" t="str">
        <f t="shared" si="81"/>
        <v/>
      </c>
      <c r="K718" s="7" t="str">
        <f t="shared" si="82"/>
        <v/>
      </c>
      <c r="L718" s="7" t="str">
        <f t="shared" si="83"/>
        <v/>
      </c>
      <c r="M718" s="7" t="str">
        <f t="shared" si="84"/>
        <v/>
      </c>
      <c r="N718" s="7" t="str">
        <f t="shared" si="85"/>
        <v/>
      </c>
      <c r="O718" s="51" t="str">
        <f>IF(G718&gt;0,DT!AC718*I718+DT!AD718*J718+DT!AE718*K718+DT!AF718*L718+DT!AG718*M718+DT!AH718*N718,"")</f>
        <v/>
      </c>
      <c r="P718" s="15"/>
    </row>
    <row r="719" spans="1:16">
      <c r="A719" s="1"/>
      <c r="B719" s="1"/>
      <c r="C719" s="1"/>
      <c r="D719" s="1"/>
      <c r="E719" s="1"/>
      <c r="F719" s="1"/>
      <c r="G719" s="1">
        <f t="shared" si="86"/>
        <v>0</v>
      </c>
      <c r="I719" s="7" t="str">
        <f t="shared" si="80"/>
        <v/>
      </c>
      <c r="J719" s="7" t="str">
        <f t="shared" si="81"/>
        <v/>
      </c>
      <c r="K719" s="7" t="str">
        <f t="shared" si="82"/>
        <v/>
      </c>
      <c r="L719" s="7" t="str">
        <f t="shared" si="83"/>
        <v/>
      </c>
      <c r="M719" s="7" t="str">
        <f t="shared" si="84"/>
        <v/>
      </c>
      <c r="N719" s="7" t="str">
        <f t="shared" si="85"/>
        <v/>
      </c>
      <c r="O719" s="51" t="str">
        <f>IF(G719&gt;0,DT!AC719*I719+DT!AD719*J719+DT!AE719*K719+DT!AF719*L719+DT!AG719*M719+DT!AH719*N719,"")</f>
        <v/>
      </c>
      <c r="P719" s="15"/>
    </row>
    <row r="720" spans="1:16">
      <c r="A720" s="1"/>
      <c r="B720" s="1"/>
      <c r="C720" s="1"/>
      <c r="D720" s="1"/>
      <c r="E720" s="1"/>
      <c r="F720" s="1"/>
      <c r="G720" s="1">
        <f t="shared" si="86"/>
        <v>0</v>
      </c>
      <c r="I720" s="7" t="str">
        <f t="shared" si="80"/>
        <v/>
      </c>
      <c r="J720" s="7" t="str">
        <f t="shared" si="81"/>
        <v/>
      </c>
      <c r="K720" s="7" t="str">
        <f t="shared" si="82"/>
        <v/>
      </c>
      <c r="L720" s="7" t="str">
        <f t="shared" si="83"/>
        <v/>
      </c>
      <c r="M720" s="7" t="str">
        <f t="shared" si="84"/>
        <v/>
      </c>
      <c r="N720" s="7" t="str">
        <f t="shared" si="85"/>
        <v/>
      </c>
      <c r="O720" s="51" t="str">
        <f>IF(G720&gt;0,DT!AC720*I720+DT!AD720*J720+DT!AE720*K720+DT!AF720*L720+DT!AG720*M720+DT!AH720*N720,"")</f>
        <v/>
      </c>
      <c r="P720" s="15"/>
    </row>
    <row r="721" spans="1:16">
      <c r="A721" s="1"/>
      <c r="B721" s="1"/>
      <c r="C721" s="1"/>
      <c r="D721" s="1"/>
      <c r="E721" s="1"/>
      <c r="F721" s="1"/>
      <c r="G721" s="1">
        <f t="shared" si="86"/>
        <v>0</v>
      </c>
      <c r="I721" s="7" t="str">
        <f t="shared" si="80"/>
        <v/>
      </c>
      <c r="J721" s="7" t="str">
        <f t="shared" si="81"/>
        <v/>
      </c>
      <c r="K721" s="7" t="str">
        <f t="shared" si="82"/>
        <v/>
      </c>
      <c r="L721" s="7" t="str">
        <f t="shared" si="83"/>
        <v/>
      </c>
      <c r="M721" s="7" t="str">
        <f t="shared" si="84"/>
        <v/>
      </c>
      <c r="N721" s="7" t="str">
        <f t="shared" si="85"/>
        <v/>
      </c>
      <c r="O721" s="51" t="str">
        <f>IF(G721&gt;0,DT!AC721*I721+DT!AD721*J721+DT!AE721*K721+DT!AF721*L721+DT!AG721*M721+DT!AH721*N721,"")</f>
        <v/>
      </c>
      <c r="P721" s="15"/>
    </row>
    <row r="722" spans="1:16">
      <c r="A722" s="1"/>
      <c r="B722" s="1"/>
      <c r="C722" s="1"/>
      <c r="D722" s="1"/>
      <c r="E722" s="1"/>
      <c r="F722" s="1"/>
      <c r="G722" s="1">
        <f t="shared" si="86"/>
        <v>0</v>
      </c>
      <c r="I722" s="7" t="str">
        <f t="shared" si="80"/>
        <v/>
      </c>
      <c r="J722" s="7" t="str">
        <f t="shared" si="81"/>
        <v/>
      </c>
      <c r="K722" s="7" t="str">
        <f t="shared" si="82"/>
        <v/>
      </c>
      <c r="L722" s="7" t="str">
        <f t="shared" si="83"/>
        <v/>
      </c>
      <c r="M722" s="7" t="str">
        <f t="shared" si="84"/>
        <v/>
      </c>
      <c r="N722" s="7" t="str">
        <f t="shared" si="85"/>
        <v/>
      </c>
      <c r="O722" s="51" t="str">
        <f>IF(G722&gt;0,DT!AC722*I722+DT!AD722*J722+DT!AE722*K722+DT!AF722*L722+DT!AG722*M722+DT!AH722*N722,"")</f>
        <v/>
      </c>
      <c r="P722" s="15"/>
    </row>
    <row r="723" spans="1:16">
      <c r="A723" s="1"/>
      <c r="B723" s="1"/>
      <c r="C723" s="1"/>
      <c r="D723" s="1"/>
      <c r="E723" s="1"/>
      <c r="F723" s="1"/>
      <c r="G723" s="1">
        <f t="shared" si="86"/>
        <v>0</v>
      </c>
      <c r="I723" s="7" t="str">
        <f t="shared" si="80"/>
        <v/>
      </c>
      <c r="J723" s="7" t="str">
        <f t="shared" si="81"/>
        <v/>
      </c>
      <c r="K723" s="7" t="str">
        <f t="shared" si="82"/>
        <v/>
      </c>
      <c r="L723" s="7" t="str">
        <f t="shared" si="83"/>
        <v/>
      </c>
      <c r="M723" s="7" t="str">
        <f t="shared" si="84"/>
        <v/>
      </c>
      <c r="N723" s="7" t="str">
        <f t="shared" si="85"/>
        <v/>
      </c>
      <c r="O723" s="51" t="str">
        <f>IF(G723&gt;0,DT!AC723*I723+DT!AD723*J723+DT!AE723*K723+DT!AF723*L723+DT!AG723*M723+DT!AH723*N723,"")</f>
        <v/>
      </c>
      <c r="P723" s="15"/>
    </row>
    <row r="724" spans="1:16">
      <c r="A724" s="1"/>
      <c r="B724" s="1"/>
      <c r="C724" s="1"/>
      <c r="D724" s="1"/>
      <c r="E724" s="1"/>
      <c r="F724" s="1"/>
      <c r="G724" s="1">
        <f t="shared" si="86"/>
        <v>0</v>
      </c>
      <c r="I724" s="7" t="str">
        <f t="shared" si="80"/>
        <v/>
      </c>
      <c r="J724" s="7" t="str">
        <f t="shared" si="81"/>
        <v/>
      </c>
      <c r="K724" s="7" t="str">
        <f t="shared" si="82"/>
        <v/>
      </c>
      <c r="L724" s="7" t="str">
        <f t="shared" si="83"/>
        <v/>
      </c>
      <c r="M724" s="7" t="str">
        <f t="shared" si="84"/>
        <v/>
      </c>
      <c r="N724" s="7" t="str">
        <f t="shared" si="85"/>
        <v/>
      </c>
      <c r="O724" s="51" t="str">
        <f>IF(G724&gt;0,DT!AC724*I724+DT!AD724*J724+DT!AE724*K724+DT!AF724*L724+DT!AG724*M724+DT!AH724*N724,"")</f>
        <v/>
      </c>
      <c r="P724" s="15"/>
    </row>
    <row r="725" spans="1:16">
      <c r="A725" s="1"/>
      <c r="B725" s="1"/>
      <c r="C725" s="1"/>
      <c r="D725" s="1"/>
      <c r="E725" s="1"/>
      <c r="F725" s="1"/>
      <c r="G725" s="1">
        <f t="shared" si="86"/>
        <v>0</v>
      </c>
      <c r="I725" s="7" t="str">
        <f t="shared" si="80"/>
        <v/>
      </c>
      <c r="J725" s="7" t="str">
        <f t="shared" si="81"/>
        <v/>
      </c>
      <c r="K725" s="7" t="str">
        <f t="shared" si="82"/>
        <v/>
      </c>
      <c r="L725" s="7" t="str">
        <f t="shared" si="83"/>
        <v/>
      </c>
      <c r="M725" s="7" t="str">
        <f t="shared" si="84"/>
        <v/>
      </c>
      <c r="N725" s="7" t="str">
        <f t="shared" si="85"/>
        <v/>
      </c>
      <c r="O725" s="51" t="str">
        <f>IF(G725&gt;0,DT!AC725*I725+DT!AD725*J725+DT!AE725*K725+DT!AF725*L725+DT!AG725*M725+DT!AH725*N725,"")</f>
        <v/>
      </c>
      <c r="P725" s="15"/>
    </row>
    <row r="726" spans="1:16">
      <c r="A726" s="1"/>
      <c r="B726" s="1"/>
      <c r="C726" s="1"/>
      <c r="D726" s="1"/>
      <c r="E726" s="1"/>
      <c r="F726" s="1"/>
      <c r="G726" s="1">
        <f t="shared" si="86"/>
        <v>0</v>
      </c>
      <c r="I726" s="7" t="str">
        <f t="shared" si="80"/>
        <v/>
      </c>
      <c r="J726" s="7" t="str">
        <f t="shared" si="81"/>
        <v/>
      </c>
      <c r="K726" s="7" t="str">
        <f t="shared" si="82"/>
        <v/>
      </c>
      <c r="L726" s="7" t="str">
        <f t="shared" si="83"/>
        <v/>
      </c>
      <c r="M726" s="7" t="str">
        <f t="shared" si="84"/>
        <v/>
      </c>
      <c r="N726" s="7" t="str">
        <f t="shared" si="85"/>
        <v/>
      </c>
      <c r="O726" s="51" t="str">
        <f>IF(G726&gt;0,DT!AC726*I726+DT!AD726*J726+DT!AE726*K726+DT!AF726*L726+DT!AG726*M726+DT!AH726*N726,"")</f>
        <v/>
      </c>
      <c r="P726" s="15"/>
    </row>
    <row r="727" spans="1:16">
      <c r="A727" s="1"/>
      <c r="B727" s="1"/>
      <c r="C727" s="1"/>
      <c r="D727" s="1"/>
      <c r="E727" s="1"/>
      <c r="F727" s="1"/>
      <c r="G727" s="1">
        <f t="shared" si="86"/>
        <v>0</v>
      </c>
      <c r="I727" s="7" t="str">
        <f t="shared" si="80"/>
        <v/>
      </c>
      <c r="J727" s="7" t="str">
        <f t="shared" si="81"/>
        <v/>
      </c>
      <c r="K727" s="7" t="str">
        <f t="shared" si="82"/>
        <v/>
      </c>
      <c r="L727" s="7" t="str">
        <f t="shared" si="83"/>
        <v/>
      </c>
      <c r="M727" s="7" t="str">
        <f t="shared" si="84"/>
        <v/>
      </c>
      <c r="N727" s="7" t="str">
        <f t="shared" si="85"/>
        <v/>
      </c>
      <c r="O727" s="51" t="str">
        <f>IF(G727&gt;0,DT!AC727*I727+DT!AD727*J727+DT!AE727*K727+DT!AF727*L727+DT!AG727*M727+DT!AH727*N727,"")</f>
        <v/>
      </c>
      <c r="P727" s="15"/>
    </row>
    <row r="728" spans="1:16">
      <c r="A728" s="1"/>
      <c r="B728" s="1"/>
      <c r="C728" s="1"/>
      <c r="D728" s="1"/>
      <c r="E728" s="1"/>
      <c r="F728" s="1"/>
      <c r="G728" s="1">
        <f t="shared" si="86"/>
        <v>0</v>
      </c>
      <c r="I728" s="7" t="str">
        <f t="shared" si="80"/>
        <v/>
      </c>
      <c r="J728" s="7" t="str">
        <f t="shared" si="81"/>
        <v/>
      </c>
      <c r="K728" s="7" t="str">
        <f t="shared" si="82"/>
        <v/>
      </c>
      <c r="L728" s="7" t="str">
        <f t="shared" si="83"/>
        <v/>
      </c>
      <c r="M728" s="7" t="str">
        <f t="shared" si="84"/>
        <v/>
      </c>
      <c r="N728" s="7" t="str">
        <f t="shared" si="85"/>
        <v/>
      </c>
      <c r="O728" s="51" t="str">
        <f>IF(G728&gt;0,DT!AC728*I728+DT!AD728*J728+DT!AE728*K728+DT!AF728*L728+DT!AG728*M728+DT!AH728*N728,"")</f>
        <v/>
      </c>
      <c r="P728" s="15"/>
    </row>
    <row r="729" spans="1:16">
      <c r="A729" s="1"/>
      <c r="B729" s="1"/>
      <c r="C729" s="1"/>
      <c r="D729" s="1"/>
      <c r="E729" s="1"/>
      <c r="F729" s="1"/>
      <c r="G729" s="1">
        <f t="shared" si="86"/>
        <v>0</v>
      </c>
      <c r="I729" s="7" t="str">
        <f t="shared" si="80"/>
        <v/>
      </c>
      <c r="J729" s="7" t="str">
        <f t="shared" si="81"/>
        <v/>
      </c>
      <c r="K729" s="7" t="str">
        <f t="shared" si="82"/>
        <v/>
      </c>
      <c r="L729" s="7" t="str">
        <f t="shared" si="83"/>
        <v/>
      </c>
      <c r="M729" s="7" t="str">
        <f t="shared" si="84"/>
        <v/>
      </c>
      <c r="N729" s="7" t="str">
        <f t="shared" si="85"/>
        <v/>
      </c>
      <c r="O729" s="51" t="str">
        <f>IF(G729&gt;0,DT!AC729*I729+DT!AD729*J729+DT!AE729*K729+DT!AF729*L729+DT!AG729*M729+DT!AH729*N729,"")</f>
        <v/>
      </c>
      <c r="P729" s="15"/>
    </row>
    <row r="730" spans="1:16">
      <c r="A730" s="1"/>
      <c r="B730" s="1"/>
      <c r="C730" s="1"/>
      <c r="D730" s="1"/>
      <c r="E730" s="1"/>
      <c r="F730" s="1"/>
      <c r="G730" s="1">
        <f t="shared" si="86"/>
        <v>0</v>
      </c>
      <c r="I730" s="7" t="str">
        <f t="shared" si="80"/>
        <v/>
      </c>
      <c r="J730" s="7" t="str">
        <f t="shared" si="81"/>
        <v/>
      </c>
      <c r="K730" s="7" t="str">
        <f t="shared" si="82"/>
        <v/>
      </c>
      <c r="L730" s="7" t="str">
        <f t="shared" si="83"/>
        <v/>
      </c>
      <c r="M730" s="7" t="str">
        <f t="shared" si="84"/>
        <v/>
      </c>
      <c r="N730" s="7" t="str">
        <f t="shared" si="85"/>
        <v/>
      </c>
      <c r="O730" s="51" t="str">
        <f>IF(G730&gt;0,DT!AC730*I730+DT!AD730*J730+DT!AE730*K730+DT!AF730*L730+DT!AG730*M730+DT!AH730*N730,"")</f>
        <v/>
      </c>
      <c r="P730" s="15"/>
    </row>
    <row r="731" spans="1:16">
      <c r="A731" s="1"/>
      <c r="B731" s="1"/>
      <c r="C731" s="1"/>
      <c r="D731" s="1"/>
      <c r="E731" s="1"/>
      <c r="F731" s="1"/>
      <c r="G731" s="1">
        <f t="shared" si="86"/>
        <v>0</v>
      </c>
      <c r="I731" s="7" t="str">
        <f t="shared" si="80"/>
        <v/>
      </c>
      <c r="J731" s="7" t="str">
        <f t="shared" si="81"/>
        <v/>
      </c>
      <c r="K731" s="7" t="str">
        <f t="shared" si="82"/>
        <v/>
      </c>
      <c r="L731" s="7" t="str">
        <f t="shared" si="83"/>
        <v/>
      </c>
      <c r="M731" s="7" t="str">
        <f t="shared" si="84"/>
        <v/>
      </c>
      <c r="N731" s="7" t="str">
        <f t="shared" si="85"/>
        <v/>
      </c>
      <c r="O731" s="51" t="str">
        <f>IF(G731&gt;0,DT!AC731*I731+DT!AD731*J731+DT!AE731*K731+DT!AF731*L731+DT!AG731*M731+DT!AH731*N731,"")</f>
        <v/>
      </c>
      <c r="P731" s="15"/>
    </row>
    <row r="732" spans="1:16">
      <c r="A732" s="1"/>
      <c r="B732" s="1"/>
      <c r="C732" s="1"/>
      <c r="D732" s="1"/>
      <c r="E732" s="1"/>
      <c r="F732" s="1"/>
      <c r="G732" s="1">
        <f t="shared" si="86"/>
        <v>0</v>
      </c>
      <c r="I732" s="7" t="str">
        <f t="shared" si="80"/>
        <v/>
      </c>
      <c r="J732" s="7" t="str">
        <f t="shared" si="81"/>
        <v/>
      </c>
      <c r="K732" s="7" t="str">
        <f t="shared" si="82"/>
        <v/>
      </c>
      <c r="L732" s="7" t="str">
        <f t="shared" si="83"/>
        <v/>
      </c>
      <c r="M732" s="7" t="str">
        <f t="shared" si="84"/>
        <v/>
      </c>
      <c r="N732" s="7" t="str">
        <f t="shared" si="85"/>
        <v/>
      </c>
      <c r="O732" s="51" t="str">
        <f>IF(G732&gt;0,DT!AC732*I732+DT!AD732*J732+DT!AE732*K732+DT!AF732*L732+DT!AG732*M732+DT!AH732*N732,"")</f>
        <v/>
      </c>
      <c r="P732" s="15"/>
    </row>
    <row r="733" spans="1:16">
      <c r="A733" s="1"/>
      <c r="B733" s="1"/>
      <c r="C733" s="1"/>
      <c r="D733" s="1"/>
      <c r="E733" s="1"/>
      <c r="F733" s="1"/>
      <c r="G733" s="1">
        <f t="shared" si="86"/>
        <v>0</v>
      </c>
      <c r="I733" s="7" t="str">
        <f t="shared" si="80"/>
        <v/>
      </c>
      <c r="J733" s="7" t="str">
        <f t="shared" si="81"/>
        <v/>
      </c>
      <c r="K733" s="7" t="str">
        <f t="shared" si="82"/>
        <v/>
      </c>
      <c r="L733" s="7" t="str">
        <f t="shared" si="83"/>
        <v/>
      </c>
      <c r="M733" s="7" t="str">
        <f t="shared" si="84"/>
        <v/>
      </c>
      <c r="N733" s="7" t="str">
        <f t="shared" si="85"/>
        <v/>
      </c>
      <c r="O733" s="51" t="str">
        <f>IF(G733&gt;0,DT!AC733*I733+DT!AD733*J733+DT!AE733*K733+DT!AF733*L733+DT!AG733*M733+DT!AH733*N733,"")</f>
        <v/>
      </c>
      <c r="P733" s="15"/>
    </row>
    <row r="734" spans="1:16">
      <c r="A734" s="1"/>
      <c r="B734" s="1"/>
      <c r="C734" s="1"/>
      <c r="D734" s="1"/>
      <c r="E734" s="1"/>
      <c r="F734" s="1"/>
      <c r="G734" s="1">
        <f t="shared" si="86"/>
        <v>0</v>
      </c>
      <c r="I734" s="7" t="str">
        <f t="shared" si="80"/>
        <v/>
      </c>
      <c r="J734" s="7" t="str">
        <f t="shared" si="81"/>
        <v/>
      </c>
      <c r="K734" s="7" t="str">
        <f t="shared" si="82"/>
        <v/>
      </c>
      <c r="L734" s="7" t="str">
        <f t="shared" si="83"/>
        <v/>
      </c>
      <c r="M734" s="7" t="str">
        <f t="shared" si="84"/>
        <v/>
      </c>
      <c r="N734" s="7" t="str">
        <f t="shared" si="85"/>
        <v/>
      </c>
      <c r="O734" s="51" t="str">
        <f>IF(G734&gt;0,DT!AC734*I734+DT!AD734*J734+DT!AE734*K734+DT!AF734*L734+DT!AG734*M734+DT!AH734*N734,"")</f>
        <v/>
      </c>
      <c r="P734" s="15"/>
    </row>
    <row r="735" spans="1:16">
      <c r="A735" s="1"/>
      <c r="B735" s="1"/>
      <c r="C735" s="1"/>
      <c r="D735" s="1"/>
      <c r="E735" s="1"/>
      <c r="F735" s="1"/>
      <c r="G735" s="1">
        <f t="shared" si="86"/>
        <v>0</v>
      </c>
      <c r="I735" s="7" t="str">
        <f t="shared" si="80"/>
        <v/>
      </c>
      <c r="J735" s="7" t="str">
        <f t="shared" si="81"/>
        <v/>
      </c>
      <c r="K735" s="7" t="str">
        <f t="shared" si="82"/>
        <v/>
      </c>
      <c r="L735" s="7" t="str">
        <f t="shared" si="83"/>
        <v/>
      </c>
      <c r="M735" s="7" t="str">
        <f t="shared" si="84"/>
        <v/>
      </c>
      <c r="N735" s="7" t="str">
        <f t="shared" si="85"/>
        <v/>
      </c>
      <c r="O735" s="51" t="str">
        <f>IF(G735&gt;0,DT!AC735*I735+DT!AD735*J735+DT!AE735*K735+DT!AF735*L735+DT!AG735*M735+DT!AH735*N735,"")</f>
        <v/>
      </c>
      <c r="P735" s="15"/>
    </row>
    <row r="736" spans="1:16">
      <c r="A736" s="1"/>
      <c r="B736" s="1"/>
      <c r="C736" s="1"/>
      <c r="D736" s="1"/>
      <c r="E736" s="1"/>
      <c r="F736" s="1"/>
      <c r="G736" s="1">
        <f t="shared" si="86"/>
        <v>0</v>
      </c>
      <c r="I736" s="7" t="str">
        <f t="shared" si="80"/>
        <v/>
      </c>
      <c r="J736" s="7" t="str">
        <f t="shared" si="81"/>
        <v/>
      </c>
      <c r="K736" s="7" t="str">
        <f t="shared" si="82"/>
        <v/>
      </c>
      <c r="L736" s="7" t="str">
        <f t="shared" si="83"/>
        <v/>
      </c>
      <c r="M736" s="7" t="str">
        <f t="shared" si="84"/>
        <v/>
      </c>
      <c r="N736" s="7" t="str">
        <f t="shared" si="85"/>
        <v/>
      </c>
      <c r="O736" s="51" t="str">
        <f>IF(G736&gt;0,DT!AC736*I736+DT!AD736*J736+DT!AE736*K736+DT!AF736*L736+DT!AG736*M736+DT!AH736*N736,"")</f>
        <v/>
      </c>
      <c r="P736" s="15"/>
    </row>
    <row r="737" spans="1:16">
      <c r="A737" s="1"/>
      <c r="B737" s="1"/>
      <c r="C737" s="1"/>
      <c r="D737" s="1"/>
      <c r="E737" s="1"/>
      <c r="F737" s="1"/>
      <c r="G737" s="1">
        <f t="shared" si="86"/>
        <v>0</v>
      </c>
      <c r="I737" s="7" t="str">
        <f t="shared" si="80"/>
        <v/>
      </c>
      <c r="J737" s="7" t="str">
        <f t="shared" si="81"/>
        <v/>
      </c>
      <c r="K737" s="7" t="str">
        <f t="shared" si="82"/>
        <v/>
      </c>
      <c r="L737" s="7" t="str">
        <f t="shared" si="83"/>
        <v/>
      </c>
      <c r="M737" s="7" t="str">
        <f t="shared" si="84"/>
        <v/>
      </c>
      <c r="N737" s="7" t="str">
        <f t="shared" si="85"/>
        <v/>
      </c>
      <c r="O737" s="51" t="str">
        <f>IF(G737&gt;0,DT!AC737*I737+DT!AD737*J737+DT!AE737*K737+DT!AF737*L737+DT!AG737*M737+DT!AH737*N737,"")</f>
        <v/>
      </c>
      <c r="P737" s="15"/>
    </row>
    <row r="738" spans="1:16">
      <c r="A738" s="1"/>
      <c r="B738" s="1"/>
      <c r="C738" s="1"/>
      <c r="D738" s="1"/>
      <c r="E738" s="1"/>
      <c r="F738" s="1"/>
      <c r="G738" s="1">
        <f t="shared" si="86"/>
        <v>0</v>
      </c>
      <c r="I738" s="7" t="str">
        <f t="shared" si="80"/>
        <v/>
      </c>
      <c r="J738" s="7" t="str">
        <f t="shared" si="81"/>
        <v/>
      </c>
      <c r="K738" s="7" t="str">
        <f t="shared" si="82"/>
        <v/>
      </c>
      <c r="L738" s="7" t="str">
        <f t="shared" si="83"/>
        <v/>
      </c>
      <c r="M738" s="7" t="str">
        <f t="shared" si="84"/>
        <v/>
      </c>
      <c r="N738" s="7" t="str">
        <f t="shared" si="85"/>
        <v/>
      </c>
      <c r="O738" s="51" t="str">
        <f>IF(G738&gt;0,DT!AC738*I738+DT!AD738*J738+DT!AE738*K738+DT!AF738*L738+DT!AG738*M738+DT!AH738*N738,"")</f>
        <v/>
      </c>
      <c r="P738" s="15"/>
    </row>
    <row r="739" spans="1:16">
      <c r="A739" s="1"/>
      <c r="B739" s="1"/>
      <c r="C739" s="1"/>
      <c r="D739" s="1"/>
      <c r="E739" s="1"/>
      <c r="F739" s="1"/>
      <c r="G739" s="1">
        <f t="shared" si="86"/>
        <v>0</v>
      </c>
      <c r="I739" s="7" t="str">
        <f t="shared" si="80"/>
        <v/>
      </c>
      <c r="J739" s="7" t="str">
        <f t="shared" si="81"/>
        <v/>
      </c>
      <c r="K739" s="7" t="str">
        <f t="shared" si="82"/>
        <v/>
      </c>
      <c r="L739" s="7" t="str">
        <f t="shared" si="83"/>
        <v/>
      </c>
      <c r="M739" s="7" t="str">
        <f t="shared" si="84"/>
        <v/>
      </c>
      <c r="N739" s="7" t="str">
        <f t="shared" si="85"/>
        <v/>
      </c>
      <c r="O739" s="51" t="str">
        <f>IF(G739&gt;0,DT!AC739*I739+DT!AD739*J739+DT!AE739*K739+DT!AF739*L739+DT!AG739*M739+DT!AH739*N739,"")</f>
        <v/>
      </c>
      <c r="P739" s="15"/>
    </row>
    <row r="740" spans="1:16">
      <c r="A740" s="1"/>
      <c r="B740" s="1"/>
      <c r="C740" s="1"/>
      <c r="D740" s="1"/>
      <c r="E740" s="1"/>
      <c r="F740" s="1"/>
      <c r="G740" s="1">
        <f t="shared" si="86"/>
        <v>0</v>
      </c>
      <c r="I740" s="7" t="str">
        <f t="shared" si="80"/>
        <v/>
      </c>
      <c r="J740" s="7" t="str">
        <f t="shared" si="81"/>
        <v/>
      </c>
      <c r="K740" s="7" t="str">
        <f t="shared" si="82"/>
        <v/>
      </c>
      <c r="L740" s="7" t="str">
        <f t="shared" si="83"/>
        <v/>
      </c>
      <c r="M740" s="7" t="str">
        <f t="shared" si="84"/>
        <v/>
      </c>
      <c r="N740" s="7" t="str">
        <f t="shared" si="85"/>
        <v/>
      </c>
      <c r="O740" s="51" t="str">
        <f>IF(G740&gt;0,DT!AC740*I740+DT!AD740*J740+DT!AE740*K740+DT!AF740*L740+DT!AG740*M740+DT!AH740*N740,"")</f>
        <v/>
      </c>
      <c r="P740" s="15"/>
    </row>
    <row r="741" spans="1:16">
      <c r="A741" s="1"/>
      <c r="B741" s="1"/>
      <c r="C741" s="1"/>
      <c r="D741" s="1"/>
      <c r="E741" s="1"/>
      <c r="F741" s="1"/>
      <c r="G741" s="1">
        <f t="shared" si="86"/>
        <v>0</v>
      </c>
      <c r="I741" s="7" t="str">
        <f t="shared" si="80"/>
        <v/>
      </c>
      <c r="J741" s="7" t="str">
        <f t="shared" si="81"/>
        <v/>
      </c>
      <c r="K741" s="7" t="str">
        <f t="shared" si="82"/>
        <v/>
      </c>
      <c r="L741" s="7" t="str">
        <f t="shared" si="83"/>
        <v/>
      </c>
      <c r="M741" s="7" t="str">
        <f t="shared" si="84"/>
        <v/>
      </c>
      <c r="N741" s="7" t="str">
        <f t="shared" si="85"/>
        <v/>
      </c>
      <c r="O741" s="51" t="str">
        <f>IF(G741&gt;0,DT!AC741*I741+DT!AD741*J741+DT!AE741*K741+DT!AF741*L741+DT!AG741*M741+DT!AH741*N741,"")</f>
        <v/>
      </c>
      <c r="P741" s="15"/>
    </row>
    <row r="742" spans="1:16">
      <c r="A742" s="1"/>
      <c r="B742" s="1"/>
      <c r="C742" s="1"/>
      <c r="D742" s="1"/>
      <c r="E742" s="1"/>
      <c r="F742" s="1"/>
      <c r="G742" s="1">
        <f t="shared" si="86"/>
        <v>0</v>
      </c>
      <c r="I742" s="7" t="str">
        <f t="shared" si="80"/>
        <v/>
      </c>
      <c r="J742" s="7" t="str">
        <f t="shared" si="81"/>
        <v/>
      </c>
      <c r="K742" s="7" t="str">
        <f t="shared" si="82"/>
        <v/>
      </c>
      <c r="L742" s="7" t="str">
        <f t="shared" si="83"/>
        <v/>
      </c>
      <c r="M742" s="7" t="str">
        <f t="shared" si="84"/>
        <v/>
      </c>
      <c r="N742" s="7" t="str">
        <f t="shared" si="85"/>
        <v/>
      </c>
      <c r="O742" s="51" t="str">
        <f>IF(G742&gt;0,DT!AC742*I742+DT!AD742*J742+DT!AE742*K742+DT!AF742*L742+DT!AG742*M742+DT!AH742*N742,"")</f>
        <v/>
      </c>
      <c r="P742" s="15"/>
    </row>
    <row r="743" spans="1:16">
      <c r="A743" s="1"/>
      <c r="B743" s="1"/>
      <c r="C743" s="1"/>
      <c r="D743" s="1"/>
      <c r="E743" s="1"/>
      <c r="F743" s="1"/>
      <c r="G743" s="1">
        <f t="shared" si="86"/>
        <v>0</v>
      </c>
      <c r="I743" s="7" t="str">
        <f t="shared" si="80"/>
        <v/>
      </c>
      <c r="J743" s="7" t="str">
        <f t="shared" si="81"/>
        <v/>
      </c>
      <c r="K743" s="7" t="str">
        <f t="shared" si="82"/>
        <v/>
      </c>
      <c r="L743" s="7" t="str">
        <f t="shared" si="83"/>
        <v/>
      </c>
      <c r="M743" s="7" t="str">
        <f t="shared" si="84"/>
        <v/>
      </c>
      <c r="N743" s="7" t="str">
        <f t="shared" si="85"/>
        <v/>
      </c>
      <c r="O743" s="51" t="str">
        <f>IF(G743&gt;0,DT!AC743*I743+DT!AD743*J743+DT!AE743*K743+DT!AF743*L743+DT!AG743*M743+DT!AH743*N743,"")</f>
        <v/>
      </c>
      <c r="P743" s="15"/>
    </row>
    <row r="744" spans="1:16">
      <c r="A744" s="1"/>
      <c r="B744" s="1"/>
      <c r="C744" s="1"/>
      <c r="D744" s="1"/>
      <c r="E744" s="1"/>
      <c r="F744" s="1"/>
      <c r="G744" s="1">
        <f t="shared" si="86"/>
        <v>0</v>
      </c>
      <c r="I744" s="7" t="str">
        <f t="shared" si="80"/>
        <v/>
      </c>
      <c r="J744" s="7" t="str">
        <f t="shared" si="81"/>
        <v/>
      </c>
      <c r="K744" s="7" t="str">
        <f t="shared" si="82"/>
        <v/>
      </c>
      <c r="L744" s="7" t="str">
        <f t="shared" si="83"/>
        <v/>
      </c>
      <c r="M744" s="7" t="str">
        <f t="shared" si="84"/>
        <v/>
      </c>
      <c r="N744" s="7" t="str">
        <f t="shared" si="85"/>
        <v/>
      </c>
      <c r="O744" s="51" t="str">
        <f>IF(G744&gt;0,DT!AC744*I744+DT!AD744*J744+DT!AE744*K744+DT!AF744*L744+DT!AG744*M744+DT!AH744*N744,"")</f>
        <v/>
      </c>
      <c r="P744" s="15"/>
    </row>
    <row r="745" spans="1:16">
      <c r="A745" s="1"/>
      <c r="B745" s="1"/>
      <c r="C745" s="1"/>
      <c r="D745" s="1"/>
      <c r="E745" s="1"/>
      <c r="F745" s="1"/>
      <c r="G745" s="1">
        <f t="shared" si="86"/>
        <v>0</v>
      </c>
      <c r="I745" s="7" t="str">
        <f t="shared" si="80"/>
        <v/>
      </c>
      <c r="J745" s="7" t="str">
        <f t="shared" si="81"/>
        <v/>
      </c>
      <c r="K745" s="7" t="str">
        <f t="shared" si="82"/>
        <v/>
      </c>
      <c r="L745" s="7" t="str">
        <f t="shared" si="83"/>
        <v/>
      </c>
      <c r="M745" s="7" t="str">
        <f t="shared" si="84"/>
        <v/>
      </c>
      <c r="N745" s="7" t="str">
        <f t="shared" si="85"/>
        <v/>
      </c>
      <c r="O745" s="51" t="str">
        <f>IF(G745&gt;0,DT!AC745*I745+DT!AD745*J745+DT!AE745*K745+DT!AF745*L745+DT!AG745*M745+DT!AH745*N745,"")</f>
        <v/>
      </c>
      <c r="P745" s="15"/>
    </row>
    <row r="746" spans="1:16">
      <c r="A746" s="1"/>
      <c r="B746" s="1"/>
      <c r="C746" s="1"/>
      <c r="D746" s="1"/>
      <c r="E746" s="1"/>
      <c r="F746" s="1"/>
      <c r="G746" s="1">
        <f t="shared" si="86"/>
        <v>0</v>
      </c>
      <c r="I746" s="7" t="str">
        <f t="shared" si="80"/>
        <v/>
      </c>
      <c r="J746" s="7" t="str">
        <f t="shared" si="81"/>
        <v/>
      </c>
      <c r="K746" s="7" t="str">
        <f t="shared" si="82"/>
        <v/>
      </c>
      <c r="L746" s="7" t="str">
        <f t="shared" si="83"/>
        <v/>
      </c>
      <c r="M746" s="7" t="str">
        <f t="shared" si="84"/>
        <v/>
      </c>
      <c r="N746" s="7" t="str">
        <f t="shared" si="85"/>
        <v/>
      </c>
      <c r="O746" s="51" t="str">
        <f>IF(G746&gt;0,DT!AC746*I746+DT!AD746*J746+DT!AE746*K746+DT!AF746*L746+DT!AG746*M746+DT!AH746*N746,"")</f>
        <v/>
      </c>
      <c r="P746" s="15"/>
    </row>
    <row r="747" spans="1:16">
      <c r="A747" s="1"/>
      <c r="B747" s="1"/>
      <c r="C747" s="1"/>
      <c r="D747" s="1"/>
      <c r="E747" s="1"/>
      <c r="F747" s="1"/>
      <c r="G747" s="1">
        <f t="shared" si="86"/>
        <v>0</v>
      </c>
      <c r="I747" s="7" t="str">
        <f t="shared" si="80"/>
        <v/>
      </c>
      <c r="J747" s="7" t="str">
        <f t="shared" si="81"/>
        <v/>
      </c>
      <c r="K747" s="7" t="str">
        <f t="shared" si="82"/>
        <v/>
      </c>
      <c r="L747" s="7" t="str">
        <f t="shared" si="83"/>
        <v/>
      </c>
      <c r="M747" s="7" t="str">
        <f t="shared" si="84"/>
        <v/>
      </c>
      <c r="N747" s="7" t="str">
        <f t="shared" si="85"/>
        <v/>
      </c>
      <c r="O747" s="51" t="str">
        <f>IF(G747&gt;0,DT!AC747*I747+DT!AD747*J747+DT!AE747*K747+DT!AF747*L747+DT!AG747*M747+DT!AH747*N747,"")</f>
        <v/>
      </c>
      <c r="P747" s="15"/>
    </row>
    <row r="748" spans="1:16">
      <c r="A748" s="1"/>
      <c r="B748" s="1"/>
      <c r="C748" s="1"/>
      <c r="D748" s="1"/>
      <c r="E748" s="1"/>
      <c r="F748" s="1"/>
      <c r="G748" s="1">
        <f t="shared" si="86"/>
        <v>0</v>
      </c>
      <c r="I748" s="7" t="str">
        <f t="shared" si="80"/>
        <v/>
      </c>
      <c r="J748" s="7" t="str">
        <f t="shared" si="81"/>
        <v/>
      </c>
      <c r="K748" s="7" t="str">
        <f t="shared" si="82"/>
        <v/>
      </c>
      <c r="L748" s="7" t="str">
        <f t="shared" si="83"/>
        <v/>
      </c>
      <c r="M748" s="7" t="str">
        <f t="shared" si="84"/>
        <v/>
      </c>
      <c r="N748" s="7" t="str">
        <f t="shared" si="85"/>
        <v/>
      </c>
      <c r="O748" s="51" t="str">
        <f>IF(G748&gt;0,DT!AC748*I748+DT!AD748*J748+DT!AE748*K748+DT!AF748*L748+DT!AG748*M748+DT!AH748*N748,"")</f>
        <v/>
      </c>
      <c r="P748" s="15"/>
    </row>
    <row r="749" spans="1:16">
      <c r="A749" s="1"/>
      <c r="B749" s="1"/>
      <c r="C749" s="1"/>
      <c r="D749" s="1"/>
      <c r="E749" s="1"/>
      <c r="F749" s="1"/>
      <c r="G749" s="1">
        <f t="shared" si="86"/>
        <v>0</v>
      </c>
      <c r="I749" s="7" t="str">
        <f t="shared" si="80"/>
        <v/>
      </c>
      <c r="J749" s="7" t="str">
        <f t="shared" si="81"/>
        <v/>
      </c>
      <c r="K749" s="7" t="str">
        <f t="shared" si="82"/>
        <v/>
      </c>
      <c r="L749" s="7" t="str">
        <f t="shared" si="83"/>
        <v/>
      </c>
      <c r="M749" s="7" t="str">
        <f t="shared" si="84"/>
        <v/>
      </c>
      <c r="N749" s="7" t="str">
        <f t="shared" si="85"/>
        <v/>
      </c>
      <c r="O749" s="51" t="str">
        <f>IF(G749&gt;0,DT!AC749*I749+DT!AD749*J749+DT!AE749*K749+DT!AF749*L749+DT!AG749*M749+DT!AH749*N749,"")</f>
        <v/>
      </c>
      <c r="P749" s="15"/>
    </row>
    <row r="750" spans="1:16">
      <c r="A750" s="1"/>
      <c r="B750" s="1"/>
      <c r="C750" s="1"/>
      <c r="D750" s="1"/>
      <c r="E750" s="1"/>
      <c r="F750" s="1"/>
      <c r="G750" s="1">
        <f t="shared" si="86"/>
        <v>0</v>
      </c>
      <c r="I750" s="7" t="str">
        <f t="shared" si="80"/>
        <v/>
      </c>
      <c r="J750" s="7" t="str">
        <f t="shared" si="81"/>
        <v/>
      </c>
      <c r="K750" s="7" t="str">
        <f t="shared" si="82"/>
        <v/>
      </c>
      <c r="L750" s="7" t="str">
        <f t="shared" si="83"/>
        <v/>
      </c>
      <c r="M750" s="7" t="str">
        <f t="shared" si="84"/>
        <v/>
      </c>
      <c r="N750" s="7" t="str">
        <f t="shared" si="85"/>
        <v/>
      </c>
      <c r="O750" s="51" t="str">
        <f>IF(G750&gt;0,DT!AC750*I750+DT!AD750*J750+DT!AE750*K750+DT!AF750*L750+DT!AG750*M750+DT!AH750*N750,"")</f>
        <v/>
      </c>
      <c r="P750" s="15"/>
    </row>
    <row r="751" spans="1:16">
      <c r="A751" s="1"/>
      <c r="B751" s="1"/>
      <c r="C751" s="1"/>
      <c r="D751" s="1"/>
      <c r="E751" s="1"/>
      <c r="F751" s="1"/>
      <c r="G751" s="1">
        <f t="shared" si="86"/>
        <v>0</v>
      </c>
      <c r="I751" s="7" t="str">
        <f t="shared" si="80"/>
        <v/>
      </c>
      <c r="J751" s="7" t="str">
        <f t="shared" si="81"/>
        <v/>
      </c>
      <c r="K751" s="7" t="str">
        <f t="shared" si="82"/>
        <v/>
      </c>
      <c r="L751" s="7" t="str">
        <f t="shared" si="83"/>
        <v/>
      </c>
      <c r="M751" s="7" t="str">
        <f t="shared" si="84"/>
        <v/>
      </c>
      <c r="N751" s="7" t="str">
        <f t="shared" si="85"/>
        <v/>
      </c>
      <c r="O751" s="51" t="str">
        <f>IF(G751&gt;0,DT!AC751*I751+DT!AD751*J751+DT!AE751*K751+DT!AF751*L751+DT!AG751*M751+DT!AH751*N751,"")</f>
        <v/>
      </c>
      <c r="P751" s="15"/>
    </row>
    <row r="752" spans="1:16">
      <c r="A752" s="1"/>
      <c r="B752" s="1"/>
      <c r="C752" s="1"/>
      <c r="D752" s="1"/>
      <c r="E752" s="1"/>
      <c r="F752" s="1"/>
      <c r="G752" s="1">
        <f t="shared" si="86"/>
        <v>0</v>
      </c>
      <c r="I752" s="7" t="str">
        <f t="shared" si="80"/>
        <v/>
      </c>
      <c r="J752" s="7" t="str">
        <f t="shared" si="81"/>
        <v/>
      </c>
      <c r="K752" s="7" t="str">
        <f t="shared" si="82"/>
        <v/>
      </c>
      <c r="L752" s="7" t="str">
        <f t="shared" si="83"/>
        <v/>
      </c>
      <c r="M752" s="7" t="str">
        <f t="shared" si="84"/>
        <v/>
      </c>
      <c r="N752" s="7" t="str">
        <f t="shared" si="85"/>
        <v/>
      </c>
      <c r="O752" s="51" t="str">
        <f>IF(G752&gt;0,DT!AC752*I752+DT!AD752*J752+DT!AE752*K752+DT!AF752*L752+DT!AG752*M752+DT!AH752*N752,"")</f>
        <v/>
      </c>
      <c r="P752" s="15"/>
    </row>
    <row r="753" spans="1:16">
      <c r="A753" s="1"/>
      <c r="B753" s="1"/>
      <c r="C753" s="1"/>
      <c r="D753" s="1"/>
      <c r="E753" s="1"/>
      <c r="F753" s="1"/>
      <c r="G753" s="1">
        <f t="shared" si="86"/>
        <v>0</v>
      </c>
      <c r="I753" s="7" t="str">
        <f t="shared" si="80"/>
        <v/>
      </c>
      <c r="J753" s="7" t="str">
        <f t="shared" si="81"/>
        <v/>
      </c>
      <c r="K753" s="7" t="str">
        <f t="shared" si="82"/>
        <v/>
      </c>
      <c r="L753" s="7" t="str">
        <f t="shared" si="83"/>
        <v/>
      </c>
      <c r="M753" s="7" t="str">
        <f t="shared" si="84"/>
        <v/>
      </c>
      <c r="N753" s="7" t="str">
        <f t="shared" si="85"/>
        <v/>
      </c>
      <c r="O753" s="51" t="str">
        <f>IF(G753&gt;0,DT!AC753*I753+DT!AD753*J753+DT!AE753*K753+DT!AF753*L753+DT!AG753*M753+DT!AH753*N753,"")</f>
        <v/>
      </c>
      <c r="P753" s="15"/>
    </row>
    <row r="754" spans="1:16">
      <c r="A754" s="1"/>
      <c r="B754" s="1"/>
      <c r="C754" s="1"/>
      <c r="D754" s="1"/>
      <c r="E754" s="1"/>
      <c r="F754" s="1"/>
      <c r="G754" s="1">
        <f t="shared" si="86"/>
        <v>0</v>
      </c>
      <c r="I754" s="7" t="str">
        <f t="shared" si="80"/>
        <v/>
      </c>
      <c r="J754" s="7" t="str">
        <f t="shared" si="81"/>
        <v/>
      </c>
      <c r="K754" s="7" t="str">
        <f t="shared" si="82"/>
        <v/>
      </c>
      <c r="L754" s="7" t="str">
        <f t="shared" si="83"/>
        <v/>
      </c>
      <c r="M754" s="7" t="str">
        <f t="shared" si="84"/>
        <v/>
      </c>
      <c r="N754" s="7" t="str">
        <f t="shared" si="85"/>
        <v/>
      </c>
      <c r="O754" s="51" t="str">
        <f>IF(G754&gt;0,DT!AC754*I754+DT!AD754*J754+DT!AE754*K754+DT!AF754*L754+DT!AG754*M754+DT!AH754*N754,"")</f>
        <v/>
      </c>
      <c r="P754" s="15"/>
    </row>
    <row r="755" spans="1:16">
      <c r="A755" s="1"/>
      <c r="B755" s="1"/>
      <c r="C755" s="1"/>
      <c r="D755" s="1"/>
      <c r="E755" s="1"/>
      <c r="F755" s="1"/>
      <c r="G755" s="1">
        <f t="shared" si="86"/>
        <v>0</v>
      </c>
      <c r="I755" s="7" t="str">
        <f t="shared" si="80"/>
        <v/>
      </c>
      <c r="J755" s="7" t="str">
        <f t="shared" si="81"/>
        <v/>
      </c>
      <c r="K755" s="7" t="str">
        <f t="shared" si="82"/>
        <v/>
      </c>
      <c r="L755" s="7" t="str">
        <f t="shared" si="83"/>
        <v/>
      </c>
      <c r="M755" s="7" t="str">
        <f t="shared" si="84"/>
        <v/>
      </c>
      <c r="N755" s="7" t="str">
        <f t="shared" si="85"/>
        <v/>
      </c>
      <c r="O755" s="51" t="str">
        <f>IF(G755&gt;0,DT!AC755*I755+DT!AD755*J755+DT!AE755*K755+DT!AF755*L755+DT!AG755*M755+DT!AH755*N755,"")</f>
        <v/>
      </c>
      <c r="P755" s="15"/>
    </row>
    <row r="756" spans="1:16">
      <c r="A756" s="1"/>
      <c r="B756" s="1"/>
      <c r="C756" s="1"/>
      <c r="D756" s="1"/>
      <c r="E756" s="1"/>
      <c r="F756" s="1"/>
      <c r="G756" s="1">
        <f t="shared" si="86"/>
        <v>0</v>
      </c>
      <c r="I756" s="7" t="str">
        <f t="shared" ref="I756:I819" si="87">IF(G756&gt;0,A756/G756,"")</f>
        <v/>
      </c>
      <c r="J756" s="7" t="str">
        <f t="shared" ref="J756:J819" si="88">IF(G756&gt;0,B756/G756,"")</f>
        <v/>
      </c>
      <c r="K756" s="7" t="str">
        <f t="shared" ref="K756:K819" si="89">IF(G756&gt;0,C756/G756,"")</f>
        <v/>
      </c>
      <c r="L756" s="7" t="str">
        <f t="shared" ref="L756:L819" si="90">IF(G756&gt;0,D756/G756,"")</f>
        <v/>
      </c>
      <c r="M756" s="7" t="str">
        <f t="shared" ref="M756:M819" si="91">IF(G756&gt;0,E756/G756,"")</f>
        <v/>
      </c>
      <c r="N756" s="7" t="str">
        <f t="shared" ref="N756:N819" si="92">IF(G756&gt;0,F756/G756,"")</f>
        <v/>
      </c>
      <c r="O756" s="51" t="str">
        <f>IF(G756&gt;0,DT!AC756*I756+DT!AD756*J756+DT!AE756*K756+DT!AF756*L756+DT!AG756*M756+DT!AH756*N756,"")</f>
        <v/>
      </c>
      <c r="P756" s="15"/>
    </row>
    <row r="757" spans="1:16">
      <c r="A757" s="1"/>
      <c r="B757" s="1"/>
      <c r="C757" s="1"/>
      <c r="D757" s="1"/>
      <c r="E757" s="1"/>
      <c r="F757" s="1"/>
      <c r="G757" s="1">
        <f t="shared" si="86"/>
        <v>0</v>
      </c>
      <c r="I757" s="7" t="str">
        <f t="shared" si="87"/>
        <v/>
      </c>
      <c r="J757" s="7" t="str">
        <f t="shared" si="88"/>
        <v/>
      </c>
      <c r="K757" s="7" t="str">
        <f t="shared" si="89"/>
        <v/>
      </c>
      <c r="L757" s="7" t="str">
        <f t="shared" si="90"/>
        <v/>
      </c>
      <c r="M757" s="7" t="str">
        <f t="shared" si="91"/>
        <v/>
      </c>
      <c r="N757" s="7" t="str">
        <f t="shared" si="92"/>
        <v/>
      </c>
      <c r="O757" s="51" t="str">
        <f>IF(G757&gt;0,DT!AC757*I757+DT!AD757*J757+DT!AE757*K757+DT!AF757*L757+DT!AG757*M757+DT!AH757*N757,"")</f>
        <v/>
      </c>
      <c r="P757" s="15"/>
    </row>
    <row r="758" spans="1:16">
      <c r="A758" s="1"/>
      <c r="B758" s="1"/>
      <c r="C758" s="1"/>
      <c r="D758" s="1"/>
      <c r="E758" s="1"/>
      <c r="F758" s="1"/>
      <c r="G758" s="1">
        <f t="shared" si="86"/>
        <v>0</v>
      </c>
      <c r="I758" s="7" t="str">
        <f t="shared" si="87"/>
        <v/>
      </c>
      <c r="J758" s="7" t="str">
        <f t="shared" si="88"/>
        <v/>
      </c>
      <c r="K758" s="7" t="str">
        <f t="shared" si="89"/>
        <v/>
      </c>
      <c r="L758" s="7" t="str">
        <f t="shared" si="90"/>
        <v/>
      </c>
      <c r="M758" s="7" t="str">
        <f t="shared" si="91"/>
        <v/>
      </c>
      <c r="N758" s="7" t="str">
        <f t="shared" si="92"/>
        <v/>
      </c>
      <c r="O758" s="51" t="str">
        <f>IF(G758&gt;0,DT!AC758*I758+DT!AD758*J758+DT!AE758*K758+DT!AF758*L758+DT!AG758*M758+DT!AH758*N758,"")</f>
        <v/>
      </c>
      <c r="P758" s="15"/>
    </row>
    <row r="759" spans="1:16">
      <c r="A759" s="1"/>
      <c r="B759" s="1"/>
      <c r="C759" s="1"/>
      <c r="D759" s="1"/>
      <c r="E759" s="1"/>
      <c r="F759" s="1"/>
      <c r="G759" s="1">
        <f t="shared" si="86"/>
        <v>0</v>
      </c>
      <c r="I759" s="7" t="str">
        <f t="shared" si="87"/>
        <v/>
      </c>
      <c r="J759" s="7" t="str">
        <f t="shared" si="88"/>
        <v/>
      </c>
      <c r="K759" s="7" t="str">
        <f t="shared" si="89"/>
        <v/>
      </c>
      <c r="L759" s="7" t="str">
        <f t="shared" si="90"/>
        <v/>
      </c>
      <c r="M759" s="7" t="str">
        <f t="shared" si="91"/>
        <v/>
      </c>
      <c r="N759" s="7" t="str">
        <f t="shared" si="92"/>
        <v/>
      </c>
      <c r="O759" s="51" t="str">
        <f>IF(G759&gt;0,DT!AC759*I759+DT!AD759*J759+DT!AE759*K759+DT!AF759*L759+DT!AG759*M759+DT!AH759*N759,"")</f>
        <v/>
      </c>
      <c r="P759" s="15"/>
    </row>
    <row r="760" spans="1:16">
      <c r="A760" s="1"/>
      <c r="B760" s="1"/>
      <c r="C760" s="1"/>
      <c r="D760" s="1"/>
      <c r="E760" s="1"/>
      <c r="F760" s="1"/>
      <c r="G760" s="1">
        <f t="shared" si="86"/>
        <v>0</v>
      </c>
      <c r="I760" s="7" t="str">
        <f t="shared" si="87"/>
        <v/>
      </c>
      <c r="J760" s="7" t="str">
        <f t="shared" si="88"/>
        <v/>
      </c>
      <c r="K760" s="7" t="str">
        <f t="shared" si="89"/>
        <v/>
      </c>
      <c r="L760" s="7" t="str">
        <f t="shared" si="90"/>
        <v/>
      </c>
      <c r="M760" s="7" t="str">
        <f t="shared" si="91"/>
        <v/>
      </c>
      <c r="N760" s="7" t="str">
        <f t="shared" si="92"/>
        <v/>
      </c>
      <c r="O760" s="51" t="str">
        <f>IF(G760&gt;0,DT!AC760*I760+DT!AD760*J760+DT!AE760*K760+DT!AF760*L760+DT!AG760*M760+DT!AH760*N760,"")</f>
        <v/>
      </c>
      <c r="P760" s="15"/>
    </row>
    <row r="761" spans="1:16">
      <c r="A761" s="1"/>
      <c r="B761" s="1"/>
      <c r="C761" s="1"/>
      <c r="D761" s="1"/>
      <c r="E761" s="1"/>
      <c r="F761" s="1"/>
      <c r="G761" s="1">
        <f t="shared" si="86"/>
        <v>0</v>
      </c>
      <c r="I761" s="7" t="str">
        <f t="shared" si="87"/>
        <v/>
      </c>
      <c r="J761" s="7" t="str">
        <f t="shared" si="88"/>
        <v/>
      </c>
      <c r="K761" s="7" t="str">
        <f t="shared" si="89"/>
        <v/>
      </c>
      <c r="L761" s="7" t="str">
        <f t="shared" si="90"/>
        <v/>
      </c>
      <c r="M761" s="7" t="str">
        <f t="shared" si="91"/>
        <v/>
      </c>
      <c r="N761" s="7" t="str">
        <f t="shared" si="92"/>
        <v/>
      </c>
      <c r="O761" s="51" t="str">
        <f>IF(G761&gt;0,DT!AC761*I761+DT!AD761*J761+DT!AE761*K761+DT!AF761*L761+DT!AG761*M761+DT!AH761*N761,"")</f>
        <v/>
      </c>
      <c r="P761" s="15"/>
    </row>
    <row r="762" spans="1:16">
      <c r="A762" s="1"/>
      <c r="B762" s="1"/>
      <c r="C762" s="1"/>
      <c r="D762" s="1"/>
      <c r="E762" s="1"/>
      <c r="F762" s="1"/>
      <c r="G762" s="1">
        <f t="shared" si="86"/>
        <v>0</v>
      </c>
      <c r="I762" s="7" t="str">
        <f t="shared" si="87"/>
        <v/>
      </c>
      <c r="J762" s="7" t="str">
        <f t="shared" si="88"/>
        <v/>
      </c>
      <c r="K762" s="7" t="str">
        <f t="shared" si="89"/>
        <v/>
      </c>
      <c r="L762" s="7" t="str">
        <f t="shared" si="90"/>
        <v/>
      </c>
      <c r="M762" s="7" t="str">
        <f t="shared" si="91"/>
        <v/>
      </c>
      <c r="N762" s="7" t="str">
        <f t="shared" si="92"/>
        <v/>
      </c>
      <c r="O762" s="51" t="str">
        <f>IF(G762&gt;0,DT!AC762*I762+DT!AD762*J762+DT!AE762*K762+DT!AF762*L762+DT!AG762*M762+DT!AH762*N762,"")</f>
        <v/>
      </c>
      <c r="P762" s="15"/>
    </row>
    <row r="763" spans="1:16">
      <c r="A763" s="1"/>
      <c r="B763" s="1"/>
      <c r="C763" s="1"/>
      <c r="D763" s="1"/>
      <c r="E763" s="1"/>
      <c r="F763" s="1"/>
      <c r="G763" s="1">
        <f t="shared" si="86"/>
        <v>0</v>
      </c>
      <c r="I763" s="7" t="str">
        <f t="shared" si="87"/>
        <v/>
      </c>
      <c r="J763" s="7" t="str">
        <f t="shared" si="88"/>
        <v/>
      </c>
      <c r="K763" s="7" t="str">
        <f t="shared" si="89"/>
        <v/>
      </c>
      <c r="L763" s="7" t="str">
        <f t="shared" si="90"/>
        <v/>
      </c>
      <c r="M763" s="7" t="str">
        <f t="shared" si="91"/>
        <v/>
      </c>
      <c r="N763" s="7" t="str">
        <f t="shared" si="92"/>
        <v/>
      </c>
      <c r="O763" s="51" t="str">
        <f>IF(G763&gt;0,DT!AC763*I763+DT!AD763*J763+DT!AE763*K763+DT!AF763*L763+DT!AG763*M763+DT!AH763*N763,"")</f>
        <v/>
      </c>
      <c r="P763" s="15"/>
    </row>
    <row r="764" spans="1:16">
      <c r="A764" s="1"/>
      <c r="B764" s="1"/>
      <c r="C764" s="1"/>
      <c r="D764" s="1"/>
      <c r="E764" s="1"/>
      <c r="F764" s="1"/>
      <c r="G764" s="1">
        <f t="shared" si="86"/>
        <v>0</v>
      </c>
      <c r="I764" s="7" t="str">
        <f t="shared" si="87"/>
        <v/>
      </c>
      <c r="J764" s="7" t="str">
        <f t="shared" si="88"/>
        <v/>
      </c>
      <c r="K764" s="7" t="str">
        <f t="shared" si="89"/>
        <v/>
      </c>
      <c r="L764" s="7" t="str">
        <f t="shared" si="90"/>
        <v/>
      </c>
      <c r="M764" s="7" t="str">
        <f t="shared" si="91"/>
        <v/>
      </c>
      <c r="N764" s="7" t="str">
        <f t="shared" si="92"/>
        <v/>
      </c>
      <c r="O764" s="51" t="str">
        <f>IF(G764&gt;0,DT!AC764*I764+DT!AD764*J764+DT!AE764*K764+DT!AF764*L764+DT!AG764*M764+DT!AH764*N764,"")</f>
        <v/>
      </c>
      <c r="P764" s="15"/>
    </row>
    <row r="765" spans="1:16">
      <c r="A765" s="1"/>
      <c r="B765" s="1"/>
      <c r="C765" s="1"/>
      <c r="D765" s="1"/>
      <c r="E765" s="1"/>
      <c r="F765" s="1"/>
      <c r="G765" s="1">
        <f t="shared" si="86"/>
        <v>0</v>
      </c>
      <c r="I765" s="7" t="str">
        <f t="shared" si="87"/>
        <v/>
      </c>
      <c r="J765" s="7" t="str">
        <f t="shared" si="88"/>
        <v/>
      </c>
      <c r="K765" s="7" t="str">
        <f t="shared" si="89"/>
        <v/>
      </c>
      <c r="L765" s="7" t="str">
        <f t="shared" si="90"/>
        <v/>
      </c>
      <c r="M765" s="7" t="str">
        <f t="shared" si="91"/>
        <v/>
      </c>
      <c r="N765" s="7" t="str">
        <f t="shared" si="92"/>
        <v/>
      </c>
      <c r="O765" s="51" t="str">
        <f>IF(G765&gt;0,DT!AC765*I765+DT!AD765*J765+DT!AE765*K765+DT!AF765*L765+DT!AG765*M765+DT!AH765*N765,"")</f>
        <v/>
      </c>
      <c r="P765" s="15"/>
    </row>
    <row r="766" spans="1:16">
      <c r="A766" s="1"/>
      <c r="B766" s="1"/>
      <c r="C766" s="1"/>
      <c r="D766" s="1"/>
      <c r="E766" s="1"/>
      <c r="F766" s="1"/>
      <c r="G766" s="1">
        <f t="shared" si="86"/>
        <v>0</v>
      </c>
      <c r="I766" s="7" t="str">
        <f t="shared" si="87"/>
        <v/>
      </c>
      <c r="J766" s="7" t="str">
        <f t="shared" si="88"/>
        <v/>
      </c>
      <c r="K766" s="7" t="str">
        <f t="shared" si="89"/>
        <v/>
      </c>
      <c r="L766" s="7" t="str">
        <f t="shared" si="90"/>
        <v/>
      </c>
      <c r="M766" s="7" t="str">
        <f t="shared" si="91"/>
        <v/>
      </c>
      <c r="N766" s="7" t="str">
        <f t="shared" si="92"/>
        <v/>
      </c>
      <c r="O766" s="51" t="str">
        <f>IF(G766&gt;0,DT!AC766*I766+DT!AD766*J766+DT!AE766*K766+DT!AF766*L766+DT!AG766*M766+DT!AH766*N766,"")</f>
        <v/>
      </c>
      <c r="P766" s="15"/>
    </row>
    <row r="767" spans="1:16">
      <c r="A767" s="1"/>
      <c r="B767" s="1"/>
      <c r="C767" s="1"/>
      <c r="D767" s="1"/>
      <c r="E767" s="1"/>
      <c r="F767" s="1"/>
      <c r="G767" s="1">
        <f t="shared" si="86"/>
        <v>0</v>
      </c>
      <c r="I767" s="7" t="str">
        <f t="shared" si="87"/>
        <v/>
      </c>
      <c r="J767" s="7" t="str">
        <f t="shared" si="88"/>
        <v/>
      </c>
      <c r="K767" s="7" t="str">
        <f t="shared" si="89"/>
        <v/>
      </c>
      <c r="L767" s="7" t="str">
        <f t="shared" si="90"/>
        <v/>
      </c>
      <c r="M767" s="7" t="str">
        <f t="shared" si="91"/>
        <v/>
      </c>
      <c r="N767" s="7" t="str">
        <f t="shared" si="92"/>
        <v/>
      </c>
      <c r="O767" s="51" t="str">
        <f>IF(G767&gt;0,DT!AC767*I767+DT!AD767*J767+DT!AE767*K767+DT!AF767*L767+DT!AG767*M767+DT!AH767*N767,"")</f>
        <v/>
      </c>
      <c r="P767" s="15"/>
    </row>
    <row r="768" spans="1:16">
      <c r="A768" s="1"/>
      <c r="B768" s="1"/>
      <c r="C768" s="1"/>
      <c r="D768" s="1"/>
      <c r="E768" s="1"/>
      <c r="F768" s="1"/>
      <c r="G768" s="1">
        <f t="shared" si="86"/>
        <v>0</v>
      </c>
      <c r="I768" s="7" t="str">
        <f t="shared" si="87"/>
        <v/>
      </c>
      <c r="J768" s="7" t="str">
        <f t="shared" si="88"/>
        <v/>
      </c>
      <c r="K768" s="7" t="str">
        <f t="shared" si="89"/>
        <v/>
      </c>
      <c r="L768" s="7" t="str">
        <f t="shared" si="90"/>
        <v/>
      </c>
      <c r="M768" s="7" t="str">
        <f t="shared" si="91"/>
        <v/>
      </c>
      <c r="N768" s="7" t="str">
        <f t="shared" si="92"/>
        <v/>
      </c>
      <c r="O768" s="51" t="str">
        <f>IF(G768&gt;0,DT!AC768*I768+DT!AD768*J768+DT!AE768*K768+DT!AF768*L768+DT!AG768*M768+DT!AH768*N768,"")</f>
        <v/>
      </c>
      <c r="P768" s="15"/>
    </row>
    <row r="769" spans="1:16">
      <c r="A769" s="1"/>
      <c r="B769" s="1"/>
      <c r="C769" s="1"/>
      <c r="D769" s="1"/>
      <c r="E769" s="1"/>
      <c r="F769" s="1"/>
      <c r="G769" s="1">
        <f t="shared" si="86"/>
        <v>0</v>
      </c>
      <c r="I769" s="7" t="str">
        <f t="shared" si="87"/>
        <v/>
      </c>
      <c r="J769" s="7" t="str">
        <f t="shared" si="88"/>
        <v/>
      </c>
      <c r="K769" s="7" t="str">
        <f t="shared" si="89"/>
        <v/>
      </c>
      <c r="L769" s="7" t="str">
        <f t="shared" si="90"/>
        <v/>
      </c>
      <c r="M769" s="7" t="str">
        <f t="shared" si="91"/>
        <v/>
      </c>
      <c r="N769" s="7" t="str">
        <f t="shared" si="92"/>
        <v/>
      </c>
      <c r="O769" s="51" t="str">
        <f>IF(G769&gt;0,DT!AC769*I769+DT!AD769*J769+DT!AE769*K769+DT!AF769*L769+DT!AG769*M769+DT!AH769*N769,"")</f>
        <v/>
      </c>
      <c r="P769" s="15"/>
    </row>
    <row r="770" spans="1:16">
      <c r="A770" s="1"/>
      <c r="B770" s="1"/>
      <c r="C770" s="1"/>
      <c r="D770" s="1"/>
      <c r="E770" s="1"/>
      <c r="F770" s="1"/>
      <c r="G770" s="1">
        <f t="shared" si="86"/>
        <v>0</v>
      </c>
      <c r="I770" s="7" t="str">
        <f t="shared" si="87"/>
        <v/>
      </c>
      <c r="J770" s="7" t="str">
        <f t="shared" si="88"/>
        <v/>
      </c>
      <c r="K770" s="7" t="str">
        <f t="shared" si="89"/>
        <v/>
      </c>
      <c r="L770" s="7" t="str">
        <f t="shared" si="90"/>
        <v/>
      </c>
      <c r="M770" s="7" t="str">
        <f t="shared" si="91"/>
        <v/>
      </c>
      <c r="N770" s="7" t="str">
        <f t="shared" si="92"/>
        <v/>
      </c>
      <c r="O770" s="51" t="str">
        <f>IF(G770&gt;0,DT!AC770*I770+DT!AD770*J770+DT!AE770*K770+DT!AF770*L770+DT!AG770*M770+DT!AH770*N770,"")</f>
        <v/>
      </c>
      <c r="P770" s="15"/>
    </row>
    <row r="771" spans="1:16">
      <c r="A771" s="1"/>
      <c r="B771" s="1"/>
      <c r="C771" s="1"/>
      <c r="D771" s="1"/>
      <c r="E771" s="1"/>
      <c r="F771" s="1"/>
      <c r="G771" s="1">
        <f t="shared" si="86"/>
        <v>0</v>
      </c>
      <c r="I771" s="7" t="str">
        <f t="shared" si="87"/>
        <v/>
      </c>
      <c r="J771" s="7" t="str">
        <f t="shared" si="88"/>
        <v/>
      </c>
      <c r="K771" s="7" t="str">
        <f t="shared" si="89"/>
        <v/>
      </c>
      <c r="L771" s="7" t="str">
        <f t="shared" si="90"/>
        <v/>
      </c>
      <c r="M771" s="7" t="str">
        <f t="shared" si="91"/>
        <v/>
      </c>
      <c r="N771" s="7" t="str">
        <f t="shared" si="92"/>
        <v/>
      </c>
      <c r="O771" s="51" t="str">
        <f>IF(G771&gt;0,DT!AC771*I771+DT!AD771*J771+DT!AE771*K771+DT!AF771*L771+DT!AG771*M771+DT!AH771*N771,"")</f>
        <v/>
      </c>
      <c r="P771" s="15"/>
    </row>
    <row r="772" spans="1:16">
      <c r="A772" s="1"/>
      <c r="B772" s="1"/>
      <c r="C772" s="1"/>
      <c r="D772" s="1"/>
      <c r="E772" s="1"/>
      <c r="F772" s="1"/>
      <c r="G772" s="1">
        <f t="shared" si="86"/>
        <v>0</v>
      </c>
      <c r="I772" s="7" t="str">
        <f t="shared" si="87"/>
        <v/>
      </c>
      <c r="J772" s="7" t="str">
        <f t="shared" si="88"/>
        <v/>
      </c>
      <c r="K772" s="7" t="str">
        <f t="shared" si="89"/>
        <v/>
      </c>
      <c r="L772" s="7" t="str">
        <f t="shared" si="90"/>
        <v/>
      </c>
      <c r="M772" s="7" t="str">
        <f t="shared" si="91"/>
        <v/>
      </c>
      <c r="N772" s="7" t="str">
        <f t="shared" si="92"/>
        <v/>
      </c>
      <c r="O772" s="51" t="str">
        <f>IF(G772&gt;0,DT!AC772*I772+DT!AD772*J772+DT!AE772*K772+DT!AF772*L772+DT!AG772*M772+DT!AH772*N772,"")</f>
        <v/>
      </c>
      <c r="P772" s="15"/>
    </row>
    <row r="773" spans="1:16">
      <c r="A773" s="1"/>
      <c r="B773" s="1"/>
      <c r="C773" s="1"/>
      <c r="D773" s="1"/>
      <c r="E773" s="1"/>
      <c r="F773" s="1"/>
      <c r="G773" s="1">
        <f t="shared" ref="G773:G836" si="93">SUM(A773:F773)</f>
        <v>0</v>
      </c>
      <c r="I773" s="7" t="str">
        <f t="shared" si="87"/>
        <v/>
      </c>
      <c r="J773" s="7" t="str">
        <f t="shared" si="88"/>
        <v/>
      </c>
      <c r="K773" s="7" t="str">
        <f t="shared" si="89"/>
        <v/>
      </c>
      <c r="L773" s="7" t="str">
        <f t="shared" si="90"/>
        <v/>
      </c>
      <c r="M773" s="7" t="str">
        <f t="shared" si="91"/>
        <v/>
      </c>
      <c r="N773" s="7" t="str">
        <f t="shared" si="92"/>
        <v/>
      </c>
      <c r="O773" s="51" t="str">
        <f>IF(G773&gt;0,DT!AC773*I773+DT!AD773*J773+DT!AE773*K773+DT!AF773*L773+DT!AG773*M773+DT!AH773*N773,"")</f>
        <v/>
      </c>
      <c r="P773" s="15"/>
    </row>
    <row r="774" spans="1:16">
      <c r="A774" s="1"/>
      <c r="B774" s="1"/>
      <c r="C774" s="1"/>
      <c r="D774" s="1"/>
      <c r="E774" s="1"/>
      <c r="F774" s="1"/>
      <c r="G774" s="1">
        <f t="shared" si="93"/>
        <v>0</v>
      </c>
      <c r="I774" s="7" t="str">
        <f t="shared" si="87"/>
        <v/>
      </c>
      <c r="J774" s="7" t="str">
        <f t="shared" si="88"/>
        <v/>
      </c>
      <c r="K774" s="7" t="str">
        <f t="shared" si="89"/>
        <v/>
      </c>
      <c r="L774" s="7" t="str">
        <f t="shared" si="90"/>
        <v/>
      </c>
      <c r="M774" s="7" t="str">
        <f t="shared" si="91"/>
        <v/>
      </c>
      <c r="N774" s="7" t="str">
        <f t="shared" si="92"/>
        <v/>
      </c>
      <c r="O774" s="51" t="str">
        <f>IF(G774&gt;0,DT!AC774*I774+DT!AD774*J774+DT!AE774*K774+DT!AF774*L774+DT!AG774*M774+DT!AH774*N774,"")</f>
        <v/>
      </c>
      <c r="P774" s="15"/>
    </row>
    <row r="775" spans="1:16">
      <c r="A775" s="1"/>
      <c r="B775" s="1"/>
      <c r="C775" s="1"/>
      <c r="D775" s="1"/>
      <c r="E775" s="1"/>
      <c r="F775" s="1"/>
      <c r="G775" s="1">
        <f t="shared" si="93"/>
        <v>0</v>
      </c>
      <c r="I775" s="7" t="str">
        <f t="shared" si="87"/>
        <v/>
      </c>
      <c r="J775" s="7" t="str">
        <f t="shared" si="88"/>
        <v/>
      </c>
      <c r="K775" s="7" t="str">
        <f t="shared" si="89"/>
        <v/>
      </c>
      <c r="L775" s="7" t="str">
        <f t="shared" si="90"/>
        <v/>
      </c>
      <c r="M775" s="7" t="str">
        <f t="shared" si="91"/>
        <v/>
      </c>
      <c r="N775" s="7" t="str">
        <f t="shared" si="92"/>
        <v/>
      </c>
      <c r="O775" s="51" t="str">
        <f>IF(G775&gt;0,DT!AC775*I775+DT!AD775*J775+DT!AE775*K775+DT!AF775*L775+DT!AG775*M775+DT!AH775*N775,"")</f>
        <v/>
      </c>
      <c r="P775" s="15"/>
    </row>
    <row r="776" spans="1:16">
      <c r="A776" s="1"/>
      <c r="B776" s="1"/>
      <c r="C776" s="1"/>
      <c r="D776" s="1"/>
      <c r="E776" s="1"/>
      <c r="F776" s="1"/>
      <c r="G776" s="1">
        <f t="shared" si="93"/>
        <v>0</v>
      </c>
      <c r="I776" s="7" t="str">
        <f t="shared" si="87"/>
        <v/>
      </c>
      <c r="J776" s="7" t="str">
        <f t="shared" si="88"/>
        <v/>
      </c>
      <c r="K776" s="7" t="str">
        <f t="shared" si="89"/>
        <v/>
      </c>
      <c r="L776" s="7" t="str">
        <f t="shared" si="90"/>
        <v/>
      </c>
      <c r="M776" s="7" t="str">
        <f t="shared" si="91"/>
        <v/>
      </c>
      <c r="N776" s="7" t="str">
        <f t="shared" si="92"/>
        <v/>
      </c>
      <c r="O776" s="51" t="str">
        <f>IF(G776&gt;0,DT!AC776*I776+DT!AD776*J776+DT!AE776*K776+DT!AF776*L776+DT!AG776*M776+DT!AH776*N776,"")</f>
        <v/>
      </c>
      <c r="P776" s="15"/>
    </row>
    <row r="777" spans="1:16">
      <c r="A777" s="1"/>
      <c r="B777" s="1"/>
      <c r="C777" s="1"/>
      <c r="D777" s="1"/>
      <c r="E777" s="1"/>
      <c r="F777" s="1"/>
      <c r="G777" s="1">
        <f t="shared" si="93"/>
        <v>0</v>
      </c>
      <c r="I777" s="7" t="str">
        <f t="shared" si="87"/>
        <v/>
      </c>
      <c r="J777" s="7" t="str">
        <f t="shared" si="88"/>
        <v/>
      </c>
      <c r="K777" s="7" t="str">
        <f t="shared" si="89"/>
        <v/>
      </c>
      <c r="L777" s="7" t="str">
        <f t="shared" si="90"/>
        <v/>
      </c>
      <c r="M777" s="7" t="str">
        <f t="shared" si="91"/>
        <v/>
      </c>
      <c r="N777" s="7" t="str">
        <f t="shared" si="92"/>
        <v/>
      </c>
      <c r="O777" s="51" t="str">
        <f>IF(G777&gt;0,DT!AC777*I777+DT!AD777*J777+DT!AE777*K777+DT!AF777*L777+DT!AG777*M777+DT!AH777*N777,"")</f>
        <v/>
      </c>
      <c r="P777" s="15"/>
    </row>
    <row r="778" spans="1:16">
      <c r="A778" s="1"/>
      <c r="B778" s="1"/>
      <c r="C778" s="1"/>
      <c r="D778" s="1"/>
      <c r="E778" s="1"/>
      <c r="F778" s="1"/>
      <c r="G778" s="1">
        <f t="shared" si="93"/>
        <v>0</v>
      </c>
      <c r="I778" s="7" t="str">
        <f t="shared" si="87"/>
        <v/>
      </c>
      <c r="J778" s="7" t="str">
        <f t="shared" si="88"/>
        <v/>
      </c>
      <c r="K778" s="7" t="str">
        <f t="shared" si="89"/>
        <v/>
      </c>
      <c r="L778" s="7" t="str">
        <f t="shared" si="90"/>
        <v/>
      </c>
      <c r="M778" s="7" t="str">
        <f t="shared" si="91"/>
        <v/>
      </c>
      <c r="N778" s="7" t="str">
        <f t="shared" si="92"/>
        <v/>
      </c>
      <c r="O778" s="51" t="str">
        <f>IF(G778&gt;0,DT!AC778*I778+DT!AD778*J778+DT!AE778*K778+DT!AF778*L778+DT!AG778*M778+DT!AH778*N778,"")</f>
        <v/>
      </c>
      <c r="P778" s="15"/>
    </row>
    <row r="779" spans="1:16">
      <c r="A779" s="1"/>
      <c r="B779" s="1"/>
      <c r="C779" s="1"/>
      <c r="D779" s="1"/>
      <c r="E779" s="1"/>
      <c r="F779" s="1"/>
      <c r="G779" s="1">
        <f t="shared" si="93"/>
        <v>0</v>
      </c>
      <c r="I779" s="7" t="str">
        <f t="shared" si="87"/>
        <v/>
      </c>
      <c r="J779" s="7" t="str">
        <f t="shared" si="88"/>
        <v/>
      </c>
      <c r="K779" s="7" t="str">
        <f t="shared" si="89"/>
        <v/>
      </c>
      <c r="L779" s="7" t="str">
        <f t="shared" si="90"/>
        <v/>
      </c>
      <c r="M779" s="7" t="str">
        <f t="shared" si="91"/>
        <v/>
      </c>
      <c r="N779" s="7" t="str">
        <f t="shared" si="92"/>
        <v/>
      </c>
      <c r="O779" s="51" t="str">
        <f>IF(G779&gt;0,DT!AC779*I779+DT!AD779*J779+DT!AE779*K779+DT!AF779*L779+DT!AG779*M779+DT!AH779*N779,"")</f>
        <v/>
      </c>
      <c r="P779" s="15"/>
    </row>
    <row r="780" spans="1:16">
      <c r="A780" s="1"/>
      <c r="B780" s="1"/>
      <c r="C780" s="1"/>
      <c r="D780" s="1"/>
      <c r="E780" s="1"/>
      <c r="F780" s="1"/>
      <c r="G780" s="1">
        <f t="shared" si="93"/>
        <v>0</v>
      </c>
      <c r="I780" s="7" t="str">
        <f t="shared" si="87"/>
        <v/>
      </c>
      <c r="J780" s="7" t="str">
        <f t="shared" si="88"/>
        <v/>
      </c>
      <c r="K780" s="7" t="str">
        <f t="shared" si="89"/>
        <v/>
      </c>
      <c r="L780" s="7" t="str">
        <f t="shared" si="90"/>
        <v/>
      </c>
      <c r="M780" s="7" t="str">
        <f t="shared" si="91"/>
        <v/>
      </c>
      <c r="N780" s="7" t="str">
        <f t="shared" si="92"/>
        <v/>
      </c>
      <c r="O780" s="51" t="str">
        <f>IF(G780&gt;0,DT!AC780*I780+DT!AD780*J780+DT!AE780*K780+DT!AF780*L780+DT!AG780*M780+DT!AH780*N780,"")</f>
        <v/>
      </c>
      <c r="P780" s="15"/>
    </row>
    <row r="781" spans="1:16">
      <c r="A781" s="1"/>
      <c r="B781" s="1"/>
      <c r="C781" s="1"/>
      <c r="D781" s="1"/>
      <c r="E781" s="1"/>
      <c r="F781" s="1"/>
      <c r="G781" s="1">
        <f t="shared" si="93"/>
        <v>0</v>
      </c>
      <c r="I781" s="7" t="str">
        <f t="shared" si="87"/>
        <v/>
      </c>
      <c r="J781" s="7" t="str">
        <f t="shared" si="88"/>
        <v/>
      </c>
      <c r="K781" s="7" t="str">
        <f t="shared" si="89"/>
        <v/>
      </c>
      <c r="L781" s="7" t="str">
        <f t="shared" si="90"/>
        <v/>
      </c>
      <c r="M781" s="7" t="str">
        <f t="shared" si="91"/>
        <v/>
      </c>
      <c r="N781" s="7" t="str">
        <f t="shared" si="92"/>
        <v/>
      </c>
      <c r="O781" s="51" t="str">
        <f>IF(G781&gt;0,DT!AC781*I781+DT!AD781*J781+DT!AE781*K781+DT!AF781*L781+DT!AG781*M781+DT!AH781*N781,"")</f>
        <v/>
      </c>
      <c r="P781" s="15"/>
    </row>
    <row r="782" spans="1:16">
      <c r="A782" s="1"/>
      <c r="B782" s="1"/>
      <c r="C782" s="1"/>
      <c r="D782" s="1"/>
      <c r="E782" s="1"/>
      <c r="F782" s="1"/>
      <c r="G782" s="1">
        <f t="shared" si="93"/>
        <v>0</v>
      </c>
      <c r="I782" s="7" t="str">
        <f t="shared" si="87"/>
        <v/>
      </c>
      <c r="J782" s="7" t="str">
        <f t="shared" si="88"/>
        <v/>
      </c>
      <c r="K782" s="7" t="str">
        <f t="shared" si="89"/>
        <v/>
      </c>
      <c r="L782" s="7" t="str">
        <f t="shared" si="90"/>
        <v/>
      </c>
      <c r="M782" s="7" t="str">
        <f t="shared" si="91"/>
        <v/>
      </c>
      <c r="N782" s="7" t="str">
        <f t="shared" si="92"/>
        <v/>
      </c>
      <c r="O782" s="51" t="str">
        <f>IF(G782&gt;0,DT!AC782*I782+DT!AD782*J782+DT!AE782*K782+DT!AF782*L782+DT!AG782*M782+DT!AH782*N782,"")</f>
        <v/>
      </c>
      <c r="P782" s="15"/>
    </row>
    <row r="783" spans="1:16">
      <c r="A783" s="1"/>
      <c r="B783" s="1"/>
      <c r="C783" s="1"/>
      <c r="D783" s="1"/>
      <c r="E783" s="1"/>
      <c r="F783" s="1"/>
      <c r="G783" s="1">
        <f t="shared" si="93"/>
        <v>0</v>
      </c>
      <c r="I783" s="7" t="str">
        <f t="shared" si="87"/>
        <v/>
      </c>
      <c r="J783" s="7" t="str">
        <f t="shared" si="88"/>
        <v/>
      </c>
      <c r="K783" s="7" t="str">
        <f t="shared" si="89"/>
        <v/>
      </c>
      <c r="L783" s="7" t="str">
        <f t="shared" si="90"/>
        <v/>
      </c>
      <c r="M783" s="7" t="str">
        <f t="shared" si="91"/>
        <v/>
      </c>
      <c r="N783" s="7" t="str">
        <f t="shared" si="92"/>
        <v/>
      </c>
      <c r="O783" s="51" t="str">
        <f>IF(G783&gt;0,DT!AC783*I783+DT!AD783*J783+DT!AE783*K783+DT!AF783*L783+DT!AG783*M783+DT!AH783*N783,"")</f>
        <v/>
      </c>
      <c r="P783" s="15"/>
    </row>
    <row r="784" spans="1:16">
      <c r="A784" s="1"/>
      <c r="B784" s="1"/>
      <c r="C784" s="1"/>
      <c r="D784" s="1"/>
      <c r="E784" s="1"/>
      <c r="F784" s="1"/>
      <c r="G784" s="1">
        <f t="shared" si="93"/>
        <v>0</v>
      </c>
      <c r="I784" s="7" t="str">
        <f t="shared" si="87"/>
        <v/>
      </c>
      <c r="J784" s="7" t="str">
        <f t="shared" si="88"/>
        <v/>
      </c>
      <c r="K784" s="7" t="str">
        <f t="shared" si="89"/>
        <v/>
      </c>
      <c r="L784" s="7" t="str">
        <f t="shared" si="90"/>
        <v/>
      </c>
      <c r="M784" s="7" t="str">
        <f t="shared" si="91"/>
        <v/>
      </c>
      <c r="N784" s="7" t="str">
        <f t="shared" si="92"/>
        <v/>
      </c>
      <c r="O784" s="51" t="str">
        <f>IF(G784&gt;0,DT!AC784*I784+DT!AD784*J784+DT!AE784*K784+DT!AF784*L784+DT!AG784*M784+DT!AH784*N784,"")</f>
        <v/>
      </c>
      <c r="P784" s="15"/>
    </row>
    <row r="785" spans="1:16">
      <c r="A785" s="1"/>
      <c r="B785" s="1"/>
      <c r="C785" s="1"/>
      <c r="D785" s="1"/>
      <c r="E785" s="1"/>
      <c r="F785" s="1"/>
      <c r="G785" s="1">
        <f t="shared" si="93"/>
        <v>0</v>
      </c>
      <c r="I785" s="7" t="str">
        <f t="shared" si="87"/>
        <v/>
      </c>
      <c r="J785" s="7" t="str">
        <f t="shared" si="88"/>
        <v/>
      </c>
      <c r="K785" s="7" t="str">
        <f t="shared" si="89"/>
        <v/>
      </c>
      <c r="L785" s="7" t="str">
        <f t="shared" si="90"/>
        <v/>
      </c>
      <c r="M785" s="7" t="str">
        <f t="shared" si="91"/>
        <v/>
      </c>
      <c r="N785" s="7" t="str">
        <f t="shared" si="92"/>
        <v/>
      </c>
      <c r="O785" s="51" t="str">
        <f>IF(G785&gt;0,DT!AC785*I785+DT!AD785*J785+DT!AE785*K785+DT!AF785*L785+DT!AG785*M785+DT!AH785*N785,"")</f>
        <v/>
      </c>
      <c r="P785" s="15"/>
    </row>
    <row r="786" spans="1:16">
      <c r="A786" s="1"/>
      <c r="B786" s="1"/>
      <c r="C786" s="1"/>
      <c r="D786" s="1"/>
      <c r="E786" s="1"/>
      <c r="F786" s="1"/>
      <c r="G786" s="1">
        <f t="shared" si="93"/>
        <v>0</v>
      </c>
      <c r="I786" s="7" t="str">
        <f t="shared" si="87"/>
        <v/>
      </c>
      <c r="J786" s="7" t="str">
        <f t="shared" si="88"/>
        <v/>
      </c>
      <c r="K786" s="7" t="str">
        <f t="shared" si="89"/>
        <v/>
      </c>
      <c r="L786" s="7" t="str">
        <f t="shared" si="90"/>
        <v/>
      </c>
      <c r="M786" s="7" t="str">
        <f t="shared" si="91"/>
        <v/>
      </c>
      <c r="N786" s="7" t="str">
        <f t="shared" si="92"/>
        <v/>
      </c>
      <c r="O786" s="51" t="str">
        <f>IF(G786&gt;0,DT!AC786*I786+DT!AD786*J786+DT!AE786*K786+DT!AF786*L786+DT!AG786*M786+DT!AH786*N786,"")</f>
        <v/>
      </c>
      <c r="P786" s="15"/>
    </row>
    <row r="787" spans="1:16">
      <c r="A787" s="1"/>
      <c r="B787" s="1"/>
      <c r="C787" s="1"/>
      <c r="D787" s="1"/>
      <c r="E787" s="1"/>
      <c r="F787" s="1"/>
      <c r="G787" s="1">
        <f t="shared" si="93"/>
        <v>0</v>
      </c>
      <c r="I787" s="7" t="str">
        <f t="shared" si="87"/>
        <v/>
      </c>
      <c r="J787" s="7" t="str">
        <f t="shared" si="88"/>
        <v/>
      </c>
      <c r="K787" s="7" t="str">
        <f t="shared" si="89"/>
        <v/>
      </c>
      <c r="L787" s="7" t="str">
        <f t="shared" si="90"/>
        <v/>
      </c>
      <c r="M787" s="7" t="str">
        <f t="shared" si="91"/>
        <v/>
      </c>
      <c r="N787" s="7" t="str">
        <f t="shared" si="92"/>
        <v/>
      </c>
      <c r="O787" s="51" t="str">
        <f>IF(G787&gt;0,DT!AC787*I787+DT!AD787*J787+DT!AE787*K787+DT!AF787*L787+DT!AG787*M787+DT!AH787*N787,"")</f>
        <v/>
      </c>
      <c r="P787" s="15"/>
    </row>
    <row r="788" spans="1:16">
      <c r="A788" s="1"/>
      <c r="B788" s="1"/>
      <c r="C788" s="1"/>
      <c r="D788" s="1"/>
      <c r="E788" s="1"/>
      <c r="F788" s="1"/>
      <c r="G788" s="1">
        <f t="shared" si="93"/>
        <v>0</v>
      </c>
      <c r="I788" s="7" t="str">
        <f t="shared" si="87"/>
        <v/>
      </c>
      <c r="J788" s="7" t="str">
        <f t="shared" si="88"/>
        <v/>
      </c>
      <c r="K788" s="7" t="str">
        <f t="shared" si="89"/>
        <v/>
      </c>
      <c r="L788" s="7" t="str">
        <f t="shared" si="90"/>
        <v/>
      </c>
      <c r="M788" s="7" t="str">
        <f t="shared" si="91"/>
        <v/>
      </c>
      <c r="N788" s="7" t="str">
        <f t="shared" si="92"/>
        <v/>
      </c>
      <c r="O788" s="51" t="str">
        <f>IF(G788&gt;0,DT!AC788*I788+DT!AD788*J788+DT!AE788*K788+DT!AF788*L788+DT!AG788*M788+DT!AH788*N788,"")</f>
        <v/>
      </c>
      <c r="P788" s="15"/>
    </row>
    <row r="789" spans="1:16">
      <c r="A789" s="1"/>
      <c r="B789" s="1"/>
      <c r="C789" s="1"/>
      <c r="D789" s="1"/>
      <c r="E789" s="1"/>
      <c r="F789" s="1"/>
      <c r="G789" s="1">
        <f t="shared" si="93"/>
        <v>0</v>
      </c>
      <c r="I789" s="7" t="str">
        <f t="shared" si="87"/>
        <v/>
      </c>
      <c r="J789" s="7" t="str">
        <f t="shared" si="88"/>
        <v/>
      </c>
      <c r="K789" s="7" t="str">
        <f t="shared" si="89"/>
        <v/>
      </c>
      <c r="L789" s="7" t="str">
        <f t="shared" si="90"/>
        <v/>
      </c>
      <c r="M789" s="7" t="str">
        <f t="shared" si="91"/>
        <v/>
      </c>
      <c r="N789" s="7" t="str">
        <f t="shared" si="92"/>
        <v/>
      </c>
      <c r="O789" s="51" t="str">
        <f>IF(G789&gt;0,DT!AC789*I789+DT!AD789*J789+DT!AE789*K789+DT!AF789*L789+DT!AG789*M789+DT!AH789*N789,"")</f>
        <v/>
      </c>
      <c r="P789" s="15"/>
    </row>
    <row r="790" spans="1:16">
      <c r="A790" s="1"/>
      <c r="B790" s="1"/>
      <c r="C790" s="1"/>
      <c r="D790" s="1"/>
      <c r="E790" s="1"/>
      <c r="F790" s="1"/>
      <c r="G790" s="1">
        <f t="shared" si="93"/>
        <v>0</v>
      </c>
      <c r="I790" s="7" t="str">
        <f t="shared" si="87"/>
        <v/>
      </c>
      <c r="J790" s="7" t="str">
        <f t="shared" si="88"/>
        <v/>
      </c>
      <c r="K790" s="7" t="str">
        <f t="shared" si="89"/>
        <v/>
      </c>
      <c r="L790" s="7" t="str">
        <f t="shared" si="90"/>
        <v/>
      </c>
      <c r="M790" s="7" t="str">
        <f t="shared" si="91"/>
        <v/>
      </c>
      <c r="N790" s="7" t="str">
        <f t="shared" si="92"/>
        <v/>
      </c>
      <c r="O790" s="51" t="str">
        <f>IF(G790&gt;0,DT!AC790*I790+DT!AD790*J790+DT!AE790*K790+DT!AF790*L790+DT!AG790*M790+DT!AH790*N790,"")</f>
        <v/>
      </c>
      <c r="P790" s="15"/>
    </row>
    <row r="791" spans="1:16">
      <c r="A791" s="1"/>
      <c r="B791" s="1"/>
      <c r="C791" s="1"/>
      <c r="D791" s="1"/>
      <c r="E791" s="1"/>
      <c r="F791" s="1"/>
      <c r="G791" s="1">
        <f t="shared" si="93"/>
        <v>0</v>
      </c>
      <c r="I791" s="7" t="str">
        <f t="shared" si="87"/>
        <v/>
      </c>
      <c r="J791" s="7" t="str">
        <f t="shared" si="88"/>
        <v/>
      </c>
      <c r="K791" s="7" t="str">
        <f t="shared" si="89"/>
        <v/>
      </c>
      <c r="L791" s="7" t="str">
        <f t="shared" si="90"/>
        <v/>
      </c>
      <c r="M791" s="7" t="str">
        <f t="shared" si="91"/>
        <v/>
      </c>
      <c r="N791" s="7" t="str">
        <f t="shared" si="92"/>
        <v/>
      </c>
      <c r="O791" s="51" t="str">
        <f>IF(G791&gt;0,DT!AC791*I791+DT!AD791*J791+DT!AE791*K791+DT!AF791*L791+DT!AG791*M791+DT!AH791*N791,"")</f>
        <v/>
      </c>
      <c r="P791" s="15"/>
    </row>
    <row r="792" spans="1:16">
      <c r="A792" s="1"/>
      <c r="B792" s="1"/>
      <c r="C792" s="1"/>
      <c r="D792" s="1"/>
      <c r="E792" s="1"/>
      <c r="F792" s="1"/>
      <c r="G792" s="1">
        <f t="shared" si="93"/>
        <v>0</v>
      </c>
      <c r="I792" s="7" t="str">
        <f t="shared" si="87"/>
        <v/>
      </c>
      <c r="J792" s="7" t="str">
        <f t="shared" si="88"/>
        <v/>
      </c>
      <c r="K792" s="7" t="str">
        <f t="shared" si="89"/>
        <v/>
      </c>
      <c r="L792" s="7" t="str">
        <f t="shared" si="90"/>
        <v/>
      </c>
      <c r="M792" s="7" t="str">
        <f t="shared" si="91"/>
        <v/>
      </c>
      <c r="N792" s="7" t="str">
        <f t="shared" si="92"/>
        <v/>
      </c>
      <c r="O792" s="51" t="str">
        <f>IF(G792&gt;0,DT!AC792*I792+DT!AD792*J792+DT!AE792*K792+DT!AF792*L792+DT!AG792*M792+DT!AH792*N792,"")</f>
        <v/>
      </c>
      <c r="P792" s="15"/>
    </row>
    <row r="793" spans="1:16">
      <c r="A793" s="1"/>
      <c r="B793" s="1"/>
      <c r="C793" s="1"/>
      <c r="D793" s="1"/>
      <c r="E793" s="1"/>
      <c r="F793" s="1"/>
      <c r="G793" s="1">
        <f t="shared" si="93"/>
        <v>0</v>
      </c>
      <c r="I793" s="7" t="str">
        <f t="shared" si="87"/>
        <v/>
      </c>
      <c r="J793" s="7" t="str">
        <f t="shared" si="88"/>
        <v/>
      </c>
      <c r="K793" s="7" t="str">
        <f t="shared" si="89"/>
        <v/>
      </c>
      <c r="L793" s="7" t="str">
        <f t="shared" si="90"/>
        <v/>
      </c>
      <c r="M793" s="7" t="str">
        <f t="shared" si="91"/>
        <v/>
      </c>
      <c r="N793" s="7" t="str">
        <f t="shared" si="92"/>
        <v/>
      </c>
      <c r="O793" s="51" t="str">
        <f>IF(G793&gt;0,DT!AC793*I793+DT!AD793*J793+DT!AE793*K793+DT!AF793*L793+DT!AG793*M793+DT!AH793*N793,"")</f>
        <v/>
      </c>
      <c r="P793" s="15"/>
    </row>
    <row r="794" spans="1:16">
      <c r="A794" s="1"/>
      <c r="B794" s="1"/>
      <c r="C794" s="1"/>
      <c r="D794" s="1"/>
      <c r="E794" s="1"/>
      <c r="F794" s="1"/>
      <c r="G794" s="1">
        <f t="shared" si="93"/>
        <v>0</v>
      </c>
      <c r="I794" s="7" t="str">
        <f t="shared" si="87"/>
        <v/>
      </c>
      <c r="J794" s="7" t="str">
        <f t="shared" si="88"/>
        <v/>
      </c>
      <c r="K794" s="7" t="str">
        <f t="shared" si="89"/>
        <v/>
      </c>
      <c r="L794" s="7" t="str">
        <f t="shared" si="90"/>
        <v/>
      </c>
      <c r="M794" s="7" t="str">
        <f t="shared" si="91"/>
        <v/>
      </c>
      <c r="N794" s="7" t="str">
        <f t="shared" si="92"/>
        <v/>
      </c>
      <c r="O794" s="51" t="str">
        <f>IF(G794&gt;0,DT!AC794*I794+DT!AD794*J794+DT!AE794*K794+DT!AF794*L794+DT!AG794*M794+DT!AH794*N794,"")</f>
        <v/>
      </c>
      <c r="P794" s="15"/>
    </row>
    <row r="795" spans="1:16">
      <c r="A795" s="1"/>
      <c r="B795" s="1"/>
      <c r="C795" s="1"/>
      <c r="D795" s="1"/>
      <c r="E795" s="1"/>
      <c r="F795" s="1"/>
      <c r="G795" s="1">
        <f t="shared" si="93"/>
        <v>0</v>
      </c>
      <c r="I795" s="7" t="str">
        <f t="shared" si="87"/>
        <v/>
      </c>
      <c r="J795" s="7" t="str">
        <f t="shared" si="88"/>
        <v/>
      </c>
      <c r="K795" s="7" t="str">
        <f t="shared" si="89"/>
        <v/>
      </c>
      <c r="L795" s="7" t="str">
        <f t="shared" si="90"/>
        <v/>
      </c>
      <c r="M795" s="7" t="str">
        <f t="shared" si="91"/>
        <v/>
      </c>
      <c r="N795" s="7" t="str">
        <f t="shared" si="92"/>
        <v/>
      </c>
      <c r="O795" s="51" t="str">
        <f>IF(G795&gt;0,DT!AC795*I795+DT!AD795*J795+DT!AE795*K795+DT!AF795*L795+DT!AG795*M795+DT!AH795*N795,"")</f>
        <v/>
      </c>
      <c r="P795" s="15"/>
    </row>
    <row r="796" spans="1:16">
      <c r="A796" s="1"/>
      <c r="B796" s="1"/>
      <c r="C796" s="1"/>
      <c r="D796" s="1"/>
      <c r="E796" s="1"/>
      <c r="F796" s="1"/>
      <c r="G796" s="1">
        <f t="shared" si="93"/>
        <v>0</v>
      </c>
      <c r="I796" s="7" t="str">
        <f t="shared" si="87"/>
        <v/>
      </c>
      <c r="J796" s="7" t="str">
        <f t="shared" si="88"/>
        <v/>
      </c>
      <c r="K796" s="7" t="str">
        <f t="shared" si="89"/>
        <v/>
      </c>
      <c r="L796" s="7" t="str">
        <f t="shared" si="90"/>
        <v/>
      </c>
      <c r="M796" s="7" t="str">
        <f t="shared" si="91"/>
        <v/>
      </c>
      <c r="N796" s="7" t="str">
        <f t="shared" si="92"/>
        <v/>
      </c>
      <c r="O796" s="51" t="str">
        <f>IF(G796&gt;0,DT!AC796*I796+DT!AD796*J796+DT!AE796*K796+DT!AF796*L796+DT!AG796*M796+DT!AH796*N796,"")</f>
        <v/>
      </c>
      <c r="P796" s="15"/>
    </row>
    <row r="797" spans="1:16">
      <c r="A797" s="1"/>
      <c r="B797" s="1"/>
      <c r="C797" s="1"/>
      <c r="D797" s="1"/>
      <c r="E797" s="1"/>
      <c r="F797" s="1"/>
      <c r="G797" s="1">
        <f t="shared" si="93"/>
        <v>0</v>
      </c>
      <c r="I797" s="7" t="str">
        <f t="shared" si="87"/>
        <v/>
      </c>
      <c r="J797" s="7" t="str">
        <f t="shared" si="88"/>
        <v/>
      </c>
      <c r="K797" s="7" t="str">
        <f t="shared" si="89"/>
        <v/>
      </c>
      <c r="L797" s="7" t="str">
        <f t="shared" si="90"/>
        <v/>
      </c>
      <c r="M797" s="7" t="str">
        <f t="shared" si="91"/>
        <v/>
      </c>
      <c r="N797" s="7" t="str">
        <f t="shared" si="92"/>
        <v/>
      </c>
      <c r="O797" s="51" t="str">
        <f>IF(G797&gt;0,DT!AC797*I797+DT!AD797*J797+DT!AE797*K797+DT!AF797*L797+DT!AG797*M797+DT!AH797*N797,"")</f>
        <v/>
      </c>
      <c r="P797" s="15"/>
    </row>
    <row r="798" spans="1:16">
      <c r="A798" s="1"/>
      <c r="B798" s="1"/>
      <c r="C798" s="1"/>
      <c r="D798" s="1"/>
      <c r="E798" s="1"/>
      <c r="F798" s="1"/>
      <c r="G798" s="1">
        <f t="shared" si="93"/>
        <v>0</v>
      </c>
      <c r="I798" s="7" t="str">
        <f t="shared" si="87"/>
        <v/>
      </c>
      <c r="J798" s="7" t="str">
        <f t="shared" si="88"/>
        <v/>
      </c>
      <c r="K798" s="7" t="str">
        <f t="shared" si="89"/>
        <v/>
      </c>
      <c r="L798" s="7" t="str">
        <f t="shared" si="90"/>
        <v/>
      </c>
      <c r="M798" s="7" t="str">
        <f t="shared" si="91"/>
        <v/>
      </c>
      <c r="N798" s="7" t="str">
        <f t="shared" si="92"/>
        <v/>
      </c>
      <c r="O798" s="51" t="str">
        <f>IF(G798&gt;0,DT!AC798*I798+DT!AD798*J798+DT!AE798*K798+DT!AF798*L798+DT!AG798*M798+DT!AH798*N798,"")</f>
        <v/>
      </c>
      <c r="P798" s="15"/>
    </row>
    <row r="799" spans="1:16">
      <c r="A799" s="1"/>
      <c r="B799" s="1"/>
      <c r="C799" s="1"/>
      <c r="D799" s="1"/>
      <c r="E799" s="1"/>
      <c r="F799" s="1"/>
      <c r="G799" s="1">
        <f t="shared" si="93"/>
        <v>0</v>
      </c>
      <c r="I799" s="7" t="str">
        <f t="shared" si="87"/>
        <v/>
      </c>
      <c r="J799" s="7" t="str">
        <f t="shared" si="88"/>
        <v/>
      </c>
      <c r="K799" s="7" t="str">
        <f t="shared" si="89"/>
        <v/>
      </c>
      <c r="L799" s="7" t="str">
        <f t="shared" si="90"/>
        <v/>
      </c>
      <c r="M799" s="7" t="str">
        <f t="shared" si="91"/>
        <v/>
      </c>
      <c r="N799" s="7" t="str">
        <f t="shared" si="92"/>
        <v/>
      </c>
      <c r="O799" s="51" t="str">
        <f>IF(G799&gt;0,DT!AC799*I799+DT!AD799*J799+DT!AE799*K799+DT!AF799*L799+DT!AG799*M799+DT!AH799*N799,"")</f>
        <v/>
      </c>
      <c r="P799" s="15"/>
    </row>
    <row r="800" spans="1:16">
      <c r="A800" s="1"/>
      <c r="B800" s="1"/>
      <c r="C800" s="1"/>
      <c r="D800" s="1"/>
      <c r="E800" s="1"/>
      <c r="F800" s="1"/>
      <c r="G800" s="1">
        <f t="shared" si="93"/>
        <v>0</v>
      </c>
      <c r="I800" s="7" t="str">
        <f t="shared" si="87"/>
        <v/>
      </c>
      <c r="J800" s="7" t="str">
        <f t="shared" si="88"/>
        <v/>
      </c>
      <c r="K800" s="7" t="str">
        <f t="shared" si="89"/>
        <v/>
      </c>
      <c r="L800" s="7" t="str">
        <f t="shared" si="90"/>
        <v/>
      </c>
      <c r="M800" s="7" t="str">
        <f t="shared" si="91"/>
        <v/>
      </c>
      <c r="N800" s="7" t="str">
        <f t="shared" si="92"/>
        <v/>
      </c>
      <c r="O800" s="51" t="str">
        <f>IF(G800&gt;0,DT!AC800*I800+DT!AD800*J800+DT!AE800*K800+DT!AF800*L800+DT!AG800*M800+DT!AH800*N800,"")</f>
        <v/>
      </c>
      <c r="P800" s="15"/>
    </row>
    <row r="801" spans="1:16">
      <c r="A801" s="1"/>
      <c r="B801" s="1"/>
      <c r="C801" s="1"/>
      <c r="D801" s="1"/>
      <c r="E801" s="1"/>
      <c r="F801" s="1"/>
      <c r="G801" s="1">
        <f t="shared" si="93"/>
        <v>0</v>
      </c>
      <c r="I801" s="7" t="str">
        <f t="shared" si="87"/>
        <v/>
      </c>
      <c r="J801" s="7" t="str">
        <f t="shared" si="88"/>
        <v/>
      </c>
      <c r="K801" s="7" t="str">
        <f t="shared" si="89"/>
        <v/>
      </c>
      <c r="L801" s="7" t="str">
        <f t="shared" si="90"/>
        <v/>
      </c>
      <c r="M801" s="7" t="str">
        <f t="shared" si="91"/>
        <v/>
      </c>
      <c r="N801" s="7" t="str">
        <f t="shared" si="92"/>
        <v/>
      </c>
      <c r="O801" s="51" t="str">
        <f>IF(G801&gt;0,DT!AC801*I801+DT!AD801*J801+DT!AE801*K801+DT!AF801*L801+DT!AG801*M801+DT!AH801*N801,"")</f>
        <v/>
      </c>
      <c r="P801" s="15"/>
    </row>
    <row r="802" spans="1:16">
      <c r="A802" s="1"/>
      <c r="B802" s="1"/>
      <c r="C802" s="1"/>
      <c r="D802" s="1"/>
      <c r="E802" s="1"/>
      <c r="F802" s="1"/>
      <c r="G802" s="1">
        <f t="shared" si="93"/>
        <v>0</v>
      </c>
      <c r="I802" s="7" t="str">
        <f t="shared" si="87"/>
        <v/>
      </c>
      <c r="J802" s="7" t="str">
        <f t="shared" si="88"/>
        <v/>
      </c>
      <c r="K802" s="7" t="str">
        <f t="shared" si="89"/>
        <v/>
      </c>
      <c r="L802" s="7" t="str">
        <f t="shared" si="90"/>
        <v/>
      </c>
      <c r="M802" s="7" t="str">
        <f t="shared" si="91"/>
        <v/>
      </c>
      <c r="N802" s="7" t="str">
        <f t="shared" si="92"/>
        <v/>
      </c>
      <c r="O802" s="51" t="str">
        <f>IF(G802&gt;0,DT!AC802*I802+DT!AD802*J802+DT!AE802*K802+DT!AF802*L802+DT!AG802*M802+DT!AH802*N802,"")</f>
        <v/>
      </c>
      <c r="P802" s="15"/>
    </row>
    <row r="803" spans="1:16">
      <c r="A803" s="1"/>
      <c r="B803" s="1"/>
      <c r="C803" s="1"/>
      <c r="D803" s="1"/>
      <c r="E803" s="1"/>
      <c r="F803" s="1"/>
      <c r="G803" s="1">
        <f t="shared" si="93"/>
        <v>0</v>
      </c>
      <c r="I803" s="7" t="str">
        <f t="shared" si="87"/>
        <v/>
      </c>
      <c r="J803" s="7" t="str">
        <f t="shared" si="88"/>
        <v/>
      </c>
      <c r="K803" s="7" t="str">
        <f t="shared" si="89"/>
        <v/>
      </c>
      <c r="L803" s="7" t="str">
        <f t="shared" si="90"/>
        <v/>
      </c>
      <c r="M803" s="7" t="str">
        <f t="shared" si="91"/>
        <v/>
      </c>
      <c r="N803" s="7" t="str">
        <f t="shared" si="92"/>
        <v/>
      </c>
      <c r="O803" s="51" t="str">
        <f>IF(G803&gt;0,DT!AC803*I803+DT!AD803*J803+DT!AE803*K803+DT!AF803*L803+DT!AG803*M803+DT!AH803*N803,"")</f>
        <v/>
      </c>
      <c r="P803" s="15"/>
    </row>
    <row r="804" spans="1:16">
      <c r="A804" s="1"/>
      <c r="B804" s="1"/>
      <c r="C804" s="1"/>
      <c r="D804" s="1"/>
      <c r="E804" s="1"/>
      <c r="F804" s="1"/>
      <c r="G804" s="1">
        <f t="shared" si="93"/>
        <v>0</v>
      </c>
      <c r="I804" s="7" t="str">
        <f t="shared" si="87"/>
        <v/>
      </c>
      <c r="J804" s="7" t="str">
        <f t="shared" si="88"/>
        <v/>
      </c>
      <c r="K804" s="7" t="str">
        <f t="shared" si="89"/>
        <v/>
      </c>
      <c r="L804" s="7" t="str">
        <f t="shared" si="90"/>
        <v/>
      </c>
      <c r="M804" s="7" t="str">
        <f t="shared" si="91"/>
        <v/>
      </c>
      <c r="N804" s="7" t="str">
        <f t="shared" si="92"/>
        <v/>
      </c>
      <c r="O804" s="51" t="str">
        <f>IF(G804&gt;0,DT!AC804*I804+DT!AD804*J804+DT!AE804*K804+DT!AF804*L804+DT!AG804*M804+DT!AH804*N804,"")</f>
        <v/>
      </c>
      <c r="P804" s="15"/>
    </row>
    <row r="805" spans="1:16">
      <c r="A805" s="1"/>
      <c r="B805" s="1"/>
      <c r="C805" s="1"/>
      <c r="D805" s="1"/>
      <c r="E805" s="1"/>
      <c r="F805" s="1"/>
      <c r="G805" s="1">
        <f t="shared" si="93"/>
        <v>0</v>
      </c>
      <c r="I805" s="7" t="str">
        <f t="shared" si="87"/>
        <v/>
      </c>
      <c r="J805" s="7" t="str">
        <f t="shared" si="88"/>
        <v/>
      </c>
      <c r="K805" s="7" t="str">
        <f t="shared" si="89"/>
        <v/>
      </c>
      <c r="L805" s="7" t="str">
        <f t="shared" si="90"/>
        <v/>
      </c>
      <c r="M805" s="7" t="str">
        <f t="shared" si="91"/>
        <v/>
      </c>
      <c r="N805" s="7" t="str">
        <f t="shared" si="92"/>
        <v/>
      </c>
      <c r="O805" s="51" t="str">
        <f>IF(G805&gt;0,DT!AC805*I805+DT!AD805*J805+DT!AE805*K805+DT!AF805*L805+DT!AG805*M805+DT!AH805*N805,"")</f>
        <v/>
      </c>
      <c r="P805" s="15"/>
    </row>
    <row r="806" spans="1:16">
      <c r="A806" s="1"/>
      <c r="B806" s="1"/>
      <c r="C806" s="1"/>
      <c r="D806" s="1"/>
      <c r="E806" s="1"/>
      <c r="F806" s="1"/>
      <c r="G806" s="1">
        <f t="shared" si="93"/>
        <v>0</v>
      </c>
      <c r="I806" s="7" t="str">
        <f t="shared" si="87"/>
        <v/>
      </c>
      <c r="J806" s="7" t="str">
        <f t="shared" si="88"/>
        <v/>
      </c>
      <c r="K806" s="7" t="str">
        <f t="shared" si="89"/>
        <v/>
      </c>
      <c r="L806" s="7" t="str">
        <f t="shared" si="90"/>
        <v/>
      </c>
      <c r="M806" s="7" t="str">
        <f t="shared" si="91"/>
        <v/>
      </c>
      <c r="N806" s="7" t="str">
        <f t="shared" si="92"/>
        <v/>
      </c>
      <c r="O806" s="51" t="str">
        <f>IF(G806&gt;0,DT!AC806*I806+DT!AD806*J806+DT!AE806*K806+DT!AF806*L806+DT!AG806*M806+DT!AH806*N806,"")</f>
        <v/>
      </c>
      <c r="P806" s="15"/>
    </row>
    <row r="807" spans="1:16">
      <c r="A807" s="1"/>
      <c r="B807" s="1"/>
      <c r="C807" s="1"/>
      <c r="D807" s="1"/>
      <c r="E807" s="1"/>
      <c r="F807" s="1"/>
      <c r="G807" s="1">
        <f t="shared" si="93"/>
        <v>0</v>
      </c>
      <c r="I807" s="7" t="str">
        <f t="shared" si="87"/>
        <v/>
      </c>
      <c r="J807" s="7" t="str">
        <f t="shared" si="88"/>
        <v/>
      </c>
      <c r="K807" s="7" t="str">
        <f t="shared" si="89"/>
        <v/>
      </c>
      <c r="L807" s="7" t="str">
        <f t="shared" si="90"/>
        <v/>
      </c>
      <c r="M807" s="7" t="str">
        <f t="shared" si="91"/>
        <v/>
      </c>
      <c r="N807" s="7" t="str">
        <f t="shared" si="92"/>
        <v/>
      </c>
      <c r="O807" s="51" t="str">
        <f>IF(G807&gt;0,DT!AC807*I807+DT!AD807*J807+DT!AE807*K807+DT!AF807*L807+DT!AG807*M807+DT!AH807*N807,"")</f>
        <v/>
      </c>
      <c r="P807" s="15"/>
    </row>
    <row r="808" spans="1:16">
      <c r="A808" s="1"/>
      <c r="B808" s="1"/>
      <c r="C808" s="1"/>
      <c r="D808" s="1"/>
      <c r="E808" s="1"/>
      <c r="F808" s="1"/>
      <c r="G808" s="1">
        <f t="shared" si="93"/>
        <v>0</v>
      </c>
      <c r="I808" s="7" t="str">
        <f t="shared" si="87"/>
        <v/>
      </c>
      <c r="J808" s="7" t="str">
        <f t="shared" si="88"/>
        <v/>
      </c>
      <c r="K808" s="7" t="str">
        <f t="shared" si="89"/>
        <v/>
      </c>
      <c r="L808" s="7" t="str">
        <f t="shared" si="90"/>
        <v/>
      </c>
      <c r="M808" s="7" t="str">
        <f t="shared" si="91"/>
        <v/>
      </c>
      <c r="N808" s="7" t="str">
        <f t="shared" si="92"/>
        <v/>
      </c>
      <c r="O808" s="51" t="str">
        <f>IF(G808&gt;0,DT!AC808*I808+DT!AD808*J808+DT!AE808*K808+DT!AF808*L808+DT!AG808*M808+DT!AH808*N808,"")</f>
        <v/>
      </c>
      <c r="P808" s="15"/>
    </row>
    <row r="809" spans="1:16">
      <c r="A809" s="1"/>
      <c r="B809" s="1"/>
      <c r="C809" s="1"/>
      <c r="D809" s="1"/>
      <c r="E809" s="1"/>
      <c r="F809" s="1"/>
      <c r="G809" s="1">
        <f t="shared" si="93"/>
        <v>0</v>
      </c>
      <c r="I809" s="7" t="str">
        <f t="shared" si="87"/>
        <v/>
      </c>
      <c r="J809" s="7" t="str">
        <f t="shared" si="88"/>
        <v/>
      </c>
      <c r="K809" s="7" t="str">
        <f t="shared" si="89"/>
        <v/>
      </c>
      <c r="L809" s="7" t="str">
        <f t="shared" si="90"/>
        <v/>
      </c>
      <c r="M809" s="7" t="str">
        <f t="shared" si="91"/>
        <v/>
      </c>
      <c r="N809" s="7" t="str">
        <f t="shared" si="92"/>
        <v/>
      </c>
      <c r="O809" s="51" t="str">
        <f>IF(G809&gt;0,DT!AC809*I809+DT!AD809*J809+DT!AE809*K809+DT!AF809*L809+DT!AG809*M809+DT!AH809*N809,"")</f>
        <v/>
      </c>
      <c r="P809" s="15"/>
    </row>
    <row r="810" spans="1:16">
      <c r="A810" s="1"/>
      <c r="B810" s="1"/>
      <c r="C810" s="1"/>
      <c r="D810" s="1"/>
      <c r="E810" s="1"/>
      <c r="F810" s="1"/>
      <c r="G810" s="1">
        <f t="shared" si="93"/>
        <v>0</v>
      </c>
      <c r="I810" s="7" t="str">
        <f t="shared" si="87"/>
        <v/>
      </c>
      <c r="J810" s="7" t="str">
        <f t="shared" si="88"/>
        <v/>
      </c>
      <c r="K810" s="7" t="str">
        <f t="shared" si="89"/>
        <v/>
      </c>
      <c r="L810" s="7" t="str">
        <f t="shared" si="90"/>
        <v/>
      </c>
      <c r="M810" s="7" t="str">
        <f t="shared" si="91"/>
        <v/>
      </c>
      <c r="N810" s="7" t="str">
        <f t="shared" si="92"/>
        <v/>
      </c>
      <c r="O810" s="51" t="str">
        <f>IF(G810&gt;0,DT!AC810*I810+DT!AD810*J810+DT!AE810*K810+DT!AF810*L810+DT!AG810*M810+DT!AH810*N810,"")</f>
        <v/>
      </c>
      <c r="P810" s="15"/>
    </row>
    <row r="811" spans="1:16">
      <c r="A811" s="1"/>
      <c r="B811" s="1"/>
      <c r="C811" s="1"/>
      <c r="D811" s="1"/>
      <c r="E811" s="1"/>
      <c r="F811" s="1"/>
      <c r="G811" s="1">
        <f t="shared" si="93"/>
        <v>0</v>
      </c>
      <c r="I811" s="7" t="str">
        <f t="shared" si="87"/>
        <v/>
      </c>
      <c r="J811" s="7" t="str">
        <f t="shared" si="88"/>
        <v/>
      </c>
      <c r="K811" s="7" t="str">
        <f t="shared" si="89"/>
        <v/>
      </c>
      <c r="L811" s="7" t="str">
        <f t="shared" si="90"/>
        <v/>
      </c>
      <c r="M811" s="7" t="str">
        <f t="shared" si="91"/>
        <v/>
      </c>
      <c r="N811" s="7" t="str">
        <f t="shared" si="92"/>
        <v/>
      </c>
      <c r="O811" s="51" t="str">
        <f>IF(G811&gt;0,DT!AC811*I811+DT!AD811*J811+DT!AE811*K811+DT!AF811*L811+DT!AG811*M811+DT!AH811*N811,"")</f>
        <v/>
      </c>
      <c r="P811" s="15"/>
    </row>
    <row r="812" spans="1:16">
      <c r="A812" s="1"/>
      <c r="B812" s="1"/>
      <c r="C812" s="1"/>
      <c r="D812" s="1"/>
      <c r="E812" s="1"/>
      <c r="F812" s="1"/>
      <c r="G812" s="1">
        <f t="shared" si="93"/>
        <v>0</v>
      </c>
      <c r="I812" s="7" t="str">
        <f t="shared" si="87"/>
        <v/>
      </c>
      <c r="J812" s="7" t="str">
        <f t="shared" si="88"/>
        <v/>
      </c>
      <c r="K812" s="7" t="str">
        <f t="shared" si="89"/>
        <v/>
      </c>
      <c r="L812" s="7" t="str">
        <f t="shared" si="90"/>
        <v/>
      </c>
      <c r="M812" s="7" t="str">
        <f t="shared" si="91"/>
        <v/>
      </c>
      <c r="N812" s="7" t="str">
        <f t="shared" si="92"/>
        <v/>
      </c>
      <c r="O812" s="51" t="str">
        <f>IF(G812&gt;0,DT!AC812*I812+DT!AD812*J812+DT!AE812*K812+DT!AF812*L812+DT!AG812*M812+DT!AH812*N812,"")</f>
        <v/>
      </c>
      <c r="P812" s="15"/>
    </row>
    <row r="813" spans="1:16">
      <c r="A813" s="1"/>
      <c r="B813" s="1"/>
      <c r="C813" s="1"/>
      <c r="D813" s="1"/>
      <c r="E813" s="1"/>
      <c r="F813" s="1"/>
      <c r="G813" s="1">
        <f t="shared" si="93"/>
        <v>0</v>
      </c>
      <c r="I813" s="7" t="str">
        <f t="shared" si="87"/>
        <v/>
      </c>
      <c r="J813" s="7" t="str">
        <f t="shared" si="88"/>
        <v/>
      </c>
      <c r="K813" s="7" t="str">
        <f t="shared" si="89"/>
        <v/>
      </c>
      <c r="L813" s="7" t="str">
        <f t="shared" si="90"/>
        <v/>
      </c>
      <c r="M813" s="7" t="str">
        <f t="shared" si="91"/>
        <v/>
      </c>
      <c r="N813" s="7" t="str">
        <f t="shared" si="92"/>
        <v/>
      </c>
      <c r="O813" s="51" t="str">
        <f>IF(G813&gt;0,DT!AC813*I813+DT!AD813*J813+DT!AE813*K813+DT!AF813*L813+DT!AG813*M813+DT!AH813*N813,"")</f>
        <v/>
      </c>
      <c r="P813" s="15"/>
    </row>
    <row r="814" spans="1:16">
      <c r="A814" s="1"/>
      <c r="B814" s="1"/>
      <c r="C814" s="1"/>
      <c r="D814" s="1"/>
      <c r="E814" s="1"/>
      <c r="F814" s="1"/>
      <c r="G814" s="1">
        <f t="shared" si="93"/>
        <v>0</v>
      </c>
      <c r="I814" s="7" t="str">
        <f t="shared" si="87"/>
        <v/>
      </c>
      <c r="J814" s="7" t="str">
        <f t="shared" si="88"/>
        <v/>
      </c>
      <c r="K814" s="7" t="str">
        <f t="shared" si="89"/>
        <v/>
      </c>
      <c r="L814" s="7" t="str">
        <f t="shared" si="90"/>
        <v/>
      </c>
      <c r="M814" s="7" t="str">
        <f t="shared" si="91"/>
        <v/>
      </c>
      <c r="N814" s="7" t="str">
        <f t="shared" si="92"/>
        <v/>
      </c>
      <c r="O814" s="51" t="str">
        <f>IF(G814&gt;0,DT!AC814*I814+DT!AD814*J814+DT!AE814*K814+DT!AF814*L814+DT!AG814*M814+DT!AH814*N814,"")</f>
        <v/>
      </c>
      <c r="P814" s="15"/>
    </row>
    <row r="815" spans="1:16">
      <c r="A815" s="1"/>
      <c r="B815" s="1"/>
      <c r="C815" s="1"/>
      <c r="D815" s="1"/>
      <c r="E815" s="1"/>
      <c r="F815" s="1"/>
      <c r="G815" s="1">
        <f t="shared" si="93"/>
        <v>0</v>
      </c>
      <c r="I815" s="7" t="str">
        <f t="shared" si="87"/>
        <v/>
      </c>
      <c r="J815" s="7" t="str">
        <f t="shared" si="88"/>
        <v/>
      </c>
      <c r="K815" s="7" t="str">
        <f t="shared" si="89"/>
        <v/>
      </c>
      <c r="L815" s="7" t="str">
        <f t="shared" si="90"/>
        <v/>
      </c>
      <c r="M815" s="7" t="str">
        <f t="shared" si="91"/>
        <v/>
      </c>
      <c r="N815" s="7" t="str">
        <f t="shared" si="92"/>
        <v/>
      </c>
      <c r="O815" s="51" t="str">
        <f>IF(G815&gt;0,DT!AC815*I815+DT!AD815*J815+DT!AE815*K815+DT!AF815*L815+DT!AG815*M815+DT!AH815*N815,"")</f>
        <v/>
      </c>
      <c r="P815" s="15"/>
    </row>
    <row r="816" spans="1:16">
      <c r="A816" s="1"/>
      <c r="B816" s="1"/>
      <c r="C816" s="1"/>
      <c r="D816" s="1"/>
      <c r="E816" s="1"/>
      <c r="F816" s="1"/>
      <c r="G816" s="1">
        <f t="shared" si="93"/>
        <v>0</v>
      </c>
      <c r="I816" s="7" t="str">
        <f t="shared" si="87"/>
        <v/>
      </c>
      <c r="J816" s="7" t="str">
        <f t="shared" si="88"/>
        <v/>
      </c>
      <c r="K816" s="7" t="str">
        <f t="shared" si="89"/>
        <v/>
      </c>
      <c r="L816" s="7" t="str">
        <f t="shared" si="90"/>
        <v/>
      </c>
      <c r="M816" s="7" t="str">
        <f t="shared" si="91"/>
        <v/>
      </c>
      <c r="N816" s="7" t="str">
        <f t="shared" si="92"/>
        <v/>
      </c>
      <c r="O816" s="51" t="str">
        <f>IF(G816&gt;0,DT!AC816*I816+DT!AD816*J816+DT!AE816*K816+DT!AF816*L816+DT!AG816*M816+DT!AH816*N816,"")</f>
        <v/>
      </c>
      <c r="P816" s="15"/>
    </row>
    <row r="817" spans="1:16">
      <c r="A817" s="1"/>
      <c r="B817" s="1"/>
      <c r="C817" s="1"/>
      <c r="D817" s="1"/>
      <c r="E817" s="1"/>
      <c r="F817" s="1"/>
      <c r="G817" s="1">
        <f t="shared" si="93"/>
        <v>0</v>
      </c>
      <c r="I817" s="7" t="str">
        <f t="shared" si="87"/>
        <v/>
      </c>
      <c r="J817" s="7" t="str">
        <f t="shared" si="88"/>
        <v/>
      </c>
      <c r="K817" s="7" t="str">
        <f t="shared" si="89"/>
        <v/>
      </c>
      <c r="L817" s="7" t="str">
        <f t="shared" si="90"/>
        <v/>
      </c>
      <c r="M817" s="7" t="str">
        <f t="shared" si="91"/>
        <v/>
      </c>
      <c r="N817" s="7" t="str">
        <f t="shared" si="92"/>
        <v/>
      </c>
      <c r="O817" s="51" t="str">
        <f>IF(G817&gt;0,DT!AC817*I817+DT!AD817*J817+DT!AE817*K817+DT!AF817*L817+DT!AG817*M817+DT!AH817*N817,"")</f>
        <v/>
      </c>
      <c r="P817" s="15"/>
    </row>
    <row r="818" spans="1:16">
      <c r="A818" s="1"/>
      <c r="B818" s="1"/>
      <c r="C818" s="1"/>
      <c r="D818" s="1"/>
      <c r="E818" s="1"/>
      <c r="F818" s="1"/>
      <c r="G818" s="1">
        <f t="shared" si="93"/>
        <v>0</v>
      </c>
      <c r="I818" s="7" t="str">
        <f t="shared" si="87"/>
        <v/>
      </c>
      <c r="J818" s="7" t="str">
        <f t="shared" si="88"/>
        <v/>
      </c>
      <c r="K818" s="7" t="str">
        <f t="shared" si="89"/>
        <v/>
      </c>
      <c r="L818" s="7" t="str">
        <f t="shared" si="90"/>
        <v/>
      </c>
      <c r="M818" s="7" t="str">
        <f t="shared" si="91"/>
        <v/>
      </c>
      <c r="N818" s="7" t="str">
        <f t="shared" si="92"/>
        <v/>
      </c>
      <c r="O818" s="51" t="str">
        <f>IF(G818&gt;0,DT!AC818*I818+DT!AD818*J818+DT!AE818*K818+DT!AF818*L818+DT!AG818*M818+DT!AH818*N818,"")</f>
        <v/>
      </c>
      <c r="P818" s="15"/>
    </row>
    <row r="819" spans="1:16">
      <c r="A819" s="1"/>
      <c r="B819" s="1"/>
      <c r="C819" s="1"/>
      <c r="D819" s="1"/>
      <c r="E819" s="1"/>
      <c r="F819" s="1"/>
      <c r="G819" s="1">
        <f t="shared" si="93"/>
        <v>0</v>
      </c>
      <c r="I819" s="7" t="str">
        <f t="shared" si="87"/>
        <v/>
      </c>
      <c r="J819" s="7" t="str">
        <f t="shared" si="88"/>
        <v/>
      </c>
      <c r="K819" s="7" t="str">
        <f t="shared" si="89"/>
        <v/>
      </c>
      <c r="L819" s="7" t="str">
        <f t="shared" si="90"/>
        <v/>
      </c>
      <c r="M819" s="7" t="str">
        <f t="shared" si="91"/>
        <v/>
      </c>
      <c r="N819" s="7" t="str">
        <f t="shared" si="92"/>
        <v/>
      </c>
      <c r="O819" s="51" t="str">
        <f>IF(G819&gt;0,DT!AC819*I819+DT!AD819*J819+DT!AE819*K819+DT!AF819*L819+DT!AG819*M819+DT!AH819*N819,"")</f>
        <v/>
      </c>
      <c r="P819" s="15"/>
    </row>
    <row r="820" spans="1:16">
      <c r="A820" s="1"/>
      <c r="B820" s="1"/>
      <c r="C820" s="1"/>
      <c r="D820" s="1"/>
      <c r="E820" s="1"/>
      <c r="F820" s="1"/>
      <c r="G820" s="1">
        <f t="shared" si="93"/>
        <v>0</v>
      </c>
      <c r="I820" s="7" t="str">
        <f t="shared" ref="I820:I883" si="94">IF(G820&gt;0,A820/G820,"")</f>
        <v/>
      </c>
      <c r="J820" s="7" t="str">
        <f t="shared" ref="J820:J883" si="95">IF(G820&gt;0,B820/G820,"")</f>
        <v/>
      </c>
      <c r="K820" s="7" t="str">
        <f t="shared" ref="K820:K883" si="96">IF(G820&gt;0,C820/G820,"")</f>
        <v/>
      </c>
      <c r="L820" s="7" t="str">
        <f t="shared" ref="L820:L883" si="97">IF(G820&gt;0,D820/G820,"")</f>
        <v/>
      </c>
      <c r="M820" s="7" t="str">
        <f t="shared" ref="M820:M883" si="98">IF(G820&gt;0,E820/G820,"")</f>
        <v/>
      </c>
      <c r="N820" s="7" t="str">
        <f t="shared" ref="N820:N883" si="99">IF(G820&gt;0,F820/G820,"")</f>
        <v/>
      </c>
      <c r="O820" s="51" t="str">
        <f>IF(G820&gt;0,DT!AC820*I820+DT!AD820*J820+DT!AE820*K820+DT!AF820*L820+DT!AG820*M820+DT!AH820*N820,"")</f>
        <v/>
      </c>
      <c r="P820" s="15"/>
    </row>
    <row r="821" spans="1:16">
      <c r="A821" s="1"/>
      <c r="B821" s="1"/>
      <c r="C821" s="1"/>
      <c r="D821" s="1"/>
      <c r="E821" s="1"/>
      <c r="F821" s="1"/>
      <c r="G821" s="1">
        <f t="shared" si="93"/>
        <v>0</v>
      </c>
      <c r="I821" s="7" t="str">
        <f t="shared" si="94"/>
        <v/>
      </c>
      <c r="J821" s="7" t="str">
        <f t="shared" si="95"/>
        <v/>
      </c>
      <c r="K821" s="7" t="str">
        <f t="shared" si="96"/>
        <v/>
      </c>
      <c r="L821" s="7" t="str">
        <f t="shared" si="97"/>
        <v/>
      </c>
      <c r="M821" s="7" t="str">
        <f t="shared" si="98"/>
        <v/>
      </c>
      <c r="N821" s="7" t="str">
        <f t="shared" si="99"/>
        <v/>
      </c>
      <c r="O821" s="51" t="str">
        <f>IF(G821&gt;0,DT!AC821*I821+DT!AD821*J821+DT!AE821*K821+DT!AF821*L821+DT!AG821*M821+DT!AH821*N821,"")</f>
        <v/>
      </c>
      <c r="P821" s="15"/>
    </row>
    <row r="822" spans="1:16">
      <c r="A822" s="1"/>
      <c r="B822" s="1"/>
      <c r="C822" s="1"/>
      <c r="D822" s="1"/>
      <c r="E822" s="1"/>
      <c r="F822" s="1"/>
      <c r="G822" s="1">
        <f t="shared" si="93"/>
        <v>0</v>
      </c>
      <c r="I822" s="7" t="str">
        <f t="shared" si="94"/>
        <v/>
      </c>
      <c r="J822" s="7" t="str">
        <f t="shared" si="95"/>
        <v/>
      </c>
      <c r="K822" s="7" t="str">
        <f t="shared" si="96"/>
        <v/>
      </c>
      <c r="L822" s="7" t="str">
        <f t="shared" si="97"/>
        <v/>
      </c>
      <c r="M822" s="7" t="str">
        <f t="shared" si="98"/>
        <v/>
      </c>
      <c r="N822" s="7" t="str">
        <f t="shared" si="99"/>
        <v/>
      </c>
      <c r="O822" s="51" t="str">
        <f>IF(G822&gt;0,DT!AC822*I822+DT!AD822*J822+DT!AE822*K822+DT!AF822*L822+DT!AG822*M822+DT!AH822*N822,"")</f>
        <v/>
      </c>
      <c r="P822" s="15"/>
    </row>
    <row r="823" spans="1:16">
      <c r="A823" s="1"/>
      <c r="B823" s="1"/>
      <c r="C823" s="1"/>
      <c r="D823" s="1"/>
      <c r="E823" s="1"/>
      <c r="F823" s="1"/>
      <c r="G823" s="1">
        <f t="shared" si="93"/>
        <v>0</v>
      </c>
      <c r="I823" s="7" t="str">
        <f t="shared" si="94"/>
        <v/>
      </c>
      <c r="J823" s="7" t="str">
        <f t="shared" si="95"/>
        <v/>
      </c>
      <c r="K823" s="7" t="str">
        <f t="shared" si="96"/>
        <v/>
      </c>
      <c r="L823" s="7" t="str">
        <f t="shared" si="97"/>
        <v/>
      </c>
      <c r="M823" s="7" t="str">
        <f t="shared" si="98"/>
        <v/>
      </c>
      <c r="N823" s="7" t="str">
        <f t="shared" si="99"/>
        <v/>
      </c>
      <c r="O823" s="51" t="str">
        <f>IF(G823&gt;0,DT!AC823*I823+DT!AD823*J823+DT!AE823*K823+DT!AF823*L823+DT!AG823*M823+DT!AH823*N823,"")</f>
        <v/>
      </c>
      <c r="P823" s="15"/>
    </row>
    <row r="824" spans="1:16">
      <c r="A824" s="1"/>
      <c r="B824" s="1"/>
      <c r="C824" s="1"/>
      <c r="D824" s="1"/>
      <c r="E824" s="1"/>
      <c r="F824" s="1"/>
      <c r="G824" s="1">
        <f t="shared" si="93"/>
        <v>0</v>
      </c>
      <c r="I824" s="7" t="str">
        <f t="shared" si="94"/>
        <v/>
      </c>
      <c r="J824" s="7" t="str">
        <f t="shared" si="95"/>
        <v/>
      </c>
      <c r="K824" s="7" t="str">
        <f t="shared" si="96"/>
        <v/>
      </c>
      <c r="L824" s="7" t="str">
        <f t="shared" si="97"/>
        <v/>
      </c>
      <c r="M824" s="7" t="str">
        <f t="shared" si="98"/>
        <v/>
      </c>
      <c r="N824" s="7" t="str">
        <f t="shared" si="99"/>
        <v/>
      </c>
      <c r="O824" s="51" t="str">
        <f>IF(G824&gt;0,DT!AC824*I824+DT!AD824*J824+DT!AE824*K824+DT!AF824*L824+DT!AG824*M824+DT!AH824*N824,"")</f>
        <v/>
      </c>
      <c r="P824" s="15"/>
    </row>
    <row r="825" spans="1:16">
      <c r="A825" s="1"/>
      <c r="B825" s="1"/>
      <c r="C825" s="1"/>
      <c r="D825" s="1"/>
      <c r="E825" s="1"/>
      <c r="F825" s="1"/>
      <c r="G825" s="1">
        <f t="shared" si="93"/>
        <v>0</v>
      </c>
      <c r="I825" s="7" t="str">
        <f t="shared" si="94"/>
        <v/>
      </c>
      <c r="J825" s="7" t="str">
        <f t="shared" si="95"/>
        <v/>
      </c>
      <c r="K825" s="7" t="str">
        <f t="shared" si="96"/>
        <v/>
      </c>
      <c r="L825" s="7" t="str">
        <f t="shared" si="97"/>
        <v/>
      </c>
      <c r="M825" s="7" t="str">
        <f t="shared" si="98"/>
        <v/>
      </c>
      <c r="N825" s="7" t="str">
        <f t="shared" si="99"/>
        <v/>
      </c>
      <c r="O825" s="51" t="str">
        <f>IF(G825&gt;0,DT!AC825*I825+DT!AD825*J825+DT!AE825*K825+DT!AF825*L825+DT!AG825*M825+DT!AH825*N825,"")</f>
        <v/>
      </c>
      <c r="P825" s="15"/>
    </row>
    <row r="826" spans="1:16">
      <c r="A826" s="1"/>
      <c r="B826" s="1"/>
      <c r="C826" s="1"/>
      <c r="D826" s="1"/>
      <c r="E826" s="1"/>
      <c r="F826" s="1"/>
      <c r="G826" s="1">
        <f t="shared" si="93"/>
        <v>0</v>
      </c>
      <c r="I826" s="7" t="str">
        <f t="shared" si="94"/>
        <v/>
      </c>
      <c r="J826" s="7" t="str">
        <f t="shared" si="95"/>
        <v/>
      </c>
      <c r="K826" s="7" t="str">
        <f t="shared" si="96"/>
        <v/>
      </c>
      <c r="L826" s="7" t="str">
        <f t="shared" si="97"/>
        <v/>
      </c>
      <c r="M826" s="7" t="str">
        <f t="shared" si="98"/>
        <v/>
      </c>
      <c r="N826" s="7" t="str">
        <f t="shared" si="99"/>
        <v/>
      </c>
      <c r="O826" s="51" t="str">
        <f>IF(G826&gt;0,DT!AC826*I826+DT!AD826*J826+DT!AE826*K826+DT!AF826*L826+DT!AG826*M826+DT!AH826*N826,"")</f>
        <v/>
      </c>
      <c r="P826" s="15"/>
    </row>
    <row r="827" spans="1:16">
      <c r="A827" s="1"/>
      <c r="B827" s="1"/>
      <c r="C827" s="1"/>
      <c r="D827" s="1"/>
      <c r="E827" s="1"/>
      <c r="F827" s="1"/>
      <c r="G827" s="1">
        <f t="shared" si="93"/>
        <v>0</v>
      </c>
      <c r="I827" s="7" t="str">
        <f t="shared" si="94"/>
        <v/>
      </c>
      <c r="J827" s="7" t="str">
        <f t="shared" si="95"/>
        <v/>
      </c>
      <c r="K827" s="7" t="str">
        <f t="shared" si="96"/>
        <v/>
      </c>
      <c r="L827" s="7" t="str">
        <f t="shared" si="97"/>
        <v/>
      </c>
      <c r="M827" s="7" t="str">
        <f t="shared" si="98"/>
        <v/>
      </c>
      <c r="N827" s="7" t="str">
        <f t="shared" si="99"/>
        <v/>
      </c>
      <c r="O827" s="51" t="str">
        <f>IF(G827&gt;0,DT!AC827*I827+DT!AD827*J827+DT!AE827*K827+DT!AF827*L827+DT!AG827*M827+DT!AH827*N827,"")</f>
        <v/>
      </c>
      <c r="P827" s="15"/>
    </row>
    <row r="828" spans="1:16">
      <c r="A828" s="1"/>
      <c r="B828" s="1"/>
      <c r="C828" s="1"/>
      <c r="D828" s="1"/>
      <c r="E828" s="1"/>
      <c r="F828" s="1"/>
      <c r="G828" s="1">
        <f t="shared" si="93"/>
        <v>0</v>
      </c>
      <c r="I828" s="7" t="str">
        <f t="shared" si="94"/>
        <v/>
      </c>
      <c r="J828" s="7" t="str">
        <f t="shared" si="95"/>
        <v/>
      </c>
      <c r="K828" s="7" t="str">
        <f t="shared" si="96"/>
        <v/>
      </c>
      <c r="L828" s="7" t="str">
        <f t="shared" si="97"/>
        <v/>
      </c>
      <c r="M828" s="7" t="str">
        <f t="shared" si="98"/>
        <v/>
      </c>
      <c r="N828" s="7" t="str">
        <f t="shared" si="99"/>
        <v/>
      </c>
      <c r="O828" s="51" t="str">
        <f>IF(G828&gt;0,DT!AC828*I828+DT!AD828*J828+DT!AE828*K828+DT!AF828*L828+DT!AG828*M828+DT!AH828*N828,"")</f>
        <v/>
      </c>
      <c r="P828" s="15"/>
    </row>
    <row r="829" spans="1:16">
      <c r="A829" s="1"/>
      <c r="B829" s="1"/>
      <c r="C829" s="1"/>
      <c r="D829" s="1"/>
      <c r="E829" s="1"/>
      <c r="F829" s="1"/>
      <c r="G829" s="1">
        <f t="shared" si="93"/>
        <v>0</v>
      </c>
      <c r="I829" s="7" t="str">
        <f t="shared" si="94"/>
        <v/>
      </c>
      <c r="J829" s="7" t="str">
        <f t="shared" si="95"/>
        <v/>
      </c>
      <c r="K829" s="7" t="str">
        <f t="shared" si="96"/>
        <v/>
      </c>
      <c r="L829" s="7" t="str">
        <f t="shared" si="97"/>
        <v/>
      </c>
      <c r="M829" s="7" t="str">
        <f t="shared" si="98"/>
        <v/>
      </c>
      <c r="N829" s="7" t="str">
        <f t="shared" si="99"/>
        <v/>
      </c>
      <c r="O829" s="51" t="str">
        <f>IF(G829&gt;0,DT!AC829*I829+DT!AD829*J829+DT!AE829*K829+DT!AF829*L829+DT!AG829*M829+DT!AH829*N829,"")</f>
        <v/>
      </c>
      <c r="P829" s="15"/>
    </row>
    <row r="830" spans="1:16">
      <c r="A830" s="1"/>
      <c r="B830" s="1"/>
      <c r="C830" s="1"/>
      <c r="D830" s="1"/>
      <c r="E830" s="1"/>
      <c r="F830" s="1"/>
      <c r="G830" s="1">
        <f t="shared" si="93"/>
        <v>0</v>
      </c>
      <c r="I830" s="7" t="str">
        <f t="shared" si="94"/>
        <v/>
      </c>
      <c r="J830" s="7" t="str">
        <f t="shared" si="95"/>
        <v/>
      </c>
      <c r="K830" s="7" t="str">
        <f t="shared" si="96"/>
        <v/>
      </c>
      <c r="L830" s="7" t="str">
        <f t="shared" si="97"/>
        <v/>
      </c>
      <c r="M830" s="7" t="str">
        <f t="shared" si="98"/>
        <v/>
      </c>
      <c r="N830" s="7" t="str">
        <f t="shared" si="99"/>
        <v/>
      </c>
      <c r="O830" s="51" t="str">
        <f>IF(G830&gt;0,DT!AC830*I830+DT!AD830*J830+DT!AE830*K830+DT!AF830*L830+DT!AG830*M830+DT!AH830*N830,"")</f>
        <v/>
      </c>
      <c r="P830" s="15"/>
    </row>
    <row r="831" spans="1:16">
      <c r="A831" s="1"/>
      <c r="B831" s="1"/>
      <c r="C831" s="1"/>
      <c r="D831" s="1"/>
      <c r="E831" s="1"/>
      <c r="F831" s="1"/>
      <c r="G831" s="1">
        <f t="shared" si="93"/>
        <v>0</v>
      </c>
      <c r="I831" s="7" t="str">
        <f t="shared" si="94"/>
        <v/>
      </c>
      <c r="J831" s="7" t="str">
        <f t="shared" si="95"/>
        <v/>
      </c>
      <c r="K831" s="7" t="str">
        <f t="shared" si="96"/>
        <v/>
      </c>
      <c r="L831" s="7" t="str">
        <f t="shared" si="97"/>
        <v/>
      </c>
      <c r="M831" s="7" t="str">
        <f t="shared" si="98"/>
        <v/>
      </c>
      <c r="N831" s="7" t="str">
        <f t="shared" si="99"/>
        <v/>
      </c>
      <c r="O831" s="51" t="str">
        <f>IF(G831&gt;0,DT!AC831*I831+DT!AD831*J831+DT!AE831*K831+DT!AF831*L831+DT!AG831*M831+DT!AH831*N831,"")</f>
        <v/>
      </c>
      <c r="P831" s="15"/>
    </row>
    <row r="832" spans="1:16">
      <c r="A832" s="1"/>
      <c r="B832" s="1"/>
      <c r="C832" s="1"/>
      <c r="D832" s="1"/>
      <c r="E832" s="1"/>
      <c r="F832" s="1"/>
      <c r="G832" s="1">
        <f t="shared" si="93"/>
        <v>0</v>
      </c>
      <c r="I832" s="7" t="str">
        <f t="shared" si="94"/>
        <v/>
      </c>
      <c r="J832" s="7" t="str">
        <f t="shared" si="95"/>
        <v/>
      </c>
      <c r="K832" s="7" t="str">
        <f t="shared" si="96"/>
        <v/>
      </c>
      <c r="L832" s="7" t="str">
        <f t="shared" si="97"/>
        <v/>
      </c>
      <c r="M832" s="7" t="str">
        <f t="shared" si="98"/>
        <v/>
      </c>
      <c r="N832" s="7" t="str">
        <f t="shared" si="99"/>
        <v/>
      </c>
      <c r="O832" s="51" t="str">
        <f>IF(G832&gt;0,DT!AC832*I832+DT!AD832*J832+DT!AE832*K832+DT!AF832*L832+DT!AG832*M832+DT!AH832*N832,"")</f>
        <v/>
      </c>
      <c r="P832" s="15"/>
    </row>
    <row r="833" spans="1:16">
      <c r="A833" s="1"/>
      <c r="B833" s="1"/>
      <c r="C833" s="1"/>
      <c r="D833" s="1"/>
      <c r="E833" s="1"/>
      <c r="F833" s="1"/>
      <c r="G833" s="1">
        <f t="shared" si="93"/>
        <v>0</v>
      </c>
      <c r="I833" s="7" t="str">
        <f t="shared" si="94"/>
        <v/>
      </c>
      <c r="J833" s="7" t="str">
        <f t="shared" si="95"/>
        <v/>
      </c>
      <c r="K833" s="7" t="str">
        <f t="shared" si="96"/>
        <v/>
      </c>
      <c r="L833" s="7" t="str">
        <f t="shared" si="97"/>
        <v/>
      </c>
      <c r="M833" s="7" t="str">
        <f t="shared" si="98"/>
        <v/>
      </c>
      <c r="N833" s="7" t="str">
        <f t="shared" si="99"/>
        <v/>
      </c>
      <c r="O833" s="51" t="str">
        <f>IF(G833&gt;0,DT!AC833*I833+DT!AD833*J833+DT!AE833*K833+DT!AF833*L833+DT!AG833*M833+DT!AH833*N833,"")</f>
        <v/>
      </c>
      <c r="P833" s="15"/>
    </row>
    <row r="834" spans="1:16">
      <c r="A834" s="1"/>
      <c r="B834" s="1"/>
      <c r="C834" s="1"/>
      <c r="D834" s="1"/>
      <c r="E834" s="1"/>
      <c r="F834" s="1"/>
      <c r="G834" s="1">
        <f t="shared" si="93"/>
        <v>0</v>
      </c>
      <c r="I834" s="7" t="str">
        <f t="shared" si="94"/>
        <v/>
      </c>
      <c r="J834" s="7" t="str">
        <f t="shared" si="95"/>
        <v/>
      </c>
      <c r="K834" s="7" t="str">
        <f t="shared" si="96"/>
        <v/>
      </c>
      <c r="L834" s="7" t="str">
        <f t="shared" si="97"/>
        <v/>
      </c>
      <c r="M834" s="7" t="str">
        <f t="shared" si="98"/>
        <v/>
      </c>
      <c r="N834" s="7" t="str">
        <f t="shared" si="99"/>
        <v/>
      </c>
      <c r="O834" s="51" t="str">
        <f>IF(G834&gt;0,DT!AC834*I834+DT!AD834*J834+DT!AE834*K834+DT!AF834*L834+DT!AG834*M834+DT!AH834*N834,"")</f>
        <v/>
      </c>
      <c r="P834" s="15"/>
    </row>
    <row r="835" spans="1:16">
      <c r="A835" s="1"/>
      <c r="B835" s="1"/>
      <c r="C835" s="1"/>
      <c r="D835" s="1"/>
      <c r="E835" s="1"/>
      <c r="F835" s="1"/>
      <c r="G835" s="1">
        <f t="shared" si="93"/>
        <v>0</v>
      </c>
      <c r="I835" s="7" t="str">
        <f t="shared" si="94"/>
        <v/>
      </c>
      <c r="J835" s="7" t="str">
        <f t="shared" si="95"/>
        <v/>
      </c>
      <c r="K835" s="7" t="str">
        <f t="shared" si="96"/>
        <v/>
      </c>
      <c r="L835" s="7" t="str">
        <f t="shared" si="97"/>
        <v/>
      </c>
      <c r="M835" s="7" t="str">
        <f t="shared" si="98"/>
        <v/>
      </c>
      <c r="N835" s="7" t="str">
        <f t="shared" si="99"/>
        <v/>
      </c>
      <c r="O835" s="51" t="str">
        <f>IF(G835&gt;0,DT!AC835*I835+DT!AD835*J835+DT!AE835*K835+DT!AF835*L835+DT!AG835*M835+DT!AH835*N835,"")</f>
        <v/>
      </c>
      <c r="P835" s="15"/>
    </row>
    <row r="836" spans="1:16">
      <c r="A836" s="1"/>
      <c r="B836" s="1"/>
      <c r="C836" s="1"/>
      <c r="D836" s="1"/>
      <c r="E836" s="1"/>
      <c r="F836" s="1"/>
      <c r="G836" s="1">
        <f t="shared" si="93"/>
        <v>0</v>
      </c>
      <c r="I836" s="7" t="str">
        <f t="shared" si="94"/>
        <v/>
      </c>
      <c r="J836" s="7" t="str">
        <f t="shared" si="95"/>
        <v/>
      </c>
      <c r="K836" s="7" t="str">
        <f t="shared" si="96"/>
        <v/>
      </c>
      <c r="L836" s="7" t="str">
        <f t="shared" si="97"/>
        <v/>
      </c>
      <c r="M836" s="7" t="str">
        <f t="shared" si="98"/>
        <v/>
      </c>
      <c r="N836" s="7" t="str">
        <f t="shared" si="99"/>
        <v/>
      </c>
      <c r="O836" s="51" t="str">
        <f>IF(G836&gt;0,DT!AC836*I836+DT!AD836*J836+DT!AE836*K836+DT!AF836*L836+DT!AG836*M836+DT!AH836*N836,"")</f>
        <v/>
      </c>
      <c r="P836" s="15"/>
    </row>
    <row r="837" spans="1:16">
      <c r="A837" s="1"/>
      <c r="B837" s="1"/>
      <c r="C837" s="1"/>
      <c r="D837" s="1"/>
      <c r="E837" s="1"/>
      <c r="F837" s="1"/>
      <c r="G837" s="1">
        <f t="shared" ref="G837:G900" si="100">SUM(A837:F837)</f>
        <v>0</v>
      </c>
      <c r="I837" s="7" t="str">
        <f t="shared" si="94"/>
        <v/>
      </c>
      <c r="J837" s="7" t="str">
        <f t="shared" si="95"/>
        <v/>
      </c>
      <c r="K837" s="7" t="str">
        <f t="shared" si="96"/>
        <v/>
      </c>
      <c r="L837" s="7" t="str">
        <f t="shared" si="97"/>
        <v/>
      </c>
      <c r="M837" s="7" t="str">
        <f t="shared" si="98"/>
        <v/>
      </c>
      <c r="N837" s="7" t="str">
        <f t="shared" si="99"/>
        <v/>
      </c>
      <c r="O837" s="51" t="str">
        <f>IF(G837&gt;0,DT!AC837*I837+DT!AD837*J837+DT!AE837*K837+DT!AF837*L837+DT!AG837*M837+DT!AH837*N837,"")</f>
        <v/>
      </c>
      <c r="P837" s="15"/>
    </row>
    <row r="838" spans="1:16">
      <c r="A838" s="1"/>
      <c r="B838" s="1"/>
      <c r="C838" s="1"/>
      <c r="D838" s="1"/>
      <c r="E838" s="1"/>
      <c r="F838" s="1"/>
      <c r="G838" s="1">
        <f t="shared" si="100"/>
        <v>0</v>
      </c>
      <c r="I838" s="7" t="str">
        <f t="shared" si="94"/>
        <v/>
      </c>
      <c r="J838" s="7" t="str">
        <f t="shared" si="95"/>
        <v/>
      </c>
      <c r="K838" s="7" t="str">
        <f t="shared" si="96"/>
        <v/>
      </c>
      <c r="L838" s="7" t="str">
        <f t="shared" si="97"/>
        <v/>
      </c>
      <c r="M838" s="7" t="str">
        <f t="shared" si="98"/>
        <v/>
      </c>
      <c r="N838" s="7" t="str">
        <f t="shared" si="99"/>
        <v/>
      </c>
      <c r="O838" s="51" t="str">
        <f>IF(G838&gt;0,DT!AC838*I838+DT!AD838*J838+DT!AE838*K838+DT!AF838*L838+DT!AG838*M838+DT!AH838*N838,"")</f>
        <v/>
      </c>
      <c r="P838" s="15"/>
    </row>
    <row r="839" spans="1:16">
      <c r="A839" s="1"/>
      <c r="B839" s="1"/>
      <c r="C839" s="1"/>
      <c r="D839" s="1"/>
      <c r="E839" s="1"/>
      <c r="F839" s="1"/>
      <c r="G839" s="1">
        <f t="shared" si="100"/>
        <v>0</v>
      </c>
      <c r="I839" s="7" t="str">
        <f t="shared" si="94"/>
        <v/>
      </c>
      <c r="J839" s="7" t="str">
        <f t="shared" si="95"/>
        <v/>
      </c>
      <c r="K839" s="7" t="str">
        <f t="shared" si="96"/>
        <v/>
      </c>
      <c r="L839" s="7" t="str">
        <f t="shared" si="97"/>
        <v/>
      </c>
      <c r="M839" s="7" t="str">
        <f t="shared" si="98"/>
        <v/>
      </c>
      <c r="N839" s="7" t="str">
        <f t="shared" si="99"/>
        <v/>
      </c>
      <c r="O839" s="51" t="str">
        <f>IF(G839&gt;0,DT!AC839*I839+DT!AD839*J839+DT!AE839*K839+DT!AF839*L839+DT!AG839*M839+DT!AH839*N839,"")</f>
        <v/>
      </c>
      <c r="P839" s="15"/>
    </row>
    <row r="840" spans="1:16">
      <c r="A840" s="1"/>
      <c r="B840" s="1"/>
      <c r="C840" s="1"/>
      <c r="D840" s="1"/>
      <c r="E840" s="1"/>
      <c r="F840" s="1"/>
      <c r="G840" s="1">
        <f t="shared" si="100"/>
        <v>0</v>
      </c>
      <c r="I840" s="7" t="str">
        <f t="shared" si="94"/>
        <v/>
      </c>
      <c r="J840" s="7" t="str">
        <f t="shared" si="95"/>
        <v/>
      </c>
      <c r="K840" s="7" t="str">
        <f t="shared" si="96"/>
        <v/>
      </c>
      <c r="L840" s="7" t="str">
        <f t="shared" si="97"/>
        <v/>
      </c>
      <c r="M840" s="7" t="str">
        <f t="shared" si="98"/>
        <v/>
      </c>
      <c r="N840" s="7" t="str">
        <f t="shared" si="99"/>
        <v/>
      </c>
      <c r="O840" s="51" t="str">
        <f>IF(G840&gt;0,DT!AC840*I840+DT!AD840*J840+DT!AE840*K840+DT!AF840*L840+DT!AG840*M840+DT!AH840*N840,"")</f>
        <v/>
      </c>
      <c r="P840" s="15"/>
    </row>
    <row r="841" spans="1:16">
      <c r="A841" s="1"/>
      <c r="B841" s="1"/>
      <c r="C841" s="1"/>
      <c r="D841" s="1"/>
      <c r="E841" s="1"/>
      <c r="F841" s="1"/>
      <c r="G841" s="1">
        <f t="shared" si="100"/>
        <v>0</v>
      </c>
      <c r="I841" s="7" t="str">
        <f t="shared" si="94"/>
        <v/>
      </c>
      <c r="J841" s="7" t="str">
        <f t="shared" si="95"/>
        <v/>
      </c>
      <c r="K841" s="7" t="str">
        <f t="shared" si="96"/>
        <v/>
      </c>
      <c r="L841" s="7" t="str">
        <f t="shared" si="97"/>
        <v/>
      </c>
      <c r="M841" s="7" t="str">
        <f t="shared" si="98"/>
        <v/>
      </c>
      <c r="N841" s="7" t="str">
        <f t="shared" si="99"/>
        <v/>
      </c>
      <c r="O841" s="51" t="str">
        <f>IF(G841&gt;0,DT!AC841*I841+DT!AD841*J841+DT!AE841*K841+DT!AF841*L841+DT!AG841*M841+DT!AH841*N841,"")</f>
        <v/>
      </c>
      <c r="P841" s="15"/>
    </row>
    <row r="842" spans="1:16">
      <c r="A842" s="1"/>
      <c r="B842" s="1"/>
      <c r="C842" s="1"/>
      <c r="D842" s="1"/>
      <c r="E842" s="1"/>
      <c r="F842" s="1"/>
      <c r="G842" s="1">
        <f t="shared" si="100"/>
        <v>0</v>
      </c>
      <c r="I842" s="7" t="str">
        <f t="shared" si="94"/>
        <v/>
      </c>
      <c r="J842" s="7" t="str">
        <f t="shared" si="95"/>
        <v/>
      </c>
      <c r="K842" s="7" t="str">
        <f t="shared" si="96"/>
        <v/>
      </c>
      <c r="L842" s="7" t="str">
        <f t="shared" si="97"/>
        <v/>
      </c>
      <c r="M842" s="7" t="str">
        <f t="shared" si="98"/>
        <v/>
      </c>
      <c r="N842" s="7" t="str">
        <f t="shared" si="99"/>
        <v/>
      </c>
      <c r="O842" s="51" t="str">
        <f>IF(G842&gt;0,DT!AC842*I842+DT!AD842*J842+DT!AE842*K842+DT!AF842*L842+DT!AG842*M842+DT!AH842*N842,"")</f>
        <v/>
      </c>
      <c r="P842" s="15"/>
    </row>
    <row r="843" spans="1:16">
      <c r="A843" s="1"/>
      <c r="B843" s="1"/>
      <c r="C843" s="1"/>
      <c r="D843" s="1"/>
      <c r="E843" s="1"/>
      <c r="F843" s="1"/>
      <c r="G843" s="1">
        <f t="shared" si="100"/>
        <v>0</v>
      </c>
      <c r="I843" s="7" t="str">
        <f t="shared" si="94"/>
        <v/>
      </c>
      <c r="J843" s="7" t="str">
        <f t="shared" si="95"/>
        <v/>
      </c>
      <c r="K843" s="7" t="str">
        <f t="shared" si="96"/>
        <v/>
      </c>
      <c r="L843" s="7" t="str">
        <f t="shared" si="97"/>
        <v/>
      </c>
      <c r="M843" s="7" t="str">
        <f t="shared" si="98"/>
        <v/>
      </c>
      <c r="N843" s="7" t="str">
        <f t="shared" si="99"/>
        <v/>
      </c>
      <c r="O843" s="51" t="str">
        <f>IF(G843&gt;0,DT!AC843*I843+DT!AD843*J843+DT!AE843*K843+DT!AF843*L843+DT!AG843*M843+DT!AH843*N843,"")</f>
        <v/>
      </c>
      <c r="P843" s="15"/>
    </row>
    <row r="844" spans="1:16">
      <c r="A844" s="1"/>
      <c r="B844" s="1"/>
      <c r="C844" s="1"/>
      <c r="D844" s="1"/>
      <c r="E844" s="1"/>
      <c r="F844" s="1"/>
      <c r="G844" s="1">
        <f t="shared" si="100"/>
        <v>0</v>
      </c>
      <c r="I844" s="7" t="str">
        <f t="shared" si="94"/>
        <v/>
      </c>
      <c r="J844" s="7" t="str">
        <f t="shared" si="95"/>
        <v/>
      </c>
      <c r="K844" s="7" t="str">
        <f t="shared" si="96"/>
        <v/>
      </c>
      <c r="L844" s="7" t="str">
        <f t="shared" si="97"/>
        <v/>
      </c>
      <c r="M844" s="7" t="str">
        <f t="shared" si="98"/>
        <v/>
      </c>
      <c r="N844" s="7" t="str">
        <f t="shared" si="99"/>
        <v/>
      </c>
      <c r="O844" s="51" t="str">
        <f>IF(G844&gt;0,DT!AC844*I844+DT!AD844*J844+DT!AE844*K844+DT!AF844*L844+DT!AG844*M844+DT!AH844*N844,"")</f>
        <v/>
      </c>
      <c r="P844" s="15"/>
    </row>
    <row r="845" spans="1:16">
      <c r="A845" s="1"/>
      <c r="B845" s="1"/>
      <c r="C845" s="1"/>
      <c r="D845" s="1"/>
      <c r="E845" s="1"/>
      <c r="F845" s="1"/>
      <c r="G845" s="1">
        <f t="shared" si="100"/>
        <v>0</v>
      </c>
      <c r="I845" s="7" t="str">
        <f t="shared" si="94"/>
        <v/>
      </c>
      <c r="J845" s="7" t="str">
        <f t="shared" si="95"/>
        <v/>
      </c>
      <c r="K845" s="7" t="str">
        <f t="shared" si="96"/>
        <v/>
      </c>
      <c r="L845" s="7" t="str">
        <f t="shared" si="97"/>
        <v/>
      </c>
      <c r="M845" s="7" t="str">
        <f t="shared" si="98"/>
        <v/>
      </c>
      <c r="N845" s="7" t="str">
        <f t="shared" si="99"/>
        <v/>
      </c>
      <c r="O845" s="51" t="str">
        <f>IF(G845&gt;0,DT!AC845*I845+DT!AD845*J845+DT!AE845*K845+DT!AF845*L845+DT!AG845*M845+DT!AH845*N845,"")</f>
        <v/>
      </c>
      <c r="P845" s="15"/>
    </row>
    <row r="846" spans="1:16">
      <c r="A846" s="1"/>
      <c r="B846" s="1"/>
      <c r="C846" s="1"/>
      <c r="D846" s="1"/>
      <c r="E846" s="1"/>
      <c r="F846" s="1"/>
      <c r="G846" s="1">
        <f t="shared" si="100"/>
        <v>0</v>
      </c>
      <c r="I846" s="7" t="str">
        <f t="shared" si="94"/>
        <v/>
      </c>
      <c r="J846" s="7" t="str">
        <f t="shared" si="95"/>
        <v/>
      </c>
      <c r="K846" s="7" t="str">
        <f t="shared" si="96"/>
        <v/>
      </c>
      <c r="L846" s="7" t="str">
        <f t="shared" si="97"/>
        <v/>
      </c>
      <c r="M846" s="7" t="str">
        <f t="shared" si="98"/>
        <v/>
      </c>
      <c r="N846" s="7" t="str">
        <f t="shared" si="99"/>
        <v/>
      </c>
      <c r="O846" s="51" t="str">
        <f>IF(G846&gt;0,DT!AC846*I846+DT!AD846*J846+DT!AE846*K846+DT!AF846*L846+DT!AG846*M846+DT!AH846*N846,"")</f>
        <v/>
      </c>
      <c r="P846" s="15"/>
    </row>
    <row r="847" spans="1:16">
      <c r="A847" s="1"/>
      <c r="B847" s="1"/>
      <c r="C847" s="1"/>
      <c r="D847" s="1"/>
      <c r="E847" s="1"/>
      <c r="F847" s="1"/>
      <c r="G847" s="1">
        <f t="shared" si="100"/>
        <v>0</v>
      </c>
      <c r="I847" s="7" t="str">
        <f t="shared" si="94"/>
        <v/>
      </c>
      <c r="J847" s="7" t="str">
        <f t="shared" si="95"/>
        <v/>
      </c>
      <c r="K847" s="7" t="str">
        <f t="shared" si="96"/>
        <v/>
      </c>
      <c r="L847" s="7" t="str">
        <f t="shared" si="97"/>
        <v/>
      </c>
      <c r="M847" s="7" t="str">
        <f t="shared" si="98"/>
        <v/>
      </c>
      <c r="N847" s="7" t="str">
        <f t="shared" si="99"/>
        <v/>
      </c>
      <c r="O847" s="51" t="str">
        <f>IF(G847&gt;0,DT!AC847*I847+DT!AD847*J847+DT!AE847*K847+DT!AF847*L847+DT!AG847*M847+DT!AH847*N847,"")</f>
        <v/>
      </c>
      <c r="P847" s="15"/>
    </row>
    <row r="848" spans="1:16">
      <c r="A848" s="1"/>
      <c r="B848" s="1"/>
      <c r="C848" s="1"/>
      <c r="D848" s="1"/>
      <c r="E848" s="1"/>
      <c r="F848" s="1"/>
      <c r="G848" s="1">
        <f t="shared" si="100"/>
        <v>0</v>
      </c>
      <c r="I848" s="7" t="str">
        <f t="shared" si="94"/>
        <v/>
      </c>
      <c r="J848" s="7" t="str">
        <f t="shared" si="95"/>
        <v/>
      </c>
      <c r="K848" s="7" t="str">
        <f t="shared" si="96"/>
        <v/>
      </c>
      <c r="L848" s="7" t="str">
        <f t="shared" si="97"/>
        <v/>
      </c>
      <c r="M848" s="7" t="str">
        <f t="shared" si="98"/>
        <v/>
      </c>
      <c r="N848" s="7" t="str">
        <f t="shared" si="99"/>
        <v/>
      </c>
      <c r="O848" s="51" t="str">
        <f>IF(G848&gt;0,DT!AC848*I848+DT!AD848*J848+DT!AE848*K848+DT!AF848*L848+DT!AG848*M848+DT!AH848*N848,"")</f>
        <v/>
      </c>
      <c r="P848" s="15"/>
    </row>
    <row r="849" spans="1:16">
      <c r="A849" s="1"/>
      <c r="B849" s="1"/>
      <c r="C849" s="1"/>
      <c r="D849" s="1"/>
      <c r="E849" s="1"/>
      <c r="F849" s="1"/>
      <c r="G849" s="1">
        <f t="shared" si="100"/>
        <v>0</v>
      </c>
      <c r="I849" s="7" t="str">
        <f t="shared" si="94"/>
        <v/>
      </c>
      <c r="J849" s="7" t="str">
        <f t="shared" si="95"/>
        <v/>
      </c>
      <c r="K849" s="7" t="str">
        <f t="shared" si="96"/>
        <v/>
      </c>
      <c r="L849" s="7" t="str">
        <f t="shared" si="97"/>
        <v/>
      </c>
      <c r="M849" s="7" t="str">
        <f t="shared" si="98"/>
        <v/>
      </c>
      <c r="N849" s="7" t="str">
        <f t="shared" si="99"/>
        <v/>
      </c>
      <c r="O849" s="51" t="str">
        <f>IF(G849&gt;0,DT!AC849*I849+DT!AD849*J849+DT!AE849*K849+DT!AF849*L849+DT!AG849*M849+DT!AH849*N849,"")</f>
        <v/>
      </c>
      <c r="P849" s="15"/>
    </row>
    <row r="850" spans="1:16">
      <c r="A850" s="1"/>
      <c r="B850" s="1"/>
      <c r="C850" s="1"/>
      <c r="D850" s="1"/>
      <c r="E850" s="1"/>
      <c r="F850" s="1"/>
      <c r="G850" s="1">
        <f t="shared" si="100"/>
        <v>0</v>
      </c>
      <c r="I850" s="7" t="str">
        <f t="shared" si="94"/>
        <v/>
      </c>
      <c r="J850" s="7" t="str">
        <f t="shared" si="95"/>
        <v/>
      </c>
      <c r="K850" s="7" t="str">
        <f t="shared" si="96"/>
        <v/>
      </c>
      <c r="L850" s="7" t="str">
        <f t="shared" si="97"/>
        <v/>
      </c>
      <c r="M850" s="7" t="str">
        <f t="shared" si="98"/>
        <v/>
      </c>
      <c r="N850" s="7" t="str">
        <f t="shared" si="99"/>
        <v/>
      </c>
      <c r="O850" s="51" t="str">
        <f>IF(G850&gt;0,DT!AC850*I850+DT!AD850*J850+DT!AE850*K850+DT!AF850*L850+DT!AG850*M850+DT!AH850*N850,"")</f>
        <v/>
      </c>
      <c r="P850" s="15"/>
    </row>
    <row r="851" spans="1:16">
      <c r="A851" s="1"/>
      <c r="B851" s="1"/>
      <c r="C851" s="1"/>
      <c r="D851" s="1"/>
      <c r="E851" s="1"/>
      <c r="F851" s="1"/>
      <c r="G851" s="1">
        <f t="shared" si="100"/>
        <v>0</v>
      </c>
      <c r="I851" s="7" t="str">
        <f t="shared" si="94"/>
        <v/>
      </c>
      <c r="J851" s="7" t="str">
        <f t="shared" si="95"/>
        <v/>
      </c>
      <c r="K851" s="7" t="str">
        <f t="shared" si="96"/>
        <v/>
      </c>
      <c r="L851" s="7" t="str">
        <f t="shared" si="97"/>
        <v/>
      </c>
      <c r="M851" s="7" t="str">
        <f t="shared" si="98"/>
        <v/>
      </c>
      <c r="N851" s="7" t="str">
        <f t="shared" si="99"/>
        <v/>
      </c>
      <c r="O851" s="51" t="str">
        <f>IF(G851&gt;0,DT!AC851*I851+DT!AD851*J851+DT!AE851*K851+DT!AF851*L851+DT!AG851*M851+DT!AH851*N851,"")</f>
        <v/>
      </c>
      <c r="P851" s="15"/>
    </row>
    <row r="852" spans="1:16">
      <c r="A852" s="1"/>
      <c r="B852" s="1"/>
      <c r="C852" s="1"/>
      <c r="D852" s="1"/>
      <c r="E852" s="1"/>
      <c r="F852" s="1"/>
      <c r="G852" s="1">
        <f t="shared" si="100"/>
        <v>0</v>
      </c>
      <c r="I852" s="7" t="str">
        <f t="shared" si="94"/>
        <v/>
      </c>
      <c r="J852" s="7" t="str">
        <f t="shared" si="95"/>
        <v/>
      </c>
      <c r="K852" s="7" t="str">
        <f t="shared" si="96"/>
        <v/>
      </c>
      <c r="L852" s="7" t="str">
        <f t="shared" si="97"/>
        <v/>
      </c>
      <c r="M852" s="7" t="str">
        <f t="shared" si="98"/>
        <v/>
      </c>
      <c r="N852" s="7" t="str">
        <f t="shared" si="99"/>
        <v/>
      </c>
      <c r="O852" s="51" t="str">
        <f>IF(G852&gt;0,DT!AC852*I852+DT!AD852*J852+DT!AE852*K852+DT!AF852*L852+DT!AG852*M852+DT!AH852*N852,"")</f>
        <v/>
      </c>
      <c r="P852" s="15"/>
    </row>
    <row r="853" spans="1:16">
      <c r="A853" s="1"/>
      <c r="B853" s="1"/>
      <c r="C853" s="1"/>
      <c r="D853" s="1"/>
      <c r="E853" s="1"/>
      <c r="F853" s="1"/>
      <c r="G853" s="1">
        <f t="shared" si="100"/>
        <v>0</v>
      </c>
      <c r="I853" s="7" t="str">
        <f t="shared" si="94"/>
        <v/>
      </c>
      <c r="J853" s="7" t="str">
        <f t="shared" si="95"/>
        <v/>
      </c>
      <c r="K853" s="7" t="str">
        <f t="shared" si="96"/>
        <v/>
      </c>
      <c r="L853" s="7" t="str">
        <f t="shared" si="97"/>
        <v/>
      </c>
      <c r="M853" s="7" t="str">
        <f t="shared" si="98"/>
        <v/>
      </c>
      <c r="N853" s="7" t="str">
        <f t="shared" si="99"/>
        <v/>
      </c>
      <c r="O853" s="51" t="str">
        <f>IF(G853&gt;0,DT!AC853*I853+DT!AD853*J853+DT!AE853*K853+DT!AF853*L853+DT!AG853*M853+DT!AH853*N853,"")</f>
        <v/>
      </c>
      <c r="P853" s="15"/>
    </row>
    <row r="854" spans="1:16">
      <c r="A854" s="1"/>
      <c r="B854" s="1"/>
      <c r="C854" s="1"/>
      <c r="D854" s="1"/>
      <c r="E854" s="1"/>
      <c r="F854" s="1"/>
      <c r="G854" s="1">
        <f t="shared" si="100"/>
        <v>0</v>
      </c>
      <c r="I854" s="7" t="str">
        <f t="shared" si="94"/>
        <v/>
      </c>
      <c r="J854" s="7" t="str">
        <f t="shared" si="95"/>
        <v/>
      </c>
      <c r="K854" s="7" t="str">
        <f t="shared" si="96"/>
        <v/>
      </c>
      <c r="L854" s="7" t="str">
        <f t="shared" si="97"/>
        <v/>
      </c>
      <c r="M854" s="7" t="str">
        <f t="shared" si="98"/>
        <v/>
      </c>
      <c r="N854" s="7" t="str">
        <f t="shared" si="99"/>
        <v/>
      </c>
      <c r="O854" s="51" t="str">
        <f>IF(G854&gt;0,DT!AC854*I854+DT!AD854*J854+DT!AE854*K854+DT!AF854*L854+DT!AG854*M854+DT!AH854*N854,"")</f>
        <v/>
      </c>
      <c r="P854" s="15"/>
    </row>
    <row r="855" spans="1:16">
      <c r="A855" s="1"/>
      <c r="B855" s="1"/>
      <c r="C855" s="1"/>
      <c r="D855" s="1"/>
      <c r="E855" s="1"/>
      <c r="F855" s="1"/>
      <c r="G855" s="1">
        <f t="shared" si="100"/>
        <v>0</v>
      </c>
      <c r="I855" s="7" t="str">
        <f t="shared" si="94"/>
        <v/>
      </c>
      <c r="J855" s="7" t="str">
        <f t="shared" si="95"/>
        <v/>
      </c>
      <c r="K855" s="7" t="str">
        <f t="shared" si="96"/>
        <v/>
      </c>
      <c r="L855" s="7" t="str">
        <f t="shared" si="97"/>
        <v/>
      </c>
      <c r="M855" s="7" t="str">
        <f t="shared" si="98"/>
        <v/>
      </c>
      <c r="N855" s="7" t="str">
        <f t="shared" si="99"/>
        <v/>
      </c>
      <c r="O855" s="51" t="str">
        <f>IF(G855&gt;0,DT!AC855*I855+DT!AD855*J855+DT!AE855*K855+DT!AF855*L855+DT!AG855*M855+DT!AH855*N855,"")</f>
        <v/>
      </c>
      <c r="P855" s="15"/>
    </row>
    <row r="856" spans="1:16">
      <c r="A856" s="1"/>
      <c r="B856" s="1"/>
      <c r="C856" s="1"/>
      <c r="D856" s="1"/>
      <c r="E856" s="1"/>
      <c r="F856" s="1"/>
      <c r="G856" s="1">
        <f t="shared" si="100"/>
        <v>0</v>
      </c>
      <c r="I856" s="7" t="str">
        <f t="shared" si="94"/>
        <v/>
      </c>
      <c r="J856" s="7" t="str">
        <f t="shared" si="95"/>
        <v/>
      </c>
      <c r="K856" s="7" t="str">
        <f t="shared" si="96"/>
        <v/>
      </c>
      <c r="L856" s="7" t="str">
        <f t="shared" si="97"/>
        <v/>
      </c>
      <c r="M856" s="7" t="str">
        <f t="shared" si="98"/>
        <v/>
      </c>
      <c r="N856" s="7" t="str">
        <f t="shared" si="99"/>
        <v/>
      </c>
      <c r="O856" s="51" t="str">
        <f>IF(G856&gt;0,DT!AC856*I856+DT!AD856*J856+DT!AE856*K856+DT!AF856*L856+DT!AG856*M856+DT!AH856*N856,"")</f>
        <v/>
      </c>
      <c r="P856" s="15"/>
    </row>
    <row r="857" spans="1:16">
      <c r="A857" s="1"/>
      <c r="B857" s="1"/>
      <c r="C857" s="1"/>
      <c r="D857" s="1"/>
      <c r="E857" s="1"/>
      <c r="F857" s="1"/>
      <c r="G857" s="1">
        <f t="shared" si="100"/>
        <v>0</v>
      </c>
      <c r="I857" s="7" t="str">
        <f t="shared" si="94"/>
        <v/>
      </c>
      <c r="J857" s="7" t="str">
        <f t="shared" si="95"/>
        <v/>
      </c>
      <c r="K857" s="7" t="str">
        <f t="shared" si="96"/>
        <v/>
      </c>
      <c r="L857" s="7" t="str">
        <f t="shared" si="97"/>
        <v/>
      </c>
      <c r="M857" s="7" t="str">
        <f t="shared" si="98"/>
        <v/>
      </c>
      <c r="N857" s="7" t="str">
        <f t="shared" si="99"/>
        <v/>
      </c>
      <c r="O857" s="51" t="str">
        <f>IF(G857&gt;0,DT!AC857*I857+DT!AD857*J857+DT!AE857*K857+DT!AF857*L857+DT!AG857*M857+DT!AH857*N857,"")</f>
        <v/>
      </c>
      <c r="P857" s="15"/>
    </row>
    <row r="858" spans="1:16">
      <c r="A858" s="1"/>
      <c r="B858" s="1"/>
      <c r="C858" s="1"/>
      <c r="D858" s="1"/>
      <c r="E858" s="1"/>
      <c r="F858" s="1"/>
      <c r="G858" s="1">
        <f t="shared" si="100"/>
        <v>0</v>
      </c>
      <c r="I858" s="7" t="str">
        <f t="shared" si="94"/>
        <v/>
      </c>
      <c r="J858" s="7" t="str">
        <f t="shared" si="95"/>
        <v/>
      </c>
      <c r="K858" s="7" t="str">
        <f t="shared" si="96"/>
        <v/>
      </c>
      <c r="L858" s="7" t="str">
        <f t="shared" si="97"/>
        <v/>
      </c>
      <c r="M858" s="7" t="str">
        <f t="shared" si="98"/>
        <v/>
      </c>
      <c r="N858" s="7" t="str">
        <f t="shared" si="99"/>
        <v/>
      </c>
      <c r="O858" s="51" t="str">
        <f>IF(G858&gt;0,DT!AC858*I858+DT!AD858*J858+DT!AE858*K858+DT!AF858*L858+DT!AG858*M858+DT!AH858*N858,"")</f>
        <v/>
      </c>
      <c r="P858" s="15"/>
    </row>
    <row r="859" spans="1:16">
      <c r="A859" s="1"/>
      <c r="B859" s="1"/>
      <c r="C859" s="1"/>
      <c r="D859" s="1"/>
      <c r="E859" s="1"/>
      <c r="F859" s="1"/>
      <c r="G859" s="1">
        <f t="shared" si="100"/>
        <v>0</v>
      </c>
      <c r="I859" s="7" t="str">
        <f t="shared" si="94"/>
        <v/>
      </c>
      <c r="J859" s="7" t="str">
        <f t="shared" si="95"/>
        <v/>
      </c>
      <c r="K859" s="7" t="str">
        <f t="shared" si="96"/>
        <v/>
      </c>
      <c r="L859" s="7" t="str">
        <f t="shared" si="97"/>
        <v/>
      </c>
      <c r="M859" s="7" t="str">
        <f t="shared" si="98"/>
        <v/>
      </c>
      <c r="N859" s="7" t="str">
        <f t="shared" si="99"/>
        <v/>
      </c>
      <c r="O859" s="51" t="str">
        <f>IF(G859&gt;0,DT!AC859*I859+DT!AD859*J859+DT!AE859*K859+DT!AF859*L859+DT!AG859*M859+DT!AH859*N859,"")</f>
        <v/>
      </c>
      <c r="P859" s="15"/>
    </row>
    <row r="860" spans="1:16">
      <c r="A860" s="1"/>
      <c r="B860" s="1"/>
      <c r="C860" s="1"/>
      <c r="D860" s="1"/>
      <c r="E860" s="1"/>
      <c r="F860" s="1"/>
      <c r="G860" s="1">
        <f t="shared" si="100"/>
        <v>0</v>
      </c>
      <c r="I860" s="7" t="str">
        <f t="shared" si="94"/>
        <v/>
      </c>
      <c r="J860" s="7" t="str">
        <f t="shared" si="95"/>
        <v/>
      </c>
      <c r="K860" s="7" t="str">
        <f t="shared" si="96"/>
        <v/>
      </c>
      <c r="L860" s="7" t="str">
        <f t="shared" si="97"/>
        <v/>
      </c>
      <c r="M860" s="7" t="str">
        <f t="shared" si="98"/>
        <v/>
      </c>
      <c r="N860" s="7" t="str">
        <f t="shared" si="99"/>
        <v/>
      </c>
      <c r="O860" s="51" t="str">
        <f>IF(G860&gt;0,DT!AC860*I860+DT!AD860*J860+DT!AE860*K860+DT!AF860*L860+DT!AG860*M860+DT!AH860*N860,"")</f>
        <v/>
      </c>
      <c r="P860" s="15"/>
    </row>
    <row r="861" spans="1:16">
      <c r="A861" s="1"/>
      <c r="B861" s="1"/>
      <c r="C861" s="1"/>
      <c r="D861" s="1"/>
      <c r="E861" s="1"/>
      <c r="F861" s="1"/>
      <c r="G861" s="1">
        <f t="shared" si="100"/>
        <v>0</v>
      </c>
      <c r="I861" s="7" t="str">
        <f t="shared" si="94"/>
        <v/>
      </c>
      <c r="J861" s="7" t="str">
        <f t="shared" si="95"/>
        <v/>
      </c>
      <c r="K861" s="7" t="str">
        <f t="shared" si="96"/>
        <v/>
      </c>
      <c r="L861" s="7" t="str">
        <f t="shared" si="97"/>
        <v/>
      </c>
      <c r="M861" s="7" t="str">
        <f t="shared" si="98"/>
        <v/>
      </c>
      <c r="N861" s="7" t="str">
        <f t="shared" si="99"/>
        <v/>
      </c>
      <c r="O861" s="51" t="str">
        <f>IF(G861&gt;0,DT!AC861*I861+DT!AD861*J861+DT!AE861*K861+DT!AF861*L861+DT!AG861*M861+DT!AH861*N861,"")</f>
        <v/>
      </c>
      <c r="P861" s="15"/>
    </row>
    <row r="862" spans="1:16">
      <c r="A862" s="1"/>
      <c r="B862" s="1"/>
      <c r="C862" s="1"/>
      <c r="D862" s="1"/>
      <c r="E862" s="1"/>
      <c r="F862" s="1"/>
      <c r="G862" s="1">
        <f t="shared" si="100"/>
        <v>0</v>
      </c>
      <c r="I862" s="7" t="str">
        <f t="shared" si="94"/>
        <v/>
      </c>
      <c r="J862" s="7" t="str">
        <f t="shared" si="95"/>
        <v/>
      </c>
      <c r="K862" s="7" t="str">
        <f t="shared" si="96"/>
        <v/>
      </c>
      <c r="L862" s="7" t="str">
        <f t="shared" si="97"/>
        <v/>
      </c>
      <c r="M862" s="7" t="str">
        <f t="shared" si="98"/>
        <v/>
      </c>
      <c r="N862" s="7" t="str">
        <f t="shared" si="99"/>
        <v/>
      </c>
      <c r="O862" s="51" t="str">
        <f>IF(G862&gt;0,DT!AC862*I862+DT!AD862*J862+DT!AE862*K862+DT!AF862*L862+DT!AG862*M862+DT!AH862*N862,"")</f>
        <v/>
      </c>
      <c r="P862" s="15"/>
    </row>
    <row r="863" spans="1:16">
      <c r="A863" s="1"/>
      <c r="B863" s="1"/>
      <c r="C863" s="1"/>
      <c r="D863" s="1"/>
      <c r="E863" s="1"/>
      <c r="F863" s="1"/>
      <c r="G863" s="1">
        <f t="shared" si="100"/>
        <v>0</v>
      </c>
      <c r="I863" s="7" t="str">
        <f t="shared" si="94"/>
        <v/>
      </c>
      <c r="J863" s="7" t="str">
        <f t="shared" si="95"/>
        <v/>
      </c>
      <c r="K863" s="7" t="str">
        <f t="shared" si="96"/>
        <v/>
      </c>
      <c r="L863" s="7" t="str">
        <f t="shared" si="97"/>
        <v/>
      </c>
      <c r="M863" s="7" t="str">
        <f t="shared" si="98"/>
        <v/>
      </c>
      <c r="N863" s="7" t="str">
        <f t="shared" si="99"/>
        <v/>
      </c>
      <c r="O863" s="51" t="str">
        <f>IF(G863&gt;0,DT!AC863*I863+DT!AD863*J863+DT!AE863*K863+DT!AF863*L863+DT!AG863*M863+DT!AH863*N863,"")</f>
        <v/>
      </c>
      <c r="P863" s="15"/>
    </row>
    <row r="864" spans="1:16">
      <c r="A864" s="1"/>
      <c r="B864" s="1"/>
      <c r="C864" s="1"/>
      <c r="D864" s="1"/>
      <c r="E864" s="1"/>
      <c r="F864" s="1"/>
      <c r="G864" s="1">
        <f t="shared" si="100"/>
        <v>0</v>
      </c>
      <c r="I864" s="7" t="str">
        <f t="shared" si="94"/>
        <v/>
      </c>
      <c r="J864" s="7" t="str">
        <f t="shared" si="95"/>
        <v/>
      </c>
      <c r="K864" s="7" t="str">
        <f t="shared" si="96"/>
        <v/>
      </c>
      <c r="L864" s="7" t="str">
        <f t="shared" si="97"/>
        <v/>
      </c>
      <c r="M864" s="7" t="str">
        <f t="shared" si="98"/>
        <v/>
      </c>
      <c r="N864" s="7" t="str">
        <f t="shared" si="99"/>
        <v/>
      </c>
      <c r="O864" s="51" t="str">
        <f>IF(G864&gt;0,DT!AC864*I864+DT!AD864*J864+DT!AE864*K864+DT!AF864*L864+DT!AG864*M864+DT!AH864*N864,"")</f>
        <v/>
      </c>
      <c r="P864" s="15"/>
    </row>
    <row r="865" spans="1:16">
      <c r="A865" s="1"/>
      <c r="B865" s="1"/>
      <c r="C865" s="1"/>
      <c r="D865" s="1"/>
      <c r="E865" s="1"/>
      <c r="F865" s="1"/>
      <c r="G865" s="1">
        <f t="shared" si="100"/>
        <v>0</v>
      </c>
      <c r="I865" s="7" t="str">
        <f t="shared" si="94"/>
        <v/>
      </c>
      <c r="J865" s="7" t="str">
        <f t="shared" si="95"/>
        <v/>
      </c>
      <c r="K865" s="7" t="str">
        <f t="shared" si="96"/>
        <v/>
      </c>
      <c r="L865" s="7" t="str">
        <f t="shared" si="97"/>
        <v/>
      </c>
      <c r="M865" s="7" t="str">
        <f t="shared" si="98"/>
        <v/>
      </c>
      <c r="N865" s="7" t="str">
        <f t="shared" si="99"/>
        <v/>
      </c>
      <c r="O865" s="51" t="str">
        <f>IF(G865&gt;0,DT!AC865*I865+DT!AD865*J865+DT!AE865*K865+DT!AF865*L865+DT!AG865*M865+DT!AH865*N865,"")</f>
        <v/>
      </c>
      <c r="P865" s="15"/>
    </row>
    <row r="866" spans="1:16">
      <c r="A866" s="1"/>
      <c r="B866" s="1"/>
      <c r="C866" s="1"/>
      <c r="D866" s="1"/>
      <c r="E866" s="1"/>
      <c r="F866" s="1"/>
      <c r="G866" s="1">
        <f t="shared" si="100"/>
        <v>0</v>
      </c>
      <c r="I866" s="7" t="str">
        <f t="shared" si="94"/>
        <v/>
      </c>
      <c r="J866" s="7" t="str">
        <f t="shared" si="95"/>
        <v/>
      </c>
      <c r="K866" s="7" t="str">
        <f t="shared" si="96"/>
        <v/>
      </c>
      <c r="L866" s="7" t="str">
        <f t="shared" si="97"/>
        <v/>
      </c>
      <c r="M866" s="7" t="str">
        <f t="shared" si="98"/>
        <v/>
      </c>
      <c r="N866" s="7" t="str">
        <f t="shared" si="99"/>
        <v/>
      </c>
      <c r="O866" s="51" t="str">
        <f>IF(G866&gt;0,DT!AC866*I866+DT!AD866*J866+DT!AE866*K866+DT!AF866*L866+DT!AG866*M866+DT!AH866*N866,"")</f>
        <v/>
      </c>
      <c r="P866" s="15"/>
    </row>
    <row r="867" spans="1:16">
      <c r="A867" s="1"/>
      <c r="B867" s="1"/>
      <c r="C867" s="1"/>
      <c r="D867" s="1"/>
      <c r="E867" s="1"/>
      <c r="F867" s="1"/>
      <c r="G867" s="1">
        <f t="shared" si="100"/>
        <v>0</v>
      </c>
      <c r="I867" s="7" t="str">
        <f t="shared" si="94"/>
        <v/>
      </c>
      <c r="J867" s="7" t="str">
        <f t="shared" si="95"/>
        <v/>
      </c>
      <c r="K867" s="7" t="str">
        <f t="shared" si="96"/>
        <v/>
      </c>
      <c r="L867" s="7" t="str">
        <f t="shared" si="97"/>
        <v/>
      </c>
      <c r="M867" s="7" t="str">
        <f t="shared" si="98"/>
        <v/>
      </c>
      <c r="N867" s="7" t="str">
        <f t="shared" si="99"/>
        <v/>
      </c>
      <c r="O867" s="51" t="str">
        <f>IF(G867&gt;0,DT!AC867*I867+DT!AD867*J867+DT!AE867*K867+DT!AF867*L867+DT!AG867*M867+DT!AH867*N867,"")</f>
        <v/>
      </c>
      <c r="P867" s="15"/>
    </row>
    <row r="868" spans="1:16">
      <c r="A868" s="1"/>
      <c r="B868" s="1"/>
      <c r="C868" s="1"/>
      <c r="D868" s="1"/>
      <c r="E868" s="1"/>
      <c r="F868" s="1"/>
      <c r="G868" s="1">
        <f t="shared" si="100"/>
        <v>0</v>
      </c>
      <c r="I868" s="7" t="str">
        <f t="shared" si="94"/>
        <v/>
      </c>
      <c r="J868" s="7" t="str">
        <f t="shared" si="95"/>
        <v/>
      </c>
      <c r="K868" s="7" t="str">
        <f t="shared" si="96"/>
        <v/>
      </c>
      <c r="L868" s="7" t="str">
        <f t="shared" si="97"/>
        <v/>
      </c>
      <c r="M868" s="7" t="str">
        <f t="shared" si="98"/>
        <v/>
      </c>
      <c r="N868" s="7" t="str">
        <f t="shared" si="99"/>
        <v/>
      </c>
      <c r="O868" s="51" t="str">
        <f>IF(G868&gt;0,DT!AC868*I868+DT!AD868*J868+DT!AE868*K868+DT!AF868*L868+DT!AG868*M868+DT!AH868*N868,"")</f>
        <v/>
      </c>
      <c r="P868" s="15"/>
    </row>
    <row r="869" spans="1:16">
      <c r="A869" s="1"/>
      <c r="B869" s="1"/>
      <c r="C869" s="1"/>
      <c r="D869" s="1"/>
      <c r="E869" s="1"/>
      <c r="F869" s="1"/>
      <c r="G869" s="1">
        <f t="shared" si="100"/>
        <v>0</v>
      </c>
      <c r="I869" s="7" t="str">
        <f t="shared" si="94"/>
        <v/>
      </c>
      <c r="J869" s="7" t="str">
        <f t="shared" si="95"/>
        <v/>
      </c>
      <c r="K869" s="7" t="str">
        <f t="shared" si="96"/>
        <v/>
      </c>
      <c r="L869" s="7" t="str">
        <f t="shared" si="97"/>
        <v/>
      </c>
      <c r="M869" s="7" t="str">
        <f t="shared" si="98"/>
        <v/>
      </c>
      <c r="N869" s="7" t="str">
        <f t="shared" si="99"/>
        <v/>
      </c>
      <c r="O869" s="51" t="str">
        <f>IF(G869&gt;0,DT!AC869*I869+DT!AD869*J869+DT!AE869*K869+DT!AF869*L869+DT!AG869*M869+DT!AH869*N869,"")</f>
        <v/>
      </c>
      <c r="P869" s="15"/>
    </row>
    <row r="870" spans="1:16">
      <c r="A870" s="1"/>
      <c r="B870" s="1"/>
      <c r="C870" s="1"/>
      <c r="D870" s="1"/>
      <c r="E870" s="1"/>
      <c r="F870" s="1"/>
      <c r="G870" s="1">
        <f t="shared" si="100"/>
        <v>0</v>
      </c>
      <c r="I870" s="7" t="str">
        <f t="shared" si="94"/>
        <v/>
      </c>
      <c r="J870" s="7" t="str">
        <f t="shared" si="95"/>
        <v/>
      </c>
      <c r="K870" s="7" t="str">
        <f t="shared" si="96"/>
        <v/>
      </c>
      <c r="L870" s="7" t="str">
        <f t="shared" si="97"/>
        <v/>
      </c>
      <c r="M870" s="7" t="str">
        <f t="shared" si="98"/>
        <v/>
      </c>
      <c r="N870" s="7" t="str">
        <f t="shared" si="99"/>
        <v/>
      </c>
      <c r="O870" s="51" t="str">
        <f>IF(G870&gt;0,DT!AC870*I870+DT!AD870*J870+DT!AE870*K870+DT!AF870*L870+DT!AG870*M870+DT!AH870*N870,"")</f>
        <v/>
      </c>
      <c r="P870" s="15"/>
    </row>
    <row r="871" spans="1:16">
      <c r="A871" s="1"/>
      <c r="B871" s="1"/>
      <c r="C871" s="1"/>
      <c r="D871" s="1"/>
      <c r="E871" s="1"/>
      <c r="F871" s="1"/>
      <c r="G871" s="1">
        <f t="shared" si="100"/>
        <v>0</v>
      </c>
      <c r="I871" s="7" t="str">
        <f t="shared" si="94"/>
        <v/>
      </c>
      <c r="J871" s="7" t="str">
        <f t="shared" si="95"/>
        <v/>
      </c>
      <c r="K871" s="7" t="str">
        <f t="shared" si="96"/>
        <v/>
      </c>
      <c r="L871" s="7" t="str">
        <f t="shared" si="97"/>
        <v/>
      </c>
      <c r="M871" s="7" t="str">
        <f t="shared" si="98"/>
        <v/>
      </c>
      <c r="N871" s="7" t="str">
        <f t="shared" si="99"/>
        <v/>
      </c>
      <c r="O871" s="51" t="str">
        <f>IF(G871&gt;0,DT!AC871*I871+DT!AD871*J871+DT!AE871*K871+DT!AF871*L871+DT!AG871*M871+DT!AH871*N871,"")</f>
        <v/>
      </c>
      <c r="P871" s="15"/>
    </row>
    <row r="872" spans="1:16">
      <c r="A872" s="1"/>
      <c r="B872" s="1"/>
      <c r="C872" s="1"/>
      <c r="D872" s="1"/>
      <c r="E872" s="1"/>
      <c r="F872" s="1"/>
      <c r="G872" s="1">
        <f t="shared" si="100"/>
        <v>0</v>
      </c>
      <c r="I872" s="7" t="str">
        <f t="shared" si="94"/>
        <v/>
      </c>
      <c r="J872" s="7" t="str">
        <f t="shared" si="95"/>
        <v/>
      </c>
      <c r="K872" s="7" t="str">
        <f t="shared" si="96"/>
        <v/>
      </c>
      <c r="L872" s="7" t="str">
        <f t="shared" si="97"/>
        <v/>
      </c>
      <c r="M872" s="7" t="str">
        <f t="shared" si="98"/>
        <v/>
      </c>
      <c r="N872" s="7" t="str">
        <f t="shared" si="99"/>
        <v/>
      </c>
      <c r="O872" s="51" t="str">
        <f>IF(G872&gt;0,DT!AC872*I872+DT!AD872*J872+DT!AE872*K872+DT!AF872*L872+DT!AG872*M872+DT!AH872*N872,"")</f>
        <v/>
      </c>
      <c r="P872" s="15"/>
    </row>
    <row r="873" spans="1:16">
      <c r="A873" s="1"/>
      <c r="B873" s="1"/>
      <c r="C873" s="1"/>
      <c r="D873" s="1"/>
      <c r="E873" s="1"/>
      <c r="F873" s="1"/>
      <c r="G873" s="1">
        <f t="shared" si="100"/>
        <v>0</v>
      </c>
      <c r="I873" s="7" t="str">
        <f t="shared" si="94"/>
        <v/>
      </c>
      <c r="J873" s="7" t="str">
        <f t="shared" si="95"/>
        <v/>
      </c>
      <c r="K873" s="7" t="str">
        <f t="shared" si="96"/>
        <v/>
      </c>
      <c r="L873" s="7" t="str">
        <f t="shared" si="97"/>
        <v/>
      </c>
      <c r="M873" s="7" t="str">
        <f t="shared" si="98"/>
        <v/>
      </c>
      <c r="N873" s="7" t="str">
        <f t="shared" si="99"/>
        <v/>
      </c>
      <c r="O873" s="51" t="str">
        <f>IF(G873&gt;0,DT!AC873*I873+DT!AD873*J873+DT!AE873*K873+DT!AF873*L873+DT!AG873*M873+DT!AH873*N873,"")</f>
        <v/>
      </c>
      <c r="P873" s="15"/>
    </row>
    <row r="874" spans="1:16">
      <c r="A874" s="1"/>
      <c r="B874" s="1"/>
      <c r="C874" s="1"/>
      <c r="D874" s="1"/>
      <c r="E874" s="1"/>
      <c r="F874" s="1"/>
      <c r="G874" s="1">
        <f t="shared" si="100"/>
        <v>0</v>
      </c>
      <c r="I874" s="7" t="str">
        <f t="shared" si="94"/>
        <v/>
      </c>
      <c r="J874" s="7" t="str">
        <f t="shared" si="95"/>
        <v/>
      </c>
      <c r="K874" s="7" t="str">
        <f t="shared" si="96"/>
        <v/>
      </c>
      <c r="L874" s="7" t="str">
        <f t="shared" si="97"/>
        <v/>
      </c>
      <c r="M874" s="7" t="str">
        <f t="shared" si="98"/>
        <v/>
      </c>
      <c r="N874" s="7" t="str">
        <f t="shared" si="99"/>
        <v/>
      </c>
      <c r="O874" s="51" t="str">
        <f>IF(G874&gt;0,DT!AC874*I874+DT!AD874*J874+DT!AE874*K874+DT!AF874*L874+DT!AG874*M874+DT!AH874*N874,"")</f>
        <v/>
      </c>
      <c r="P874" s="15"/>
    </row>
    <row r="875" spans="1:16">
      <c r="A875" s="1"/>
      <c r="B875" s="1"/>
      <c r="C875" s="1"/>
      <c r="D875" s="1"/>
      <c r="E875" s="1"/>
      <c r="F875" s="1"/>
      <c r="G875" s="1">
        <f t="shared" si="100"/>
        <v>0</v>
      </c>
      <c r="I875" s="7" t="str">
        <f t="shared" si="94"/>
        <v/>
      </c>
      <c r="J875" s="7" t="str">
        <f t="shared" si="95"/>
        <v/>
      </c>
      <c r="K875" s="7" t="str">
        <f t="shared" si="96"/>
        <v/>
      </c>
      <c r="L875" s="7" t="str">
        <f t="shared" si="97"/>
        <v/>
      </c>
      <c r="M875" s="7" t="str">
        <f t="shared" si="98"/>
        <v/>
      </c>
      <c r="N875" s="7" t="str">
        <f t="shared" si="99"/>
        <v/>
      </c>
      <c r="O875" s="51" t="str">
        <f>IF(G875&gt;0,DT!AC875*I875+DT!AD875*J875+DT!AE875*K875+DT!AF875*L875+DT!AG875*M875+DT!AH875*N875,"")</f>
        <v/>
      </c>
      <c r="P875" s="15"/>
    </row>
    <row r="876" spans="1:16">
      <c r="A876" s="1"/>
      <c r="B876" s="1"/>
      <c r="C876" s="1"/>
      <c r="D876" s="1"/>
      <c r="E876" s="1"/>
      <c r="F876" s="1"/>
      <c r="G876" s="1">
        <f t="shared" si="100"/>
        <v>0</v>
      </c>
      <c r="I876" s="7" t="str">
        <f t="shared" si="94"/>
        <v/>
      </c>
      <c r="J876" s="7" t="str">
        <f t="shared" si="95"/>
        <v/>
      </c>
      <c r="K876" s="7" t="str">
        <f t="shared" si="96"/>
        <v/>
      </c>
      <c r="L876" s="7" t="str">
        <f t="shared" si="97"/>
        <v/>
      </c>
      <c r="M876" s="7" t="str">
        <f t="shared" si="98"/>
        <v/>
      </c>
      <c r="N876" s="7" t="str">
        <f t="shared" si="99"/>
        <v/>
      </c>
      <c r="O876" s="51" t="str">
        <f>IF(G876&gt;0,DT!AC876*I876+DT!AD876*J876+DT!AE876*K876+DT!AF876*L876+DT!AG876*M876+DT!AH876*N876,"")</f>
        <v/>
      </c>
      <c r="P876" s="15"/>
    </row>
    <row r="877" spans="1:16">
      <c r="A877" s="1"/>
      <c r="B877" s="1"/>
      <c r="C877" s="1"/>
      <c r="D877" s="1"/>
      <c r="E877" s="1"/>
      <c r="F877" s="1"/>
      <c r="G877" s="1">
        <f t="shared" si="100"/>
        <v>0</v>
      </c>
      <c r="I877" s="7" t="str">
        <f t="shared" si="94"/>
        <v/>
      </c>
      <c r="J877" s="7" t="str">
        <f t="shared" si="95"/>
        <v/>
      </c>
      <c r="K877" s="7" t="str">
        <f t="shared" si="96"/>
        <v/>
      </c>
      <c r="L877" s="7" t="str">
        <f t="shared" si="97"/>
        <v/>
      </c>
      <c r="M877" s="7" t="str">
        <f t="shared" si="98"/>
        <v/>
      </c>
      <c r="N877" s="7" t="str">
        <f t="shared" si="99"/>
        <v/>
      </c>
      <c r="O877" s="51" t="str">
        <f>IF(G877&gt;0,DT!AC877*I877+DT!AD877*J877+DT!AE877*K877+DT!AF877*L877+DT!AG877*M877+DT!AH877*N877,"")</f>
        <v/>
      </c>
      <c r="P877" s="15"/>
    </row>
    <row r="878" spans="1:16">
      <c r="A878" s="1"/>
      <c r="B878" s="1"/>
      <c r="C878" s="1"/>
      <c r="D878" s="1"/>
      <c r="E878" s="1"/>
      <c r="F878" s="1"/>
      <c r="G878" s="1">
        <f t="shared" si="100"/>
        <v>0</v>
      </c>
      <c r="I878" s="7" t="str">
        <f t="shared" si="94"/>
        <v/>
      </c>
      <c r="J878" s="7" t="str">
        <f t="shared" si="95"/>
        <v/>
      </c>
      <c r="K878" s="7" t="str">
        <f t="shared" si="96"/>
        <v/>
      </c>
      <c r="L878" s="7" t="str">
        <f t="shared" si="97"/>
        <v/>
      </c>
      <c r="M878" s="7" t="str">
        <f t="shared" si="98"/>
        <v/>
      </c>
      <c r="N878" s="7" t="str">
        <f t="shared" si="99"/>
        <v/>
      </c>
      <c r="O878" s="51" t="str">
        <f>IF(G878&gt;0,DT!AC878*I878+DT!AD878*J878+DT!AE878*K878+DT!AF878*L878+DT!AG878*M878+DT!AH878*N878,"")</f>
        <v/>
      </c>
      <c r="P878" s="15"/>
    </row>
    <row r="879" spans="1:16">
      <c r="A879" s="1"/>
      <c r="B879" s="1"/>
      <c r="C879" s="1"/>
      <c r="D879" s="1"/>
      <c r="E879" s="1"/>
      <c r="F879" s="1"/>
      <c r="G879" s="1">
        <f t="shared" si="100"/>
        <v>0</v>
      </c>
      <c r="I879" s="7" t="str">
        <f t="shared" si="94"/>
        <v/>
      </c>
      <c r="J879" s="7" t="str">
        <f t="shared" si="95"/>
        <v/>
      </c>
      <c r="K879" s="7" t="str">
        <f t="shared" si="96"/>
        <v/>
      </c>
      <c r="L879" s="7" t="str">
        <f t="shared" si="97"/>
        <v/>
      </c>
      <c r="M879" s="7" t="str">
        <f t="shared" si="98"/>
        <v/>
      </c>
      <c r="N879" s="7" t="str">
        <f t="shared" si="99"/>
        <v/>
      </c>
      <c r="O879" s="51" t="str">
        <f>IF(G879&gt;0,DT!AC879*I879+DT!AD879*J879+DT!AE879*K879+DT!AF879*L879+DT!AG879*M879+DT!AH879*N879,"")</f>
        <v/>
      </c>
      <c r="P879" s="15"/>
    </row>
    <row r="880" spans="1:16">
      <c r="A880" s="1"/>
      <c r="B880" s="1"/>
      <c r="C880" s="1"/>
      <c r="D880" s="1"/>
      <c r="E880" s="1"/>
      <c r="F880" s="1"/>
      <c r="G880" s="1">
        <f t="shared" si="100"/>
        <v>0</v>
      </c>
      <c r="I880" s="7" t="str">
        <f t="shared" si="94"/>
        <v/>
      </c>
      <c r="J880" s="7" t="str">
        <f t="shared" si="95"/>
        <v/>
      </c>
      <c r="K880" s="7" t="str">
        <f t="shared" si="96"/>
        <v/>
      </c>
      <c r="L880" s="7" t="str">
        <f t="shared" si="97"/>
        <v/>
      </c>
      <c r="M880" s="7" t="str">
        <f t="shared" si="98"/>
        <v/>
      </c>
      <c r="N880" s="7" t="str">
        <f t="shared" si="99"/>
        <v/>
      </c>
      <c r="O880" s="51" t="str">
        <f>IF(G880&gt;0,DT!AC880*I880+DT!AD880*J880+DT!AE880*K880+DT!AF880*L880+DT!AG880*M880+DT!AH880*N880,"")</f>
        <v/>
      </c>
      <c r="P880" s="15"/>
    </row>
    <row r="881" spans="1:16">
      <c r="A881" s="1"/>
      <c r="B881" s="1"/>
      <c r="C881" s="1"/>
      <c r="D881" s="1"/>
      <c r="E881" s="1"/>
      <c r="F881" s="1"/>
      <c r="G881" s="1">
        <f t="shared" si="100"/>
        <v>0</v>
      </c>
      <c r="I881" s="7" t="str">
        <f t="shared" si="94"/>
        <v/>
      </c>
      <c r="J881" s="7" t="str">
        <f t="shared" si="95"/>
        <v/>
      </c>
      <c r="K881" s="7" t="str">
        <f t="shared" si="96"/>
        <v/>
      </c>
      <c r="L881" s="7" t="str">
        <f t="shared" si="97"/>
        <v/>
      </c>
      <c r="M881" s="7" t="str">
        <f t="shared" si="98"/>
        <v/>
      </c>
      <c r="N881" s="7" t="str">
        <f t="shared" si="99"/>
        <v/>
      </c>
      <c r="O881" s="51" t="str">
        <f>IF(G881&gt;0,DT!AC881*I881+DT!AD881*J881+DT!AE881*K881+DT!AF881*L881+DT!AG881*M881+DT!AH881*N881,"")</f>
        <v/>
      </c>
      <c r="P881" s="15"/>
    </row>
    <row r="882" spans="1:16">
      <c r="A882" s="1"/>
      <c r="B882" s="1"/>
      <c r="C882" s="1"/>
      <c r="D882" s="1"/>
      <c r="E882" s="1"/>
      <c r="F882" s="1"/>
      <c r="G882" s="1">
        <f t="shared" si="100"/>
        <v>0</v>
      </c>
      <c r="I882" s="7" t="str">
        <f t="shared" si="94"/>
        <v/>
      </c>
      <c r="J882" s="7" t="str">
        <f t="shared" si="95"/>
        <v/>
      </c>
      <c r="K882" s="7" t="str">
        <f t="shared" si="96"/>
        <v/>
      </c>
      <c r="L882" s="7" t="str">
        <f t="shared" si="97"/>
        <v/>
      </c>
      <c r="M882" s="7" t="str">
        <f t="shared" si="98"/>
        <v/>
      </c>
      <c r="N882" s="7" t="str">
        <f t="shared" si="99"/>
        <v/>
      </c>
      <c r="O882" s="51" t="str">
        <f>IF(G882&gt;0,DT!AC882*I882+DT!AD882*J882+DT!AE882*K882+DT!AF882*L882+DT!AG882*M882+DT!AH882*N882,"")</f>
        <v/>
      </c>
      <c r="P882" s="15"/>
    </row>
    <row r="883" spans="1:16">
      <c r="A883" s="1"/>
      <c r="B883" s="1"/>
      <c r="C883" s="1"/>
      <c r="D883" s="1"/>
      <c r="E883" s="1"/>
      <c r="F883" s="1"/>
      <c r="G883" s="1">
        <f t="shared" si="100"/>
        <v>0</v>
      </c>
      <c r="I883" s="7" t="str">
        <f t="shared" si="94"/>
        <v/>
      </c>
      <c r="J883" s="7" t="str">
        <f t="shared" si="95"/>
        <v/>
      </c>
      <c r="K883" s="7" t="str">
        <f t="shared" si="96"/>
        <v/>
      </c>
      <c r="L883" s="7" t="str">
        <f t="shared" si="97"/>
        <v/>
      </c>
      <c r="M883" s="7" t="str">
        <f t="shared" si="98"/>
        <v/>
      </c>
      <c r="N883" s="7" t="str">
        <f t="shared" si="99"/>
        <v/>
      </c>
      <c r="O883" s="51" t="str">
        <f>IF(G883&gt;0,DT!AC883*I883+DT!AD883*J883+DT!AE883*K883+DT!AF883*L883+DT!AG883*M883+DT!AH883*N883,"")</f>
        <v/>
      </c>
      <c r="P883" s="15"/>
    </row>
    <row r="884" spans="1:16">
      <c r="A884" s="1"/>
      <c r="B884" s="1"/>
      <c r="C884" s="1"/>
      <c r="D884" s="1"/>
      <c r="E884" s="1"/>
      <c r="F884" s="1"/>
      <c r="G884" s="1">
        <f t="shared" si="100"/>
        <v>0</v>
      </c>
      <c r="I884" s="7" t="str">
        <f t="shared" ref="I884:I947" si="101">IF(G884&gt;0,A884/G884,"")</f>
        <v/>
      </c>
      <c r="J884" s="7" t="str">
        <f t="shared" ref="J884:J947" si="102">IF(G884&gt;0,B884/G884,"")</f>
        <v/>
      </c>
      <c r="K884" s="7" t="str">
        <f t="shared" ref="K884:K947" si="103">IF(G884&gt;0,C884/G884,"")</f>
        <v/>
      </c>
      <c r="L884" s="7" t="str">
        <f t="shared" ref="L884:L947" si="104">IF(G884&gt;0,D884/G884,"")</f>
        <v/>
      </c>
      <c r="M884" s="7" t="str">
        <f t="shared" ref="M884:M947" si="105">IF(G884&gt;0,E884/G884,"")</f>
        <v/>
      </c>
      <c r="N884" s="7" t="str">
        <f t="shared" ref="N884:N947" si="106">IF(G884&gt;0,F884/G884,"")</f>
        <v/>
      </c>
      <c r="O884" s="51" t="str">
        <f>IF(G884&gt;0,DT!AC884*I884+DT!AD884*J884+DT!AE884*K884+DT!AF884*L884+DT!AG884*M884+DT!AH884*N884,"")</f>
        <v/>
      </c>
      <c r="P884" s="15"/>
    </row>
    <row r="885" spans="1:16">
      <c r="A885" s="1"/>
      <c r="B885" s="1"/>
      <c r="C885" s="1"/>
      <c r="D885" s="1"/>
      <c r="E885" s="1"/>
      <c r="F885" s="1"/>
      <c r="G885" s="1">
        <f t="shared" si="100"/>
        <v>0</v>
      </c>
      <c r="I885" s="7" t="str">
        <f t="shared" si="101"/>
        <v/>
      </c>
      <c r="J885" s="7" t="str">
        <f t="shared" si="102"/>
        <v/>
      </c>
      <c r="K885" s="7" t="str">
        <f t="shared" si="103"/>
        <v/>
      </c>
      <c r="L885" s="7" t="str">
        <f t="shared" si="104"/>
        <v/>
      </c>
      <c r="M885" s="7" t="str">
        <f t="shared" si="105"/>
        <v/>
      </c>
      <c r="N885" s="7" t="str">
        <f t="shared" si="106"/>
        <v/>
      </c>
      <c r="O885" s="51" t="str">
        <f>IF(G885&gt;0,DT!AC885*I885+DT!AD885*J885+DT!AE885*K885+DT!AF885*L885+DT!AG885*M885+DT!AH885*N885,"")</f>
        <v/>
      </c>
      <c r="P885" s="15"/>
    </row>
    <row r="886" spans="1:16">
      <c r="A886" s="1"/>
      <c r="B886" s="1"/>
      <c r="C886" s="1"/>
      <c r="D886" s="1"/>
      <c r="E886" s="1"/>
      <c r="F886" s="1"/>
      <c r="G886" s="1">
        <f t="shared" si="100"/>
        <v>0</v>
      </c>
      <c r="I886" s="7" t="str">
        <f t="shared" si="101"/>
        <v/>
      </c>
      <c r="J886" s="7" t="str">
        <f t="shared" si="102"/>
        <v/>
      </c>
      <c r="K886" s="7" t="str">
        <f t="shared" si="103"/>
        <v/>
      </c>
      <c r="L886" s="7" t="str">
        <f t="shared" si="104"/>
        <v/>
      </c>
      <c r="M886" s="7" t="str">
        <f t="shared" si="105"/>
        <v/>
      </c>
      <c r="N886" s="7" t="str">
        <f t="shared" si="106"/>
        <v/>
      </c>
      <c r="O886" s="51" t="str">
        <f>IF(G886&gt;0,DT!AC886*I886+DT!AD886*J886+DT!AE886*K886+DT!AF886*L886+DT!AG886*M886+DT!AH886*N886,"")</f>
        <v/>
      </c>
      <c r="P886" s="15"/>
    </row>
    <row r="887" spans="1:16">
      <c r="A887" s="1"/>
      <c r="B887" s="1"/>
      <c r="C887" s="1"/>
      <c r="D887" s="1"/>
      <c r="E887" s="1"/>
      <c r="F887" s="1"/>
      <c r="G887" s="1">
        <f t="shared" si="100"/>
        <v>0</v>
      </c>
      <c r="I887" s="7" t="str">
        <f t="shared" si="101"/>
        <v/>
      </c>
      <c r="J887" s="7" t="str">
        <f t="shared" si="102"/>
        <v/>
      </c>
      <c r="K887" s="7" t="str">
        <f t="shared" si="103"/>
        <v/>
      </c>
      <c r="L887" s="7" t="str">
        <f t="shared" si="104"/>
        <v/>
      </c>
      <c r="M887" s="7" t="str">
        <f t="shared" si="105"/>
        <v/>
      </c>
      <c r="N887" s="7" t="str">
        <f t="shared" si="106"/>
        <v/>
      </c>
      <c r="O887" s="51" t="str">
        <f>IF(G887&gt;0,DT!AC887*I887+DT!AD887*J887+DT!AE887*K887+DT!AF887*L887+DT!AG887*M887+DT!AH887*N887,"")</f>
        <v/>
      </c>
      <c r="P887" s="15"/>
    </row>
    <row r="888" spans="1:16">
      <c r="A888" s="1"/>
      <c r="B888" s="1"/>
      <c r="C888" s="1"/>
      <c r="D888" s="1"/>
      <c r="E888" s="1"/>
      <c r="F888" s="1"/>
      <c r="G888" s="1">
        <f t="shared" si="100"/>
        <v>0</v>
      </c>
      <c r="I888" s="7" t="str">
        <f t="shared" si="101"/>
        <v/>
      </c>
      <c r="J888" s="7" t="str">
        <f t="shared" si="102"/>
        <v/>
      </c>
      <c r="K888" s="7" t="str">
        <f t="shared" si="103"/>
        <v/>
      </c>
      <c r="L888" s="7" t="str">
        <f t="shared" si="104"/>
        <v/>
      </c>
      <c r="M888" s="7" t="str">
        <f t="shared" si="105"/>
        <v/>
      </c>
      <c r="N888" s="7" t="str">
        <f t="shared" si="106"/>
        <v/>
      </c>
      <c r="O888" s="51" t="str">
        <f>IF(G888&gt;0,DT!AC888*I888+DT!AD888*J888+DT!AE888*K888+DT!AF888*L888+DT!AG888*M888+DT!AH888*N888,"")</f>
        <v/>
      </c>
      <c r="P888" s="15"/>
    </row>
    <row r="889" spans="1:16">
      <c r="A889" s="1"/>
      <c r="B889" s="1"/>
      <c r="C889" s="1"/>
      <c r="D889" s="1"/>
      <c r="E889" s="1"/>
      <c r="F889" s="1"/>
      <c r="G889" s="1">
        <f t="shared" si="100"/>
        <v>0</v>
      </c>
      <c r="I889" s="7" t="str">
        <f t="shared" si="101"/>
        <v/>
      </c>
      <c r="J889" s="7" t="str">
        <f t="shared" si="102"/>
        <v/>
      </c>
      <c r="K889" s="7" t="str">
        <f t="shared" si="103"/>
        <v/>
      </c>
      <c r="L889" s="7" t="str">
        <f t="shared" si="104"/>
        <v/>
      </c>
      <c r="M889" s="7" t="str">
        <f t="shared" si="105"/>
        <v/>
      </c>
      <c r="N889" s="7" t="str">
        <f t="shared" si="106"/>
        <v/>
      </c>
      <c r="O889" s="51" t="str">
        <f>IF(G889&gt;0,DT!AC889*I889+DT!AD889*J889+DT!AE889*K889+DT!AF889*L889+DT!AG889*M889+DT!AH889*N889,"")</f>
        <v/>
      </c>
      <c r="P889" s="15"/>
    </row>
    <row r="890" spans="1:16">
      <c r="A890" s="1"/>
      <c r="B890" s="1"/>
      <c r="C890" s="1"/>
      <c r="D890" s="1"/>
      <c r="E890" s="1"/>
      <c r="F890" s="1"/>
      <c r="G890" s="1">
        <f t="shared" si="100"/>
        <v>0</v>
      </c>
      <c r="I890" s="7" t="str">
        <f t="shared" si="101"/>
        <v/>
      </c>
      <c r="J890" s="7" t="str">
        <f t="shared" si="102"/>
        <v/>
      </c>
      <c r="K890" s="7" t="str">
        <f t="shared" si="103"/>
        <v/>
      </c>
      <c r="L890" s="7" t="str">
        <f t="shared" si="104"/>
        <v/>
      </c>
      <c r="M890" s="7" t="str">
        <f t="shared" si="105"/>
        <v/>
      </c>
      <c r="N890" s="7" t="str">
        <f t="shared" si="106"/>
        <v/>
      </c>
      <c r="O890" s="51" t="str">
        <f>IF(G890&gt;0,DT!AC890*I890+DT!AD890*J890+DT!AE890*K890+DT!AF890*L890+DT!AG890*M890+DT!AH890*N890,"")</f>
        <v/>
      </c>
      <c r="P890" s="15"/>
    </row>
    <row r="891" spans="1:16">
      <c r="A891" s="1"/>
      <c r="B891" s="1"/>
      <c r="C891" s="1"/>
      <c r="D891" s="1"/>
      <c r="E891" s="1"/>
      <c r="F891" s="1"/>
      <c r="G891" s="1">
        <f t="shared" si="100"/>
        <v>0</v>
      </c>
      <c r="I891" s="7" t="str">
        <f t="shared" si="101"/>
        <v/>
      </c>
      <c r="J891" s="7" t="str">
        <f t="shared" si="102"/>
        <v/>
      </c>
      <c r="K891" s="7" t="str">
        <f t="shared" si="103"/>
        <v/>
      </c>
      <c r="L891" s="7" t="str">
        <f t="shared" si="104"/>
        <v/>
      </c>
      <c r="M891" s="7" t="str">
        <f t="shared" si="105"/>
        <v/>
      </c>
      <c r="N891" s="7" t="str">
        <f t="shared" si="106"/>
        <v/>
      </c>
      <c r="O891" s="51" t="str">
        <f>IF(G891&gt;0,DT!AC891*I891+DT!AD891*J891+DT!AE891*K891+DT!AF891*L891+DT!AG891*M891+DT!AH891*N891,"")</f>
        <v/>
      </c>
      <c r="P891" s="15"/>
    </row>
    <row r="892" spans="1:16">
      <c r="A892" s="1"/>
      <c r="B892" s="1"/>
      <c r="C892" s="1"/>
      <c r="D892" s="1"/>
      <c r="E892" s="1"/>
      <c r="F892" s="1"/>
      <c r="G892" s="1">
        <f t="shared" si="100"/>
        <v>0</v>
      </c>
      <c r="I892" s="7" t="str">
        <f t="shared" si="101"/>
        <v/>
      </c>
      <c r="J892" s="7" t="str">
        <f t="shared" si="102"/>
        <v/>
      </c>
      <c r="K892" s="7" t="str">
        <f t="shared" si="103"/>
        <v/>
      </c>
      <c r="L892" s="7" t="str">
        <f t="shared" si="104"/>
        <v/>
      </c>
      <c r="M892" s="7" t="str">
        <f t="shared" si="105"/>
        <v/>
      </c>
      <c r="N892" s="7" t="str">
        <f t="shared" si="106"/>
        <v/>
      </c>
      <c r="O892" s="51" t="str">
        <f>IF(G892&gt;0,DT!AC892*I892+DT!AD892*J892+DT!AE892*K892+DT!AF892*L892+DT!AG892*M892+DT!AH892*N892,"")</f>
        <v/>
      </c>
      <c r="P892" s="15"/>
    </row>
    <row r="893" spans="1:16">
      <c r="A893" s="1"/>
      <c r="B893" s="1"/>
      <c r="C893" s="1"/>
      <c r="D893" s="1"/>
      <c r="E893" s="1"/>
      <c r="F893" s="1"/>
      <c r="G893" s="1">
        <f t="shared" si="100"/>
        <v>0</v>
      </c>
      <c r="I893" s="7" t="str">
        <f t="shared" si="101"/>
        <v/>
      </c>
      <c r="J893" s="7" t="str">
        <f t="shared" si="102"/>
        <v/>
      </c>
      <c r="K893" s="7" t="str">
        <f t="shared" si="103"/>
        <v/>
      </c>
      <c r="L893" s="7" t="str">
        <f t="shared" si="104"/>
        <v/>
      </c>
      <c r="M893" s="7" t="str">
        <f t="shared" si="105"/>
        <v/>
      </c>
      <c r="N893" s="7" t="str">
        <f t="shared" si="106"/>
        <v/>
      </c>
      <c r="O893" s="51" t="str">
        <f>IF(G893&gt;0,DT!AC893*I893+DT!AD893*J893+DT!AE893*K893+DT!AF893*L893+DT!AG893*M893+DT!AH893*N893,"")</f>
        <v/>
      </c>
      <c r="P893" s="15"/>
    </row>
    <row r="894" spans="1:16">
      <c r="A894" s="1"/>
      <c r="B894" s="1"/>
      <c r="C894" s="1"/>
      <c r="D894" s="1"/>
      <c r="E894" s="1"/>
      <c r="F894" s="1"/>
      <c r="G894" s="1">
        <f t="shared" si="100"/>
        <v>0</v>
      </c>
      <c r="I894" s="7" t="str">
        <f t="shared" si="101"/>
        <v/>
      </c>
      <c r="J894" s="7" t="str">
        <f t="shared" si="102"/>
        <v/>
      </c>
      <c r="K894" s="7" t="str">
        <f t="shared" si="103"/>
        <v/>
      </c>
      <c r="L894" s="7" t="str">
        <f t="shared" si="104"/>
        <v/>
      </c>
      <c r="M894" s="7" t="str">
        <f t="shared" si="105"/>
        <v/>
      </c>
      <c r="N894" s="7" t="str">
        <f t="shared" si="106"/>
        <v/>
      </c>
      <c r="O894" s="51" t="str">
        <f>IF(G894&gt;0,DT!AC894*I894+DT!AD894*J894+DT!AE894*K894+DT!AF894*L894+DT!AG894*M894+DT!AH894*N894,"")</f>
        <v/>
      </c>
      <c r="P894" s="15"/>
    </row>
    <row r="895" spans="1:16">
      <c r="A895" s="1"/>
      <c r="B895" s="1"/>
      <c r="C895" s="1"/>
      <c r="D895" s="1"/>
      <c r="E895" s="1"/>
      <c r="F895" s="1"/>
      <c r="G895" s="1">
        <f t="shared" si="100"/>
        <v>0</v>
      </c>
      <c r="I895" s="7" t="str">
        <f t="shared" si="101"/>
        <v/>
      </c>
      <c r="J895" s="7" t="str">
        <f t="shared" si="102"/>
        <v/>
      </c>
      <c r="K895" s="7" t="str">
        <f t="shared" si="103"/>
        <v/>
      </c>
      <c r="L895" s="7" t="str">
        <f t="shared" si="104"/>
        <v/>
      </c>
      <c r="M895" s="7" t="str">
        <f t="shared" si="105"/>
        <v/>
      </c>
      <c r="N895" s="7" t="str">
        <f t="shared" si="106"/>
        <v/>
      </c>
      <c r="O895" s="51" t="str">
        <f>IF(G895&gt;0,DT!AC895*I895+DT!AD895*J895+DT!AE895*K895+DT!AF895*L895+DT!AG895*M895+DT!AH895*N895,"")</f>
        <v/>
      </c>
      <c r="P895" s="15"/>
    </row>
    <row r="896" spans="1:16">
      <c r="A896" s="1"/>
      <c r="B896" s="1"/>
      <c r="C896" s="1"/>
      <c r="D896" s="1"/>
      <c r="E896" s="1"/>
      <c r="F896" s="1"/>
      <c r="G896" s="1">
        <f t="shared" si="100"/>
        <v>0</v>
      </c>
      <c r="I896" s="7" t="str">
        <f t="shared" si="101"/>
        <v/>
      </c>
      <c r="J896" s="7" t="str">
        <f t="shared" si="102"/>
        <v/>
      </c>
      <c r="K896" s="7" t="str">
        <f t="shared" si="103"/>
        <v/>
      </c>
      <c r="L896" s="7" t="str">
        <f t="shared" si="104"/>
        <v/>
      </c>
      <c r="M896" s="7" t="str">
        <f t="shared" si="105"/>
        <v/>
      </c>
      <c r="N896" s="7" t="str">
        <f t="shared" si="106"/>
        <v/>
      </c>
      <c r="O896" s="51" t="str">
        <f>IF(G896&gt;0,DT!AC896*I896+DT!AD896*J896+DT!AE896*K896+DT!AF896*L896+DT!AG896*M896+DT!AH896*N896,"")</f>
        <v/>
      </c>
      <c r="P896" s="15"/>
    </row>
    <row r="897" spans="1:16">
      <c r="A897" s="1"/>
      <c r="B897" s="1"/>
      <c r="C897" s="1"/>
      <c r="D897" s="1"/>
      <c r="E897" s="1"/>
      <c r="F897" s="1"/>
      <c r="G897" s="1">
        <f t="shared" si="100"/>
        <v>0</v>
      </c>
      <c r="I897" s="7" t="str">
        <f t="shared" si="101"/>
        <v/>
      </c>
      <c r="J897" s="7" t="str">
        <f t="shared" si="102"/>
        <v/>
      </c>
      <c r="K897" s="7" t="str">
        <f t="shared" si="103"/>
        <v/>
      </c>
      <c r="L897" s="7" t="str">
        <f t="shared" si="104"/>
        <v/>
      </c>
      <c r="M897" s="7" t="str">
        <f t="shared" si="105"/>
        <v/>
      </c>
      <c r="N897" s="7" t="str">
        <f t="shared" si="106"/>
        <v/>
      </c>
      <c r="O897" s="51" t="str">
        <f>IF(G897&gt;0,DT!AC897*I897+DT!AD897*J897+DT!AE897*K897+DT!AF897*L897+DT!AG897*M897+DT!AH897*N897,"")</f>
        <v/>
      </c>
      <c r="P897" s="15"/>
    </row>
    <row r="898" spans="1:16">
      <c r="A898" s="1"/>
      <c r="B898" s="1"/>
      <c r="C898" s="1"/>
      <c r="D898" s="1"/>
      <c r="E898" s="1"/>
      <c r="F898" s="1"/>
      <c r="G898" s="1">
        <f t="shared" si="100"/>
        <v>0</v>
      </c>
      <c r="I898" s="7" t="str">
        <f t="shared" si="101"/>
        <v/>
      </c>
      <c r="J898" s="7" t="str">
        <f t="shared" si="102"/>
        <v/>
      </c>
      <c r="K898" s="7" t="str">
        <f t="shared" si="103"/>
        <v/>
      </c>
      <c r="L898" s="7" t="str">
        <f t="shared" si="104"/>
        <v/>
      </c>
      <c r="M898" s="7" t="str">
        <f t="shared" si="105"/>
        <v/>
      </c>
      <c r="N898" s="7" t="str">
        <f t="shared" si="106"/>
        <v/>
      </c>
      <c r="O898" s="51" t="str">
        <f>IF(G898&gt;0,DT!AC898*I898+DT!AD898*J898+DT!AE898*K898+DT!AF898*L898+DT!AG898*M898+DT!AH898*N898,"")</f>
        <v/>
      </c>
      <c r="P898" s="15"/>
    </row>
    <row r="899" spans="1:16">
      <c r="A899" s="1"/>
      <c r="B899" s="1"/>
      <c r="C899" s="1"/>
      <c r="D899" s="1"/>
      <c r="E899" s="1"/>
      <c r="F899" s="1"/>
      <c r="G899" s="1">
        <f t="shared" si="100"/>
        <v>0</v>
      </c>
      <c r="I899" s="7" t="str">
        <f t="shared" si="101"/>
        <v/>
      </c>
      <c r="J899" s="7" t="str">
        <f t="shared" si="102"/>
        <v/>
      </c>
      <c r="K899" s="7" t="str">
        <f t="shared" si="103"/>
        <v/>
      </c>
      <c r="L899" s="7" t="str">
        <f t="shared" si="104"/>
        <v/>
      </c>
      <c r="M899" s="7" t="str">
        <f t="shared" si="105"/>
        <v/>
      </c>
      <c r="N899" s="7" t="str">
        <f t="shared" si="106"/>
        <v/>
      </c>
      <c r="O899" s="51" t="str">
        <f>IF(G899&gt;0,DT!AC899*I899+DT!AD899*J899+DT!AE899*K899+DT!AF899*L899+DT!AG899*M899+DT!AH899*N899,"")</f>
        <v/>
      </c>
      <c r="P899" s="15"/>
    </row>
    <row r="900" spans="1:16">
      <c r="A900" s="1"/>
      <c r="B900" s="1"/>
      <c r="C900" s="1"/>
      <c r="D900" s="1"/>
      <c r="E900" s="1"/>
      <c r="F900" s="1"/>
      <c r="G900" s="1">
        <f t="shared" si="100"/>
        <v>0</v>
      </c>
      <c r="I900" s="7" t="str">
        <f t="shared" si="101"/>
        <v/>
      </c>
      <c r="J900" s="7" t="str">
        <f t="shared" si="102"/>
        <v/>
      </c>
      <c r="K900" s="7" t="str">
        <f t="shared" si="103"/>
        <v/>
      </c>
      <c r="L900" s="7" t="str">
        <f t="shared" si="104"/>
        <v/>
      </c>
      <c r="M900" s="7" t="str">
        <f t="shared" si="105"/>
        <v/>
      </c>
      <c r="N900" s="7" t="str">
        <f t="shared" si="106"/>
        <v/>
      </c>
      <c r="O900" s="51" t="str">
        <f>IF(G900&gt;0,DT!AC900*I900+DT!AD900*J900+DT!AE900*K900+DT!AF900*L900+DT!AG900*M900+DT!AH900*N900,"")</f>
        <v/>
      </c>
      <c r="P900" s="15"/>
    </row>
    <row r="901" spans="1:16">
      <c r="A901" s="1"/>
      <c r="B901" s="1"/>
      <c r="C901" s="1"/>
      <c r="D901" s="1"/>
      <c r="E901" s="1"/>
      <c r="F901" s="1"/>
      <c r="G901" s="1">
        <f t="shared" ref="G901:G964" si="107">SUM(A901:F901)</f>
        <v>0</v>
      </c>
      <c r="I901" s="7" t="str">
        <f t="shared" si="101"/>
        <v/>
      </c>
      <c r="J901" s="7" t="str">
        <f t="shared" si="102"/>
        <v/>
      </c>
      <c r="K901" s="7" t="str">
        <f t="shared" si="103"/>
        <v/>
      </c>
      <c r="L901" s="7" t="str">
        <f t="shared" si="104"/>
        <v/>
      </c>
      <c r="M901" s="7" t="str">
        <f t="shared" si="105"/>
        <v/>
      </c>
      <c r="N901" s="7" t="str">
        <f t="shared" si="106"/>
        <v/>
      </c>
      <c r="O901" s="51" t="str">
        <f>IF(G901&gt;0,DT!AC901*I901+DT!AD901*J901+DT!AE901*K901+DT!AF901*L901+DT!AG901*M901+DT!AH901*N901,"")</f>
        <v/>
      </c>
      <c r="P901" s="15"/>
    </row>
    <row r="902" spans="1:16">
      <c r="A902" s="1"/>
      <c r="B902" s="1"/>
      <c r="C902" s="1"/>
      <c r="D902" s="1"/>
      <c r="E902" s="1"/>
      <c r="F902" s="1"/>
      <c r="G902" s="1">
        <f t="shared" si="107"/>
        <v>0</v>
      </c>
      <c r="I902" s="7" t="str">
        <f t="shared" si="101"/>
        <v/>
      </c>
      <c r="J902" s="7" t="str">
        <f t="shared" si="102"/>
        <v/>
      </c>
      <c r="K902" s="7" t="str">
        <f t="shared" si="103"/>
        <v/>
      </c>
      <c r="L902" s="7" t="str">
        <f t="shared" si="104"/>
        <v/>
      </c>
      <c r="M902" s="7" t="str">
        <f t="shared" si="105"/>
        <v/>
      </c>
      <c r="N902" s="7" t="str">
        <f t="shared" si="106"/>
        <v/>
      </c>
      <c r="O902" s="51" t="str">
        <f>IF(G902&gt;0,DT!AC902*I902+DT!AD902*J902+DT!AE902*K902+DT!AF902*L902+DT!AG902*M902+DT!AH902*N902,"")</f>
        <v/>
      </c>
      <c r="P902" s="15"/>
    </row>
    <row r="903" spans="1:16">
      <c r="A903" s="1"/>
      <c r="B903" s="1"/>
      <c r="C903" s="1"/>
      <c r="D903" s="1"/>
      <c r="E903" s="1"/>
      <c r="F903" s="1"/>
      <c r="G903" s="1">
        <f t="shared" si="107"/>
        <v>0</v>
      </c>
      <c r="I903" s="7" t="str">
        <f t="shared" si="101"/>
        <v/>
      </c>
      <c r="J903" s="7" t="str">
        <f t="shared" si="102"/>
        <v/>
      </c>
      <c r="K903" s="7" t="str">
        <f t="shared" si="103"/>
        <v/>
      </c>
      <c r="L903" s="7" t="str">
        <f t="shared" si="104"/>
        <v/>
      </c>
      <c r="M903" s="7" t="str">
        <f t="shared" si="105"/>
        <v/>
      </c>
      <c r="N903" s="7" t="str">
        <f t="shared" si="106"/>
        <v/>
      </c>
      <c r="O903" s="51" t="str">
        <f>IF(G903&gt;0,DT!AC903*I903+DT!AD903*J903+DT!AE903*K903+DT!AF903*L903+DT!AG903*M903+DT!AH903*N903,"")</f>
        <v/>
      </c>
      <c r="P903" s="15"/>
    </row>
    <row r="904" spans="1:16">
      <c r="A904" s="1"/>
      <c r="B904" s="1"/>
      <c r="C904" s="1"/>
      <c r="D904" s="1"/>
      <c r="E904" s="1"/>
      <c r="F904" s="1"/>
      <c r="G904" s="1">
        <f t="shared" si="107"/>
        <v>0</v>
      </c>
      <c r="I904" s="7" t="str">
        <f t="shared" si="101"/>
        <v/>
      </c>
      <c r="J904" s="7" t="str">
        <f t="shared" si="102"/>
        <v/>
      </c>
      <c r="K904" s="7" t="str">
        <f t="shared" si="103"/>
        <v/>
      </c>
      <c r="L904" s="7" t="str">
        <f t="shared" si="104"/>
        <v/>
      </c>
      <c r="M904" s="7" t="str">
        <f t="shared" si="105"/>
        <v/>
      </c>
      <c r="N904" s="7" t="str">
        <f t="shared" si="106"/>
        <v/>
      </c>
      <c r="O904" s="51" t="str">
        <f>IF(G904&gt;0,DT!AC904*I904+DT!AD904*J904+DT!AE904*K904+DT!AF904*L904+DT!AG904*M904+DT!AH904*N904,"")</f>
        <v/>
      </c>
      <c r="P904" s="15"/>
    </row>
    <row r="905" spans="1:16">
      <c r="A905" s="1"/>
      <c r="B905" s="1"/>
      <c r="C905" s="1"/>
      <c r="D905" s="1"/>
      <c r="E905" s="1"/>
      <c r="F905" s="1"/>
      <c r="G905" s="1">
        <f t="shared" si="107"/>
        <v>0</v>
      </c>
      <c r="I905" s="7" t="str">
        <f t="shared" si="101"/>
        <v/>
      </c>
      <c r="J905" s="7" t="str">
        <f t="shared" si="102"/>
        <v/>
      </c>
      <c r="K905" s="7" t="str">
        <f t="shared" si="103"/>
        <v/>
      </c>
      <c r="L905" s="7" t="str">
        <f t="shared" si="104"/>
        <v/>
      </c>
      <c r="M905" s="7" t="str">
        <f t="shared" si="105"/>
        <v/>
      </c>
      <c r="N905" s="7" t="str">
        <f t="shared" si="106"/>
        <v/>
      </c>
      <c r="O905" s="51" t="str">
        <f>IF(G905&gt;0,DT!AC905*I905+DT!AD905*J905+DT!AE905*K905+DT!AF905*L905+DT!AG905*M905+DT!AH905*N905,"")</f>
        <v/>
      </c>
      <c r="P905" s="15"/>
    </row>
    <row r="906" spans="1:16">
      <c r="A906" s="1"/>
      <c r="B906" s="1"/>
      <c r="C906" s="1"/>
      <c r="D906" s="1"/>
      <c r="E906" s="1"/>
      <c r="F906" s="1"/>
      <c r="G906" s="1">
        <f t="shared" si="107"/>
        <v>0</v>
      </c>
      <c r="I906" s="7" t="str">
        <f t="shared" si="101"/>
        <v/>
      </c>
      <c r="J906" s="7" t="str">
        <f t="shared" si="102"/>
        <v/>
      </c>
      <c r="K906" s="7" t="str">
        <f t="shared" si="103"/>
        <v/>
      </c>
      <c r="L906" s="7" t="str">
        <f t="shared" si="104"/>
        <v/>
      </c>
      <c r="M906" s="7" t="str">
        <f t="shared" si="105"/>
        <v/>
      </c>
      <c r="N906" s="7" t="str">
        <f t="shared" si="106"/>
        <v/>
      </c>
      <c r="O906" s="51" t="str">
        <f>IF(G906&gt;0,DT!AC906*I906+DT!AD906*J906+DT!AE906*K906+DT!AF906*L906+DT!AG906*M906+DT!AH906*N906,"")</f>
        <v/>
      </c>
      <c r="P906" s="15"/>
    </row>
    <row r="907" spans="1:16">
      <c r="A907" s="1"/>
      <c r="B907" s="1"/>
      <c r="C907" s="1"/>
      <c r="D907" s="1"/>
      <c r="E907" s="1"/>
      <c r="F907" s="1"/>
      <c r="G907" s="1">
        <f t="shared" si="107"/>
        <v>0</v>
      </c>
      <c r="I907" s="7" t="str">
        <f t="shared" si="101"/>
        <v/>
      </c>
      <c r="J907" s="7" t="str">
        <f t="shared" si="102"/>
        <v/>
      </c>
      <c r="K907" s="7" t="str">
        <f t="shared" si="103"/>
        <v/>
      </c>
      <c r="L907" s="7" t="str">
        <f t="shared" si="104"/>
        <v/>
      </c>
      <c r="M907" s="7" t="str">
        <f t="shared" si="105"/>
        <v/>
      </c>
      <c r="N907" s="7" t="str">
        <f t="shared" si="106"/>
        <v/>
      </c>
      <c r="O907" s="51" t="str">
        <f>IF(G907&gt;0,DT!AC907*I907+DT!AD907*J907+DT!AE907*K907+DT!AF907*L907+DT!AG907*M907+DT!AH907*N907,"")</f>
        <v/>
      </c>
      <c r="P907" s="15"/>
    </row>
    <row r="908" spans="1:16">
      <c r="A908" s="1"/>
      <c r="B908" s="1"/>
      <c r="C908" s="1"/>
      <c r="D908" s="1"/>
      <c r="E908" s="1"/>
      <c r="F908" s="1"/>
      <c r="G908" s="1">
        <f t="shared" si="107"/>
        <v>0</v>
      </c>
      <c r="I908" s="7" t="str">
        <f t="shared" si="101"/>
        <v/>
      </c>
      <c r="J908" s="7" t="str">
        <f t="shared" si="102"/>
        <v/>
      </c>
      <c r="K908" s="7" t="str">
        <f t="shared" si="103"/>
        <v/>
      </c>
      <c r="L908" s="7" t="str">
        <f t="shared" si="104"/>
        <v/>
      </c>
      <c r="M908" s="7" t="str">
        <f t="shared" si="105"/>
        <v/>
      </c>
      <c r="N908" s="7" t="str">
        <f t="shared" si="106"/>
        <v/>
      </c>
      <c r="O908" s="51" t="str">
        <f>IF(G908&gt;0,DT!AC908*I908+DT!AD908*J908+DT!AE908*K908+DT!AF908*L908+DT!AG908*M908+DT!AH908*N908,"")</f>
        <v/>
      </c>
      <c r="P908" s="15"/>
    </row>
    <row r="909" spans="1:16">
      <c r="A909" s="1"/>
      <c r="B909" s="1"/>
      <c r="C909" s="1"/>
      <c r="D909" s="1"/>
      <c r="E909" s="1"/>
      <c r="F909" s="1"/>
      <c r="G909" s="1">
        <f t="shared" si="107"/>
        <v>0</v>
      </c>
      <c r="I909" s="7" t="str">
        <f t="shared" si="101"/>
        <v/>
      </c>
      <c r="J909" s="7" t="str">
        <f t="shared" si="102"/>
        <v/>
      </c>
      <c r="K909" s="7" t="str">
        <f t="shared" si="103"/>
        <v/>
      </c>
      <c r="L909" s="7" t="str">
        <f t="shared" si="104"/>
        <v/>
      </c>
      <c r="M909" s="7" t="str">
        <f t="shared" si="105"/>
        <v/>
      </c>
      <c r="N909" s="7" t="str">
        <f t="shared" si="106"/>
        <v/>
      </c>
      <c r="O909" s="51" t="str">
        <f>IF(G909&gt;0,DT!AC909*I909+DT!AD909*J909+DT!AE909*K909+DT!AF909*L909+DT!AG909*M909+DT!AH909*N909,"")</f>
        <v/>
      </c>
      <c r="P909" s="15"/>
    </row>
    <row r="910" spans="1:16">
      <c r="A910" s="1"/>
      <c r="B910" s="1"/>
      <c r="C910" s="1"/>
      <c r="D910" s="1"/>
      <c r="E910" s="1"/>
      <c r="F910" s="1"/>
      <c r="G910" s="1">
        <f t="shared" si="107"/>
        <v>0</v>
      </c>
      <c r="I910" s="7" t="str">
        <f t="shared" si="101"/>
        <v/>
      </c>
      <c r="J910" s="7" t="str">
        <f t="shared" si="102"/>
        <v/>
      </c>
      <c r="K910" s="7" t="str">
        <f t="shared" si="103"/>
        <v/>
      </c>
      <c r="L910" s="7" t="str">
        <f t="shared" si="104"/>
        <v/>
      </c>
      <c r="M910" s="7" t="str">
        <f t="shared" si="105"/>
        <v/>
      </c>
      <c r="N910" s="7" t="str">
        <f t="shared" si="106"/>
        <v/>
      </c>
      <c r="O910" s="51" t="str">
        <f>IF(G910&gt;0,DT!AC910*I910+DT!AD910*J910+DT!AE910*K910+DT!AF910*L910+DT!AG910*M910+DT!AH910*N910,"")</f>
        <v/>
      </c>
      <c r="P910" s="15"/>
    </row>
    <row r="911" spans="1:16">
      <c r="A911" s="1"/>
      <c r="B911" s="1"/>
      <c r="C911" s="1"/>
      <c r="D911" s="1"/>
      <c r="E911" s="1"/>
      <c r="F911" s="1"/>
      <c r="G911" s="1">
        <f t="shared" si="107"/>
        <v>0</v>
      </c>
      <c r="I911" s="7" t="str">
        <f t="shared" si="101"/>
        <v/>
      </c>
      <c r="J911" s="7" t="str">
        <f t="shared" si="102"/>
        <v/>
      </c>
      <c r="K911" s="7" t="str">
        <f t="shared" si="103"/>
        <v/>
      </c>
      <c r="L911" s="7" t="str">
        <f t="shared" si="104"/>
        <v/>
      </c>
      <c r="M911" s="7" t="str">
        <f t="shared" si="105"/>
        <v/>
      </c>
      <c r="N911" s="7" t="str">
        <f t="shared" si="106"/>
        <v/>
      </c>
      <c r="O911" s="51" t="str">
        <f>IF(G911&gt;0,DT!AC911*I911+DT!AD911*J911+DT!AE911*K911+DT!AF911*L911+DT!AG911*M911+DT!AH911*N911,"")</f>
        <v/>
      </c>
      <c r="P911" s="15"/>
    </row>
    <row r="912" spans="1:16">
      <c r="A912" s="1"/>
      <c r="B912" s="1"/>
      <c r="C912" s="1"/>
      <c r="D912" s="1"/>
      <c r="E912" s="1"/>
      <c r="F912" s="1"/>
      <c r="G912" s="1">
        <f t="shared" si="107"/>
        <v>0</v>
      </c>
      <c r="I912" s="7" t="str">
        <f t="shared" si="101"/>
        <v/>
      </c>
      <c r="J912" s="7" t="str">
        <f t="shared" si="102"/>
        <v/>
      </c>
      <c r="K912" s="7" t="str">
        <f t="shared" si="103"/>
        <v/>
      </c>
      <c r="L912" s="7" t="str">
        <f t="shared" si="104"/>
        <v/>
      </c>
      <c r="M912" s="7" t="str">
        <f t="shared" si="105"/>
        <v/>
      </c>
      <c r="N912" s="7" t="str">
        <f t="shared" si="106"/>
        <v/>
      </c>
      <c r="O912" s="51" t="str">
        <f>IF(G912&gt;0,DT!AC912*I912+DT!AD912*J912+DT!AE912*K912+DT!AF912*L912+DT!AG912*M912+DT!AH912*N912,"")</f>
        <v/>
      </c>
      <c r="P912" s="15"/>
    </row>
    <row r="913" spans="1:16">
      <c r="A913" s="1"/>
      <c r="B913" s="1"/>
      <c r="C913" s="1"/>
      <c r="D913" s="1"/>
      <c r="E913" s="1"/>
      <c r="F913" s="1"/>
      <c r="G913" s="1">
        <f t="shared" si="107"/>
        <v>0</v>
      </c>
      <c r="I913" s="7" t="str">
        <f t="shared" si="101"/>
        <v/>
      </c>
      <c r="J913" s="7" t="str">
        <f t="shared" si="102"/>
        <v/>
      </c>
      <c r="K913" s="7" t="str">
        <f t="shared" si="103"/>
        <v/>
      </c>
      <c r="L913" s="7" t="str">
        <f t="shared" si="104"/>
        <v/>
      </c>
      <c r="M913" s="7" t="str">
        <f t="shared" si="105"/>
        <v/>
      </c>
      <c r="N913" s="7" t="str">
        <f t="shared" si="106"/>
        <v/>
      </c>
      <c r="O913" s="51" t="str">
        <f>IF(G913&gt;0,DT!AC913*I913+DT!AD913*J913+DT!AE913*K913+DT!AF913*L913+DT!AG913*M913+DT!AH913*N913,"")</f>
        <v/>
      </c>
      <c r="P913" s="15"/>
    </row>
    <row r="914" spans="1:16">
      <c r="A914" s="1"/>
      <c r="B914" s="1"/>
      <c r="C914" s="1"/>
      <c r="D914" s="1"/>
      <c r="E914" s="1"/>
      <c r="F914" s="1"/>
      <c r="G914" s="1">
        <f t="shared" si="107"/>
        <v>0</v>
      </c>
      <c r="I914" s="7" t="str">
        <f t="shared" si="101"/>
        <v/>
      </c>
      <c r="J914" s="7" t="str">
        <f t="shared" si="102"/>
        <v/>
      </c>
      <c r="K914" s="7" t="str">
        <f t="shared" si="103"/>
        <v/>
      </c>
      <c r="L914" s="7" t="str">
        <f t="shared" si="104"/>
        <v/>
      </c>
      <c r="M914" s="7" t="str">
        <f t="shared" si="105"/>
        <v/>
      </c>
      <c r="N914" s="7" t="str">
        <f t="shared" si="106"/>
        <v/>
      </c>
      <c r="O914" s="51" t="str">
        <f>IF(G914&gt;0,DT!AC914*I914+DT!AD914*J914+DT!AE914*K914+DT!AF914*L914+DT!AG914*M914+DT!AH914*N914,"")</f>
        <v/>
      </c>
      <c r="P914" s="15"/>
    </row>
    <row r="915" spans="1:16">
      <c r="A915" s="1"/>
      <c r="B915" s="1"/>
      <c r="C915" s="1"/>
      <c r="D915" s="1"/>
      <c r="E915" s="1"/>
      <c r="F915" s="1"/>
      <c r="G915" s="1">
        <f t="shared" si="107"/>
        <v>0</v>
      </c>
      <c r="I915" s="7" t="str">
        <f t="shared" si="101"/>
        <v/>
      </c>
      <c r="J915" s="7" t="str">
        <f t="shared" si="102"/>
        <v/>
      </c>
      <c r="K915" s="7" t="str">
        <f t="shared" si="103"/>
        <v/>
      </c>
      <c r="L915" s="7" t="str">
        <f t="shared" si="104"/>
        <v/>
      </c>
      <c r="M915" s="7" t="str">
        <f t="shared" si="105"/>
        <v/>
      </c>
      <c r="N915" s="7" t="str">
        <f t="shared" si="106"/>
        <v/>
      </c>
      <c r="O915" s="51" t="str">
        <f>IF(G915&gt;0,DT!AC915*I915+DT!AD915*J915+DT!AE915*K915+DT!AF915*L915+DT!AG915*M915+DT!AH915*N915,"")</f>
        <v/>
      </c>
      <c r="P915" s="15"/>
    </row>
    <row r="916" spans="1:16">
      <c r="A916" s="1"/>
      <c r="B916" s="1"/>
      <c r="C916" s="1"/>
      <c r="D916" s="1"/>
      <c r="E916" s="1"/>
      <c r="F916" s="1"/>
      <c r="G916" s="1">
        <f t="shared" si="107"/>
        <v>0</v>
      </c>
      <c r="I916" s="7" t="str">
        <f t="shared" si="101"/>
        <v/>
      </c>
      <c r="J916" s="7" t="str">
        <f t="shared" si="102"/>
        <v/>
      </c>
      <c r="K916" s="7" t="str">
        <f t="shared" si="103"/>
        <v/>
      </c>
      <c r="L916" s="7" t="str">
        <f t="shared" si="104"/>
        <v/>
      </c>
      <c r="M916" s="7" t="str">
        <f t="shared" si="105"/>
        <v/>
      </c>
      <c r="N916" s="7" t="str">
        <f t="shared" si="106"/>
        <v/>
      </c>
      <c r="O916" s="51" t="str">
        <f>IF(G916&gt;0,DT!AC916*I916+DT!AD916*J916+DT!AE916*K916+DT!AF916*L916+DT!AG916*M916+DT!AH916*N916,"")</f>
        <v/>
      </c>
      <c r="P916" s="15"/>
    </row>
    <row r="917" spans="1:16">
      <c r="A917" s="1"/>
      <c r="B917" s="1"/>
      <c r="C917" s="1"/>
      <c r="D917" s="1"/>
      <c r="E917" s="1"/>
      <c r="F917" s="1"/>
      <c r="G917" s="1">
        <f t="shared" si="107"/>
        <v>0</v>
      </c>
      <c r="I917" s="7" t="str">
        <f t="shared" si="101"/>
        <v/>
      </c>
      <c r="J917" s="7" t="str">
        <f t="shared" si="102"/>
        <v/>
      </c>
      <c r="K917" s="7" t="str">
        <f t="shared" si="103"/>
        <v/>
      </c>
      <c r="L917" s="7" t="str">
        <f t="shared" si="104"/>
        <v/>
      </c>
      <c r="M917" s="7" t="str">
        <f t="shared" si="105"/>
        <v/>
      </c>
      <c r="N917" s="7" t="str">
        <f t="shared" si="106"/>
        <v/>
      </c>
      <c r="O917" s="51" t="str">
        <f>IF(G917&gt;0,DT!AC917*I917+DT!AD917*J917+DT!AE917*K917+DT!AF917*L917+DT!AG917*M917+DT!AH917*N917,"")</f>
        <v/>
      </c>
      <c r="P917" s="15"/>
    </row>
    <row r="918" spans="1:16">
      <c r="A918" s="1"/>
      <c r="B918" s="1"/>
      <c r="C918" s="1"/>
      <c r="D918" s="1"/>
      <c r="E918" s="1"/>
      <c r="F918" s="1"/>
      <c r="G918" s="1">
        <f t="shared" si="107"/>
        <v>0</v>
      </c>
      <c r="I918" s="7" t="str">
        <f t="shared" si="101"/>
        <v/>
      </c>
      <c r="J918" s="7" t="str">
        <f t="shared" si="102"/>
        <v/>
      </c>
      <c r="K918" s="7" t="str">
        <f t="shared" si="103"/>
        <v/>
      </c>
      <c r="L918" s="7" t="str">
        <f t="shared" si="104"/>
        <v/>
      </c>
      <c r="M918" s="7" t="str">
        <f t="shared" si="105"/>
        <v/>
      </c>
      <c r="N918" s="7" t="str">
        <f t="shared" si="106"/>
        <v/>
      </c>
      <c r="O918" s="51" t="str">
        <f>IF(G918&gt;0,DT!AC918*I918+DT!AD918*J918+DT!AE918*K918+DT!AF918*L918+DT!AG918*M918+DT!AH918*N918,"")</f>
        <v/>
      </c>
      <c r="P918" s="15"/>
    </row>
    <row r="919" spans="1:16">
      <c r="A919" s="1"/>
      <c r="B919" s="1"/>
      <c r="C919" s="1"/>
      <c r="D919" s="1"/>
      <c r="E919" s="1"/>
      <c r="F919" s="1"/>
      <c r="G919" s="1">
        <f t="shared" si="107"/>
        <v>0</v>
      </c>
      <c r="I919" s="7" t="str">
        <f t="shared" si="101"/>
        <v/>
      </c>
      <c r="J919" s="7" t="str">
        <f t="shared" si="102"/>
        <v/>
      </c>
      <c r="K919" s="7" t="str">
        <f t="shared" si="103"/>
        <v/>
      </c>
      <c r="L919" s="7" t="str">
        <f t="shared" si="104"/>
        <v/>
      </c>
      <c r="M919" s="7" t="str">
        <f t="shared" si="105"/>
        <v/>
      </c>
      <c r="N919" s="7" t="str">
        <f t="shared" si="106"/>
        <v/>
      </c>
      <c r="O919" s="51" t="str">
        <f>IF(G919&gt;0,DT!AC919*I919+DT!AD919*J919+DT!AE919*K919+DT!AF919*L919+DT!AG919*M919+DT!AH919*N919,"")</f>
        <v/>
      </c>
      <c r="P919" s="15"/>
    </row>
    <row r="920" spans="1:16">
      <c r="A920" s="1"/>
      <c r="B920" s="1"/>
      <c r="C920" s="1"/>
      <c r="D920" s="1"/>
      <c r="E920" s="1"/>
      <c r="F920" s="1"/>
      <c r="G920" s="1">
        <f t="shared" si="107"/>
        <v>0</v>
      </c>
      <c r="I920" s="7" t="str">
        <f t="shared" si="101"/>
        <v/>
      </c>
      <c r="J920" s="7" t="str">
        <f t="shared" si="102"/>
        <v/>
      </c>
      <c r="K920" s="7" t="str">
        <f t="shared" si="103"/>
        <v/>
      </c>
      <c r="L920" s="7" t="str">
        <f t="shared" si="104"/>
        <v/>
      </c>
      <c r="M920" s="7" t="str">
        <f t="shared" si="105"/>
        <v/>
      </c>
      <c r="N920" s="7" t="str">
        <f t="shared" si="106"/>
        <v/>
      </c>
      <c r="O920" s="51" t="str">
        <f>IF(G920&gt;0,DT!AC920*I920+DT!AD920*J920+DT!AE920*K920+DT!AF920*L920+DT!AG920*M920+DT!AH920*N920,"")</f>
        <v/>
      </c>
      <c r="P920" s="15"/>
    </row>
    <row r="921" spans="1:16">
      <c r="A921" s="1"/>
      <c r="B921" s="1"/>
      <c r="C921" s="1"/>
      <c r="D921" s="1"/>
      <c r="E921" s="1"/>
      <c r="F921" s="1"/>
      <c r="G921" s="1">
        <f t="shared" si="107"/>
        <v>0</v>
      </c>
      <c r="I921" s="7" t="str">
        <f t="shared" si="101"/>
        <v/>
      </c>
      <c r="J921" s="7" t="str">
        <f t="shared" si="102"/>
        <v/>
      </c>
      <c r="K921" s="7" t="str">
        <f t="shared" si="103"/>
        <v/>
      </c>
      <c r="L921" s="7" t="str">
        <f t="shared" si="104"/>
        <v/>
      </c>
      <c r="M921" s="7" t="str">
        <f t="shared" si="105"/>
        <v/>
      </c>
      <c r="N921" s="7" t="str">
        <f t="shared" si="106"/>
        <v/>
      </c>
      <c r="O921" s="51" t="str">
        <f>IF(G921&gt;0,DT!AC921*I921+DT!AD921*J921+DT!AE921*K921+DT!AF921*L921+DT!AG921*M921+DT!AH921*N921,"")</f>
        <v/>
      </c>
      <c r="P921" s="15"/>
    </row>
    <row r="922" spans="1:16">
      <c r="A922" s="1"/>
      <c r="B922" s="1"/>
      <c r="C922" s="1"/>
      <c r="D922" s="1"/>
      <c r="E922" s="1"/>
      <c r="F922" s="1"/>
      <c r="G922" s="1">
        <f t="shared" si="107"/>
        <v>0</v>
      </c>
      <c r="I922" s="7" t="str">
        <f t="shared" si="101"/>
        <v/>
      </c>
      <c r="J922" s="7" t="str">
        <f t="shared" si="102"/>
        <v/>
      </c>
      <c r="K922" s="7" t="str">
        <f t="shared" si="103"/>
        <v/>
      </c>
      <c r="L922" s="7" t="str">
        <f t="shared" si="104"/>
        <v/>
      </c>
      <c r="M922" s="7" t="str">
        <f t="shared" si="105"/>
        <v/>
      </c>
      <c r="N922" s="7" t="str">
        <f t="shared" si="106"/>
        <v/>
      </c>
      <c r="O922" s="51" t="str">
        <f>IF(G922&gt;0,DT!AC922*I922+DT!AD922*J922+DT!AE922*K922+DT!AF922*L922+DT!AG922*M922+DT!AH922*N922,"")</f>
        <v/>
      </c>
      <c r="P922" s="15"/>
    </row>
    <row r="923" spans="1:16">
      <c r="A923" s="1"/>
      <c r="B923" s="1"/>
      <c r="C923" s="1"/>
      <c r="D923" s="1"/>
      <c r="E923" s="1"/>
      <c r="F923" s="1"/>
      <c r="G923" s="1">
        <f t="shared" si="107"/>
        <v>0</v>
      </c>
      <c r="I923" s="7" t="str">
        <f t="shared" si="101"/>
        <v/>
      </c>
      <c r="J923" s="7" t="str">
        <f t="shared" si="102"/>
        <v/>
      </c>
      <c r="K923" s="7" t="str">
        <f t="shared" si="103"/>
        <v/>
      </c>
      <c r="L923" s="7" t="str">
        <f t="shared" si="104"/>
        <v/>
      </c>
      <c r="M923" s="7" t="str">
        <f t="shared" si="105"/>
        <v/>
      </c>
      <c r="N923" s="7" t="str">
        <f t="shared" si="106"/>
        <v/>
      </c>
      <c r="O923" s="51" t="str">
        <f>IF(G923&gt;0,DT!AC923*I923+DT!AD923*J923+DT!AE923*K923+DT!AF923*L923+DT!AG923*M923+DT!AH923*N923,"")</f>
        <v/>
      </c>
      <c r="P923" s="15"/>
    </row>
    <row r="924" spans="1:16">
      <c r="A924" s="1"/>
      <c r="B924" s="1"/>
      <c r="C924" s="1"/>
      <c r="D924" s="1"/>
      <c r="E924" s="1"/>
      <c r="F924" s="1"/>
      <c r="G924" s="1">
        <f t="shared" si="107"/>
        <v>0</v>
      </c>
      <c r="I924" s="7" t="str">
        <f t="shared" si="101"/>
        <v/>
      </c>
      <c r="J924" s="7" t="str">
        <f t="shared" si="102"/>
        <v/>
      </c>
      <c r="K924" s="7" t="str">
        <f t="shared" si="103"/>
        <v/>
      </c>
      <c r="L924" s="7" t="str">
        <f t="shared" si="104"/>
        <v/>
      </c>
      <c r="M924" s="7" t="str">
        <f t="shared" si="105"/>
        <v/>
      </c>
      <c r="N924" s="7" t="str">
        <f t="shared" si="106"/>
        <v/>
      </c>
      <c r="O924" s="51" t="str">
        <f>IF(G924&gt;0,DT!AC924*I924+DT!AD924*J924+DT!AE924*K924+DT!AF924*L924+DT!AG924*M924+DT!AH924*N924,"")</f>
        <v/>
      </c>
      <c r="P924" s="15"/>
    </row>
    <row r="925" spans="1:16">
      <c r="A925" s="1"/>
      <c r="B925" s="1"/>
      <c r="C925" s="1"/>
      <c r="D925" s="1"/>
      <c r="E925" s="1"/>
      <c r="F925" s="1"/>
      <c r="G925" s="1">
        <f t="shared" si="107"/>
        <v>0</v>
      </c>
      <c r="I925" s="7" t="str">
        <f t="shared" si="101"/>
        <v/>
      </c>
      <c r="J925" s="7" t="str">
        <f t="shared" si="102"/>
        <v/>
      </c>
      <c r="K925" s="7" t="str">
        <f t="shared" si="103"/>
        <v/>
      </c>
      <c r="L925" s="7" t="str">
        <f t="shared" si="104"/>
        <v/>
      </c>
      <c r="M925" s="7" t="str">
        <f t="shared" si="105"/>
        <v/>
      </c>
      <c r="N925" s="7" t="str">
        <f t="shared" si="106"/>
        <v/>
      </c>
      <c r="O925" s="51" t="str">
        <f>IF(G925&gt;0,DT!AC925*I925+DT!AD925*J925+DT!AE925*K925+DT!AF925*L925+DT!AG925*M925+DT!AH925*N925,"")</f>
        <v/>
      </c>
      <c r="P925" s="15"/>
    </row>
    <row r="926" spans="1:16">
      <c r="A926" s="1"/>
      <c r="B926" s="1"/>
      <c r="C926" s="1"/>
      <c r="D926" s="1"/>
      <c r="E926" s="1"/>
      <c r="F926" s="1"/>
      <c r="G926" s="1">
        <f t="shared" si="107"/>
        <v>0</v>
      </c>
      <c r="I926" s="7" t="str">
        <f t="shared" si="101"/>
        <v/>
      </c>
      <c r="J926" s="7" t="str">
        <f t="shared" si="102"/>
        <v/>
      </c>
      <c r="K926" s="7" t="str">
        <f t="shared" si="103"/>
        <v/>
      </c>
      <c r="L926" s="7" t="str">
        <f t="shared" si="104"/>
        <v/>
      </c>
      <c r="M926" s="7" t="str">
        <f t="shared" si="105"/>
        <v/>
      </c>
      <c r="N926" s="7" t="str">
        <f t="shared" si="106"/>
        <v/>
      </c>
      <c r="O926" s="51" t="str">
        <f>IF(G926&gt;0,DT!AC926*I926+DT!AD926*J926+DT!AE926*K926+DT!AF926*L926+DT!AG926*M926+DT!AH926*N926,"")</f>
        <v/>
      </c>
      <c r="P926" s="15"/>
    </row>
    <row r="927" spans="1:16">
      <c r="A927" s="1"/>
      <c r="B927" s="1"/>
      <c r="C927" s="1"/>
      <c r="D927" s="1"/>
      <c r="E927" s="1"/>
      <c r="F927" s="1"/>
      <c r="G927" s="1">
        <f t="shared" si="107"/>
        <v>0</v>
      </c>
      <c r="I927" s="7" t="str">
        <f t="shared" si="101"/>
        <v/>
      </c>
      <c r="J927" s="7" t="str">
        <f t="shared" si="102"/>
        <v/>
      </c>
      <c r="K927" s="7" t="str">
        <f t="shared" si="103"/>
        <v/>
      </c>
      <c r="L927" s="7" t="str">
        <f t="shared" si="104"/>
        <v/>
      </c>
      <c r="M927" s="7" t="str">
        <f t="shared" si="105"/>
        <v/>
      </c>
      <c r="N927" s="7" t="str">
        <f t="shared" si="106"/>
        <v/>
      </c>
      <c r="O927" s="51" t="str">
        <f>IF(G927&gt;0,DT!AC927*I927+DT!AD927*J927+DT!AE927*K927+DT!AF927*L927+DT!AG927*M927+DT!AH927*N927,"")</f>
        <v/>
      </c>
      <c r="P927" s="15"/>
    </row>
    <row r="928" spans="1:16">
      <c r="A928" s="1"/>
      <c r="B928" s="1"/>
      <c r="C928" s="1"/>
      <c r="D928" s="1"/>
      <c r="E928" s="1"/>
      <c r="F928" s="1"/>
      <c r="G928" s="1">
        <f t="shared" si="107"/>
        <v>0</v>
      </c>
      <c r="I928" s="7" t="str">
        <f t="shared" si="101"/>
        <v/>
      </c>
      <c r="J928" s="7" t="str">
        <f t="shared" si="102"/>
        <v/>
      </c>
      <c r="K928" s="7" t="str">
        <f t="shared" si="103"/>
        <v/>
      </c>
      <c r="L928" s="7" t="str">
        <f t="shared" si="104"/>
        <v/>
      </c>
      <c r="M928" s="7" t="str">
        <f t="shared" si="105"/>
        <v/>
      </c>
      <c r="N928" s="7" t="str">
        <f t="shared" si="106"/>
        <v/>
      </c>
      <c r="O928" s="51" t="str">
        <f>IF(G928&gt;0,DT!AC928*I928+DT!AD928*J928+DT!AE928*K928+DT!AF928*L928+DT!AG928*M928+DT!AH928*N928,"")</f>
        <v/>
      </c>
      <c r="P928" s="15"/>
    </row>
    <row r="929" spans="1:16">
      <c r="A929" s="1"/>
      <c r="B929" s="1"/>
      <c r="C929" s="1"/>
      <c r="D929" s="1"/>
      <c r="E929" s="1"/>
      <c r="F929" s="1"/>
      <c r="G929" s="1">
        <f t="shared" si="107"/>
        <v>0</v>
      </c>
      <c r="I929" s="7" t="str">
        <f t="shared" si="101"/>
        <v/>
      </c>
      <c r="J929" s="7" t="str">
        <f t="shared" si="102"/>
        <v/>
      </c>
      <c r="K929" s="7" t="str">
        <f t="shared" si="103"/>
        <v/>
      </c>
      <c r="L929" s="7" t="str">
        <f t="shared" si="104"/>
        <v/>
      </c>
      <c r="M929" s="7" t="str">
        <f t="shared" si="105"/>
        <v/>
      </c>
      <c r="N929" s="7" t="str">
        <f t="shared" si="106"/>
        <v/>
      </c>
      <c r="O929" s="51" t="str">
        <f>IF(G929&gt;0,DT!AC929*I929+DT!AD929*J929+DT!AE929*K929+DT!AF929*L929+DT!AG929*M929+DT!AH929*N929,"")</f>
        <v/>
      </c>
      <c r="P929" s="15"/>
    </row>
    <row r="930" spans="1:16">
      <c r="A930" s="1"/>
      <c r="B930" s="1"/>
      <c r="C930" s="1"/>
      <c r="D930" s="1"/>
      <c r="E930" s="1"/>
      <c r="F930" s="1"/>
      <c r="G930" s="1">
        <f t="shared" si="107"/>
        <v>0</v>
      </c>
      <c r="I930" s="7" t="str">
        <f t="shared" si="101"/>
        <v/>
      </c>
      <c r="J930" s="7" t="str">
        <f t="shared" si="102"/>
        <v/>
      </c>
      <c r="K930" s="7" t="str">
        <f t="shared" si="103"/>
        <v/>
      </c>
      <c r="L930" s="7" t="str">
        <f t="shared" si="104"/>
        <v/>
      </c>
      <c r="M930" s="7" t="str">
        <f t="shared" si="105"/>
        <v/>
      </c>
      <c r="N930" s="7" t="str">
        <f t="shared" si="106"/>
        <v/>
      </c>
      <c r="O930" s="51" t="str">
        <f>IF(G930&gt;0,DT!AC930*I930+DT!AD930*J930+DT!AE930*K930+DT!AF930*L930+DT!AG930*M930+DT!AH930*N930,"")</f>
        <v/>
      </c>
      <c r="P930" s="15"/>
    </row>
    <row r="931" spans="1:16">
      <c r="A931" s="1"/>
      <c r="B931" s="1"/>
      <c r="C931" s="1"/>
      <c r="D931" s="1"/>
      <c r="E931" s="1"/>
      <c r="F931" s="1"/>
      <c r="G931" s="1">
        <f t="shared" si="107"/>
        <v>0</v>
      </c>
      <c r="I931" s="7" t="str">
        <f t="shared" si="101"/>
        <v/>
      </c>
      <c r="J931" s="7" t="str">
        <f t="shared" si="102"/>
        <v/>
      </c>
      <c r="K931" s="7" t="str">
        <f t="shared" si="103"/>
        <v/>
      </c>
      <c r="L931" s="7" t="str">
        <f t="shared" si="104"/>
        <v/>
      </c>
      <c r="M931" s="7" t="str">
        <f t="shared" si="105"/>
        <v/>
      </c>
      <c r="N931" s="7" t="str">
        <f t="shared" si="106"/>
        <v/>
      </c>
      <c r="O931" s="51" t="str">
        <f>IF(G931&gt;0,DT!AC931*I931+DT!AD931*J931+DT!AE931*K931+DT!AF931*L931+DT!AG931*M931+DT!AH931*N931,"")</f>
        <v/>
      </c>
      <c r="P931" s="15"/>
    </row>
    <row r="932" spans="1:16">
      <c r="A932" s="1"/>
      <c r="B932" s="1"/>
      <c r="C932" s="1"/>
      <c r="D932" s="1"/>
      <c r="E932" s="1"/>
      <c r="F932" s="1"/>
      <c r="G932" s="1">
        <f t="shared" si="107"/>
        <v>0</v>
      </c>
      <c r="I932" s="7" t="str">
        <f t="shared" si="101"/>
        <v/>
      </c>
      <c r="J932" s="7" t="str">
        <f t="shared" si="102"/>
        <v/>
      </c>
      <c r="K932" s="7" t="str">
        <f t="shared" si="103"/>
        <v/>
      </c>
      <c r="L932" s="7" t="str">
        <f t="shared" si="104"/>
        <v/>
      </c>
      <c r="M932" s="7" t="str">
        <f t="shared" si="105"/>
        <v/>
      </c>
      <c r="N932" s="7" t="str">
        <f t="shared" si="106"/>
        <v/>
      </c>
      <c r="O932" s="51" t="str">
        <f>IF(G932&gt;0,DT!AC932*I932+DT!AD932*J932+DT!AE932*K932+DT!AF932*L932+DT!AG932*M932+DT!AH932*N932,"")</f>
        <v/>
      </c>
      <c r="P932" s="15"/>
    </row>
    <row r="933" spans="1:16">
      <c r="A933" s="1"/>
      <c r="B933" s="1"/>
      <c r="C933" s="1"/>
      <c r="D933" s="1"/>
      <c r="E933" s="1"/>
      <c r="F933" s="1"/>
      <c r="G933" s="1">
        <f t="shared" si="107"/>
        <v>0</v>
      </c>
      <c r="I933" s="7" t="str">
        <f t="shared" si="101"/>
        <v/>
      </c>
      <c r="J933" s="7" t="str">
        <f t="shared" si="102"/>
        <v/>
      </c>
      <c r="K933" s="7" t="str">
        <f t="shared" si="103"/>
        <v/>
      </c>
      <c r="L933" s="7" t="str">
        <f t="shared" si="104"/>
        <v/>
      </c>
      <c r="M933" s="7" t="str">
        <f t="shared" si="105"/>
        <v/>
      </c>
      <c r="N933" s="7" t="str">
        <f t="shared" si="106"/>
        <v/>
      </c>
      <c r="O933" s="51" t="str">
        <f>IF(G933&gt;0,DT!AC933*I933+DT!AD933*J933+DT!AE933*K933+DT!AF933*L933+DT!AG933*M933+DT!AH933*N933,"")</f>
        <v/>
      </c>
      <c r="P933" s="15"/>
    </row>
    <row r="934" spans="1:16">
      <c r="A934" s="1"/>
      <c r="B934" s="1"/>
      <c r="C934" s="1"/>
      <c r="D934" s="1"/>
      <c r="E934" s="1"/>
      <c r="F934" s="1"/>
      <c r="G934" s="1">
        <f t="shared" si="107"/>
        <v>0</v>
      </c>
      <c r="I934" s="7" t="str">
        <f t="shared" si="101"/>
        <v/>
      </c>
      <c r="J934" s="7" t="str">
        <f t="shared" si="102"/>
        <v/>
      </c>
      <c r="K934" s="7" t="str">
        <f t="shared" si="103"/>
        <v/>
      </c>
      <c r="L934" s="7" t="str">
        <f t="shared" si="104"/>
        <v/>
      </c>
      <c r="M934" s="7" t="str">
        <f t="shared" si="105"/>
        <v/>
      </c>
      <c r="N934" s="7" t="str">
        <f t="shared" si="106"/>
        <v/>
      </c>
      <c r="O934" s="51" t="str">
        <f>IF(G934&gt;0,DT!AC934*I934+DT!AD934*J934+DT!AE934*K934+DT!AF934*L934+DT!AG934*M934+DT!AH934*N934,"")</f>
        <v/>
      </c>
      <c r="P934" s="15"/>
    </row>
    <row r="935" spans="1:16">
      <c r="A935" s="1"/>
      <c r="B935" s="1"/>
      <c r="C935" s="1"/>
      <c r="D935" s="1"/>
      <c r="E935" s="1"/>
      <c r="F935" s="1"/>
      <c r="G935" s="1">
        <f t="shared" si="107"/>
        <v>0</v>
      </c>
      <c r="I935" s="7" t="str">
        <f t="shared" si="101"/>
        <v/>
      </c>
      <c r="J935" s="7" t="str">
        <f t="shared" si="102"/>
        <v/>
      </c>
      <c r="K935" s="7" t="str">
        <f t="shared" si="103"/>
        <v/>
      </c>
      <c r="L935" s="7" t="str">
        <f t="shared" si="104"/>
        <v/>
      </c>
      <c r="M935" s="7" t="str">
        <f t="shared" si="105"/>
        <v/>
      </c>
      <c r="N935" s="7" t="str">
        <f t="shared" si="106"/>
        <v/>
      </c>
      <c r="O935" s="51" t="str">
        <f>IF(G935&gt;0,DT!AC935*I935+DT!AD935*J935+DT!AE935*K935+DT!AF935*L935+DT!AG935*M935+DT!AH935*N935,"")</f>
        <v/>
      </c>
      <c r="P935" s="15"/>
    </row>
    <row r="936" spans="1:16">
      <c r="A936" s="1"/>
      <c r="B936" s="1"/>
      <c r="C936" s="1"/>
      <c r="D936" s="1"/>
      <c r="E936" s="1"/>
      <c r="F936" s="1"/>
      <c r="G936" s="1">
        <f t="shared" si="107"/>
        <v>0</v>
      </c>
      <c r="I936" s="7" t="str">
        <f t="shared" si="101"/>
        <v/>
      </c>
      <c r="J936" s="7" t="str">
        <f t="shared" si="102"/>
        <v/>
      </c>
      <c r="K936" s="7" t="str">
        <f t="shared" si="103"/>
        <v/>
      </c>
      <c r="L936" s="7" t="str">
        <f t="shared" si="104"/>
        <v/>
      </c>
      <c r="M936" s="7" t="str">
        <f t="shared" si="105"/>
        <v/>
      </c>
      <c r="N936" s="7" t="str">
        <f t="shared" si="106"/>
        <v/>
      </c>
      <c r="O936" s="51" t="str">
        <f>IF(G936&gt;0,DT!AC936*I936+DT!AD936*J936+DT!AE936*K936+DT!AF936*L936+DT!AG936*M936+DT!AH936*N936,"")</f>
        <v/>
      </c>
      <c r="P936" s="15"/>
    </row>
    <row r="937" spans="1:16">
      <c r="A937" s="1"/>
      <c r="B937" s="1"/>
      <c r="C937" s="1"/>
      <c r="D937" s="1"/>
      <c r="E937" s="1"/>
      <c r="F937" s="1"/>
      <c r="G937" s="1">
        <f t="shared" si="107"/>
        <v>0</v>
      </c>
      <c r="I937" s="7" t="str">
        <f t="shared" si="101"/>
        <v/>
      </c>
      <c r="J937" s="7" t="str">
        <f t="shared" si="102"/>
        <v/>
      </c>
      <c r="K937" s="7" t="str">
        <f t="shared" si="103"/>
        <v/>
      </c>
      <c r="L937" s="7" t="str">
        <f t="shared" si="104"/>
        <v/>
      </c>
      <c r="M937" s="7" t="str">
        <f t="shared" si="105"/>
        <v/>
      </c>
      <c r="N937" s="7" t="str">
        <f t="shared" si="106"/>
        <v/>
      </c>
      <c r="O937" s="51" t="str">
        <f>IF(G937&gt;0,DT!AC937*I937+DT!AD937*J937+DT!AE937*K937+DT!AF937*L937+DT!AG937*M937+DT!AH937*N937,"")</f>
        <v/>
      </c>
      <c r="P937" s="15"/>
    </row>
    <row r="938" spans="1:16">
      <c r="A938" s="1"/>
      <c r="B938" s="1"/>
      <c r="C938" s="1"/>
      <c r="D938" s="1"/>
      <c r="E938" s="1"/>
      <c r="F938" s="1"/>
      <c r="G938" s="1">
        <f t="shared" si="107"/>
        <v>0</v>
      </c>
      <c r="I938" s="7" t="str">
        <f t="shared" si="101"/>
        <v/>
      </c>
      <c r="J938" s="7" t="str">
        <f t="shared" si="102"/>
        <v/>
      </c>
      <c r="K938" s="7" t="str">
        <f t="shared" si="103"/>
        <v/>
      </c>
      <c r="L938" s="7" t="str">
        <f t="shared" si="104"/>
        <v/>
      </c>
      <c r="M938" s="7" t="str">
        <f t="shared" si="105"/>
        <v/>
      </c>
      <c r="N938" s="7" t="str">
        <f t="shared" si="106"/>
        <v/>
      </c>
      <c r="O938" s="51" t="str">
        <f>IF(G938&gt;0,DT!AC938*I938+DT!AD938*J938+DT!AE938*K938+DT!AF938*L938+DT!AG938*M938+DT!AH938*N938,"")</f>
        <v/>
      </c>
      <c r="P938" s="15"/>
    </row>
    <row r="939" spans="1:16">
      <c r="A939" s="1"/>
      <c r="B939" s="1"/>
      <c r="C939" s="1"/>
      <c r="D939" s="1"/>
      <c r="E939" s="1"/>
      <c r="F939" s="1"/>
      <c r="G939" s="1">
        <f t="shared" si="107"/>
        <v>0</v>
      </c>
      <c r="I939" s="7" t="str">
        <f t="shared" si="101"/>
        <v/>
      </c>
      <c r="J939" s="7" t="str">
        <f t="shared" si="102"/>
        <v/>
      </c>
      <c r="K939" s="7" t="str">
        <f t="shared" si="103"/>
        <v/>
      </c>
      <c r="L939" s="7" t="str">
        <f t="shared" si="104"/>
        <v/>
      </c>
      <c r="M939" s="7" t="str">
        <f t="shared" si="105"/>
        <v/>
      </c>
      <c r="N939" s="7" t="str">
        <f t="shared" si="106"/>
        <v/>
      </c>
      <c r="O939" s="51" t="str">
        <f>IF(G939&gt;0,DT!AC939*I939+DT!AD939*J939+DT!AE939*K939+DT!AF939*L939+DT!AG939*M939+DT!AH939*N939,"")</f>
        <v/>
      </c>
      <c r="P939" s="15"/>
    </row>
    <row r="940" spans="1:16">
      <c r="A940" s="1"/>
      <c r="B940" s="1"/>
      <c r="C940" s="1"/>
      <c r="D940" s="1"/>
      <c r="E940" s="1"/>
      <c r="F940" s="1"/>
      <c r="G940" s="1">
        <f t="shared" si="107"/>
        <v>0</v>
      </c>
      <c r="I940" s="7" t="str">
        <f t="shared" si="101"/>
        <v/>
      </c>
      <c r="J940" s="7" t="str">
        <f t="shared" si="102"/>
        <v/>
      </c>
      <c r="K940" s="7" t="str">
        <f t="shared" si="103"/>
        <v/>
      </c>
      <c r="L940" s="7" t="str">
        <f t="shared" si="104"/>
        <v/>
      </c>
      <c r="M940" s="7" t="str">
        <f t="shared" si="105"/>
        <v/>
      </c>
      <c r="N940" s="7" t="str">
        <f t="shared" si="106"/>
        <v/>
      </c>
      <c r="O940" s="51" t="str">
        <f>IF(G940&gt;0,DT!AC940*I940+DT!AD940*J940+DT!AE940*K940+DT!AF940*L940+DT!AG940*M940+DT!AH940*N940,"")</f>
        <v/>
      </c>
      <c r="P940" s="15"/>
    </row>
    <row r="941" spans="1:16">
      <c r="A941" s="1"/>
      <c r="B941" s="1"/>
      <c r="C941" s="1"/>
      <c r="D941" s="1"/>
      <c r="E941" s="1"/>
      <c r="F941" s="1"/>
      <c r="G941" s="1">
        <f t="shared" si="107"/>
        <v>0</v>
      </c>
      <c r="I941" s="7" t="str">
        <f t="shared" si="101"/>
        <v/>
      </c>
      <c r="J941" s="7" t="str">
        <f t="shared" si="102"/>
        <v/>
      </c>
      <c r="K941" s="7" t="str">
        <f t="shared" si="103"/>
        <v/>
      </c>
      <c r="L941" s="7" t="str">
        <f t="shared" si="104"/>
        <v/>
      </c>
      <c r="M941" s="7" t="str">
        <f t="shared" si="105"/>
        <v/>
      </c>
      <c r="N941" s="7" t="str">
        <f t="shared" si="106"/>
        <v/>
      </c>
      <c r="O941" s="51" t="str">
        <f>IF(G941&gt;0,DT!AC941*I941+DT!AD941*J941+DT!AE941*K941+DT!AF941*L941+DT!AG941*M941+DT!AH941*N941,"")</f>
        <v/>
      </c>
      <c r="P941" s="15"/>
    </row>
    <row r="942" spans="1:16">
      <c r="A942" s="1"/>
      <c r="B942" s="1"/>
      <c r="C942" s="1"/>
      <c r="D942" s="1"/>
      <c r="E942" s="1"/>
      <c r="F942" s="1"/>
      <c r="G942" s="1">
        <f t="shared" si="107"/>
        <v>0</v>
      </c>
      <c r="I942" s="7" t="str">
        <f t="shared" si="101"/>
        <v/>
      </c>
      <c r="J942" s="7" t="str">
        <f t="shared" si="102"/>
        <v/>
      </c>
      <c r="K942" s="7" t="str">
        <f t="shared" si="103"/>
        <v/>
      </c>
      <c r="L942" s="7" t="str">
        <f t="shared" si="104"/>
        <v/>
      </c>
      <c r="M942" s="7" t="str">
        <f t="shared" si="105"/>
        <v/>
      </c>
      <c r="N942" s="7" t="str">
        <f t="shared" si="106"/>
        <v/>
      </c>
      <c r="O942" s="51" t="str">
        <f>IF(G942&gt;0,DT!AC942*I942+DT!AD942*J942+DT!AE942*K942+DT!AF942*L942+DT!AG942*M942+DT!AH942*N942,"")</f>
        <v/>
      </c>
      <c r="P942" s="15"/>
    </row>
    <row r="943" spans="1:16">
      <c r="A943" s="1"/>
      <c r="B943" s="1"/>
      <c r="C943" s="1"/>
      <c r="D943" s="1"/>
      <c r="E943" s="1"/>
      <c r="F943" s="1"/>
      <c r="G943" s="1">
        <f t="shared" si="107"/>
        <v>0</v>
      </c>
      <c r="I943" s="7" t="str">
        <f t="shared" si="101"/>
        <v/>
      </c>
      <c r="J943" s="7" t="str">
        <f t="shared" si="102"/>
        <v/>
      </c>
      <c r="K943" s="7" t="str">
        <f t="shared" si="103"/>
        <v/>
      </c>
      <c r="L943" s="7" t="str">
        <f t="shared" si="104"/>
        <v/>
      </c>
      <c r="M943" s="7" t="str">
        <f t="shared" si="105"/>
        <v/>
      </c>
      <c r="N943" s="7" t="str">
        <f t="shared" si="106"/>
        <v/>
      </c>
      <c r="O943" s="51" t="str">
        <f>IF(G943&gt;0,DT!AC943*I943+DT!AD943*J943+DT!AE943*K943+DT!AF943*L943+DT!AG943*M943+DT!AH943*N943,"")</f>
        <v/>
      </c>
      <c r="P943" s="15"/>
    </row>
    <row r="944" spans="1:16">
      <c r="A944" s="1"/>
      <c r="B944" s="1"/>
      <c r="C944" s="1"/>
      <c r="D944" s="1"/>
      <c r="E944" s="1"/>
      <c r="F944" s="1"/>
      <c r="G944" s="1">
        <f t="shared" si="107"/>
        <v>0</v>
      </c>
      <c r="I944" s="7" t="str">
        <f t="shared" si="101"/>
        <v/>
      </c>
      <c r="J944" s="7" t="str">
        <f t="shared" si="102"/>
        <v/>
      </c>
      <c r="K944" s="7" t="str">
        <f t="shared" si="103"/>
        <v/>
      </c>
      <c r="L944" s="7" t="str">
        <f t="shared" si="104"/>
        <v/>
      </c>
      <c r="M944" s="7" t="str">
        <f t="shared" si="105"/>
        <v/>
      </c>
      <c r="N944" s="7" t="str">
        <f t="shared" si="106"/>
        <v/>
      </c>
      <c r="O944" s="51" t="str">
        <f>IF(G944&gt;0,DT!AC944*I944+DT!AD944*J944+DT!AE944*K944+DT!AF944*L944+DT!AG944*M944+DT!AH944*N944,"")</f>
        <v/>
      </c>
      <c r="P944" s="15"/>
    </row>
    <row r="945" spans="1:16">
      <c r="A945" s="1"/>
      <c r="B945" s="1"/>
      <c r="C945" s="1"/>
      <c r="D945" s="1"/>
      <c r="E945" s="1"/>
      <c r="F945" s="1"/>
      <c r="G945" s="1">
        <f t="shared" si="107"/>
        <v>0</v>
      </c>
      <c r="I945" s="7" t="str">
        <f t="shared" si="101"/>
        <v/>
      </c>
      <c r="J945" s="7" t="str">
        <f t="shared" si="102"/>
        <v/>
      </c>
      <c r="K945" s="7" t="str">
        <f t="shared" si="103"/>
        <v/>
      </c>
      <c r="L945" s="7" t="str">
        <f t="shared" si="104"/>
        <v/>
      </c>
      <c r="M945" s="7" t="str">
        <f t="shared" si="105"/>
        <v/>
      </c>
      <c r="N945" s="7" t="str">
        <f t="shared" si="106"/>
        <v/>
      </c>
      <c r="O945" s="51" t="str">
        <f>IF(G945&gt;0,DT!AC945*I945+DT!AD945*J945+DT!AE945*K945+DT!AF945*L945+DT!AG945*M945+DT!AH945*N945,"")</f>
        <v/>
      </c>
      <c r="P945" s="15"/>
    </row>
    <row r="946" spans="1:16">
      <c r="A946" s="1"/>
      <c r="B946" s="1"/>
      <c r="C946" s="1"/>
      <c r="D946" s="1"/>
      <c r="E946" s="1"/>
      <c r="F946" s="1"/>
      <c r="G946" s="1">
        <f t="shared" si="107"/>
        <v>0</v>
      </c>
      <c r="I946" s="7" t="str">
        <f t="shared" si="101"/>
        <v/>
      </c>
      <c r="J946" s="7" t="str">
        <f t="shared" si="102"/>
        <v/>
      </c>
      <c r="K946" s="7" t="str">
        <f t="shared" si="103"/>
        <v/>
      </c>
      <c r="L946" s="7" t="str">
        <f t="shared" si="104"/>
        <v/>
      </c>
      <c r="M946" s="7" t="str">
        <f t="shared" si="105"/>
        <v/>
      </c>
      <c r="N946" s="7" t="str">
        <f t="shared" si="106"/>
        <v/>
      </c>
      <c r="O946" s="51" t="str">
        <f>IF(G946&gt;0,DT!AC946*I946+DT!AD946*J946+DT!AE946*K946+DT!AF946*L946+DT!AG946*M946+DT!AH946*N946,"")</f>
        <v/>
      </c>
      <c r="P946" s="15"/>
    </row>
    <row r="947" spans="1:16">
      <c r="A947" s="1"/>
      <c r="B947" s="1"/>
      <c r="C947" s="1"/>
      <c r="D947" s="1"/>
      <c r="E947" s="1"/>
      <c r="F947" s="1"/>
      <c r="G947" s="1">
        <f t="shared" si="107"/>
        <v>0</v>
      </c>
      <c r="I947" s="7" t="str">
        <f t="shared" si="101"/>
        <v/>
      </c>
      <c r="J947" s="7" t="str">
        <f t="shared" si="102"/>
        <v/>
      </c>
      <c r="K947" s="7" t="str">
        <f t="shared" si="103"/>
        <v/>
      </c>
      <c r="L947" s="7" t="str">
        <f t="shared" si="104"/>
        <v/>
      </c>
      <c r="M947" s="7" t="str">
        <f t="shared" si="105"/>
        <v/>
      </c>
      <c r="N947" s="7" t="str">
        <f t="shared" si="106"/>
        <v/>
      </c>
      <c r="O947" s="51" t="str">
        <f>IF(G947&gt;0,DT!AC947*I947+DT!AD947*J947+DT!AE947*K947+DT!AF947*L947+DT!AG947*M947+DT!AH947*N947,"")</f>
        <v/>
      </c>
      <c r="P947" s="15"/>
    </row>
    <row r="948" spans="1:16">
      <c r="A948" s="1"/>
      <c r="B948" s="1"/>
      <c r="C948" s="1"/>
      <c r="D948" s="1"/>
      <c r="E948" s="1"/>
      <c r="F948" s="1"/>
      <c r="G948" s="1">
        <f t="shared" si="107"/>
        <v>0</v>
      </c>
      <c r="I948" s="7" t="str">
        <f t="shared" ref="I948:I1004" si="108">IF(G948&gt;0,A948/G948,"")</f>
        <v/>
      </c>
      <c r="J948" s="7" t="str">
        <f t="shared" ref="J948:J1004" si="109">IF(G948&gt;0,B948/G948,"")</f>
        <v/>
      </c>
      <c r="K948" s="7" t="str">
        <f t="shared" ref="K948:K1004" si="110">IF(G948&gt;0,C948/G948,"")</f>
        <v/>
      </c>
      <c r="L948" s="7" t="str">
        <f t="shared" ref="L948:L1004" si="111">IF(G948&gt;0,D948/G948,"")</f>
        <v/>
      </c>
      <c r="M948" s="7" t="str">
        <f t="shared" ref="M948:M1004" si="112">IF(G948&gt;0,E948/G948,"")</f>
        <v/>
      </c>
      <c r="N948" s="7" t="str">
        <f t="shared" ref="N948:N1004" si="113">IF(G948&gt;0,F948/G948,"")</f>
        <v/>
      </c>
      <c r="O948" s="51" t="str">
        <f>IF(G948&gt;0,DT!AC948*I948+DT!AD948*J948+DT!AE948*K948+DT!AF948*L948+DT!AG948*M948+DT!AH948*N948,"")</f>
        <v/>
      </c>
      <c r="P948" s="15"/>
    </row>
    <row r="949" spans="1:16">
      <c r="A949" s="1"/>
      <c r="B949" s="1"/>
      <c r="C949" s="1"/>
      <c r="D949" s="1"/>
      <c r="E949" s="1"/>
      <c r="F949" s="1"/>
      <c r="G949" s="1">
        <f t="shared" si="107"/>
        <v>0</v>
      </c>
      <c r="I949" s="7" t="str">
        <f t="shared" si="108"/>
        <v/>
      </c>
      <c r="J949" s="7" t="str">
        <f t="shared" si="109"/>
        <v/>
      </c>
      <c r="K949" s="7" t="str">
        <f t="shared" si="110"/>
        <v/>
      </c>
      <c r="L949" s="7" t="str">
        <f t="shared" si="111"/>
        <v/>
      </c>
      <c r="M949" s="7" t="str">
        <f t="shared" si="112"/>
        <v/>
      </c>
      <c r="N949" s="7" t="str">
        <f t="shared" si="113"/>
        <v/>
      </c>
      <c r="O949" s="51" t="str">
        <f>IF(G949&gt;0,DT!AC949*I949+DT!AD949*J949+DT!AE949*K949+DT!AF949*L949+DT!AG949*M949+DT!AH949*N949,"")</f>
        <v/>
      </c>
      <c r="P949" s="15"/>
    </row>
    <row r="950" spans="1:16">
      <c r="A950" s="1"/>
      <c r="B950" s="1"/>
      <c r="C950" s="1"/>
      <c r="D950" s="1"/>
      <c r="E950" s="1"/>
      <c r="F950" s="1"/>
      <c r="G950" s="1">
        <f t="shared" si="107"/>
        <v>0</v>
      </c>
      <c r="I950" s="7" t="str">
        <f t="shared" si="108"/>
        <v/>
      </c>
      <c r="J950" s="7" t="str">
        <f t="shared" si="109"/>
        <v/>
      </c>
      <c r="K950" s="7" t="str">
        <f t="shared" si="110"/>
        <v/>
      </c>
      <c r="L950" s="7" t="str">
        <f t="shared" si="111"/>
        <v/>
      </c>
      <c r="M950" s="7" t="str">
        <f t="shared" si="112"/>
        <v/>
      </c>
      <c r="N950" s="7" t="str">
        <f t="shared" si="113"/>
        <v/>
      </c>
      <c r="O950" s="51" t="str">
        <f>IF(G950&gt;0,DT!AC950*I950+DT!AD950*J950+DT!AE950*K950+DT!AF950*L950+DT!AG950*M950+DT!AH950*N950,"")</f>
        <v/>
      </c>
      <c r="P950" s="15"/>
    </row>
    <row r="951" spans="1:16">
      <c r="A951" s="1"/>
      <c r="B951" s="1"/>
      <c r="C951" s="1"/>
      <c r="D951" s="1"/>
      <c r="E951" s="1"/>
      <c r="F951" s="1"/>
      <c r="G951" s="1">
        <f t="shared" si="107"/>
        <v>0</v>
      </c>
      <c r="I951" s="7" t="str">
        <f t="shared" si="108"/>
        <v/>
      </c>
      <c r="J951" s="7" t="str">
        <f t="shared" si="109"/>
        <v/>
      </c>
      <c r="K951" s="7" t="str">
        <f t="shared" si="110"/>
        <v/>
      </c>
      <c r="L951" s="7" t="str">
        <f t="shared" si="111"/>
        <v/>
      </c>
      <c r="M951" s="7" t="str">
        <f t="shared" si="112"/>
        <v/>
      </c>
      <c r="N951" s="7" t="str">
        <f t="shared" si="113"/>
        <v/>
      </c>
      <c r="O951" s="51" t="str">
        <f>IF(G951&gt;0,DT!AC951*I951+DT!AD951*J951+DT!AE951*K951+DT!AF951*L951+DT!AG951*M951+DT!AH951*N951,"")</f>
        <v/>
      </c>
      <c r="P951" s="15"/>
    </row>
    <row r="952" spans="1:16">
      <c r="A952" s="1"/>
      <c r="B952" s="1"/>
      <c r="C952" s="1"/>
      <c r="D952" s="1"/>
      <c r="E952" s="1"/>
      <c r="F952" s="1"/>
      <c r="G952" s="1">
        <f t="shared" si="107"/>
        <v>0</v>
      </c>
      <c r="I952" s="7" t="str">
        <f t="shared" si="108"/>
        <v/>
      </c>
      <c r="J952" s="7" t="str">
        <f t="shared" si="109"/>
        <v/>
      </c>
      <c r="K952" s="7" t="str">
        <f t="shared" si="110"/>
        <v/>
      </c>
      <c r="L952" s="7" t="str">
        <f t="shared" si="111"/>
        <v/>
      </c>
      <c r="M952" s="7" t="str">
        <f t="shared" si="112"/>
        <v/>
      </c>
      <c r="N952" s="7" t="str">
        <f t="shared" si="113"/>
        <v/>
      </c>
      <c r="O952" s="51" t="str">
        <f>IF(G952&gt;0,DT!AC952*I952+DT!AD952*J952+DT!AE952*K952+DT!AF952*L952+DT!AG952*M952+DT!AH952*N952,"")</f>
        <v/>
      </c>
      <c r="P952" s="15"/>
    </row>
    <row r="953" spans="1:16">
      <c r="A953" s="1"/>
      <c r="B953" s="1"/>
      <c r="C953" s="1"/>
      <c r="D953" s="1"/>
      <c r="E953" s="1"/>
      <c r="F953" s="1"/>
      <c r="G953" s="1">
        <f t="shared" si="107"/>
        <v>0</v>
      </c>
      <c r="I953" s="7" t="str">
        <f t="shared" si="108"/>
        <v/>
      </c>
      <c r="J953" s="7" t="str">
        <f t="shared" si="109"/>
        <v/>
      </c>
      <c r="K953" s="7" t="str">
        <f t="shared" si="110"/>
        <v/>
      </c>
      <c r="L953" s="7" t="str">
        <f t="shared" si="111"/>
        <v/>
      </c>
      <c r="M953" s="7" t="str">
        <f t="shared" si="112"/>
        <v/>
      </c>
      <c r="N953" s="7" t="str">
        <f t="shared" si="113"/>
        <v/>
      </c>
      <c r="O953" s="51" t="str">
        <f>IF(G953&gt;0,DT!AC953*I953+DT!AD953*J953+DT!AE953*K953+DT!AF953*L953+DT!AG953*M953+DT!AH953*N953,"")</f>
        <v/>
      </c>
      <c r="P953" s="15"/>
    </row>
    <row r="954" spans="1:16">
      <c r="A954" s="1"/>
      <c r="B954" s="1"/>
      <c r="C954" s="1"/>
      <c r="D954" s="1"/>
      <c r="E954" s="1"/>
      <c r="F954" s="1"/>
      <c r="G954" s="1">
        <f t="shared" si="107"/>
        <v>0</v>
      </c>
      <c r="I954" s="7" t="str">
        <f t="shared" si="108"/>
        <v/>
      </c>
      <c r="J954" s="7" t="str">
        <f t="shared" si="109"/>
        <v/>
      </c>
      <c r="K954" s="7" t="str">
        <f t="shared" si="110"/>
        <v/>
      </c>
      <c r="L954" s="7" t="str">
        <f t="shared" si="111"/>
        <v/>
      </c>
      <c r="M954" s="7" t="str">
        <f t="shared" si="112"/>
        <v/>
      </c>
      <c r="N954" s="7" t="str">
        <f t="shared" si="113"/>
        <v/>
      </c>
      <c r="O954" s="51" t="str">
        <f>IF(G954&gt;0,DT!AC954*I954+DT!AD954*J954+DT!AE954*K954+DT!AF954*L954+DT!AG954*M954+DT!AH954*N954,"")</f>
        <v/>
      </c>
      <c r="P954" s="15"/>
    </row>
    <row r="955" spans="1:16">
      <c r="A955" s="1"/>
      <c r="B955" s="1"/>
      <c r="C955" s="1"/>
      <c r="D955" s="1"/>
      <c r="E955" s="1"/>
      <c r="F955" s="1"/>
      <c r="G955" s="1">
        <f t="shared" si="107"/>
        <v>0</v>
      </c>
      <c r="I955" s="7" t="str">
        <f t="shared" si="108"/>
        <v/>
      </c>
      <c r="J955" s="7" t="str">
        <f t="shared" si="109"/>
        <v/>
      </c>
      <c r="K955" s="7" t="str">
        <f t="shared" si="110"/>
        <v/>
      </c>
      <c r="L955" s="7" t="str">
        <f t="shared" si="111"/>
        <v/>
      </c>
      <c r="M955" s="7" t="str">
        <f t="shared" si="112"/>
        <v/>
      </c>
      <c r="N955" s="7" t="str">
        <f t="shared" si="113"/>
        <v/>
      </c>
      <c r="O955" s="51" t="str">
        <f>IF(G955&gt;0,DT!AC955*I955+DT!AD955*J955+DT!AE955*K955+DT!AF955*L955+DT!AG955*M955+DT!AH955*N955,"")</f>
        <v/>
      </c>
      <c r="P955" s="15"/>
    </row>
    <row r="956" spans="1:16">
      <c r="A956" s="1"/>
      <c r="B956" s="1"/>
      <c r="C956" s="1"/>
      <c r="D956" s="1"/>
      <c r="E956" s="1"/>
      <c r="F956" s="1"/>
      <c r="G956" s="1">
        <f t="shared" si="107"/>
        <v>0</v>
      </c>
      <c r="I956" s="7" t="str">
        <f t="shared" si="108"/>
        <v/>
      </c>
      <c r="J956" s="7" t="str">
        <f t="shared" si="109"/>
        <v/>
      </c>
      <c r="K956" s="7" t="str">
        <f t="shared" si="110"/>
        <v/>
      </c>
      <c r="L956" s="7" t="str">
        <f t="shared" si="111"/>
        <v/>
      </c>
      <c r="M956" s="7" t="str">
        <f t="shared" si="112"/>
        <v/>
      </c>
      <c r="N956" s="7" t="str">
        <f t="shared" si="113"/>
        <v/>
      </c>
      <c r="O956" s="51" t="str">
        <f>IF(G956&gt;0,DT!AC956*I956+DT!AD956*J956+DT!AE956*K956+DT!AF956*L956+DT!AG956*M956+DT!AH956*N956,"")</f>
        <v/>
      </c>
      <c r="P956" s="15"/>
    </row>
    <row r="957" spans="1:16">
      <c r="A957" s="1"/>
      <c r="B957" s="1"/>
      <c r="C957" s="1"/>
      <c r="D957" s="1"/>
      <c r="E957" s="1"/>
      <c r="F957" s="1"/>
      <c r="G957" s="1">
        <f t="shared" si="107"/>
        <v>0</v>
      </c>
      <c r="I957" s="7" t="str">
        <f t="shared" si="108"/>
        <v/>
      </c>
      <c r="J957" s="7" t="str">
        <f t="shared" si="109"/>
        <v/>
      </c>
      <c r="K957" s="7" t="str">
        <f t="shared" si="110"/>
        <v/>
      </c>
      <c r="L957" s="7" t="str">
        <f t="shared" si="111"/>
        <v/>
      </c>
      <c r="M957" s="7" t="str">
        <f t="shared" si="112"/>
        <v/>
      </c>
      <c r="N957" s="7" t="str">
        <f t="shared" si="113"/>
        <v/>
      </c>
      <c r="O957" s="51" t="str">
        <f>IF(G957&gt;0,DT!AC957*I957+DT!AD957*J957+DT!AE957*K957+DT!AF957*L957+DT!AG957*M957+DT!AH957*N957,"")</f>
        <v/>
      </c>
      <c r="P957" s="15"/>
    </row>
    <row r="958" spans="1:16">
      <c r="A958" s="1"/>
      <c r="B958" s="1"/>
      <c r="C958" s="1"/>
      <c r="D958" s="1"/>
      <c r="E958" s="1"/>
      <c r="F958" s="1"/>
      <c r="G958" s="1">
        <f t="shared" si="107"/>
        <v>0</v>
      </c>
      <c r="I958" s="7" t="str">
        <f t="shared" si="108"/>
        <v/>
      </c>
      <c r="J958" s="7" t="str">
        <f t="shared" si="109"/>
        <v/>
      </c>
      <c r="K958" s="7" t="str">
        <f t="shared" si="110"/>
        <v/>
      </c>
      <c r="L958" s="7" t="str">
        <f t="shared" si="111"/>
        <v/>
      </c>
      <c r="M958" s="7" t="str">
        <f t="shared" si="112"/>
        <v/>
      </c>
      <c r="N958" s="7" t="str">
        <f t="shared" si="113"/>
        <v/>
      </c>
      <c r="O958" s="51" t="str">
        <f>IF(G958&gt;0,DT!AC958*I958+DT!AD958*J958+DT!AE958*K958+DT!AF958*L958+DT!AG958*M958+DT!AH958*N958,"")</f>
        <v/>
      </c>
      <c r="P958" s="15"/>
    </row>
    <row r="959" spans="1:16">
      <c r="A959" s="1"/>
      <c r="B959" s="1"/>
      <c r="C959" s="1"/>
      <c r="D959" s="1"/>
      <c r="E959" s="1"/>
      <c r="F959" s="1"/>
      <c r="G959" s="1">
        <f t="shared" si="107"/>
        <v>0</v>
      </c>
      <c r="I959" s="7" t="str">
        <f t="shared" si="108"/>
        <v/>
      </c>
      <c r="J959" s="7" t="str">
        <f t="shared" si="109"/>
        <v/>
      </c>
      <c r="K959" s="7" t="str">
        <f t="shared" si="110"/>
        <v/>
      </c>
      <c r="L959" s="7" t="str">
        <f t="shared" si="111"/>
        <v/>
      </c>
      <c r="M959" s="7" t="str">
        <f t="shared" si="112"/>
        <v/>
      </c>
      <c r="N959" s="7" t="str">
        <f t="shared" si="113"/>
        <v/>
      </c>
      <c r="O959" s="51" t="str">
        <f>IF(G959&gt;0,DT!AC959*I959+DT!AD959*J959+DT!AE959*K959+DT!AF959*L959+DT!AG959*M959+DT!AH959*N959,"")</f>
        <v/>
      </c>
      <c r="P959" s="15"/>
    </row>
    <row r="960" spans="1:16">
      <c r="A960" s="1"/>
      <c r="B960" s="1"/>
      <c r="C960" s="1"/>
      <c r="D960" s="1"/>
      <c r="E960" s="1"/>
      <c r="F960" s="1"/>
      <c r="G960" s="1">
        <f t="shared" si="107"/>
        <v>0</v>
      </c>
      <c r="I960" s="7" t="str">
        <f t="shared" si="108"/>
        <v/>
      </c>
      <c r="J960" s="7" t="str">
        <f t="shared" si="109"/>
        <v/>
      </c>
      <c r="K960" s="7" t="str">
        <f t="shared" si="110"/>
        <v/>
      </c>
      <c r="L960" s="7" t="str">
        <f t="shared" si="111"/>
        <v/>
      </c>
      <c r="M960" s="7" t="str">
        <f t="shared" si="112"/>
        <v/>
      </c>
      <c r="N960" s="7" t="str">
        <f t="shared" si="113"/>
        <v/>
      </c>
      <c r="O960" s="51" t="str">
        <f>IF(G960&gt;0,DT!AC960*I960+DT!AD960*J960+DT!AE960*K960+DT!AF960*L960+DT!AG960*M960+DT!AH960*N960,"")</f>
        <v/>
      </c>
      <c r="P960" s="15"/>
    </row>
    <row r="961" spans="1:16">
      <c r="A961" s="1"/>
      <c r="B961" s="1"/>
      <c r="C961" s="1"/>
      <c r="D961" s="1"/>
      <c r="E961" s="1"/>
      <c r="F961" s="1"/>
      <c r="G961" s="1">
        <f t="shared" si="107"/>
        <v>0</v>
      </c>
      <c r="I961" s="7" t="str">
        <f t="shared" si="108"/>
        <v/>
      </c>
      <c r="J961" s="7" t="str">
        <f t="shared" si="109"/>
        <v/>
      </c>
      <c r="K961" s="7" t="str">
        <f t="shared" si="110"/>
        <v/>
      </c>
      <c r="L961" s="7" t="str">
        <f t="shared" si="111"/>
        <v/>
      </c>
      <c r="M961" s="7" t="str">
        <f t="shared" si="112"/>
        <v/>
      </c>
      <c r="N961" s="7" t="str">
        <f t="shared" si="113"/>
        <v/>
      </c>
      <c r="O961" s="51" t="str">
        <f>IF(G961&gt;0,DT!AC961*I961+DT!AD961*J961+DT!AE961*K961+DT!AF961*L961+DT!AG961*M961+DT!AH961*N961,"")</f>
        <v/>
      </c>
      <c r="P961" s="15"/>
    </row>
    <row r="962" spans="1:16">
      <c r="A962" s="1"/>
      <c r="B962" s="1"/>
      <c r="C962" s="1"/>
      <c r="D962" s="1"/>
      <c r="E962" s="1"/>
      <c r="F962" s="1"/>
      <c r="G962" s="1">
        <f t="shared" si="107"/>
        <v>0</v>
      </c>
      <c r="I962" s="7" t="str">
        <f t="shared" si="108"/>
        <v/>
      </c>
      <c r="J962" s="7" t="str">
        <f t="shared" si="109"/>
        <v/>
      </c>
      <c r="K962" s="7" t="str">
        <f t="shared" si="110"/>
        <v/>
      </c>
      <c r="L962" s="7" t="str">
        <f t="shared" si="111"/>
        <v/>
      </c>
      <c r="M962" s="7" t="str">
        <f t="shared" si="112"/>
        <v/>
      </c>
      <c r="N962" s="7" t="str">
        <f t="shared" si="113"/>
        <v/>
      </c>
      <c r="O962" s="51" t="str">
        <f>IF(G962&gt;0,DT!AC962*I962+DT!AD962*J962+DT!AE962*K962+DT!AF962*L962+DT!AG962*M962+DT!AH962*N962,"")</f>
        <v/>
      </c>
      <c r="P962" s="15"/>
    </row>
    <row r="963" spans="1:16">
      <c r="A963" s="1"/>
      <c r="B963" s="1"/>
      <c r="C963" s="1"/>
      <c r="D963" s="1"/>
      <c r="E963" s="1"/>
      <c r="F963" s="1"/>
      <c r="G963" s="1">
        <f t="shared" si="107"/>
        <v>0</v>
      </c>
      <c r="I963" s="7" t="str">
        <f t="shared" si="108"/>
        <v/>
      </c>
      <c r="J963" s="7" t="str">
        <f t="shared" si="109"/>
        <v/>
      </c>
      <c r="K963" s="7" t="str">
        <f t="shared" si="110"/>
        <v/>
      </c>
      <c r="L963" s="7" t="str">
        <f t="shared" si="111"/>
        <v/>
      </c>
      <c r="M963" s="7" t="str">
        <f t="shared" si="112"/>
        <v/>
      </c>
      <c r="N963" s="7" t="str">
        <f t="shared" si="113"/>
        <v/>
      </c>
      <c r="O963" s="51" t="str">
        <f>IF(G963&gt;0,DT!AC963*I963+DT!AD963*J963+DT!AE963*K963+DT!AF963*L963+DT!AG963*M963+DT!AH963*N963,"")</f>
        <v/>
      </c>
      <c r="P963" s="15"/>
    </row>
    <row r="964" spans="1:16">
      <c r="A964" s="1"/>
      <c r="B964" s="1"/>
      <c r="C964" s="1"/>
      <c r="D964" s="1"/>
      <c r="E964" s="1"/>
      <c r="F964" s="1"/>
      <c r="G964" s="1">
        <f t="shared" si="107"/>
        <v>0</v>
      </c>
      <c r="I964" s="7" t="str">
        <f t="shared" si="108"/>
        <v/>
      </c>
      <c r="J964" s="7" t="str">
        <f t="shared" si="109"/>
        <v/>
      </c>
      <c r="K964" s="7" t="str">
        <f t="shared" si="110"/>
        <v/>
      </c>
      <c r="L964" s="7" t="str">
        <f t="shared" si="111"/>
        <v/>
      </c>
      <c r="M964" s="7" t="str">
        <f t="shared" si="112"/>
        <v/>
      </c>
      <c r="N964" s="7" t="str">
        <f t="shared" si="113"/>
        <v/>
      </c>
      <c r="O964" s="51" t="str">
        <f>IF(G964&gt;0,DT!AC964*I964+DT!AD964*J964+DT!AE964*K964+DT!AF964*L964+DT!AG964*M964+DT!AH964*N964,"")</f>
        <v/>
      </c>
      <c r="P964" s="15"/>
    </row>
    <row r="965" spans="1:16">
      <c r="A965" s="1"/>
      <c r="B965" s="1"/>
      <c r="C965" s="1"/>
      <c r="D965" s="1"/>
      <c r="E965" s="1"/>
      <c r="F965" s="1"/>
      <c r="G965" s="1">
        <f t="shared" ref="G965:G1004" si="114">SUM(A965:F965)</f>
        <v>0</v>
      </c>
      <c r="I965" s="7" t="str">
        <f t="shared" si="108"/>
        <v/>
      </c>
      <c r="J965" s="7" t="str">
        <f t="shared" si="109"/>
        <v/>
      </c>
      <c r="K965" s="7" t="str">
        <f t="shared" si="110"/>
        <v/>
      </c>
      <c r="L965" s="7" t="str">
        <f t="shared" si="111"/>
        <v/>
      </c>
      <c r="M965" s="7" t="str">
        <f t="shared" si="112"/>
        <v/>
      </c>
      <c r="N965" s="7" t="str">
        <f t="shared" si="113"/>
        <v/>
      </c>
      <c r="O965" s="51" t="str">
        <f>IF(G965&gt;0,DT!AC965*I965+DT!AD965*J965+DT!AE965*K965+DT!AF965*L965+DT!AG965*M965+DT!AH965*N965,"")</f>
        <v/>
      </c>
      <c r="P965" s="15"/>
    </row>
    <row r="966" spans="1:16">
      <c r="A966" s="1"/>
      <c r="B966" s="1"/>
      <c r="C966" s="1"/>
      <c r="D966" s="1"/>
      <c r="E966" s="1"/>
      <c r="F966" s="1"/>
      <c r="G966" s="1">
        <f t="shared" si="114"/>
        <v>0</v>
      </c>
      <c r="I966" s="7" t="str">
        <f t="shared" si="108"/>
        <v/>
      </c>
      <c r="J966" s="7" t="str">
        <f t="shared" si="109"/>
        <v/>
      </c>
      <c r="K966" s="7" t="str">
        <f t="shared" si="110"/>
        <v/>
      </c>
      <c r="L966" s="7" t="str">
        <f t="shared" si="111"/>
        <v/>
      </c>
      <c r="M966" s="7" t="str">
        <f t="shared" si="112"/>
        <v/>
      </c>
      <c r="N966" s="7" t="str">
        <f t="shared" si="113"/>
        <v/>
      </c>
      <c r="O966" s="51" t="str">
        <f>IF(G966&gt;0,DT!AC966*I966+DT!AD966*J966+DT!AE966*K966+DT!AF966*L966+DT!AG966*M966+DT!AH966*N966,"")</f>
        <v/>
      </c>
      <c r="P966" s="15"/>
    </row>
    <row r="967" spans="1:16">
      <c r="A967" s="1"/>
      <c r="B967" s="1"/>
      <c r="C967" s="1"/>
      <c r="D967" s="1"/>
      <c r="E967" s="1"/>
      <c r="F967" s="1"/>
      <c r="G967" s="1">
        <f t="shared" si="114"/>
        <v>0</v>
      </c>
      <c r="I967" s="7" t="str">
        <f t="shared" si="108"/>
        <v/>
      </c>
      <c r="J967" s="7" t="str">
        <f t="shared" si="109"/>
        <v/>
      </c>
      <c r="K967" s="7" t="str">
        <f t="shared" si="110"/>
        <v/>
      </c>
      <c r="L967" s="7" t="str">
        <f t="shared" si="111"/>
        <v/>
      </c>
      <c r="M967" s="7" t="str">
        <f t="shared" si="112"/>
        <v/>
      </c>
      <c r="N967" s="7" t="str">
        <f t="shared" si="113"/>
        <v/>
      </c>
      <c r="O967" s="51" t="str">
        <f>IF(G967&gt;0,DT!AC967*I967+DT!AD967*J967+DT!AE967*K967+DT!AF967*L967+DT!AG967*M967+DT!AH967*N967,"")</f>
        <v/>
      </c>
      <c r="P967" s="15"/>
    </row>
    <row r="968" spans="1:16">
      <c r="A968" s="1"/>
      <c r="B968" s="1"/>
      <c r="C968" s="1"/>
      <c r="D968" s="1"/>
      <c r="E968" s="1"/>
      <c r="F968" s="1"/>
      <c r="G968" s="1">
        <f t="shared" si="114"/>
        <v>0</v>
      </c>
      <c r="I968" s="7" t="str">
        <f t="shared" si="108"/>
        <v/>
      </c>
      <c r="J968" s="7" t="str">
        <f t="shared" si="109"/>
        <v/>
      </c>
      <c r="K968" s="7" t="str">
        <f t="shared" si="110"/>
        <v/>
      </c>
      <c r="L968" s="7" t="str">
        <f t="shared" si="111"/>
        <v/>
      </c>
      <c r="M968" s="7" t="str">
        <f t="shared" si="112"/>
        <v/>
      </c>
      <c r="N968" s="7" t="str">
        <f t="shared" si="113"/>
        <v/>
      </c>
      <c r="O968" s="51" t="str">
        <f>IF(G968&gt;0,DT!AC968*I968+DT!AD968*J968+DT!AE968*K968+DT!AF968*L968+DT!AG968*M968+DT!AH968*N968,"")</f>
        <v/>
      </c>
      <c r="P968" s="15"/>
    </row>
    <row r="969" spans="1:16">
      <c r="A969" s="1"/>
      <c r="B969" s="1"/>
      <c r="C969" s="1"/>
      <c r="D969" s="1"/>
      <c r="E969" s="1"/>
      <c r="F969" s="1"/>
      <c r="G969" s="1">
        <f t="shared" si="114"/>
        <v>0</v>
      </c>
      <c r="I969" s="7" t="str">
        <f t="shared" si="108"/>
        <v/>
      </c>
      <c r="J969" s="7" t="str">
        <f t="shared" si="109"/>
        <v/>
      </c>
      <c r="K969" s="7" t="str">
        <f t="shared" si="110"/>
        <v/>
      </c>
      <c r="L969" s="7" t="str">
        <f t="shared" si="111"/>
        <v/>
      </c>
      <c r="M969" s="7" t="str">
        <f t="shared" si="112"/>
        <v/>
      </c>
      <c r="N969" s="7" t="str">
        <f t="shared" si="113"/>
        <v/>
      </c>
      <c r="O969" s="51" t="str">
        <f>IF(G969&gt;0,DT!AC969*I969+DT!AD969*J969+DT!AE969*K969+DT!AF969*L969+DT!AG969*M969+DT!AH969*N969,"")</f>
        <v/>
      </c>
      <c r="P969" s="15"/>
    </row>
    <row r="970" spans="1:16">
      <c r="A970" s="1"/>
      <c r="B970" s="1"/>
      <c r="C970" s="1"/>
      <c r="D970" s="1"/>
      <c r="E970" s="1"/>
      <c r="F970" s="1"/>
      <c r="G970" s="1">
        <f t="shared" si="114"/>
        <v>0</v>
      </c>
      <c r="I970" s="7" t="str">
        <f t="shared" si="108"/>
        <v/>
      </c>
      <c r="J970" s="7" t="str">
        <f t="shared" si="109"/>
        <v/>
      </c>
      <c r="K970" s="7" t="str">
        <f t="shared" si="110"/>
        <v/>
      </c>
      <c r="L970" s="7" t="str">
        <f t="shared" si="111"/>
        <v/>
      </c>
      <c r="M970" s="7" t="str">
        <f t="shared" si="112"/>
        <v/>
      </c>
      <c r="N970" s="7" t="str">
        <f t="shared" si="113"/>
        <v/>
      </c>
      <c r="O970" s="51" t="str">
        <f>IF(G970&gt;0,DT!AC970*I970+DT!AD970*J970+DT!AE970*K970+DT!AF970*L970+DT!AG970*M970+DT!AH970*N970,"")</f>
        <v/>
      </c>
      <c r="P970" s="15"/>
    </row>
    <row r="971" spans="1:16">
      <c r="A971" s="1"/>
      <c r="B971" s="1"/>
      <c r="C971" s="1"/>
      <c r="D971" s="1"/>
      <c r="E971" s="1"/>
      <c r="F971" s="1"/>
      <c r="G971" s="1">
        <f t="shared" si="114"/>
        <v>0</v>
      </c>
      <c r="I971" s="7" t="str">
        <f t="shared" si="108"/>
        <v/>
      </c>
      <c r="J971" s="7" t="str">
        <f t="shared" si="109"/>
        <v/>
      </c>
      <c r="K971" s="7" t="str">
        <f t="shared" si="110"/>
        <v/>
      </c>
      <c r="L971" s="7" t="str">
        <f t="shared" si="111"/>
        <v/>
      </c>
      <c r="M971" s="7" t="str">
        <f t="shared" si="112"/>
        <v/>
      </c>
      <c r="N971" s="7" t="str">
        <f t="shared" si="113"/>
        <v/>
      </c>
      <c r="O971" s="51" t="str">
        <f>IF(G971&gt;0,DT!AC971*I971+DT!AD971*J971+DT!AE971*K971+DT!AF971*L971+DT!AG971*M971+DT!AH971*N971,"")</f>
        <v/>
      </c>
      <c r="P971" s="15"/>
    </row>
    <row r="972" spans="1:16">
      <c r="A972" s="1"/>
      <c r="B972" s="1"/>
      <c r="C972" s="1"/>
      <c r="D972" s="1"/>
      <c r="E972" s="1"/>
      <c r="F972" s="1"/>
      <c r="G972" s="1">
        <f t="shared" si="114"/>
        <v>0</v>
      </c>
      <c r="I972" s="7" t="str">
        <f t="shared" si="108"/>
        <v/>
      </c>
      <c r="J972" s="7" t="str">
        <f t="shared" si="109"/>
        <v/>
      </c>
      <c r="K972" s="7" t="str">
        <f t="shared" si="110"/>
        <v/>
      </c>
      <c r="L972" s="7" t="str">
        <f t="shared" si="111"/>
        <v/>
      </c>
      <c r="M972" s="7" t="str">
        <f t="shared" si="112"/>
        <v/>
      </c>
      <c r="N972" s="7" t="str">
        <f t="shared" si="113"/>
        <v/>
      </c>
      <c r="O972" s="51" t="str">
        <f>IF(G972&gt;0,DT!AC972*I972+DT!AD972*J972+DT!AE972*K972+DT!AF972*L972+DT!AG972*M972+DT!AH972*N972,"")</f>
        <v/>
      </c>
      <c r="P972" s="15"/>
    </row>
    <row r="973" spans="1:16">
      <c r="A973" s="1"/>
      <c r="B973" s="1"/>
      <c r="C973" s="1"/>
      <c r="D973" s="1"/>
      <c r="E973" s="1"/>
      <c r="F973" s="1"/>
      <c r="G973" s="1">
        <f t="shared" si="114"/>
        <v>0</v>
      </c>
      <c r="I973" s="7" t="str">
        <f t="shared" si="108"/>
        <v/>
      </c>
      <c r="J973" s="7" t="str">
        <f t="shared" si="109"/>
        <v/>
      </c>
      <c r="K973" s="7" t="str">
        <f t="shared" si="110"/>
        <v/>
      </c>
      <c r="L973" s="7" t="str">
        <f t="shared" si="111"/>
        <v/>
      </c>
      <c r="M973" s="7" t="str">
        <f t="shared" si="112"/>
        <v/>
      </c>
      <c r="N973" s="7" t="str">
        <f t="shared" si="113"/>
        <v/>
      </c>
      <c r="O973" s="51" t="str">
        <f>IF(G973&gt;0,DT!AC973*I973+DT!AD973*J973+DT!AE973*K973+DT!AF973*L973+DT!AG973*M973+DT!AH973*N973,"")</f>
        <v/>
      </c>
      <c r="P973" s="15"/>
    </row>
    <row r="974" spans="1:16">
      <c r="A974" s="1"/>
      <c r="B974" s="1"/>
      <c r="C974" s="1"/>
      <c r="D974" s="1"/>
      <c r="E974" s="1"/>
      <c r="F974" s="1"/>
      <c r="G974" s="1">
        <f t="shared" si="114"/>
        <v>0</v>
      </c>
      <c r="I974" s="7" t="str">
        <f t="shared" si="108"/>
        <v/>
      </c>
      <c r="J974" s="7" t="str">
        <f t="shared" si="109"/>
        <v/>
      </c>
      <c r="K974" s="7" t="str">
        <f t="shared" si="110"/>
        <v/>
      </c>
      <c r="L974" s="7" t="str">
        <f t="shared" si="111"/>
        <v/>
      </c>
      <c r="M974" s="7" t="str">
        <f t="shared" si="112"/>
        <v/>
      </c>
      <c r="N974" s="7" t="str">
        <f t="shared" si="113"/>
        <v/>
      </c>
      <c r="O974" s="51" t="str">
        <f>IF(G974&gt;0,DT!AC974*I974+DT!AD974*J974+DT!AE974*K974+DT!AF974*L974+DT!AG974*M974+DT!AH974*N974,"")</f>
        <v/>
      </c>
      <c r="P974" s="15"/>
    </row>
    <row r="975" spans="1:16">
      <c r="A975" s="1"/>
      <c r="B975" s="1"/>
      <c r="C975" s="1"/>
      <c r="D975" s="1"/>
      <c r="E975" s="1"/>
      <c r="F975" s="1"/>
      <c r="G975" s="1">
        <f t="shared" si="114"/>
        <v>0</v>
      </c>
      <c r="I975" s="7" t="str">
        <f t="shared" si="108"/>
        <v/>
      </c>
      <c r="J975" s="7" t="str">
        <f t="shared" si="109"/>
        <v/>
      </c>
      <c r="K975" s="7" t="str">
        <f t="shared" si="110"/>
        <v/>
      </c>
      <c r="L975" s="7" t="str">
        <f t="shared" si="111"/>
        <v/>
      </c>
      <c r="M975" s="7" t="str">
        <f t="shared" si="112"/>
        <v/>
      </c>
      <c r="N975" s="7" t="str">
        <f t="shared" si="113"/>
        <v/>
      </c>
      <c r="O975" s="51" t="str">
        <f>IF(G975&gt;0,DT!AC975*I975+DT!AD975*J975+DT!AE975*K975+DT!AF975*L975+DT!AG975*M975+DT!AH975*N975,"")</f>
        <v/>
      </c>
      <c r="P975" s="15"/>
    </row>
    <row r="976" spans="1:16">
      <c r="A976" s="1"/>
      <c r="B976" s="1"/>
      <c r="C976" s="1"/>
      <c r="D976" s="1"/>
      <c r="E976" s="1"/>
      <c r="F976" s="1"/>
      <c r="G976" s="1">
        <f t="shared" si="114"/>
        <v>0</v>
      </c>
      <c r="I976" s="7" t="str">
        <f t="shared" si="108"/>
        <v/>
      </c>
      <c r="J976" s="7" t="str">
        <f t="shared" si="109"/>
        <v/>
      </c>
      <c r="K976" s="7" t="str">
        <f t="shared" si="110"/>
        <v/>
      </c>
      <c r="L976" s="7" t="str">
        <f t="shared" si="111"/>
        <v/>
      </c>
      <c r="M976" s="7" t="str">
        <f t="shared" si="112"/>
        <v/>
      </c>
      <c r="N976" s="7" t="str">
        <f t="shared" si="113"/>
        <v/>
      </c>
      <c r="O976" s="51" t="str">
        <f>IF(G976&gt;0,DT!AC976*I976+DT!AD976*J976+DT!AE976*K976+DT!AF976*L976+DT!AG976*M976+DT!AH976*N976,"")</f>
        <v/>
      </c>
      <c r="P976" s="15"/>
    </row>
    <row r="977" spans="1:16">
      <c r="A977" s="1"/>
      <c r="B977" s="1"/>
      <c r="C977" s="1"/>
      <c r="D977" s="1"/>
      <c r="E977" s="1"/>
      <c r="F977" s="1"/>
      <c r="G977" s="1">
        <f t="shared" si="114"/>
        <v>0</v>
      </c>
      <c r="I977" s="7" t="str">
        <f t="shared" si="108"/>
        <v/>
      </c>
      <c r="J977" s="7" t="str">
        <f t="shared" si="109"/>
        <v/>
      </c>
      <c r="K977" s="7" t="str">
        <f t="shared" si="110"/>
        <v/>
      </c>
      <c r="L977" s="7" t="str">
        <f t="shared" si="111"/>
        <v/>
      </c>
      <c r="M977" s="7" t="str">
        <f t="shared" si="112"/>
        <v/>
      </c>
      <c r="N977" s="7" t="str">
        <f t="shared" si="113"/>
        <v/>
      </c>
      <c r="O977" s="51" t="str">
        <f>IF(G977&gt;0,DT!AC977*I977+DT!AD977*J977+DT!AE977*K977+DT!AF977*L977+DT!AG977*M977+DT!AH977*N977,"")</f>
        <v/>
      </c>
      <c r="P977" s="15"/>
    </row>
    <row r="978" spans="1:16">
      <c r="A978" s="1"/>
      <c r="B978" s="1"/>
      <c r="C978" s="1"/>
      <c r="D978" s="1"/>
      <c r="E978" s="1"/>
      <c r="F978" s="1"/>
      <c r="G978" s="1">
        <f t="shared" si="114"/>
        <v>0</v>
      </c>
      <c r="I978" s="7" t="str">
        <f t="shared" si="108"/>
        <v/>
      </c>
      <c r="J978" s="7" t="str">
        <f t="shared" si="109"/>
        <v/>
      </c>
      <c r="K978" s="7" t="str">
        <f t="shared" si="110"/>
        <v/>
      </c>
      <c r="L978" s="7" t="str">
        <f t="shared" si="111"/>
        <v/>
      </c>
      <c r="M978" s="7" t="str">
        <f t="shared" si="112"/>
        <v/>
      </c>
      <c r="N978" s="7" t="str">
        <f t="shared" si="113"/>
        <v/>
      </c>
      <c r="O978" s="51" t="str">
        <f>IF(G978&gt;0,DT!AC978*I978+DT!AD978*J978+DT!AE978*K978+DT!AF978*L978+DT!AG978*M978+DT!AH978*N978,"")</f>
        <v/>
      </c>
      <c r="P978" s="15"/>
    </row>
    <row r="979" spans="1:16">
      <c r="A979" s="1"/>
      <c r="B979" s="1"/>
      <c r="C979" s="1"/>
      <c r="D979" s="1"/>
      <c r="E979" s="1"/>
      <c r="F979" s="1"/>
      <c r="G979" s="1">
        <f t="shared" si="114"/>
        <v>0</v>
      </c>
      <c r="I979" s="7" t="str">
        <f t="shared" si="108"/>
        <v/>
      </c>
      <c r="J979" s="7" t="str">
        <f t="shared" si="109"/>
        <v/>
      </c>
      <c r="K979" s="7" t="str">
        <f t="shared" si="110"/>
        <v/>
      </c>
      <c r="L979" s="7" t="str">
        <f t="shared" si="111"/>
        <v/>
      </c>
      <c r="M979" s="7" t="str">
        <f t="shared" si="112"/>
        <v/>
      </c>
      <c r="N979" s="7" t="str">
        <f t="shared" si="113"/>
        <v/>
      </c>
      <c r="O979" s="51" t="str">
        <f>IF(G979&gt;0,DT!AC979*I979+DT!AD979*J979+DT!AE979*K979+DT!AF979*L979+DT!AG979*M979+DT!AH979*N979,"")</f>
        <v/>
      </c>
      <c r="P979" s="15"/>
    </row>
    <row r="980" spans="1:16">
      <c r="A980" s="1"/>
      <c r="B980" s="1"/>
      <c r="C980" s="1"/>
      <c r="D980" s="1"/>
      <c r="E980" s="1"/>
      <c r="F980" s="1"/>
      <c r="G980" s="1">
        <f t="shared" si="114"/>
        <v>0</v>
      </c>
      <c r="I980" s="7" t="str">
        <f t="shared" si="108"/>
        <v/>
      </c>
      <c r="J980" s="7" t="str">
        <f t="shared" si="109"/>
        <v/>
      </c>
      <c r="K980" s="7" t="str">
        <f t="shared" si="110"/>
        <v/>
      </c>
      <c r="L980" s="7" t="str">
        <f t="shared" si="111"/>
        <v/>
      </c>
      <c r="M980" s="7" t="str">
        <f t="shared" si="112"/>
        <v/>
      </c>
      <c r="N980" s="7" t="str">
        <f t="shared" si="113"/>
        <v/>
      </c>
      <c r="O980" s="51" t="str">
        <f>IF(G980&gt;0,DT!AC980*I980+DT!AD980*J980+DT!AE980*K980+DT!AF980*L980+DT!AG980*M980+DT!AH980*N980,"")</f>
        <v/>
      </c>
      <c r="P980" s="15"/>
    </row>
    <row r="981" spans="1:16">
      <c r="A981" s="1"/>
      <c r="B981" s="1"/>
      <c r="C981" s="1"/>
      <c r="D981" s="1"/>
      <c r="E981" s="1"/>
      <c r="F981" s="1"/>
      <c r="G981" s="1">
        <f t="shared" si="114"/>
        <v>0</v>
      </c>
      <c r="I981" s="7" t="str">
        <f t="shared" si="108"/>
        <v/>
      </c>
      <c r="J981" s="7" t="str">
        <f t="shared" si="109"/>
        <v/>
      </c>
      <c r="K981" s="7" t="str">
        <f t="shared" si="110"/>
        <v/>
      </c>
      <c r="L981" s="7" t="str">
        <f t="shared" si="111"/>
        <v/>
      </c>
      <c r="M981" s="7" t="str">
        <f t="shared" si="112"/>
        <v/>
      </c>
      <c r="N981" s="7" t="str">
        <f t="shared" si="113"/>
        <v/>
      </c>
      <c r="O981" s="51" t="str">
        <f>IF(G981&gt;0,DT!AC981*I981+DT!AD981*J981+DT!AE981*K981+DT!AF981*L981+DT!AG981*M981+DT!AH981*N981,"")</f>
        <v/>
      </c>
      <c r="P981" s="15"/>
    </row>
    <row r="982" spans="1:16">
      <c r="A982" s="1"/>
      <c r="B982" s="1"/>
      <c r="C982" s="1"/>
      <c r="D982" s="1"/>
      <c r="E982" s="1"/>
      <c r="F982" s="1"/>
      <c r="G982" s="1">
        <f t="shared" si="114"/>
        <v>0</v>
      </c>
      <c r="I982" s="7" t="str">
        <f t="shared" si="108"/>
        <v/>
      </c>
      <c r="J982" s="7" t="str">
        <f t="shared" si="109"/>
        <v/>
      </c>
      <c r="K982" s="7" t="str">
        <f t="shared" si="110"/>
        <v/>
      </c>
      <c r="L982" s="7" t="str">
        <f t="shared" si="111"/>
        <v/>
      </c>
      <c r="M982" s="7" t="str">
        <f t="shared" si="112"/>
        <v/>
      </c>
      <c r="N982" s="7" t="str">
        <f t="shared" si="113"/>
        <v/>
      </c>
      <c r="O982" s="51" t="str">
        <f>IF(G982&gt;0,DT!AC982*I982+DT!AD982*J982+DT!AE982*K982+DT!AF982*L982+DT!AG982*M982+DT!AH982*N982,"")</f>
        <v/>
      </c>
      <c r="P982" s="15"/>
    </row>
    <row r="983" spans="1:16">
      <c r="A983" s="1"/>
      <c r="B983" s="1"/>
      <c r="C983" s="1"/>
      <c r="D983" s="1"/>
      <c r="E983" s="1"/>
      <c r="F983" s="1"/>
      <c r="G983" s="1">
        <f t="shared" si="114"/>
        <v>0</v>
      </c>
      <c r="I983" s="7" t="str">
        <f t="shared" si="108"/>
        <v/>
      </c>
      <c r="J983" s="7" t="str">
        <f t="shared" si="109"/>
        <v/>
      </c>
      <c r="K983" s="7" t="str">
        <f t="shared" si="110"/>
        <v/>
      </c>
      <c r="L983" s="7" t="str">
        <f t="shared" si="111"/>
        <v/>
      </c>
      <c r="M983" s="7" t="str">
        <f t="shared" si="112"/>
        <v/>
      </c>
      <c r="N983" s="7" t="str">
        <f t="shared" si="113"/>
        <v/>
      </c>
      <c r="O983" s="51" t="str">
        <f>IF(G983&gt;0,DT!AC983*I983+DT!AD983*J983+DT!AE983*K983+DT!AF983*L983+DT!AG983*M983+DT!AH983*N983,"")</f>
        <v/>
      </c>
      <c r="P983" s="15"/>
    </row>
    <row r="984" spans="1:16">
      <c r="A984" s="1"/>
      <c r="B984" s="1"/>
      <c r="C984" s="1"/>
      <c r="D984" s="1"/>
      <c r="E984" s="1"/>
      <c r="F984" s="1"/>
      <c r="G984" s="1">
        <f t="shared" si="114"/>
        <v>0</v>
      </c>
      <c r="I984" s="7" t="str">
        <f t="shared" si="108"/>
        <v/>
      </c>
      <c r="J984" s="7" t="str">
        <f t="shared" si="109"/>
        <v/>
      </c>
      <c r="K984" s="7" t="str">
        <f t="shared" si="110"/>
        <v/>
      </c>
      <c r="L984" s="7" t="str">
        <f t="shared" si="111"/>
        <v/>
      </c>
      <c r="M984" s="7" t="str">
        <f t="shared" si="112"/>
        <v/>
      </c>
      <c r="N984" s="7" t="str">
        <f t="shared" si="113"/>
        <v/>
      </c>
      <c r="O984" s="51" t="str">
        <f>IF(G984&gt;0,DT!AC984*I984+DT!AD984*J984+DT!AE984*K984+DT!AF984*L984+DT!AG984*M984+DT!AH984*N984,"")</f>
        <v/>
      </c>
      <c r="P984" s="15"/>
    </row>
    <row r="985" spans="1:16">
      <c r="A985" s="1"/>
      <c r="B985" s="1"/>
      <c r="C985" s="1"/>
      <c r="D985" s="1"/>
      <c r="E985" s="1"/>
      <c r="F985" s="1"/>
      <c r="G985" s="1">
        <f t="shared" si="114"/>
        <v>0</v>
      </c>
      <c r="I985" s="7" t="str">
        <f t="shared" si="108"/>
        <v/>
      </c>
      <c r="J985" s="7" t="str">
        <f t="shared" si="109"/>
        <v/>
      </c>
      <c r="K985" s="7" t="str">
        <f t="shared" si="110"/>
        <v/>
      </c>
      <c r="L985" s="7" t="str">
        <f t="shared" si="111"/>
        <v/>
      </c>
      <c r="M985" s="7" t="str">
        <f t="shared" si="112"/>
        <v/>
      </c>
      <c r="N985" s="7" t="str">
        <f t="shared" si="113"/>
        <v/>
      </c>
      <c r="O985" s="51" t="str">
        <f>IF(G985&gt;0,DT!AC985*I985+DT!AD985*J985+DT!AE985*K985+DT!AF985*L985+DT!AG985*M985+DT!AH985*N985,"")</f>
        <v/>
      </c>
      <c r="P985" s="15"/>
    </row>
    <row r="986" spans="1:16">
      <c r="A986" s="1"/>
      <c r="B986" s="1"/>
      <c r="C986" s="1"/>
      <c r="D986" s="1"/>
      <c r="E986" s="1"/>
      <c r="F986" s="1"/>
      <c r="G986" s="1">
        <f t="shared" si="114"/>
        <v>0</v>
      </c>
      <c r="I986" s="7" t="str">
        <f t="shared" si="108"/>
        <v/>
      </c>
      <c r="J986" s="7" t="str">
        <f t="shared" si="109"/>
        <v/>
      </c>
      <c r="K986" s="7" t="str">
        <f t="shared" si="110"/>
        <v/>
      </c>
      <c r="L986" s="7" t="str">
        <f t="shared" si="111"/>
        <v/>
      </c>
      <c r="M986" s="7" t="str">
        <f t="shared" si="112"/>
        <v/>
      </c>
      <c r="N986" s="7" t="str">
        <f t="shared" si="113"/>
        <v/>
      </c>
      <c r="O986" s="51" t="str">
        <f>IF(G986&gt;0,DT!AC986*I986+DT!AD986*J986+DT!AE986*K986+DT!AF986*L986+DT!AG986*M986+DT!AH986*N986,"")</f>
        <v/>
      </c>
      <c r="P986" s="15"/>
    </row>
    <row r="987" spans="1:16">
      <c r="A987" s="1"/>
      <c r="B987" s="1"/>
      <c r="C987" s="1"/>
      <c r="D987" s="1"/>
      <c r="E987" s="1"/>
      <c r="F987" s="1"/>
      <c r="G987" s="1">
        <f t="shared" si="114"/>
        <v>0</v>
      </c>
      <c r="I987" s="7" t="str">
        <f t="shared" si="108"/>
        <v/>
      </c>
      <c r="J987" s="7" t="str">
        <f t="shared" si="109"/>
        <v/>
      </c>
      <c r="K987" s="7" t="str">
        <f t="shared" si="110"/>
        <v/>
      </c>
      <c r="L987" s="7" t="str">
        <f t="shared" si="111"/>
        <v/>
      </c>
      <c r="M987" s="7" t="str">
        <f t="shared" si="112"/>
        <v/>
      </c>
      <c r="N987" s="7" t="str">
        <f t="shared" si="113"/>
        <v/>
      </c>
      <c r="O987" s="51" t="str">
        <f>IF(G987&gt;0,DT!AC987*I987+DT!AD987*J987+DT!AE987*K987+DT!AF987*L987+DT!AG987*M987+DT!AH987*N987,"")</f>
        <v/>
      </c>
      <c r="P987" s="15"/>
    </row>
    <row r="988" spans="1:16">
      <c r="A988" s="1"/>
      <c r="B988" s="1"/>
      <c r="C988" s="1"/>
      <c r="D988" s="1"/>
      <c r="E988" s="1"/>
      <c r="F988" s="1"/>
      <c r="G988" s="1">
        <f t="shared" si="114"/>
        <v>0</v>
      </c>
      <c r="I988" s="7" t="str">
        <f t="shared" si="108"/>
        <v/>
      </c>
      <c r="J988" s="7" t="str">
        <f t="shared" si="109"/>
        <v/>
      </c>
      <c r="K988" s="7" t="str">
        <f t="shared" si="110"/>
        <v/>
      </c>
      <c r="L988" s="7" t="str">
        <f t="shared" si="111"/>
        <v/>
      </c>
      <c r="M988" s="7" t="str">
        <f t="shared" si="112"/>
        <v/>
      </c>
      <c r="N988" s="7" t="str">
        <f t="shared" si="113"/>
        <v/>
      </c>
      <c r="O988" s="51" t="str">
        <f>IF(G988&gt;0,DT!AC988*I988+DT!AD988*J988+DT!AE988*K988+DT!AF988*L988+DT!AG988*M988+DT!AH988*N988,"")</f>
        <v/>
      </c>
      <c r="P988" s="15"/>
    </row>
    <row r="989" spans="1:16">
      <c r="A989" s="1"/>
      <c r="B989" s="1"/>
      <c r="C989" s="1"/>
      <c r="D989" s="1"/>
      <c r="E989" s="1"/>
      <c r="F989" s="1"/>
      <c r="G989" s="1">
        <f t="shared" si="114"/>
        <v>0</v>
      </c>
      <c r="I989" s="7" t="str">
        <f t="shared" si="108"/>
        <v/>
      </c>
      <c r="J989" s="7" t="str">
        <f t="shared" si="109"/>
        <v/>
      </c>
      <c r="K989" s="7" t="str">
        <f t="shared" si="110"/>
        <v/>
      </c>
      <c r="L989" s="7" t="str">
        <f t="shared" si="111"/>
        <v/>
      </c>
      <c r="M989" s="7" t="str">
        <f t="shared" si="112"/>
        <v/>
      </c>
      <c r="N989" s="7" t="str">
        <f t="shared" si="113"/>
        <v/>
      </c>
      <c r="O989" s="51" t="str">
        <f>IF(G989&gt;0,DT!AC989*I989+DT!AD989*J989+DT!AE989*K989+DT!AF989*L989+DT!AG989*M989+DT!AH989*N989,"")</f>
        <v/>
      </c>
      <c r="P989" s="15"/>
    </row>
    <row r="990" spans="1:16">
      <c r="A990" s="1"/>
      <c r="B990" s="1"/>
      <c r="C990" s="1"/>
      <c r="D990" s="1"/>
      <c r="E990" s="1"/>
      <c r="F990" s="1"/>
      <c r="G990" s="1">
        <f t="shared" si="114"/>
        <v>0</v>
      </c>
      <c r="I990" s="7" t="str">
        <f t="shared" si="108"/>
        <v/>
      </c>
      <c r="J990" s="7" t="str">
        <f t="shared" si="109"/>
        <v/>
      </c>
      <c r="K990" s="7" t="str">
        <f t="shared" si="110"/>
        <v/>
      </c>
      <c r="L990" s="7" t="str">
        <f t="shared" si="111"/>
        <v/>
      </c>
      <c r="M990" s="7" t="str">
        <f t="shared" si="112"/>
        <v/>
      </c>
      <c r="N990" s="7" t="str">
        <f t="shared" si="113"/>
        <v/>
      </c>
      <c r="O990" s="51" t="str">
        <f>IF(G990&gt;0,DT!AC990*I990+DT!AD990*J990+DT!AE990*K990+DT!AF990*L990+DT!AG990*M990+DT!AH990*N990,"")</f>
        <v/>
      </c>
      <c r="P990" s="15"/>
    </row>
    <row r="991" spans="1:16">
      <c r="A991" s="1"/>
      <c r="B991" s="1"/>
      <c r="C991" s="1"/>
      <c r="D991" s="1"/>
      <c r="E991" s="1"/>
      <c r="F991" s="1"/>
      <c r="G991" s="1">
        <f t="shared" si="114"/>
        <v>0</v>
      </c>
      <c r="I991" s="7" t="str">
        <f t="shared" si="108"/>
        <v/>
      </c>
      <c r="J991" s="7" t="str">
        <f t="shared" si="109"/>
        <v/>
      </c>
      <c r="K991" s="7" t="str">
        <f t="shared" si="110"/>
        <v/>
      </c>
      <c r="L991" s="7" t="str">
        <f t="shared" si="111"/>
        <v/>
      </c>
      <c r="M991" s="7" t="str">
        <f t="shared" si="112"/>
        <v/>
      </c>
      <c r="N991" s="7" t="str">
        <f t="shared" si="113"/>
        <v/>
      </c>
      <c r="O991" s="51" t="str">
        <f>IF(G991&gt;0,DT!AC991*I991+DT!AD991*J991+DT!AE991*K991+DT!AF991*L991+DT!AG991*M991+DT!AH991*N991,"")</f>
        <v/>
      </c>
      <c r="P991" s="15"/>
    </row>
    <row r="992" spans="1:16">
      <c r="A992" s="1"/>
      <c r="B992" s="1"/>
      <c r="C992" s="1"/>
      <c r="D992" s="1"/>
      <c r="E992" s="1"/>
      <c r="F992" s="1"/>
      <c r="G992" s="1">
        <f t="shared" si="114"/>
        <v>0</v>
      </c>
      <c r="I992" s="7" t="str">
        <f t="shared" si="108"/>
        <v/>
      </c>
      <c r="J992" s="7" t="str">
        <f t="shared" si="109"/>
        <v/>
      </c>
      <c r="K992" s="7" t="str">
        <f t="shared" si="110"/>
        <v/>
      </c>
      <c r="L992" s="7" t="str">
        <f t="shared" si="111"/>
        <v/>
      </c>
      <c r="M992" s="7" t="str">
        <f t="shared" si="112"/>
        <v/>
      </c>
      <c r="N992" s="7" t="str">
        <f t="shared" si="113"/>
        <v/>
      </c>
      <c r="O992" s="51" t="str">
        <f>IF(G992&gt;0,DT!AC992*I992+DT!AD992*J992+DT!AE992*K992+DT!AF992*L992+DT!AG992*M992+DT!AH992*N992,"")</f>
        <v/>
      </c>
      <c r="P992" s="15"/>
    </row>
    <row r="993" spans="1:16">
      <c r="A993" s="1"/>
      <c r="B993" s="1"/>
      <c r="C993" s="1"/>
      <c r="D993" s="1"/>
      <c r="E993" s="1"/>
      <c r="F993" s="1"/>
      <c r="G993" s="1">
        <f t="shared" si="114"/>
        <v>0</v>
      </c>
      <c r="I993" s="7" t="str">
        <f t="shared" si="108"/>
        <v/>
      </c>
      <c r="J993" s="7" t="str">
        <f t="shared" si="109"/>
        <v/>
      </c>
      <c r="K993" s="7" t="str">
        <f t="shared" si="110"/>
        <v/>
      </c>
      <c r="L993" s="7" t="str">
        <f t="shared" si="111"/>
        <v/>
      </c>
      <c r="M993" s="7" t="str">
        <f t="shared" si="112"/>
        <v/>
      </c>
      <c r="N993" s="7" t="str">
        <f t="shared" si="113"/>
        <v/>
      </c>
      <c r="O993" s="51" t="str">
        <f>IF(G993&gt;0,DT!AC993*I993+DT!AD993*J993+DT!AE993*K993+DT!AF993*L993+DT!AG993*M993+DT!AH993*N993,"")</f>
        <v/>
      </c>
      <c r="P993" s="15"/>
    </row>
    <row r="994" spans="1:16">
      <c r="A994" s="1"/>
      <c r="B994" s="1"/>
      <c r="C994" s="1"/>
      <c r="D994" s="1"/>
      <c r="E994" s="1"/>
      <c r="F994" s="1"/>
      <c r="G994" s="1">
        <f t="shared" si="114"/>
        <v>0</v>
      </c>
      <c r="I994" s="7" t="str">
        <f t="shared" si="108"/>
        <v/>
      </c>
      <c r="J994" s="7" t="str">
        <f t="shared" si="109"/>
        <v/>
      </c>
      <c r="K994" s="7" t="str">
        <f t="shared" si="110"/>
        <v/>
      </c>
      <c r="L994" s="7" t="str">
        <f t="shared" si="111"/>
        <v/>
      </c>
      <c r="M994" s="7" t="str">
        <f t="shared" si="112"/>
        <v/>
      </c>
      <c r="N994" s="7" t="str">
        <f t="shared" si="113"/>
        <v/>
      </c>
      <c r="O994" s="51" t="str">
        <f>IF(G994&gt;0,DT!AC994*I994+DT!AD994*J994+DT!AE994*K994+DT!AF994*L994+DT!AG994*M994+DT!AH994*N994,"")</f>
        <v/>
      </c>
      <c r="P994" s="15"/>
    </row>
    <row r="995" spans="1:16">
      <c r="A995" s="1"/>
      <c r="B995" s="1"/>
      <c r="C995" s="1"/>
      <c r="D995" s="1"/>
      <c r="E995" s="1"/>
      <c r="F995" s="1"/>
      <c r="G995" s="1">
        <f t="shared" si="114"/>
        <v>0</v>
      </c>
      <c r="I995" s="7" t="str">
        <f t="shared" si="108"/>
        <v/>
      </c>
      <c r="J995" s="7" t="str">
        <f t="shared" si="109"/>
        <v/>
      </c>
      <c r="K995" s="7" t="str">
        <f t="shared" si="110"/>
        <v/>
      </c>
      <c r="L995" s="7" t="str">
        <f t="shared" si="111"/>
        <v/>
      </c>
      <c r="M995" s="7" t="str">
        <f t="shared" si="112"/>
        <v/>
      </c>
      <c r="N995" s="7" t="str">
        <f t="shared" si="113"/>
        <v/>
      </c>
      <c r="O995" s="51" t="str">
        <f>IF(G995&gt;0,DT!AC995*I995+DT!AD995*J995+DT!AE995*K995+DT!AF995*L995+DT!AG995*M995+DT!AH995*N995,"")</f>
        <v/>
      </c>
      <c r="P995" s="15"/>
    </row>
    <row r="996" spans="1:16">
      <c r="A996" s="1"/>
      <c r="B996" s="1"/>
      <c r="C996" s="1"/>
      <c r="D996" s="1"/>
      <c r="E996" s="1"/>
      <c r="F996" s="1"/>
      <c r="G996" s="1">
        <f t="shared" si="114"/>
        <v>0</v>
      </c>
      <c r="I996" s="7" t="str">
        <f t="shared" si="108"/>
        <v/>
      </c>
      <c r="J996" s="7" t="str">
        <f t="shared" si="109"/>
        <v/>
      </c>
      <c r="K996" s="7" t="str">
        <f t="shared" si="110"/>
        <v/>
      </c>
      <c r="L996" s="7" t="str">
        <f t="shared" si="111"/>
        <v/>
      </c>
      <c r="M996" s="7" t="str">
        <f t="shared" si="112"/>
        <v/>
      </c>
      <c r="N996" s="7" t="str">
        <f t="shared" si="113"/>
        <v/>
      </c>
      <c r="O996" s="51" t="str">
        <f>IF(G996&gt;0,DT!AC996*I996+DT!AD996*J996+DT!AE996*K996+DT!AF996*L996+DT!AG996*M996+DT!AH996*N996,"")</f>
        <v/>
      </c>
      <c r="P996" s="15"/>
    </row>
    <row r="997" spans="1:16">
      <c r="A997" s="1"/>
      <c r="B997" s="1"/>
      <c r="C997" s="1"/>
      <c r="D997" s="1"/>
      <c r="E997" s="1"/>
      <c r="F997" s="1"/>
      <c r="G997" s="1">
        <f t="shared" si="114"/>
        <v>0</v>
      </c>
      <c r="I997" s="7" t="str">
        <f t="shared" si="108"/>
        <v/>
      </c>
      <c r="J997" s="7" t="str">
        <f t="shared" si="109"/>
        <v/>
      </c>
      <c r="K997" s="7" t="str">
        <f t="shared" si="110"/>
        <v/>
      </c>
      <c r="L997" s="7" t="str">
        <f t="shared" si="111"/>
        <v/>
      </c>
      <c r="M997" s="7" t="str">
        <f t="shared" si="112"/>
        <v/>
      </c>
      <c r="N997" s="7" t="str">
        <f t="shared" si="113"/>
        <v/>
      </c>
      <c r="O997" s="51" t="str">
        <f>IF(G997&gt;0,DT!AC997*I997+DT!AD997*J997+DT!AE997*K997+DT!AF997*L997+DT!AG997*M997+DT!AH997*N997,"")</f>
        <v/>
      </c>
      <c r="P997" s="15"/>
    </row>
    <row r="998" spans="1:16">
      <c r="A998" s="1"/>
      <c r="B998" s="1"/>
      <c r="C998" s="1"/>
      <c r="D998" s="1"/>
      <c r="E998" s="1"/>
      <c r="F998" s="1"/>
      <c r="G998" s="1">
        <f t="shared" si="114"/>
        <v>0</v>
      </c>
      <c r="I998" s="7" t="str">
        <f t="shared" si="108"/>
        <v/>
      </c>
      <c r="J998" s="7" t="str">
        <f t="shared" si="109"/>
        <v/>
      </c>
      <c r="K998" s="7" t="str">
        <f t="shared" si="110"/>
        <v/>
      </c>
      <c r="L998" s="7" t="str">
        <f t="shared" si="111"/>
        <v/>
      </c>
      <c r="M998" s="7" t="str">
        <f t="shared" si="112"/>
        <v/>
      </c>
      <c r="N998" s="7" t="str">
        <f t="shared" si="113"/>
        <v/>
      </c>
      <c r="O998" s="51" t="str">
        <f>IF(G998&gt;0,DT!AC998*I998+DT!AD998*J998+DT!AE998*K998+DT!AF998*L998+DT!AG998*M998+DT!AH998*N998,"")</f>
        <v/>
      </c>
      <c r="P998" s="15"/>
    </row>
    <row r="999" spans="1:16">
      <c r="A999" s="1"/>
      <c r="B999" s="1"/>
      <c r="C999" s="1"/>
      <c r="D999" s="1"/>
      <c r="E999" s="1"/>
      <c r="F999" s="1"/>
      <c r="G999" s="1">
        <f t="shared" si="114"/>
        <v>0</v>
      </c>
      <c r="I999" s="7" t="str">
        <f t="shared" si="108"/>
        <v/>
      </c>
      <c r="J999" s="7" t="str">
        <f t="shared" si="109"/>
        <v/>
      </c>
      <c r="K999" s="7" t="str">
        <f t="shared" si="110"/>
        <v/>
      </c>
      <c r="L999" s="7" t="str">
        <f t="shared" si="111"/>
        <v/>
      </c>
      <c r="M999" s="7" t="str">
        <f t="shared" si="112"/>
        <v/>
      </c>
      <c r="N999" s="7" t="str">
        <f t="shared" si="113"/>
        <v/>
      </c>
      <c r="O999" s="51" t="str">
        <f>IF(G999&gt;0,DT!AC999*I999+DT!AD999*J999+DT!AE999*K999+DT!AF999*L999+DT!AG999*M999+DT!AH999*N999,"")</f>
        <v/>
      </c>
      <c r="P999" s="15"/>
    </row>
    <row r="1000" spans="1:16">
      <c r="A1000" s="1"/>
      <c r="B1000" s="1"/>
      <c r="C1000" s="1"/>
      <c r="D1000" s="1"/>
      <c r="E1000" s="1"/>
      <c r="F1000" s="1"/>
      <c r="G1000" s="1">
        <f t="shared" si="114"/>
        <v>0</v>
      </c>
      <c r="I1000" s="7" t="str">
        <f t="shared" si="108"/>
        <v/>
      </c>
      <c r="J1000" s="7" t="str">
        <f t="shared" si="109"/>
        <v/>
      </c>
      <c r="K1000" s="7" t="str">
        <f t="shared" si="110"/>
        <v/>
      </c>
      <c r="L1000" s="7" t="str">
        <f t="shared" si="111"/>
        <v/>
      </c>
      <c r="M1000" s="7" t="str">
        <f t="shared" si="112"/>
        <v/>
      </c>
      <c r="N1000" s="7" t="str">
        <f t="shared" si="113"/>
        <v/>
      </c>
      <c r="O1000" s="51" t="str">
        <f>IF(G1000&gt;0,DT!AC1000*I1000+DT!AD1000*J1000+DT!AE1000*K1000+DT!AF1000*L1000+DT!AG1000*M1000+DT!AH1000*N1000,"")</f>
        <v/>
      </c>
      <c r="P1000" s="15"/>
    </row>
    <row r="1001" spans="1:16">
      <c r="A1001" s="1"/>
      <c r="B1001" s="1"/>
      <c r="C1001" s="1"/>
      <c r="D1001" s="1"/>
      <c r="E1001" s="1"/>
      <c r="F1001" s="1"/>
      <c r="G1001" s="1">
        <f t="shared" si="114"/>
        <v>0</v>
      </c>
      <c r="I1001" s="7" t="str">
        <f t="shared" si="108"/>
        <v/>
      </c>
      <c r="J1001" s="7" t="str">
        <f t="shared" si="109"/>
        <v/>
      </c>
      <c r="K1001" s="7" t="str">
        <f t="shared" si="110"/>
        <v/>
      </c>
      <c r="L1001" s="7" t="str">
        <f t="shared" si="111"/>
        <v/>
      </c>
      <c r="M1001" s="7" t="str">
        <f t="shared" si="112"/>
        <v/>
      </c>
      <c r="N1001" s="7" t="str">
        <f t="shared" si="113"/>
        <v/>
      </c>
      <c r="O1001" s="51" t="str">
        <f>IF(G1001&gt;0,DT!AC1001*I1001+DT!AD1001*J1001+DT!AE1001*K1001+DT!AF1001*L1001+DT!AG1001*M1001+DT!AH1001*N1001,"")</f>
        <v/>
      </c>
      <c r="P1001" s="15"/>
    </row>
    <row r="1002" spans="1:16">
      <c r="A1002" s="1"/>
      <c r="B1002" s="1"/>
      <c r="C1002" s="1"/>
      <c r="D1002" s="1"/>
      <c r="E1002" s="1"/>
      <c r="F1002" s="1"/>
      <c r="G1002" s="1">
        <f t="shared" si="114"/>
        <v>0</v>
      </c>
      <c r="I1002" s="7" t="str">
        <f t="shared" si="108"/>
        <v/>
      </c>
      <c r="J1002" s="7" t="str">
        <f t="shared" si="109"/>
        <v/>
      </c>
      <c r="K1002" s="7" t="str">
        <f t="shared" si="110"/>
        <v/>
      </c>
      <c r="L1002" s="7" t="str">
        <f t="shared" si="111"/>
        <v/>
      </c>
      <c r="M1002" s="7" t="str">
        <f t="shared" si="112"/>
        <v/>
      </c>
      <c r="N1002" s="7" t="str">
        <f t="shared" si="113"/>
        <v/>
      </c>
      <c r="O1002" s="51" t="str">
        <f>IF(G1002&gt;0,DT!AC1002*I1002+DT!AD1002*J1002+DT!AE1002*K1002+DT!AF1002*L1002+DT!AG1002*M1002+DT!AH1002*N1002,"")</f>
        <v/>
      </c>
      <c r="P1002" s="15"/>
    </row>
    <row r="1003" spans="1:16">
      <c r="A1003" s="1"/>
      <c r="B1003" s="1"/>
      <c r="C1003" s="1"/>
      <c r="D1003" s="1"/>
      <c r="E1003" s="1"/>
      <c r="F1003" s="1"/>
      <c r="G1003" s="1">
        <f t="shared" si="114"/>
        <v>0</v>
      </c>
      <c r="I1003" s="7" t="str">
        <f t="shared" si="108"/>
        <v/>
      </c>
      <c r="J1003" s="7" t="str">
        <f t="shared" si="109"/>
        <v/>
      </c>
      <c r="K1003" s="7" t="str">
        <f t="shared" si="110"/>
        <v/>
      </c>
      <c r="L1003" s="7" t="str">
        <f t="shared" si="111"/>
        <v/>
      </c>
      <c r="M1003" s="7" t="str">
        <f t="shared" si="112"/>
        <v/>
      </c>
      <c r="N1003" s="7" t="str">
        <f t="shared" si="113"/>
        <v/>
      </c>
      <c r="O1003" s="51" t="str">
        <f>IF(G1003&gt;0,DT!AC1003*I1003+DT!AD1003*J1003+DT!AE1003*K1003+DT!AF1003*L1003+DT!AG1003*M1003+DT!AH1003*N1003,"")</f>
        <v/>
      </c>
      <c r="P1003" s="15"/>
    </row>
    <row r="1004" spans="1:16">
      <c r="A1004" s="1"/>
      <c r="B1004" s="1"/>
      <c r="C1004" s="1"/>
      <c r="D1004" s="1"/>
      <c r="E1004" s="1"/>
      <c r="F1004" s="1"/>
      <c r="G1004" s="1">
        <f t="shared" si="114"/>
        <v>0</v>
      </c>
      <c r="I1004" s="7" t="str">
        <f t="shared" si="108"/>
        <v/>
      </c>
      <c r="J1004" s="7" t="str">
        <f t="shared" si="109"/>
        <v/>
      </c>
      <c r="K1004" s="7" t="str">
        <f t="shared" si="110"/>
        <v/>
      </c>
      <c r="L1004" s="7" t="str">
        <f t="shared" si="111"/>
        <v/>
      </c>
      <c r="M1004" s="7" t="str">
        <f t="shared" si="112"/>
        <v/>
      </c>
      <c r="N1004" s="7" t="str">
        <f t="shared" si="113"/>
        <v/>
      </c>
      <c r="O1004" s="51" t="str">
        <f>IF(G1004&gt;0,DT!AC1004*I1004+DT!AD1004*J1004+DT!AE1004*K1004+DT!AF1004*L1004+DT!AG1004*M1004+DT!AH1004*N1004,"")</f>
        <v/>
      </c>
      <c r="P1004" s="15"/>
    </row>
  </sheetData>
  <mergeCells count="5">
    <mergeCell ref="A1:F1"/>
    <mergeCell ref="A2:F2"/>
    <mergeCell ref="I2:N2"/>
    <mergeCell ref="V3:W3"/>
    <mergeCell ref="Q2:W2"/>
  </mergeCells>
  <pageMargins left="0.7" right="0.7" top="0.75" bottom="0.75" header="0.3" footer="0.3"/>
  <pageSetup paperSize="9" orientation="portrait" r:id="rId1"/>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8"/>
  <sheetViews>
    <sheetView topLeftCell="A16" workbookViewId="0">
      <selection activeCell="B27" sqref="B27:BA27"/>
    </sheetView>
  </sheetViews>
  <sheetFormatPr defaultColWidth="9.109375" defaultRowHeight="14.4"/>
  <cols>
    <col min="1" max="1" width="18.33203125" customWidth="1"/>
    <col min="2" max="53" width="15.6640625" customWidth="1"/>
    <col min="54" max="54" width="18.88671875" customWidth="1"/>
    <col min="55" max="55" width="18.5546875" customWidth="1"/>
    <col min="56" max="57" width="18.33203125" customWidth="1"/>
    <col min="58" max="59" width="18.44140625" customWidth="1"/>
    <col min="60" max="61" width="18.33203125" customWidth="1"/>
  </cols>
  <sheetData>
    <row r="1" spans="1:6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210</v>
      </c>
      <c r="AE1" t="s">
        <v>211</v>
      </c>
      <c r="AF1" t="s">
        <v>212</v>
      </c>
      <c r="AG1" t="s">
        <v>213</v>
      </c>
      <c r="AH1" t="s">
        <v>214</v>
      </c>
      <c r="AI1" t="s">
        <v>215</v>
      </c>
      <c r="AJ1" t="s">
        <v>216</v>
      </c>
      <c r="AK1" t="s">
        <v>217</v>
      </c>
      <c r="AL1" t="s">
        <v>218</v>
      </c>
      <c r="AM1" t="s">
        <v>219</v>
      </c>
      <c r="AN1" t="s">
        <v>220</v>
      </c>
      <c r="AO1" t="s">
        <v>221</v>
      </c>
      <c r="AP1" t="s">
        <v>222</v>
      </c>
      <c r="AQ1" t="s">
        <v>223</v>
      </c>
      <c r="AR1" t="s">
        <v>224</v>
      </c>
      <c r="AS1" t="s">
        <v>225</v>
      </c>
      <c r="AT1" t="s">
        <v>226</v>
      </c>
      <c r="AU1" t="s">
        <v>227</v>
      </c>
      <c r="AV1" t="s">
        <v>228</v>
      </c>
      <c r="AW1" t="s">
        <v>229</v>
      </c>
      <c r="AX1" t="s">
        <v>230</v>
      </c>
      <c r="AY1" t="s">
        <v>231</v>
      </c>
      <c r="AZ1" t="s">
        <v>232</v>
      </c>
      <c r="BA1" t="s">
        <v>233</v>
      </c>
      <c r="BB1" t="s">
        <v>49</v>
      </c>
      <c r="BC1" s="26" t="s">
        <v>50</v>
      </c>
      <c r="BD1" s="26" t="s">
        <v>51</v>
      </c>
      <c r="BE1" s="27" t="s">
        <v>52</v>
      </c>
      <c r="BF1" s="27" t="s">
        <v>1</v>
      </c>
      <c r="BG1" s="26" t="s">
        <v>53</v>
      </c>
      <c r="BH1" t="s">
        <v>239</v>
      </c>
      <c r="BI1" t="s">
        <v>242</v>
      </c>
    </row>
    <row r="2" spans="1:61">
      <c r="A2" t="s">
        <v>127</v>
      </c>
      <c r="B2" t="s">
        <v>129</v>
      </c>
      <c r="C2" t="s">
        <v>130</v>
      </c>
      <c r="D2" t="s">
        <v>131</v>
      </c>
      <c r="E2" t="s">
        <v>132</v>
      </c>
      <c r="F2" t="s">
        <v>133</v>
      </c>
      <c r="G2" t="s">
        <v>134</v>
      </c>
      <c r="H2" t="s">
        <v>135</v>
      </c>
      <c r="I2" t="s">
        <v>136</v>
      </c>
      <c r="J2" t="s">
        <v>137</v>
      </c>
      <c r="K2" t="s">
        <v>138</v>
      </c>
      <c r="L2" t="s">
        <v>139</v>
      </c>
      <c r="M2" t="s">
        <v>140</v>
      </c>
      <c r="N2" t="s">
        <v>141</v>
      </c>
      <c r="O2" t="s">
        <v>142</v>
      </c>
      <c r="P2" t="s">
        <v>143</v>
      </c>
      <c r="Q2" t="s">
        <v>144</v>
      </c>
      <c r="R2" t="s">
        <v>145</v>
      </c>
      <c r="S2" t="s">
        <v>146</v>
      </c>
      <c r="T2" t="s">
        <v>147</v>
      </c>
      <c r="U2" t="s">
        <v>148</v>
      </c>
      <c r="V2" t="s">
        <v>149</v>
      </c>
      <c r="W2" t="s">
        <v>150</v>
      </c>
      <c r="X2" t="s">
        <v>151</v>
      </c>
      <c r="Y2" t="s">
        <v>152</v>
      </c>
      <c r="Z2" t="s">
        <v>153</v>
      </c>
      <c r="AA2" t="s">
        <v>154</v>
      </c>
      <c r="AB2" t="s">
        <v>155</v>
      </c>
      <c r="AC2" t="s">
        <v>156</v>
      </c>
      <c r="AD2" t="s">
        <v>157</v>
      </c>
      <c r="AE2" t="s">
        <v>158</v>
      </c>
      <c r="AF2" t="s">
        <v>159</v>
      </c>
      <c r="AG2" t="s">
        <v>160</v>
      </c>
      <c r="AH2" t="s">
        <v>161</v>
      </c>
      <c r="AI2" t="s">
        <v>162</v>
      </c>
      <c r="AJ2" t="s">
        <v>163</v>
      </c>
      <c r="AK2" t="s">
        <v>164</v>
      </c>
      <c r="AL2" t="s">
        <v>165</v>
      </c>
      <c r="AM2" t="s">
        <v>166</v>
      </c>
      <c r="AN2" t="s">
        <v>167</v>
      </c>
      <c r="AO2" t="s">
        <v>168</v>
      </c>
      <c r="AP2" t="s">
        <v>169</v>
      </c>
      <c r="AQ2" t="s">
        <v>170</v>
      </c>
      <c r="AR2" t="s">
        <v>171</v>
      </c>
      <c r="AS2" t="s">
        <v>172</v>
      </c>
      <c r="AT2" t="s">
        <v>173</v>
      </c>
      <c r="AU2" t="s">
        <v>174</v>
      </c>
      <c r="AV2" t="s">
        <v>175</v>
      </c>
      <c r="AW2" t="s">
        <v>176</v>
      </c>
      <c r="AX2" t="s">
        <v>177</v>
      </c>
      <c r="AY2" t="s">
        <v>178</v>
      </c>
      <c r="AZ2" t="s">
        <v>179</v>
      </c>
      <c r="BA2" t="s">
        <v>180</v>
      </c>
      <c r="BB2" t="s">
        <v>234</v>
      </c>
      <c r="BC2" t="s">
        <v>235</v>
      </c>
      <c r="BD2" t="s">
        <v>236</v>
      </c>
      <c r="BE2" t="s">
        <v>237</v>
      </c>
      <c r="BF2" t="s">
        <v>1</v>
      </c>
      <c r="BG2" t="s">
        <v>238</v>
      </c>
      <c r="BH2" t="s">
        <v>240</v>
      </c>
      <c r="BI2" t="s">
        <v>241</v>
      </c>
    </row>
    <row r="3" spans="1:61">
      <c r="A3" t="s">
        <v>128</v>
      </c>
      <c r="B3" t="s">
        <v>54</v>
      </c>
      <c r="C3" t="s">
        <v>80</v>
      </c>
      <c r="D3" t="s">
        <v>55</v>
      </c>
      <c r="E3" t="s">
        <v>81</v>
      </c>
      <c r="F3" t="s">
        <v>56</v>
      </c>
      <c r="G3" t="s">
        <v>82</v>
      </c>
      <c r="H3" t="s">
        <v>57</v>
      </c>
      <c r="I3" t="s">
        <v>83</v>
      </c>
      <c r="J3" t="s">
        <v>58</v>
      </c>
      <c r="K3" t="s">
        <v>84</v>
      </c>
      <c r="L3" t="s">
        <v>59</v>
      </c>
      <c r="M3" t="s">
        <v>85</v>
      </c>
      <c r="N3" t="s">
        <v>79</v>
      </c>
      <c r="O3" t="s">
        <v>86</v>
      </c>
      <c r="P3" t="s">
        <v>60</v>
      </c>
      <c r="Q3" t="s">
        <v>87</v>
      </c>
      <c r="R3" t="s">
        <v>61</v>
      </c>
      <c r="S3" t="s">
        <v>88</v>
      </c>
      <c r="T3" t="s">
        <v>62</v>
      </c>
      <c r="U3" t="s">
        <v>89</v>
      </c>
      <c r="V3" t="s">
        <v>63</v>
      </c>
      <c r="W3" t="s">
        <v>90</v>
      </c>
      <c r="X3" t="s">
        <v>64</v>
      </c>
      <c r="Y3" t="s">
        <v>91</v>
      </c>
      <c r="Z3" t="s">
        <v>65</v>
      </c>
      <c r="AA3" t="s">
        <v>92</v>
      </c>
      <c r="AB3" t="s">
        <v>66</v>
      </c>
      <c r="AC3" t="s">
        <v>93</v>
      </c>
      <c r="AD3" t="s">
        <v>67</v>
      </c>
      <c r="AE3" t="s">
        <v>94</v>
      </c>
      <c r="AF3" t="s">
        <v>68</v>
      </c>
      <c r="AG3" t="s">
        <v>95</v>
      </c>
      <c r="AH3" t="s">
        <v>69</v>
      </c>
      <c r="AI3" t="s">
        <v>96</v>
      </c>
      <c r="AJ3" t="s">
        <v>70</v>
      </c>
      <c r="AK3" t="s">
        <v>97</v>
      </c>
      <c r="AL3" t="s">
        <v>71</v>
      </c>
      <c r="AM3" t="s">
        <v>105</v>
      </c>
      <c r="AN3" t="s">
        <v>72</v>
      </c>
      <c r="AO3" t="s">
        <v>98</v>
      </c>
      <c r="AP3" t="s">
        <v>73</v>
      </c>
      <c r="AQ3" t="s">
        <v>99</v>
      </c>
      <c r="AR3" t="s">
        <v>74</v>
      </c>
      <c r="AS3" t="s">
        <v>100</v>
      </c>
      <c r="AT3" t="s">
        <v>75</v>
      </c>
      <c r="AU3" t="s">
        <v>101</v>
      </c>
      <c r="AV3" t="s">
        <v>76</v>
      </c>
      <c r="AW3" t="s">
        <v>102</v>
      </c>
      <c r="AX3" t="s">
        <v>77</v>
      </c>
      <c r="AY3" t="s">
        <v>103</v>
      </c>
      <c r="AZ3" t="s">
        <v>78</v>
      </c>
      <c r="BA3" t="s">
        <v>104</v>
      </c>
      <c r="BB3" s="26" t="s">
        <v>49</v>
      </c>
      <c r="BC3" s="26" t="s">
        <v>50</v>
      </c>
      <c r="BD3" s="26" t="s">
        <v>51</v>
      </c>
      <c r="BE3" s="27" t="s">
        <v>52</v>
      </c>
      <c r="BF3" s="27" t="s">
        <v>1</v>
      </c>
      <c r="BG3" s="26" t="s">
        <v>53</v>
      </c>
      <c r="BH3" t="s">
        <v>239</v>
      </c>
      <c r="BI3" t="s">
        <v>242</v>
      </c>
    </row>
    <row r="4" spans="1:61">
      <c r="A4" t="s">
        <v>243</v>
      </c>
      <c r="B4" t="s">
        <v>366</v>
      </c>
      <c r="C4" t="s">
        <v>367</v>
      </c>
      <c r="D4" t="s">
        <v>368</v>
      </c>
      <c r="E4" t="s">
        <v>369</v>
      </c>
      <c r="F4" t="s">
        <v>370</v>
      </c>
      <c r="G4" t="s">
        <v>371</v>
      </c>
      <c r="H4" t="s">
        <v>372</v>
      </c>
      <c r="I4" t="s">
        <v>373</v>
      </c>
      <c r="J4" t="s">
        <v>374</v>
      </c>
      <c r="K4" t="s">
        <v>375</v>
      </c>
      <c r="L4" t="s">
        <v>376</v>
      </c>
      <c r="M4" t="s">
        <v>377</v>
      </c>
      <c r="N4" t="s">
        <v>378</v>
      </c>
      <c r="O4" t="s">
        <v>379</v>
      </c>
      <c r="P4" t="s">
        <v>380</v>
      </c>
      <c r="Q4" t="s">
        <v>381</v>
      </c>
      <c r="R4" t="s">
        <v>382</v>
      </c>
      <c r="S4" t="s">
        <v>383</v>
      </c>
      <c r="T4" t="s">
        <v>384</v>
      </c>
      <c r="U4" t="s">
        <v>385</v>
      </c>
      <c r="V4" t="s">
        <v>386</v>
      </c>
      <c r="W4" t="s">
        <v>387</v>
      </c>
      <c r="X4" t="s">
        <v>388</v>
      </c>
      <c r="Y4" t="s">
        <v>389</v>
      </c>
      <c r="Z4" t="s">
        <v>390</v>
      </c>
      <c r="AA4" t="s">
        <v>391</v>
      </c>
      <c r="AB4" t="s">
        <v>392</v>
      </c>
      <c r="AC4" t="s">
        <v>393</v>
      </c>
      <c r="AD4" t="s">
        <v>385</v>
      </c>
      <c r="AE4" t="s">
        <v>394</v>
      </c>
      <c r="AF4" t="s">
        <v>395</v>
      </c>
      <c r="AG4" t="s">
        <v>396</v>
      </c>
      <c r="AH4" t="s">
        <v>397</v>
      </c>
      <c r="AI4" t="s">
        <v>398</v>
      </c>
      <c r="AJ4" t="s">
        <v>399</v>
      </c>
      <c r="AK4" t="s">
        <v>400</v>
      </c>
      <c r="AL4" t="s">
        <v>401</v>
      </c>
      <c r="AM4" t="s">
        <v>402</v>
      </c>
      <c r="AN4" t="s">
        <v>403</v>
      </c>
      <c r="AO4" t="s">
        <v>404</v>
      </c>
      <c r="AP4" t="s">
        <v>405</v>
      </c>
      <c r="AQ4" t="s">
        <v>406</v>
      </c>
      <c r="AR4" t="s">
        <v>407</v>
      </c>
      <c r="AS4" t="s">
        <v>408</v>
      </c>
      <c r="AT4" t="s">
        <v>409</v>
      </c>
      <c r="AU4" t="s">
        <v>410</v>
      </c>
      <c r="AV4" t="s">
        <v>411</v>
      </c>
      <c r="AW4" t="s">
        <v>412</v>
      </c>
      <c r="AX4" t="s">
        <v>413</v>
      </c>
      <c r="AY4" t="s">
        <v>414</v>
      </c>
      <c r="AZ4" t="s">
        <v>415</v>
      </c>
      <c r="BA4" t="s">
        <v>416</v>
      </c>
      <c r="BB4" s="32" t="s">
        <v>417</v>
      </c>
      <c r="BC4" s="32" t="s">
        <v>418</v>
      </c>
      <c r="BD4" s="32" t="s">
        <v>419</v>
      </c>
      <c r="BE4" s="32" t="s">
        <v>420</v>
      </c>
      <c r="BF4" s="32" t="s">
        <v>421</v>
      </c>
      <c r="BG4" s="32" t="s">
        <v>422</v>
      </c>
      <c r="BH4" t="s">
        <v>804</v>
      </c>
      <c r="BI4" t="s">
        <v>811</v>
      </c>
    </row>
    <row r="5" spans="1:61">
      <c r="A5" t="s">
        <v>244</v>
      </c>
      <c r="B5" t="s">
        <v>423</v>
      </c>
      <c r="C5" t="s">
        <v>424</v>
      </c>
      <c r="D5" t="s">
        <v>425</v>
      </c>
      <c r="E5" t="s">
        <v>426</v>
      </c>
      <c r="F5" t="s">
        <v>427</v>
      </c>
      <c r="G5" t="s">
        <v>428</v>
      </c>
      <c r="H5" t="s">
        <v>429</v>
      </c>
      <c r="I5" t="s">
        <v>430</v>
      </c>
      <c r="J5" t="s">
        <v>431</v>
      </c>
      <c r="K5" t="s">
        <v>432</v>
      </c>
      <c r="L5" t="s">
        <v>433</v>
      </c>
      <c r="M5" t="s">
        <v>434</v>
      </c>
      <c r="N5" t="s">
        <v>435</v>
      </c>
      <c r="O5" t="s">
        <v>436</v>
      </c>
      <c r="P5" t="s">
        <v>437</v>
      </c>
      <c r="Q5" t="s">
        <v>438</v>
      </c>
      <c r="R5" t="s">
        <v>439</v>
      </c>
      <c r="S5" t="s">
        <v>440</v>
      </c>
      <c r="T5" t="s">
        <v>441</v>
      </c>
      <c r="U5" t="s">
        <v>442</v>
      </c>
      <c r="V5" t="s">
        <v>443</v>
      </c>
      <c r="W5" t="s">
        <v>444</v>
      </c>
      <c r="X5" t="s">
        <v>445</v>
      </c>
      <c r="Y5" t="s">
        <v>446</v>
      </c>
      <c r="Z5" t="s">
        <v>447</v>
      </c>
      <c r="AA5" t="s">
        <v>448</v>
      </c>
      <c r="AB5" t="s">
        <v>435</v>
      </c>
      <c r="AC5" t="s">
        <v>449</v>
      </c>
      <c r="AD5" t="s">
        <v>450</v>
      </c>
      <c r="AE5" t="s">
        <v>451</v>
      </c>
      <c r="AF5" t="s">
        <v>452</v>
      </c>
      <c r="AG5" t="s">
        <v>453</v>
      </c>
      <c r="AH5" t="s">
        <v>454</v>
      </c>
      <c r="AI5" t="s">
        <v>455</v>
      </c>
      <c r="AJ5" t="s">
        <v>456</v>
      </c>
      <c r="AK5" t="s">
        <v>457</v>
      </c>
      <c r="AL5" t="s">
        <v>458</v>
      </c>
      <c r="AM5" t="s">
        <v>459</v>
      </c>
      <c r="AN5" t="s">
        <v>460</v>
      </c>
      <c r="AO5" t="s">
        <v>461</v>
      </c>
      <c r="AP5" t="s">
        <v>462</v>
      </c>
      <c r="AQ5" t="s">
        <v>463</v>
      </c>
      <c r="AR5" t="s">
        <v>464</v>
      </c>
      <c r="AS5" t="s">
        <v>465</v>
      </c>
      <c r="AT5" t="s">
        <v>466</v>
      </c>
      <c r="AU5" t="s">
        <v>467</v>
      </c>
      <c r="AV5" t="s">
        <v>468</v>
      </c>
      <c r="AW5" t="s">
        <v>469</v>
      </c>
      <c r="AX5" t="s">
        <v>470</v>
      </c>
      <c r="AY5" t="s">
        <v>471</v>
      </c>
      <c r="AZ5" t="s">
        <v>472</v>
      </c>
      <c r="BA5" t="s">
        <v>473</v>
      </c>
      <c r="BB5" s="32" t="s">
        <v>474</v>
      </c>
      <c r="BC5" s="32" t="s">
        <v>475</v>
      </c>
      <c r="BD5" s="32" t="s">
        <v>476</v>
      </c>
      <c r="BE5" s="32" t="s">
        <v>477</v>
      </c>
      <c r="BF5" s="32" t="s">
        <v>478</v>
      </c>
      <c r="BG5" s="32" t="s">
        <v>479</v>
      </c>
      <c r="BH5" t="s">
        <v>805</v>
      </c>
      <c r="BI5" t="s">
        <v>812</v>
      </c>
    </row>
    <row r="6" spans="1:61">
      <c r="A6" t="s">
        <v>245</v>
      </c>
      <c r="B6" t="s">
        <v>308</v>
      </c>
      <c r="C6" t="s">
        <v>309</v>
      </c>
      <c r="D6" t="s">
        <v>310</v>
      </c>
      <c r="E6" t="s">
        <v>311</v>
      </c>
      <c r="F6" t="s">
        <v>312</v>
      </c>
      <c r="G6" t="s">
        <v>313</v>
      </c>
      <c r="H6" t="s">
        <v>314</v>
      </c>
      <c r="I6" t="s">
        <v>315</v>
      </c>
      <c r="J6" t="s">
        <v>316</v>
      </c>
      <c r="K6" t="s">
        <v>317</v>
      </c>
      <c r="L6" t="s">
        <v>318</v>
      </c>
      <c r="M6" t="s">
        <v>319</v>
      </c>
      <c r="N6" t="s">
        <v>320</v>
      </c>
      <c r="O6" t="s">
        <v>321</v>
      </c>
      <c r="P6" t="s">
        <v>322</v>
      </c>
      <c r="Q6" t="s">
        <v>323</v>
      </c>
      <c r="R6" t="s">
        <v>324</v>
      </c>
      <c r="S6" t="s">
        <v>325</v>
      </c>
      <c r="T6" t="s">
        <v>326</v>
      </c>
      <c r="U6" t="s">
        <v>327</v>
      </c>
      <c r="V6" t="s">
        <v>328</v>
      </c>
      <c r="W6" t="s">
        <v>329</v>
      </c>
      <c r="X6" t="s">
        <v>330</v>
      </c>
      <c r="Y6" t="s">
        <v>331</v>
      </c>
      <c r="Z6" t="s">
        <v>332</v>
      </c>
      <c r="AA6" t="s">
        <v>333</v>
      </c>
      <c r="AB6" t="s">
        <v>334</v>
      </c>
      <c r="AC6" t="s">
        <v>335</v>
      </c>
      <c r="AD6" t="s">
        <v>336</v>
      </c>
      <c r="AE6" t="s">
        <v>337</v>
      </c>
      <c r="AF6" t="s">
        <v>338</v>
      </c>
      <c r="AG6" t="s">
        <v>339</v>
      </c>
      <c r="AH6" t="s">
        <v>340</v>
      </c>
      <c r="AI6" t="s">
        <v>341</v>
      </c>
      <c r="AJ6" t="s">
        <v>342</v>
      </c>
      <c r="AK6" t="s">
        <v>343</v>
      </c>
      <c r="AL6" t="s">
        <v>344</v>
      </c>
      <c r="AM6" t="s">
        <v>345</v>
      </c>
      <c r="AN6" t="s">
        <v>346</v>
      </c>
      <c r="AO6" t="s">
        <v>347</v>
      </c>
      <c r="AP6" t="s">
        <v>348</v>
      </c>
      <c r="AQ6" t="s">
        <v>349</v>
      </c>
      <c r="AR6" t="s">
        <v>350</v>
      </c>
      <c r="AS6" t="s">
        <v>351</v>
      </c>
      <c r="AT6" t="s">
        <v>352</v>
      </c>
      <c r="AU6" t="s">
        <v>353</v>
      </c>
      <c r="AV6" t="s">
        <v>354</v>
      </c>
      <c r="AW6" t="s">
        <v>355</v>
      </c>
      <c r="AX6" t="s">
        <v>356</v>
      </c>
      <c r="AY6" t="s">
        <v>357</v>
      </c>
      <c r="AZ6" t="s">
        <v>358</v>
      </c>
      <c r="BA6" t="s">
        <v>359</v>
      </c>
      <c r="BB6" s="26" t="s">
        <v>360</v>
      </c>
      <c r="BC6" s="26" t="s">
        <v>361</v>
      </c>
      <c r="BD6" s="26" t="s">
        <v>362</v>
      </c>
      <c r="BE6" s="26" t="s">
        <v>363</v>
      </c>
      <c r="BF6" s="26" t="s">
        <v>364</v>
      </c>
      <c r="BG6" s="26" t="s">
        <v>365</v>
      </c>
      <c r="BH6" t="s">
        <v>803</v>
      </c>
      <c r="BI6" t="s">
        <v>813</v>
      </c>
    </row>
    <row r="7" spans="1:61">
      <c r="A7" t="s">
        <v>246</v>
      </c>
      <c r="B7" t="s">
        <v>1331</v>
      </c>
      <c r="C7" s="45" t="s">
        <v>497</v>
      </c>
      <c r="D7" t="s">
        <v>480</v>
      </c>
      <c r="E7" t="s">
        <v>481</v>
      </c>
      <c r="F7" t="s">
        <v>1177</v>
      </c>
      <c r="G7" t="s">
        <v>1178</v>
      </c>
      <c r="H7" t="s">
        <v>1190</v>
      </c>
      <c r="I7" t="s">
        <v>1191</v>
      </c>
      <c r="J7" s="45" t="s">
        <v>1179</v>
      </c>
      <c r="K7" t="s">
        <v>1180</v>
      </c>
      <c r="L7" t="s">
        <v>483</v>
      </c>
      <c r="M7" t="s">
        <v>484</v>
      </c>
      <c r="N7" t="s">
        <v>485</v>
      </c>
      <c r="O7" t="s">
        <v>486</v>
      </c>
      <c r="P7" t="s">
        <v>487</v>
      </c>
      <c r="Q7" t="s">
        <v>488</v>
      </c>
      <c r="R7" t="s">
        <v>489</v>
      </c>
      <c r="S7" t="s">
        <v>490</v>
      </c>
      <c r="T7" t="s">
        <v>441</v>
      </c>
      <c r="U7" t="s">
        <v>491</v>
      </c>
      <c r="V7" t="s">
        <v>1181</v>
      </c>
      <c r="W7" t="s">
        <v>1182</v>
      </c>
      <c r="X7" t="s">
        <v>492</v>
      </c>
      <c r="Y7" t="s">
        <v>482</v>
      </c>
      <c r="Z7" t="s">
        <v>493</v>
      </c>
      <c r="AA7" t="s">
        <v>494</v>
      </c>
      <c r="AB7" t="s">
        <v>495</v>
      </c>
      <c r="AC7" t="s">
        <v>1183</v>
      </c>
      <c r="AD7" t="s">
        <v>1184</v>
      </c>
      <c r="AE7" t="s">
        <v>1185</v>
      </c>
      <c r="AF7" t="s">
        <v>496</v>
      </c>
      <c r="AG7" t="s">
        <v>497</v>
      </c>
      <c r="AH7" t="s">
        <v>1186</v>
      </c>
      <c r="AI7" t="s">
        <v>1187</v>
      </c>
      <c r="AJ7" t="s">
        <v>498</v>
      </c>
      <c r="AK7" t="s">
        <v>499</v>
      </c>
      <c r="AL7" t="s">
        <v>500</v>
      </c>
      <c r="AM7" t="s">
        <v>501</v>
      </c>
      <c r="AN7" t="s">
        <v>502</v>
      </c>
      <c r="AO7" t="s">
        <v>503</v>
      </c>
      <c r="AP7" t="s">
        <v>504</v>
      </c>
      <c r="AQ7" t="s">
        <v>1188</v>
      </c>
      <c r="AR7" t="s">
        <v>505</v>
      </c>
      <c r="AS7" t="s">
        <v>506</v>
      </c>
      <c r="AT7" t="s">
        <v>507</v>
      </c>
      <c r="AU7" t="s">
        <v>508</v>
      </c>
      <c r="AV7" t="s">
        <v>509</v>
      </c>
      <c r="AW7" t="s">
        <v>510</v>
      </c>
      <c r="AX7" t="s">
        <v>511</v>
      </c>
      <c r="AY7" t="s">
        <v>1189</v>
      </c>
      <c r="AZ7" t="s">
        <v>512</v>
      </c>
      <c r="BA7" t="s">
        <v>513</v>
      </c>
      <c r="BB7" s="26" t="s">
        <v>514</v>
      </c>
      <c r="BC7" s="26" t="s">
        <v>515</v>
      </c>
      <c r="BD7" s="26" t="s">
        <v>516</v>
      </c>
      <c r="BE7" s="27" t="s">
        <v>517</v>
      </c>
      <c r="BF7" s="27" t="s">
        <v>1</v>
      </c>
      <c r="BG7" s="26" t="s">
        <v>518</v>
      </c>
      <c r="BH7" t="s">
        <v>806</v>
      </c>
      <c r="BI7" t="s">
        <v>814</v>
      </c>
    </row>
    <row r="8" spans="1:61">
      <c r="A8" t="s">
        <v>247</v>
      </c>
      <c r="B8" t="s">
        <v>520</v>
      </c>
      <c r="C8" t="s">
        <v>521</v>
      </c>
      <c r="D8" t="s">
        <v>522</v>
      </c>
      <c r="E8" t="s">
        <v>523</v>
      </c>
      <c r="F8" t="s">
        <v>370</v>
      </c>
      <c r="G8" t="s">
        <v>524</v>
      </c>
      <c r="H8" t="s">
        <v>525</v>
      </c>
      <c r="I8" t="s">
        <v>526</v>
      </c>
      <c r="J8" t="s">
        <v>527</v>
      </c>
      <c r="K8" t="s">
        <v>528</v>
      </c>
      <c r="L8" t="s">
        <v>529</v>
      </c>
      <c r="M8" t="s">
        <v>530</v>
      </c>
      <c r="N8" t="s">
        <v>531</v>
      </c>
      <c r="O8" t="s">
        <v>532</v>
      </c>
      <c r="P8" t="s">
        <v>533</v>
      </c>
      <c r="Q8" t="s">
        <v>534</v>
      </c>
      <c r="R8" t="s">
        <v>535</v>
      </c>
      <c r="S8" t="s">
        <v>383</v>
      </c>
      <c r="T8" t="s">
        <v>536</v>
      </c>
      <c r="U8" t="s">
        <v>537</v>
      </c>
      <c r="V8" t="s">
        <v>538</v>
      </c>
      <c r="W8" t="s">
        <v>539</v>
      </c>
      <c r="X8" t="s">
        <v>540</v>
      </c>
      <c r="Y8" t="s">
        <v>541</v>
      </c>
      <c r="Z8" t="s">
        <v>542</v>
      </c>
      <c r="AA8" t="s">
        <v>543</v>
      </c>
      <c r="AB8" t="s">
        <v>544</v>
      </c>
      <c r="AC8" t="s">
        <v>545</v>
      </c>
      <c r="AD8" t="s">
        <v>546</v>
      </c>
      <c r="AE8" t="s">
        <v>547</v>
      </c>
      <c r="AF8" t="s">
        <v>548</v>
      </c>
      <c r="AG8" t="s">
        <v>549</v>
      </c>
      <c r="AH8" t="s">
        <v>550</v>
      </c>
      <c r="AI8" t="s">
        <v>551</v>
      </c>
      <c r="AJ8" t="s">
        <v>552</v>
      </c>
      <c r="AK8" t="s">
        <v>553</v>
      </c>
      <c r="AL8" t="s">
        <v>554</v>
      </c>
      <c r="AM8" t="s">
        <v>555</v>
      </c>
      <c r="AN8" t="s">
        <v>556</v>
      </c>
      <c r="AO8" t="s">
        <v>557</v>
      </c>
      <c r="AP8" t="s">
        <v>558</v>
      </c>
      <c r="AQ8" t="s">
        <v>406</v>
      </c>
      <c r="AR8" t="s">
        <v>559</v>
      </c>
      <c r="AS8" t="s">
        <v>408</v>
      </c>
      <c r="AT8" t="s">
        <v>560</v>
      </c>
      <c r="AU8" t="s">
        <v>561</v>
      </c>
      <c r="AV8" t="s">
        <v>562</v>
      </c>
      <c r="AW8" t="s">
        <v>563</v>
      </c>
      <c r="AX8" t="s">
        <v>413</v>
      </c>
      <c r="AY8" t="s">
        <v>414</v>
      </c>
      <c r="AZ8" t="s">
        <v>564</v>
      </c>
      <c r="BA8" t="s">
        <v>565</v>
      </c>
      <c r="BB8" s="26" t="s">
        <v>566</v>
      </c>
      <c r="BC8" s="26" t="s">
        <v>567</v>
      </c>
      <c r="BD8" s="26" t="s">
        <v>568</v>
      </c>
      <c r="BE8" s="27" t="s">
        <v>569</v>
      </c>
      <c r="BF8" s="27" t="s">
        <v>570</v>
      </c>
      <c r="BG8" s="26" t="s">
        <v>571</v>
      </c>
      <c r="BH8" t="s">
        <v>807</v>
      </c>
      <c r="BI8" t="s">
        <v>815</v>
      </c>
    </row>
    <row r="9" spans="1:61">
      <c r="A9" t="s">
        <v>248</v>
      </c>
      <c r="B9" t="s">
        <v>631</v>
      </c>
      <c r="C9" t="s">
        <v>632</v>
      </c>
      <c r="D9" t="s">
        <v>633</v>
      </c>
      <c r="E9" t="s">
        <v>634</v>
      </c>
      <c r="F9" t="s">
        <v>635</v>
      </c>
      <c r="G9" t="s">
        <v>636</v>
      </c>
      <c r="H9" t="s">
        <v>637</v>
      </c>
      <c r="I9" t="s">
        <v>638</v>
      </c>
      <c r="J9" t="s">
        <v>639</v>
      </c>
      <c r="K9" t="s">
        <v>640</v>
      </c>
      <c r="L9" t="s">
        <v>641</v>
      </c>
      <c r="M9" t="s">
        <v>642</v>
      </c>
      <c r="N9" t="s">
        <v>643</v>
      </c>
      <c r="O9" t="s">
        <v>644</v>
      </c>
      <c r="P9" t="s">
        <v>645</v>
      </c>
      <c r="Q9" t="s">
        <v>646</v>
      </c>
      <c r="R9" t="s">
        <v>647</v>
      </c>
      <c r="S9" t="s">
        <v>648</v>
      </c>
      <c r="T9" t="s">
        <v>649</v>
      </c>
      <c r="U9" t="s">
        <v>650</v>
      </c>
      <c r="V9" t="s">
        <v>651</v>
      </c>
      <c r="W9" t="s">
        <v>652</v>
      </c>
      <c r="X9" t="s">
        <v>653</v>
      </c>
      <c r="Y9" t="s">
        <v>654</v>
      </c>
      <c r="Z9" t="s">
        <v>655</v>
      </c>
      <c r="AA9" t="s">
        <v>656</v>
      </c>
      <c r="AB9" t="s">
        <v>657</v>
      </c>
      <c r="AC9" t="s">
        <v>658</v>
      </c>
      <c r="AD9" t="s">
        <v>659</v>
      </c>
      <c r="AE9" t="s">
        <v>660</v>
      </c>
      <c r="AF9" t="s">
        <v>631</v>
      </c>
      <c r="AG9" t="s">
        <v>661</v>
      </c>
      <c r="AH9" t="s">
        <v>662</v>
      </c>
      <c r="AI9" t="s">
        <v>663</v>
      </c>
      <c r="AJ9" t="s">
        <v>664</v>
      </c>
      <c r="AK9" t="s">
        <v>665</v>
      </c>
      <c r="AL9" t="s">
        <v>666</v>
      </c>
      <c r="AM9" t="s">
        <v>667</v>
      </c>
      <c r="AN9" t="s">
        <v>668</v>
      </c>
      <c r="AO9" t="s">
        <v>669</v>
      </c>
      <c r="AP9" t="s">
        <v>670</v>
      </c>
      <c r="AQ9" t="s">
        <v>671</v>
      </c>
      <c r="AR9" t="s">
        <v>672</v>
      </c>
      <c r="AS9" t="s">
        <v>673</v>
      </c>
      <c r="AT9" t="s">
        <v>674</v>
      </c>
      <c r="AU9" t="s">
        <v>675</v>
      </c>
      <c r="AV9" t="s">
        <v>676</v>
      </c>
      <c r="AW9" t="s">
        <v>677</v>
      </c>
      <c r="AX9" t="s">
        <v>678</v>
      </c>
      <c r="AY9" t="s">
        <v>679</v>
      </c>
      <c r="AZ9" t="s">
        <v>680</v>
      </c>
      <c r="BA9" t="s">
        <v>681</v>
      </c>
      <c r="BB9" s="26" t="s">
        <v>794</v>
      </c>
      <c r="BC9" s="26" t="s">
        <v>795</v>
      </c>
      <c r="BD9" s="26" t="s">
        <v>796</v>
      </c>
      <c r="BE9" s="27" t="s">
        <v>797</v>
      </c>
      <c r="BF9" s="27" t="s">
        <v>798</v>
      </c>
      <c r="BG9" s="26" t="s">
        <v>799</v>
      </c>
      <c r="BH9" s="153" t="s">
        <v>2088</v>
      </c>
      <c r="BI9" s="153" t="s">
        <v>2089</v>
      </c>
    </row>
    <row r="10" spans="1:61">
      <c r="A10" t="s">
        <v>249</v>
      </c>
      <c r="B10" t="s">
        <v>251</v>
      </c>
      <c r="C10" t="s">
        <v>252</v>
      </c>
      <c r="D10" t="s">
        <v>253</v>
      </c>
      <c r="E10" t="s">
        <v>254</v>
      </c>
      <c r="F10" t="s">
        <v>255</v>
      </c>
      <c r="G10" t="s">
        <v>256</v>
      </c>
      <c r="H10" t="s">
        <v>257</v>
      </c>
      <c r="I10" t="s">
        <v>258</v>
      </c>
      <c r="J10" t="s">
        <v>259</v>
      </c>
      <c r="K10" t="s">
        <v>260</v>
      </c>
      <c r="L10" t="s">
        <v>261</v>
      </c>
      <c r="M10" t="s">
        <v>262</v>
      </c>
      <c r="N10" t="s">
        <v>263</v>
      </c>
      <c r="O10" t="s">
        <v>264</v>
      </c>
      <c r="P10" t="s">
        <v>265</v>
      </c>
      <c r="Q10" t="s">
        <v>266</v>
      </c>
      <c r="R10" t="s">
        <v>267</v>
      </c>
      <c r="S10" t="s">
        <v>268</v>
      </c>
      <c r="T10" t="s">
        <v>269</v>
      </c>
      <c r="U10" t="s">
        <v>270</v>
      </c>
      <c r="V10" t="s">
        <v>271</v>
      </c>
      <c r="W10" t="s">
        <v>272</v>
      </c>
      <c r="X10" t="s">
        <v>273</v>
      </c>
      <c r="Y10" t="s">
        <v>274</v>
      </c>
      <c r="Z10" t="s">
        <v>275</v>
      </c>
      <c r="AA10" t="s">
        <v>276</v>
      </c>
      <c r="AB10" t="s">
        <v>277</v>
      </c>
      <c r="AC10" t="s">
        <v>278</v>
      </c>
      <c r="AD10" t="s">
        <v>279</v>
      </c>
      <c r="AE10" t="s">
        <v>280</v>
      </c>
      <c r="AF10" t="s">
        <v>281</v>
      </c>
      <c r="AG10" t="s">
        <v>282</v>
      </c>
      <c r="AH10" t="s">
        <v>283</v>
      </c>
      <c r="AI10" t="s">
        <v>284</v>
      </c>
      <c r="AJ10" t="s">
        <v>285</v>
      </c>
      <c r="AK10" t="s">
        <v>286</v>
      </c>
      <c r="AL10" t="s">
        <v>287</v>
      </c>
      <c r="AM10" t="s">
        <v>288</v>
      </c>
      <c r="AN10" t="s">
        <v>289</v>
      </c>
      <c r="AO10" t="s">
        <v>290</v>
      </c>
      <c r="AP10" t="s">
        <v>291</v>
      </c>
      <c r="AQ10" t="s">
        <v>292</v>
      </c>
      <c r="AR10" t="s">
        <v>293</v>
      </c>
      <c r="AS10" t="s">
        <v>294</v>
      </c>
      <c r="AT10" t="s">
        <v>295</v>
      </c>
      <c r="AU10" t="s">
        <v>296</v>
      </c>
      <c r="AV10" t="s">
        <v>297</v>
      </c>
      <c r="AW10" t="s">
        <v>298</v>
      </c>
      <c r="AX10" t="s">
        <v>1192</v>
      </c>
      <c r="AY10" t="s">
        <v>299</v>
      </c>
      <c r="AZ10" t="s">
        <v>300</v>
      </c>
      <c r="BA10" t="s">
        <v>301</v>
      </c>
      <c r="BB10" s="24" t="s">
        <v>302</v>
      </c>
      <c r="BC10" s="32" t="s">
        <v>303</v>
      </c>
      <c r="BD10" s="24" t="s">
        <v>304</v>
      </c>
      <c r="BE10" s="25" t="s">
        <v>305</v>
      </c>
      <c r="BF10" s="25" t="s">
        <v>306</v>
      </c>
      <c r="BG10" s="33" t="s">
        <v>307</v>
      </c>
      <c r="BH10" t="s">
        <v>801</v>
      </c>
      <c r="BI10" t="s">
        <v>809</v>
      </c>
    </row>
    <row r="11" spans="1:61">
      <c r="A11" t="s">
        <v>250</v>
      </c>
      <c r="B11" t="s">
        <v>737</v>
      </c>
      <c r="C11" t="s">
        <v>738</v>
      </c>
      <c r="D11" t="s">
        <v>739</v>
      </c>
      <c r="E11" t="s">
        <v>740</v>
      </c>
      <c r="F11" t="s">
        <v>741</v>
      </c>
      <c r="G11" t="s">
        <v>742</v>
      </c>
      <c r="H11" t="s">
        <v>743</v>
      </c>
      <c r="I11" t="s">
        <v>744</v>
      </c>
      <c r="J11" t="s">
        <v>745</v>
      </c>
      <c r="K11" t="s">
        <v>746</v>
      </c>
      <c r="L11" t="s">
        <v>747</v>
      </c>
      <c r="M11" t="s">
        <v>748</v>
      </c>
      <c r="N11" t="s">
        <v>749</v>
      </c>
      <c r="O11" t="s">
        <v>750</v>
      </c>
      <c r="P11" t="s">
        <v>751</v>
      </c>
      <c r="Q11" t="s">
        <v>752</v>
      </c>
      <c r="R11" t="s">
        <v>753</v>
      </c>
      <c r="S11" t="s">
        <v>754</v>
      </c>
      <c r="T11" t="s">
        <v>755</v>
      </c>
      <c r="U11" t="s">
        <v>756</v>
      </c>
      <c r="V11" t="s">
        <v>757</v>
      </c>
      <c r="W11" t="s">
        <v>758</v>
      </c>
      <c r="X11" t="s">
        <v>759</v>
      </c>
      <c r="Y11" t="s">
        <v>760</v>
      </c>
      <c r="Z11" t="s">
        <v>761</v>
      </c>
      <c r="AA11" t="s">
        <v>762</v>
      </c>
      <c r="AB11" t="s">
        <v>763</v>
      </c>
      <c r="AC11" t="s">
        <v>764</v>
      </c>
      <c r="AD11" t="s">
        <v>765</v>
      </c>
      <c r="AE11" t="s">
        <v>766</v>
      </c>
      <c r="AF11" t="s">
        <v>767</v>
      </c>
      <c r="AG11" t="s">
        <v>768</v>
      </c>
      <c r="AH11" t="s">
        <v>769</v>
      </c>
      <c r="AI11" t="s">
        <v>770</v>
      </c>
      <c r="AJ11" t="s">
        <v>771</v>
      </c>
      <c r="AK11" t="s">
        <v>772</v>
      </c>
      <c r="AL11" t="s">
        <v>773</v>
      </c>
      <c r="AM11" t="s">
        <v>774</v>
      </c>
      <c r="AN11" t="s">
        <v>775</v>
      </c>
      <c r="AO11" t="s">
        <v>776</v>
      </c>
      <c r="AP11" t="s">
        <v>777</v>
      </c>
      <c r="AQ11" t="s">
        <v>778</v>
      </c>
      <c r="AR11" t="s">
        <v>779</v>
      </c>
      <c r="AS11" t="s">
        <v>780</v>
      </c>
      <c r="AT11" t="s">
        <v>781</v>
      </c>
      <c r="AU11" t="s">
        <v>782</v>
      </c>
      <c r="AV11" t="s">
        <v>783</v>
      </c>
      <c r="AW11" t="s">
        <v>784</v>
      </c>
      <c r="AX11" t="s">
        <v>785</v>
      </c>
      <c r="AY11" t="s">
        <v>786</v>
      </c>
      <c r="AZ11" t="s">
        <v>300</v>
      </c>
      <c r="BA11" t="s">
        <v>787</v>
      </c>
      <c r="BB11" s="24" t="s">
        <v>788</v>
      </c>
      <c r="BC11" s="24" t="s">
        <v>789</v>
      </c>
      <c r="BD11" s="24" t="s">
        <v>790</v>
      </c>
      <c r="BE11" s="25" t="s">
        <v>791</v>
      </c>
      <c r="BF11" s="25" t="s">
        <v>792</v>
      </c>
      <c r="BG11" s="24" t="s">
        <v>793</v>
      </c>
      <c r="BH11" t="s">
        <v>800</v>
      </c>
      <c r="BI11" t="s">
        <v>810</v>
      </c>
    </row>
    <row r="12" spans="1:61">
      <c r="A12" t="s">
        <v>519</v>
      </c>
      <c r="B12" t="s">
        <v>573</v>
      </c>
      <c r="C12" t="s">
        <v>574</v>
      </c>
      <c r="D12" t="s">
        <v>575</v>
      </c>
      <c r="E12" t="s">
        <v>576</v>
      </c>
      <c r="F12" t="s">
        <v>577</v>
      </c>
      <c r="G12" t="s">
        <v>578</v>
      </c>
      <c r="H12" t="s">
        <v>579</v>
      </c>
      <c r="I12" t="s">
        <v>580</v>
      </c>
      <c r="J12" t="s">
        <v>581</v>
      </c>
      <c r="K12" t="s">
        <v>582</v>
      </c>
      <c r="L12" t="s">
        <v>583</v>
      </c>
      <c r="M12" t="s">
        <v>584</v>
      </c>
      <c r="N12" t="s">
        <v>585</v>
      </c>
      <c r="O12" t="s">
        <v>586</v>
      </c>
      <c r="P12" t="s">
        <v>587</v>
      </c>
      <c r="Q12" t="s">
        <v>588</v>
      </c>
      <c r="R12" t="s">
        <v>589</v>
      </c>
      <c r="S12" t="s">
        <v>590</v>
      </c>
      <c r="T12" t="s">
        <v>591</v>
      </c>
      <c r="U12" t="s">
        <v>592</v>
      </c>
      <c r="V12" t="s">
        <v>593</v>
      </c>
      <c r="W12" t="s">
        <v>594</v>
      </c>
      <c r="X12" t="s">
        <v>595</v>
      </c>
      <c r="Y12" t="s">
        <v>596</v>
      </c>
      <c r="Z12" t="s">
        <v>597</v>
      </c>
      <c r="AA12" t="s">
        <v>598</v>
      </c>
      <c r="AB12" t="s">
        <v>599</v>
      </c>
      <c r="AC12" t="s">
        <v>600</v>
      </c>
      <c r="AD12" t="s">
        <v>601</v>
      </c>
      <c r="AE12" t="s">
        <v>602</v>
      </c>
      <c r="AF12" t="s">
        <v>603</v>
      </c>
      <c r="AG12" t="s">
        <v>604</v>
      </c>
      <c r="AH12" t="s">
        <v>605</v>
      </c>
      <c r="AI12" t="s">
        <v>606</v>
      </c>
      <c r="AJ12" t="s">
        <v>607</v>
      </c>
      <c r="AK12" t="s">
        <v>608</v>
      </c>
      <c r="AL12" t="s">
        <v>609</v>
      </c>
      <c r="AM12" t="s">
        <v>610</v>
      </c>
      <c r="AN12" t="s">
        <v>611</v>
      </c>
      <c r="AO12" t="s">
        <v>612</v>
      </c>
      <c r="AP12" t="s">
        <v>613</v>
      </c>
      <c r="AQ12" t="s">
        <v>614</v>
      </c>
      <c r="AR12" t="s">
        <v>615</v>
      </c>
      <c r="AS12" t="s">
        <v>616</v>
      </c>
      <c r="AT12" t="s">
        <v>617</v>
      </c>
      <c r="AU12" t="s">
        <v>618</v>
      </c>
      <c r="AV12" t="s">
        <v>619</v>
      </c>
      <c r="AW12" t="s">
        <v>620</v>
      </c>
      <c r="AX12" t="s">
        <v>621</v>
      </c>
      <c r="AY12" t="s">
        <v>622</v>
      </c>
      <c r="AZ12" t="s">
        <v>623</v>
      </c>
      <c r="BA12" t="s">
        <v>624</v>
      </c>
      <c r="BB12" s="32" t="s">
        <v>625</v>
      </c>
      <c r="BC12" s="32" t="s">
        <v>626</v>
      </c>
      <c r="BD12" s="32" t="s">
        <v>627</v>
      </c>
      <c r="BE12" s="32" t="s">
        <v>628</v>
      </c>
      <c r="BF12" s="32" t="s">
        <v>629</v>
      </c>
      <c r="BG12" s="32" t="s">
        <v>630</v>
      </c>
      <c r="BH12" t="s">
        <v>808</v>
      </c>
      <c r="BI12" t="s">
        <v>816</v>
      </c>
    </row>
    <row r="13" spans="1:61">
      <c r="A13" t="s">
        <v>572</v>
      </c>
      <c r="B13" t="s">
        <v>682</v>
      </c>
      <c r="C13" t="s">
        <v>683</v>
      </c>
      <c r="D13" t="s">
        <v>684</v>
      </c>
      <c r="E13" t="s">
        <v>685</v>
      </c>
      <c r="F13" t="s">
        <v>686</v>
      </c>
      <c r="G13" t="s">
        <v>687</v>
      </c>
      <c r="H13" t="s">
        <v>688</v>
      </c>
      <c r="I13" t="s">
        <v>689</v>
      </c>
      <c r="J13" t="s">
        <v>690</v>
      </c>
      <c r="K13" t="s">
        <v>691</v>
      </c>
      <c r="L13" t="s">
        <v>692</v>
      </c>
      <c r="M13" t="s">
        <v>140</v>
      </c>
      <c r="N13" t="s">
        <v>693</v>
      </c>
      <c r="O13" t="s">
        <v>142</v>
      </c>
      <c r="P13" t="s">
        <v>694</v>
      </c>
      <c r="Q13" t="s">
        <v>695</v>
      </c>
      <c r="R13" t="s">
        <v>696</v>
      </c>
      <c r="S13" t="s">
        <v>697</v>
      </c>
      <c r="T13" t="s">
        <v>698</v>
      </c>
      <c r="U13" t="s">
        <v>699</v>
      </c>
      <c r="V13" t="s">
        <v>700</v>
      </c>
      <c r="W13" t="s">
        <v>701</v>
      </c>
      <c r="X13" t="s">
        <v>702</v>
      </c>
      <c r="Y13" t="s">
        <v>703</v>
      </c>
      <c r="Z13" t="s">
        <v>704</v>
      </c>
      <c r="AA13" t="s">
        <v>705</v>
      </c>
      <c r="AB13" t="s">
        <v>706</v>
      </c>
      <c r="AC13" t="s">
        <v>707</v>
      </c>
      <c r="AD13" t="s">
        <v>708</v>
      </c>
      <c r="AE13" t="s">
        <v>709</v>
      </c>
      <c r="AF13" t="s">
        <v>710</v>
      </c>
      <c r="AG13" t="s">
        <v>711</v>
      </c>
      <c r="AH13" t="s">
        <v>712</v>
      </c>
      <c r="AI13" t="s">
        <v>713</v>
      </c>
      <c r="AJ13" t="s">
        <v>714</v>
      </c>
      <c r="AK13" t="s">
        <v>715</v>
      </c>
      <c r="AL13" t="s">
        <v>716</v>
      </c>
      <c r="AM13" t="s">
        <v>717</v>
      </c>
      <c r="AN13" t="s">
        <v>718</v>
      </c>
      <c r="AO13" t="s">
        <v>719</v>
      </c>
      <c r="AP13" t="s">
        <v>720</v>
      </c>
      <c r="AQ13" t="s">
        <v>721</v>
      </c>
      <c r="AR13" t="s">
        <v>722</v>
      </c>
      <c r="AS13" t="s">
        <v>723</v>
      </c>
      <c r="AT13" t="s">
        <v>724</v>
      </c>
      <c r="AU13" t="s">
        <v>725</v>
      </c>
      <c r="AV13" t="s">
        <v>707</v>
      </c>
      <c r="AW13" t="s">
        <v>726</v>
      </c>
      <c r="AX13" t="s">
        <v>727</v>
      </c>
      <c r="AY13" t="s">
        <v>728</v>
      </c>
      <c r="AZ13" t="s">
        <v>729</v>
      </c>
      <c r="BA13" t="s">
        <v>730</v>
      </c>
      <c r="BB13" s="26" t="s">
        <v>731</v>
      </c>
      <c r="BC13" s="26" t="s">
        <v>732</v>
      </c>
      <c r="BD13" s="26" t="s">
        <v>733</v>
      </c>
      <c r="BE13" s="27" t="s">
        <v>734</v>
      </c>
      <c r="BF13" s="27" t="s">
        <v>735</v>
      </c>
      <c r="BG13" s="26" t="s">
        <v>736</v>
      </c>
      <c r="BH13" t="s">
        <v>802</v>
      </c>
      <c r="BI13" t="s">
        <v>817</v>
      </c>
    </row>
    <row r="14" spans="1:61">
      <c r="A14" s="45" t="s">
        <v>840</v>
      </c>
      <c r="B14" s="48" t="s">
        <v>841</v>
      </c>
      <c r="C14" s="48" t="s">
        <v>842</v>
      </c>
      <c r="D14" s="48" t="s">
        <v>843</v>
      </c>
      <c r="E14" s="48" t="s">
        <v>844</v>
      </c>
      <c r="F14" s="48" t="s">
        <v>845</v>
      </c>
      <c r="G14" s="48" t="s">
        <v>846</v>
      </c>
      <c r="H14" s="48" t="s">
        <v>847</v>
      </c>
      <c r="I14" s="48" t="s">
        <v>848</v>
      </c>
      <c r="J14" s="48" t="s">
        <v>849</v>
      </c>
      <c r="K14" s="48" t="s">
        <v>850</v>
      </c>
      <c r="L14" s="48" t="s">
        <v>851</v>
      </c>
      <c r="M14" s="48" t="s">
        <v>852</v>
      </c>
      <c r="N14" s="48" t="s">
        <v>853</v>
      </c>
      <c r="O14" s="48" t="s">
        <v>854</v>
      </c>
      <c r="P14" s="48" t="s">
        <v>855</v>
      </c>
      <c r="Q14" s="48" t="s">
        <v>856</v>
      </c>
      <c r="R14" s="48" t="s">
        <v>857</v>
      </c>
      <c r="S14" s="48" t="s">
        <v>858</v>
      </c>
      <c r="T14" s="48" t="s">
        <v>859</v>
      </c>
      <c r="U14" s="48" t="s">
        <v>860</v>
      </c>
      <c r="V14" s="48" t="s">
        <v>861</v>
      </c>
      <c r="W14" s="48" t="s">
        <v>862</v>
      </c>
      <c r="X14" s="48" t="s">
        <v>863</v>
      </c>
      <c r="Y14" s="48" t="s">
        <v>864</v>
      </c>
      <c r="Z14" s="48" t="s">
        <v>865</v>
      </c>
      <c r="AA14" s="48" t="s">
        <v>866</v>
      </c>
      <c r="AB14" s="48" t="s">
        <v>867</v>
      </c>
      <c r="AC14" s="48" t="s">
        <v>868</v>
      </c>
      <c r="AD14" s="48" t="s">
        <v>846</v>
      </c>
      <c r="AE14" s="48" t="s">
        <v>869</v>
      </c>
      <c r="AF14" s="48" t="s">
        <v>870</v>
      </c>
      <c r="AG14" s="48" t="s">
        <v>871</v>
      </c>
      <c r="AH14" s="48" t="s">
        <v>872</v>
      </c>
      <c r="AI14" s="48" t="s">
        <v>873</v>
      </c>
      <c r="AJ14" s="48" t="s">
        <v>874</v>
      </c>
      <c r="AK14" s="48" t="s">
        <v>875</v>
      </c>
      <c r="AL14" s="48" t="s">
        <v>876</v>
      </c>
      <c r="AM14" s="48" t="s">
        <v>877</v>
      </c>
      <c r="AN14" s="48" t="s">
        <v>878</v>
      </c>
      <c r="AO14" s="48" t="s">
        <v>879</v>
      </c>
      <c r="AP14" s="48" t="s">
        <v>880</v>
      </c>
      <c r="AQ14" s="48" t="s">
        <v>881</v>
      </c>
      <c r="AR14" s="48" t="s">
        <v>882</v>
      </c>
      <c r="AS14" s="48" t="s">
        <v>883</v>
      </c>
      <c r="AT14" s="48" t="s">
        <v>884</v>
      </c>
      <c r="AU14" s="48" t="s">
        <v>885</v>
      </c>
      <c r="AV14" s="48" t="s">
        <v>886</v>
      </c>
      <c r="AW14" s="48" t="s">
        <v>887</v>
      </c>
      <c r="AX14" s="48" t="s">
        <v>888</v>
      </c>
      <c r="AY14" s="48" t="s">
        <v>889</v>
      </c>
      <c r="AZ14" s="48" t="s">
        <v>860</v>
      </c>
      <c r="BA14" s="48" t="s">
        <v>869</v>
      </c>
      <c r="BB14" s="45" t="s">
        <v>890</v>
      </c>
      <c r="BC14" s="45" t="s">
        <v>891</v>
      </c>
      <c r="BD14" s="45" t="s">
        <v>892</v>
      </c>
      <c r="BE14" s="45" t="s">
        <v>893</v>
      </c>
      <c r="BF14" s="45" t="s">
        <v>894</v>
      </c>
      <c r="BG14" s="45" t="s">
        <v>895</v>
      </c>
      <c r="BH14" s="45" t="s">
        <v>896</v>
      </c>
      <c r="BI14" s="45" t="s">
        <v>897</v>
      </c>
    </row>
    <row r="15" spans="1:61">
      <c r="A15" t="s">
        <v>950</v>
      </c>
      <c r="B15" s="48" t="s">
        <v>898</v>
      </c>
      <c r="C15" s="48" t="s">
        <v>899</v>
      </c>
      <c r="D15" s="48" t="s">
        <v>900</v>
      </c>
      <c r="E15" s="48" t="s">
        <v>901</v>
      </c>
      <c r="F15" s="48" t="s">
        <v>902</v>
      </c>
      <c r="G15" s="48" t="s">
        <v>903</v>
      </c>
      <c r="H15" s="48" t="s">
        <v>904</v>
      </c>
      <c r="I15" s="48" t="s">
        <v>905</v>
      </c>
      <c r="J15" s="48" t="s">
        <v>906</v>
      </c>
      <c r="K15" s="48" t="s">
        <v>907</v>
      </c>
      <c r="L15" s="48" t="s">
        <v>908</v>
      </c>
      <c r="M15" s="48" t="s">
        <v>909</v>
      </c>
      <c r="N15" s="48" t="s">
        <v>910</v>
      </c>
      <c r="O15" s="48" t="s">
        <v>911</v>
      </c>
      <c r="P15" s="48" t="s">
        <v>912</v>
      </c>
      <c r="Q15" s="48" t="s">
        <v>913</v>
      </c>
      <c r="R15" s="48" t="s">
        <v>914</v>
      </c>
      <c r="S15" s="48" t="s">
        <v>915</v>
      </c>
      <c r="T15" s="48" t="s">
        <v>916</v>
      </c>
      <c r="U15" s="48" t="s">
        <v>917</v>
      </c>
      <c r="V15" s="48" t="s">
        <v>918</v>
      </c>
      <c r="W15" s="48" t="s">
        <v>919</v>
      </c>
      <c r="X15" s="48" t="s">
        <v>920</v>
      </c>
      <c r="Y15" s="48" t="s">
        <v>921</v>
      </c>
      <c r="Z15" s="48" t="s">
        <v>922</v>
      </c>
      <c r="AA15" s="48" t="s">
        <v>923</v>
      </c>
      <c r="AB15" s="48" t="s">
        <v>924</v>
      </c>
      <c r="AC15" s="48" t="s">
        <v>925</v>
      </c>
      <c r="AD15" s="48" t="s">
        <v>926</v>
      </c>
      <c r="AE15" s="48" t="s">
        <v>927</v>
      </c>
      <c r="AF15" s="48" t="s">
        <v>928</v>
      </c>
      <c r="AG15" s="48" t="s">
        <v>929</v>
      </c>
      <c r="AH15" s="48" t="s">
        <v>930</v>
      </c>
      <c r="AI15" s="48" t="s">
        <v>931</v>
      </c>
      <c r="AJ15" s="48" t="s">
        <v>932</v>
      </c>
      <c r="AK15" s="48" t="s">
        <v>933</v>
      </c>
      <c r="AL15" s="48" t="s">
        <v>934</v>
      </c>
      <c r="AM15" s="48" t="s">
        <v>935</v>
      </c>
      <c r="AN15" s="48" t="s">
        <v>936</v>
      </c>
      <c r="AO15" s="48" t="s">
        <v>937</v>
      </c>
      <c r="AP15" s="48" t="s">
        <v>938</v>
      </c>
      <c r="AQ15" s="48" t="s">
        <v>939</v>
      </c>
      <c r="AR15" s="48" t="s">
        <v>940</v>
      </c>
      <c r="AS15" s="48" t="s">
        <v>941</v>
      </c>
      <c r="AT15" s="48" t="s">
        <v>942</v>
      </c>
      <c r="AU15" s="48" t="s">
        <v>943</v>
      </c>
      <c r="AV15" s="48" t="s">
        <v>944</v>
      </c>
      <c r="AW15" s="48" t="s">
        <v>945</v>
      </c>
      <c r="AX15" s="48" t="s">
        <v>946</v>
      </c>
      <c r="AY15" s="48" t="s">
        <v>947</v>
      </c>
      <c r="AZ15" s="48" t="s">
        <v>948</v>
      </c>
      <c r="BA15" s="48" t="s">
        <v>949</v>
      </c>
      <c r="BB15" s="49" t="s">
        <v>951</v>
      </c>
      <c r="BC15" s="46" t="s">
        <v>953</v>
      </c>
      <c r="BD15" s="46" t="s">
        <v>952</v>
      </c>
      <c r="BE15" s="47" t="s">
        <v>954</v>
      </c>
      <c r="BF15" s="47" t="s">
        <v>955</v>
      </c>
      <c r="BG15" s="46" t="s">
        <v>956</v>
      </c>
      <c r="BH15" s="45" t="s">
        <v>957</v>
      </c>
      <c r="BI15" s="45" t="s">
        <v>958</v>
      </c>
    </row>
    <row r="16" spans="1:61">
      <c r="A16" t="s">
        <v>959</v>
      </c>
      <c r="B16" s="48" t="s">
        <v>968</v>
      </c>
      <c r="C16" s="48" t="s">
        <v>969</v>
      </c>
      <c r="D16" s="48" t="s">
        <v>970</v>
      </c>
      <c r="E16" s="48" t="s">
        <v>971</v>
      </c>
      <c r="F16" s="48" t="s">
        <v>972</v>
      </c>
      <c r="G16" s="48" t="s">
        <v>973</v>
      </c>
      <c r="H16" s="48" t="s">
        <v>974</v>
      </c>
      <c r="I16" s="48" t="s">
        <v>975</v>
      </c>
      <c r="J16" s="48" t="s">
        <v>976</v>
      </c>
      <c r="K16" s="48" t="s">
        <v>977</v>
      </c>
      <c r="L16" s="48" t="s">
        <v>973</v>
      </c>
      <c r="M16" s="48" t="s">
        <v>978</v>
      </c>
      <c r="N16" s="48" t="s">
        <v>979</v>
      </c>
      <c r="O16" s="48" t="s">
        <v>980</v>
      </c>
      <c r="P16" s="48" t="s">
        <v>981</v>
      </c>
      <c r="Q16" s="48" t="s">
        <v>982</v>
      </c>
      <c r="R16" s="48" t="s">
        <v>983</v>
      </c>
      <c r="S16" s="48" t="s">
        <v>984</v>
      </c>
      <c r="T16" s="48" t="s">
        <v>985</v>
      </c>
      <c r="U16" s="48" t="s">
        <v>986</v>
      </c>
      <c r="V16" s="48" t="s">
        <v>987</v>
      </c>
      <c r="W16" s="48" t="s">
        <v>988</v>
      </c>
      <c r="X16" s="48" t="s">
        <v>989</v>
      </c>
      <c r="Y16" s="48" t="s">
        <v>990</v>
      </c>
      <c r="Z16" s="48" t="s">
        <v>991</v>
      </c>
      <c r="AA16" s="48" t="s">
        <v>992</v>
      </c>
      <c r="AB16" s="48" t="s">
        <v>993</v>
      </c>
      <c r="AC16" s="48" t="s">
        <v>994</v>
      </c>
      <c r="AD16" s="48" t="s">
        <v>995</v>
      </c>
      <c r="AE16" s="48" t="s">
        <v>996</v>
      </c>
      <c r="AF16" s="48" t="s">
        <v>997</v>
      </c>
      <c r="AG16" s="48" t="s">
        <v>998</v>
      </c>
      <c r="AH16" s="48" t="s">
        <v>999</v>
      </c>
      <c r="AI16" s="48" t="s">
        <v>1000</v>
      </c>
      <c r="AJ16" s="48" t="s">
        <v>1001</v>
      </c>
      <c r="AK16" s="48" t="s">
        <v>1002</v>
      </c>
      <c r="AL16" s="48" t="s">
        <v>1003</v>
      </c>
      <c r="AM16" s="48" t="s">
        <v>1004</v>
      </c>
      <c r="AN16" s="48" t="s">
        <v>1005</v>
      </c>
      <c r="AO16" s="48" t="s">
        <v>1006</v>
      </c>
      <c r="AP16" s="48" t="s">
        <v>1007</v>
      </c>
      <c r="AQ16" s="48" t="s">
        <v>1008</v>
      </c>
      <c r="AR16" s="48" t="s">
        <v>1009</v>
      </c>
      <c r="AS16" s="48" t="s">
        <v>1010</v>
      </c>
      <c r="AT16" s="48" t="s">
        <v>1011</v>
      </c>
      <c r="AU16" s="48" t="s">
        <v>1012</v>
      </c>
      <c r="AV16" s="48" t="s">
        <v>1013</v>
      </c>
      <c r="AW16" s="48" t="s">
        <v>1014</v>
      </c>
      <c r="AX16" s="48" t="s">
        <v>1015</v>
      </c>
      <c r="AY16" s="48" t="s">
        <v>1016</v>
      </c>
      <c r="AZ16" s="48" t="s">
        <v>1017</v>
      </c>
      <c r="BA16" s="48" t="s">
        <v>1018</v>
      </c>
      <c r="BB16" s="24" t="s">
        <v>962</v>
      </c>
      <c r="BC16" t="s">
        <v>966</v>
      </c>
      <c r="BD16" s="25" t="s">
        <v>965</v>
      </c>
      <c r="BE16" t="s">
        <v>967</v>
      </c>
      <c r="BF16" t="s">
        <v>964</v>
      </c>
      <c r="BG16" t="s">
        <v>963</v>
      </c>
      <c r="BH16" t="s">
        <v>961</v>
      </c>
      <c r="BI16" t="s">
        <v>960</v>
      </c>
    </row>
    <row r="17" spans="1:61">
      <c r="A17" t="s">
        <v>1053</v>
      </c>
      <c r="B17" s="158" t="s">
        <v>1019</v>
      </c>
      <c r="C17" s="158" t="s">
        <v>1020</v>
      </c>
      <c r="D17" s="158" t="s">
        <v>2214</v>
      </c>
      <c r="E17" s="158" t="s">
        <v>1021</v>
      </c>
      <c r="F17" s="158" t="s">
        <v>1022</v>
      </c>
      <c r="G17" s="158" t="s">
        <v>2215</v>
      </c>
      <c r="H17" s="158" t="s">
        <v>2216</v>
      </c>
      <c r="I17" s="158" t="s">
        <v>2217</v>
      </c>
      <c r="J17" s="158" t="s">
        <v>1023</v>
      </c>
      <c r="K17" s="158" t="s">
        <v>2218</v>
      </c>
      <c r="L17" s="158" t="s">
        <v>1024</v>
      </c>
      <c r="M17" s="158" t="s">
        <v>1025</v>
      </c>
      <c r="N17" s="158" t="s">
        <v>1026</v>
      </c>
      <c r="O17" s="158" t="s">
        <v>1027</v>
      </c>
      <c r="P17" s="158" t="s">
        <v>1028</v>
      </c>
      <c r="Q17" s="158" t="s">
        <v>1029</v>
      </c>
      <c r="R17" s="158" t="s">
        <v>1030</v>
      </c>
      <c r="S17" s="158" t="s">
        <v>1031</v>
      </c>
      <c r="T17" s="158" t="s">
        <v>2219</v>
      </c>
      <c r="U17" s="158" t="s">
        <v>1032</v>
      </c>
      <c r="V17" s="158" t="s">
        <v>2220</v>
      </c>
      <c r="W17" s="158" t="s">
        <v>1033</v>
      </c>
      <c r="X17" s="158" t="s">
        <v>1034</v>
      </c>
      <c r="Y17" s="158" t="s">
        <v>1035</v>
      </c>
      <c r="Z17" s="158" t="s">
        <v>2221</v>
      </c>
      <c r="AA17" s="158" t="s">
        <v>2222</v>
      </c>
      <c r="AB17" s="158" t="s">
        <v>1036</v>
      </c>
      <c r="AC17" s="158" t="s">
        <v>1037</v>
      </c>
      <c r="AD17" s="158" t="s">
        <v>1038</v>
      </c>
      <c r="AE17" s="158" t="s">
        <v>2223</v>
      </c>
      <c r="AF17" s="158" t="s">
        <v>1039</v>
      </c>
      <c r="AG17" s="158" t="s">
        <v>1040</v>
      </c>
      <c r="AH17" s="158" t="s">
        <v>1041</v>
      </c>
      <c r="AI17" s="158" t="s">
        <v>2224</v>
      </c>
      <c r="AJ17" s="158" t="s">
        <v>2225</v>
      </c>
      <c r="AK17" s="158" t="s">
        <v>1042</v>
      </c>
      <c r="AL17" s="158" t="s">
        <v>1043</v>
      </c>
      <c r="AM17" s="158" t="s">
        <v>1044</v>
      </c>
      <c r="AN17" s="158" t="s">
        <v>2226</v>
      </c>
      <c r="AO17" s="158" t="s">
        <v>2227</v>
      </c>
      <c r="AP17" s="158" t="s">
        <v>1045</v>
      </c>
      <c r="AQ17" s="158" t="s">
        <v>2228</v>
      </c>
      <c r="AR17" s="158" t="s">
        <v>1046</v>
      </c>
      <c r="AS17" s="158" t="s">
        <v>1047</v>
      </c>
      <c r="AT17" s="158" t="s">
        <v>1048</v>
      </c>
      <c r="AU17" s="158" t="s">
        <v>2229</v>
      </c>
      <c r="AV17" s="158" t="s">
        <v>1049</v>
      </c>
      <c r="AW17" s="158" t="s">
        <v>2230</v>
      </c>
      <c r="AX17" s="158" t="s">
        <v>1050</v>
      </c>
      <c r="AY17" s="158" t="s">
        <v>2231</v>
      </c>
      <c r="AZ17" s="158" t="s">
        <v>1051</v>
      </c>
      <c r="BA17" s="158" t="s">
        <v>1052</v>
      </c>
      <c r="BB17" s="158" t="s">
        <v>2232</v>
      </c>
      <c r="BC17" s="159" t="s">
        <v>2233</v>
      </c>
      <c r="BD17" s="160" t="s">
        <v>1054</v>
      </c>
      <c r="BE17" s="159" t="s">
        <v>1055</v>
      </c>
      <c r="BF17" s="159" t="s">
        <v>1056</v>
      </c>
      <c r="BG17" s="159" t="s">
        <v>1057</v>
      </c>
      <c r="BH17" s="159" t="s">
        <v>2234</v>
      </c>
      <c r="BI17" s="159" t="s">
        <v>2235</v>
      </c>
    </row>
    <row r="18" spans="1:61">
      <c r="A18" t="s">
        <v>1058</v>
      </c>
      <c r="B18" s="48" t="s">
        <v>1059</v>
      </c>
      <c r="C18" s="48" t="s">
        <v>1060</v>
      </c>
      <c r="D18" s="48" t="s">
        <v>1061</v>
      </c>
      <c r="E18" s="48" t="s">
        <v>1062</v>
      </c>
      <c r="F18" s="48" t="s">
        <v>1063</v>
      </c>
      <c r="G18" s="48" t="s">
        <v>1064</v>
      </c>
      <c r="H18" s="48" t="s">
        <v>1065</v>
      </c>
      <c r="I18" s="48" t="s">
        <v>1066</v>
      </c>
      <c r="J18" s="48" t="s">
        <v>1067</v>
      </c>
      <c r="K18" s="48" t="s">
        <v>1068</v>
      </c>
      <c r="L18" s="48" t="s">
        <v>1064</v>
      </c>
      <c r="M18" s="48" t="s">
        <v>1069</v>
      </c>
      <c r="N18" s="48" t="s">
        <v>1070</v>
      </c>
      <c r="O18" s="48" t="s">
        <v>1071</v>
      </c>
      <c r="P18" s="48" t="s">
        <v>1072</v>
      </c>
      <c r="Q18" s="48" t="s">
        <v>1073</v>
      </c>
      <c r="R18" s="48" t="s">
        <v>1074</v>
      </c>
      <c r="S18" s="48" t="s">
        <v>1075</v>
      </c>
      <c r="T18" s="48" t="s">
        <v>1076</v>
      </c>
      <c r="U18" s="48" t="s">
        <v>1077</v>
      </c>
      <c r="V18" s="48" t="s">
        <v>1078</v>
      </c>
      <c r="W18" s="48" t="s">
        <v>1079</v>
      </c>
      <c r="X18" s="48" t="s">
        <v>1080</v>
      </c>
      <c r="Y18" s="48" t="s">
        <v>1081</v>
      </c>
      <c r="Z18" s="48" t="s">
        <v>1082</v>
      </c>
      <c r="AA18" s="48" t="s">
        <v>1083</v>
      </c>
      <c r="AB18" s="48" t="s">
        <v>1084</v>
      </c>
      <c r="AC18" s="48" t="s">
        <v>1060</v>
      </c>
      <c r="AD18" s="48" t="s">
        <v>1085</v>
      </c>
      <c r="AE18" s="48" t="s">
        <v>1086</v>
      </c>
      <c r="AF18" s="48" t="s">
        <v>1087</v>
      </c>
      <c r="AG18" s="48" t="s">
        <v>1088</v>
      </c>
      <c r="AH18" s="48" t="s">
        <v>1089</v>
      </c>
      <c r="AI18" s="48" t="s">
        <v>1090</v>
      </c>
      <c r="AJ18" s="48" t="s">
        <v>1091</v>
      </c>
      <c r="AK18" s="48" t="s">
        <v>1092</v>
      </c>
      <c r="AL18" s="48" t="s">
        <v>1093</v>
      </c>
      <c r="AM18" s="48" t="s">
        <v>1094</v>
      </c>
      <c r="AN18" s="48" t="s">
        <v>1095</v>
      </c>
      <c r="AO18" s="48" t="s">
        <v>1096</v>
      </c>
      <c r="AP18" s="48" t="s">
        <v>1097</v>
      </c>
      <c r="AQ18" s="48" t="s">
        <v>1098</v>
      </c>
      <c r="AR18" s="48" t="s">
        <v>1099</v>
      </c>
      <c r="AS18" s="48" t="s">
        <v>1100</v>
      </c>
      <c r="AT18" s="48" t="s">
        <v>1101</v>
      </c>
      <c r="AU18" s="48" t="s">
        <v>1102</v>
      </c>
      <c r="AV18" s="48" t="s">
        <v>1103</v>
      </c>
      <c r="AW18" s="48" t="s">
        <v>1104</v>
      </c>
      <c r="AX18" s="48" t="s">
        <v>1105</v>
      </c>
      <c r="AY18" s="48" t="s">
        <v>1106</v>
      </c>
      <c r="AZ18" s="48" t="s">
        <v>1107</v>
      </c>
      <c r="BA18" s="48" t="s">
        <v>1108</v>
      </c>
      <c r="BB18" t="s">
        <v>1109</v>
      </c>
      <c r="BC18" t="s">
        <v>1110</v>
      </c>
      <c r="BD18" t="s">
        <v>1111</v>
      </c>
      <c r="BE18" t="s">
        <v>1112</v>
      </c>
      <c r="BF18" t="s">
        <v>1114</v>
      </c>
      <c r="BG18" t="s">
        <v>1113</v>
      </c>
      <c r="BH18" t="s">
        <v>1115</v>
      </c>
      <c r="BI18" t="s">
        <v>1116</v>
      </c>
    </row>
    <row r="19" spans="1:61">
      <c r="A19" t="s">
        <v>1117</v>
      </c>
      <c r="B19" s="48" t="s">
        <v>1118</v>
      </c>
      <c r="C19" s="48" t="s">
        <v>1119</v>
      </c>
      <c r="D19" s="48" t="s">
        <v>1120</v>
      </c>
      <c r="E19" s="48" t="s">
        <v>1121</v>
      </c>
      <c r="F19" s="48" t="s">
        <v>1122</v>
      </c>
      <c r="G19" s="48" t="s">
        <v>1123</v>
      </c>
      <c r="H19" s="48" t="s">
        <v>1124</v>
      </c>
      <c r="I19" s="48" t="s">
        <v>1125</v>
      </c>
      <c r="J19" s="48" t="s">
        <v>1126</v>
      </c>
      <c r="K19" s="48" t="s">
        <v>1127</v>
      </c>
      <c r="L19" s="48" t="s">
        <v>1128</v>
      </c>
      <c r="M19" s="48" t="s">
        <v>1129</v>
      </c>
      <c r="N19" s="48" t="s">
        <v>1130</v>
      </c>
      <c r="O19" s="48" t="s">
        <v>1129</v>
      </c>
      <c r="P19" s="48" t="s">
        <v>1131</v>
      </c>
      <c r="Q19" s="48" t="s">
        <v>1132</v>
      </c>
      <c r="R19" s="48" t="s">
        <v>1133</v>
      </c>
      <c r="S19" s="48" t="s">
        <v>1134</v>
      </c>
      <c r="T19" s="48" t="s">
        <v>1135</v>
      </c>
      <c r="U19" s="48" t="s">
        <v>1136</v>
      </c>
      <c r="V19" s="48" t="s">
        <v>1137</v>
      </c>
      <c r="W19" s="48" t="s">
        <v>1138</v>
      </c>
      <c r="X19" s="48" t="s">
        <v>1139</v>
      </c>
      <c r="Y19" s="48" t="s">
        <v>1140</v>
      </c>
      <c r="Z19" s="48" t="s">
        <v>1141</v>
      </c>
      <c r="AA19" s="48" t="s">
        <v>1142</v>
      </c>
      <c r="AB19" s="48" t="s">
        <v>1143</v>
      </c>
      <c r="AC19" s="48" t="s">
        <v>1144</v>
      </c>
      <c r="AD19" s="48" t="s">
        <v>1145</v>
      </c>
      <c r="AE19" s="48" t="s">
        <v>1146</v>
      </c>
      <c r="AF19" s="48" t="s">
        <v>1147</v>
      </c>
      <c r="AG19" s="48" t="s">
        <v>1148</v>
      </c>
      <c r="AH19" s="48" t="s">
        <v>1149</v>
      </c>
      <c r="AI19" s="48" t="s">
        <v>1150</v>
      </c>
      <c r="AJ19" s="48" t="s">
        <v>1151</v>
      </c>
      <c r="AK19" s="48" t="s">
        <v>1152</v>
      </c>
      <c r="AL19" s="48" t="s">
        <v>1153</v>
      </c>
      <c r="AM19" s="48" t="s">
        <v>1154</v>
      </c>
      <c r="AN19" s="48" t="s">
        <v>1155</v>
      </c>
      <c r="AO19" s="48" t="s">
        <v>1156</v>
      </c>
      <c r="AP19" s="48" t="s">
        <v>1157</v>
      </c>
      <c r="AQ19" s="48" t="s">
        <v>1158</v>
      </c>
      <c r="AR19" s="48" t="s">
        <v>1159</v>
      </c>
      <c r="AS19" s="48" t="s">
        <v>1160</v>
      </c>
      <c r="AT19" s="48" t="s">
        <v>1161</v>
      </c>
      <c r="AU19" s="48" t="s">
        <v>1162</v>
      </c>
      <c r="AV19" s="48" t="s">
        <v>1163</v>
      </c>
      <c r="AW19" s="48" t="s">
        <v>1164</v>
      </c>
      <c r="AX19" s="48" t="s">
        <v>1165</v>
      </c>
      <c r="AY19" s="48" t="s">
        <v>1166</v>
      </c>
      <c r="AZ19" s="48" t="s">
        <v>1167</v>
      </c>
      <c r="BA19" s="48" t="s">
        <v>1168</v>
      </c>
      <c r="BB19" s="25" t="s">
        <v>1169</v>
      </c>
      <c r="BC19" t="s">
        <v>1170</v>
      </c>
      <c r="BD19" t="s">
        <v>1171</v>
      </c>
      <c r="BE19" t="s">
        <v>1172</v>
      </c>
      <c r="BF19" t="s">
        <v>1173</v>
      </c>
      <c r="BG19" t="s">
        <v>1174</v>
      </c>
      <c r="BH19" t="s">
        <v>1175</v>
      </c>
      <c r="BI19" t="s">
        <v>1176</v>
      </c>
    </row>
    <row r="20" spans="1:61">
      <c r="A20" t="s">
        <v>1193</v>
      </c>
      <c r="B20" s="48" t="s">
        <v>1239</v>
      </c>
      <c r="C20" s="48" t="s">
        <v>1194</v>
      </c>
      <c r="D20" s="48" t="s">
        <v>1195</v>
      </c>
      <c r="E20" s="48" t="s">
        <v>1196</v>
      </c>
      <c r="F20" s="48" t="s">
        <v>1197</v>
      </c>
      <c r="G20" s="48" t="s">
        <v>1198</v>
      </c>
      <c r="H20" s="48" t="s">
        <v>1199</v>
      </c>
      <c r="I20" s="48" t="s">
        <v>1200</v>
      </c>
      <c r="J20" s="48" t="s">
        <v>1201</v>
      </c>
      <c r="K20" s="48" t="s">
        <v>1202</v>
      </c>
      <c r="L20" s="48" t="s">
        <v>1198</v>
      </c>
      <c r="M20" s="48" t="s">
        <v>1203</v>
      </c>
      <c r="N20" s="48" t="s">
        <v>1204</v>
      </c>
      <c r="O20" s="48" t="s">
        <v>1205</v>
      </c>
      <c r="P20" s="48" t="s">
        <v>1206</v>
      </c>
      <c r="Q20" s="48" t="s">
        <v>1207</v>
      </c>
      <c r="R20" s="48" t="s">
        <v>1208</v>
      </c>
      <c r="S20" s="48" t="s">
        <v>1209</v>
      </c>
      <c r="T20" s="48" t="s">
        <v>1210</v>
      </c>
      <c r="U20" s="48" t="s">
        <v>1211</v>
      </c>
      <c r="V20" s="48" t="s">
        <v>1212</v>
      </c>
      <c r="W20" s="48" t="s">
        <v>1240</v>
      </c>
      <c r="X20" s="48" t="s">
        <v>1213</v>
      </c>
      <c r="Y20" s="48" t="s">
        <v>1214</v>
      </c>
      <c r="Z20" s="48" t="s">
        <v>1215</v>
      </c>
      <c r="AA20" s="48" t="s">
        <v>1216</v>
      </c>
      <c r="AB20" s="48" t="s">
        <v>1217</v>
      </c>
      <c r="AC20" s="48" t="s">
        <v>1194</v>
      </c>
      <c r="AD20" s="48" t="s">
        <v>1218</v>
      </c>
      <c r="AE20" s="48" t="s">
        <v>1219</v>
      </c>
      <c r="AF20" s="48" t="s">
        <v>1220</v>
      </c>
      <c r="AG20" s="48" t="s">
        <v>1194</v>
      </c>
      <c r="AH20" s="48" t="s">
        <v>1221</v>
      </c>
      <c r="AI20" s="48" t="s">
        <v>1222</v>
      </c>
      <c r="AJ20" s="48" t="s">
        <v>1223</v>
      </c>
      <c r="AK20" s="48" t="s">
        <v>1224</v>
      </c>
      <c r="AL20" s="48" t="s">
        <v>1225</v>
      </c>
      <c r="AM20" s="48" t="s">
        <v>1226</v>
      </c>
      <c r="AN20" s="48" t="s">
        <v>2090</v>
      </c>
      <c r="AO20" t="s">
        <v>2091</v>
      </c>
      <c r="AP20" s="48" t="s">
        <v>1227</v>
      </c>
      <c r="AQ20" s="48" t="s">
        <v>1228</v>
      </c>
      <c r="AR20" s="48" t="s">
        <v>1229</v>
      </c>
      <c r="AS20" s="48" t="s">
        <v>1230</v>
      </c>
      <c r="AT20" s="48" t="s">
        <v>1231</v>
      </c>
      <c r="AU20" s="48" t="s">
        <v>1232</v>
      </c>
      <c r="AV20" s="48" t="s">
        <v>1233</v>
      </c>
      <c r="AW20" s="48" t="s">
        <v>1234</v>
      </c>
      <c r="AX20" s="48" t="s">
        <v>1235</v>
      </c>
      <c r="AY20" s="48" t="s">
        <v>1236</v>
      </c>
      <c r="AZ20" s="48" t="s">
        <v>1237</v>
      </c>
      <c r="BA20" s="48" t="s">
        <v>1238</v>
      </c>
      <c r="BB20" s="48" t="s">
        <v>1241</v>
      </c>
      <c r="BC20" t="s">
        <v>1243</v>
      </c>
      <c r="BD20" t="s">
        <v>1242</v>
      </c>
      <c r="BE20" t="s">
        <v>1244</v>
      </c>
      <c r="BF20" t="s">
        <v>1245</v>
      </c>
      <c r="BG20" t="s">
        <v>1246</v>
      </c>
      <c r="BH20" t="s">
        <v>2086</v>
      </c>
      <c r="BI20" t="s">
        <v>2087</v>
      </c>
    </row>
    <row r="21" spans="1:61">
      <c r="A21" t="s">
        <v>1270</v>
      </c>
      <c r="B21" s="48" t="s">
        <v>1271</v>
      </c>
      <c r="C21" s="48" t="s">
        <v>1272</v>
      </c>
      <c r="D21" s="48" t="s">
        <v>1273</v>
      </c>
      <c r="E21" s="48" t="s">
        <v>1274</v>
      </c>
      <c r="F21" s="48" t="s">
        <v>1275</v>
      </c>
      <c r="G21" s="48" t="s">
        <v>1276</v>
      </c>
      <c r="H21" s="48" t="s">
        <v>1277</v>
      </c>
      <c r="I21" s="48" t="s">
        <v>1278</v>
      </c>
      <c r="J21" s="48" t="s">
        <v>1279</v>
      </c>
      <c r="K21" s="48" t="s">
        <v>1280</v>
      </c>
      <c r="L21" s="48" t="s">
        <v>1281</v>
      </c>
      <c r="M21" s="48" t="s">
        <v>1282</v>
      </c>
      <c r="N21" s="48" t="s">
        <v>1283</v>
      </c>
      <c r="O21" s="48" t="s">
        <v>1284</v>
      </c>
      <c r="P21" s="48" t="s">
        <v>1285</v>
      </c>
      <c r="Q21" s="48" t="s">
        <v>1286</v>
      </c>
      <c r="R21" s="48" t="s">
        <v>1287</v>
      </c>
      <c r="S21" s="48" t="s">
        <v>1288</v>
      </c>
      <c r="T21" s="48" t="s">
        <v>1289</v>
      </c>
      <c r="U21" s="48" t="s">
        <v>1290</v>
      </c>
      <c r="V21" s="48" t="s">
        <v>1291</v>
      </c>
      <c r="W21" s="48" t="s">
        <v>1292</v>
      </c>
      <c r="X21" s="48" t="s">
        <v>1293</v>
      </c>
      <c r="Y21" s="48" t="s">
        <v>1294</v>
      </c>
      <c r="Z21" s="48" t="s">
        <v>1295</v>
      </c>
      <c r="AA21" s="48" t="s">
        <v>1296</v>
      </c>
      <c r="AB21" s="48" t="s">
        <v>1297</v>
      </c>
      <c r="AC21" s="48" t="s">
        <v>1298</v>
      </c>
      <c r="AD21" s="48" t="s">
        <v>1299</v>
      </c>
      <c r="AE21" s="48" t="s">
        <v>1300</v>
      </c>
      <c r="AF21" s="48" t="s">
        <v>1301</v>
      </c>
      <c r="AG21" s="48" t="s">
        <v>1302</v>
      </c>
      <c r="AH21" s="48" t="s">
        <v>1303</v>
      </c>
      <c r="AI21" s="48" t="s">
        <v>1304</v>
      </c>
      <c r="AJ21" s="48" t="s">
        <v>1305</v>
      </c>
      <c r="AK21" s="48" t="s">
        <v>1306</v>
      </c>
      <c r="AL21" s="48" t="s">
        <v>1307</v>
      </c>
      <c r="AM21" s="48" t="s">
        <v>1308</v>
      </c>
      <c r="AN21" s="48" t="s">
        <v>1309</v>
      </c>
      <c r="AO21" s="48" t="s">
        <v>1310</v>
      </c>
      <c r="AP21" s="48" t="s">
        <v>1311</v>
      </c>
      <c r="AQ21" s="48" t="s">
        <v>1312</v>
      </c>
      <c r="AR21" s="48" t="s">
        <v>1313</v>
      </c>
      <c r="AS21" s="48" t="s">
        <v>1314</v>
      </c>
      <c r="AT21" s="48" t="s">
        <v>1315</v>
      </c>
      <c r="AU21" s="48" t="s">
        <v>1316</v>
      </c>
      <c r="AV21" s="48" t="s">
        <v>1317</v>
      </c>
      <c r="AW21" s="48" t="s">
        <v>1318</v>
      </c>
      <c r="AX21" s="48" t="s">
        <v>1319</v>
      </c>
      <c r="AY21" s="48" t="s">
        <v>1320</v>
      </c>
      <c r="AZ21" s="48" t="s">
        <v>1321</v>
      </c>
      <c r="BA21" s="48" t="s">
        <v>1322</v>
      </c>
      <c r="BB21" s="46" t="s">
        <v>1323</v>
      </c>
      <c r="BC21" s="58" t="s">
        <v>1324</v>
      </c>
      <c r="BD21" s="58" t="s">
        <v>1325</v>
      </c>
      <c r="BE21" s="58" t="s">
        <v>1326</v>
      </c>
      <c r="BF21" s="58" t="s">
        <v>1327</v>
      </c>
      <c r="BG21" s="58" t="s">
        <v>1328</v>
      </c>
      <c r="BH21" s="58" t="s">
        <v>1329</v>
      </c>
      <c r="BI21" s="58" t="s">
        <v>1330</v>
      </c>
    </row>
    <row r="22" spans="1:61">
      <c r="A22" t="s">
        <v>1332</v>
      </c>
      <c r="B22" s="48" t="s">
        <v>1333</v>
      </c>
      <c r="C22" s="48" t="s">
        <v>1334</v>
      </c>
      <c r="D22" s="48" t="s">
        <v>1335</v>
      </c>
      <c r="E22" s="48" t="s">
        <v>1336</v>
      </c>
      <c r="F22" s="48" t="s">
        <v>1337</v>
      </c>
      <c r="G22" s="48" t="s">
        <v>1338</v>
      </c>
      <c r="H22" s="48" t="s">
        <v>579</v>
      </c>
      <c r="I22" s="48" t="s">
        <v>1339</v>
      </c>
      <c r="J22" s="48" t="s">
        <v>1340</v>
      </c>
      <c r="K22" s="48" t="s">
        <v>1341</v>
      </c>
      <c r="L22" s="48" t="s">
        <v>583</v>
      </c>
      <c r="M22" s="48" t="s">
        <v>1334</v>
      </c>
      <c r="N22" s="48" t="s">
        <v>1342</v>
      </c>
      <c r="O22" s="48" t="s">
        <v>1343</v>
      </c>
      <c r="P22" s="48" t="s">
        <v>1344</v>
      </c>
      <c r="Q22" s="48" t="s">
        <v>1345</v>
      </c>
      <c r="R22" s="48" t="s">
        <v>589</v>
      </c>
      <c r="S22" s="48" t="s">
        <v>1346</v>
      </c>
      <c r="T22" s="48" t="s">
        <v>1347</v>
      </c>
      <c r="U22" s="48" t="s">
        <v>1348</v>
      </c>
      <c r="V22" s="48" t="s">
        <v>1349</v>
      </c>
      <c r="W22" s="48" t="s">
        <v>1350</v>
      </c>
      <c r="X22" s="48" t="s">
        <v>595</v>
      </c>
      <c r="Y22" s="48" t="s">
        <v>1351</v>
      </c>
      <c r="Z22" s="48" t="s">
        <v>1352</v>
      </c>
      <c r="AA22" s="48" t="s">
        <v>1353</v>
      </c>
      <c r="AB22" s="48" t="s">
        <v>599</v>
      </c>
      <c r="AC22" s="48" t="s">
        <v>1354</v>
      </c>
      <c r="AD22" s="48" t="s">
        <v>1355</v>
      </c>
      <c r="AE22" s="48" t="s">
        <v>1356</v>
      </c>
      <c r="AF22" s="48" t="s">
        <v>1357</v>
      </c>
      <c r="AG22" s="48" t="s">
        <v>574</v>
      </c>
      <c r="AH22" s="48" t="s">
        <v>1358</v>
      </c>
      <c r="AI22" s="48" t="s">
        <v>1359</v>
      </c>
      <c r="AJ22" s="48" t="s">
        <v>1360</v>
      </c>
      <c r="AK22" s="48" t="s">
        <v>1361</v>
      </c>
      <c r="AL22" s="48" t="s">
        <v>1362</v>
      </c>
      <c r="AM22" s="48" t="s">
        <v>1363</v>
      </c>
      <c r="AN22" s="48" t="s">
        <v>1364</v>
      </c>
      <c r="AO22" s="48" t="s">
        <v>1365</v>
      </c>
      <c r="AP22" s="48" t="s">
        <v>613</v>
      </c>
      <c r="AQ22" s="48" t="s">
        <v>1366</v>
      </c>
      <c r="AR22" s="48" t="s">
        <v>1367</v>
      </c>
      <c r="AS22" s="48" t="s">
        <v>1368</v>
      </c>
      <c r="AT22" s="48" t="s">
        <v>1369</v>
      </c>
      <c r="AU22" s="48" t="s">
        <v>1370</v>
      </c>
      <c r="AV22" s="48" t="s">
        <v>586</v>
      </c>
      <c r="AW22" s="48" t="s">
        <v>585</v>
      </c>
      <c r="AX22" s="48" t="s">
        <v>1371</v>
      </c>
      <c r="AY22" s="48" t="s">
        <v>1372</v>
      </c>
      <c r="AZ22" s="48" t="s">
        <v>623</v>
      </c>
      <c r="BA22" s="48" t="s">
        <v>624</v>
      </c>
      <c r="BB22" t="s">
        <v>1373</v>
      </c>
      <c r="BC22" t="s">
        <v>626</v>
      </c>
      <c r="BD22" t="s">
        <v>1374</v>
      </c>
      <c r="BE22" t="s">
        <v>1375</v>
      </c>
      <c r="BF22" t="s">
        <v>1378</v>
      </c>
      <c r="BG22" t="s">
        <v>1379</v>
      </c>
      <c r="BH22" t="s">
        <v>1376</v>
      </c>
      <c r="BI22" t="s">
        <v>1377</v>
      </c>
    </row>
    <row r="23" spans="1:61">
      <c r="A23" s="45" t="s">
        <v>1380</v>
      </c>
      <c r="B23" s="144" t="s">
        <v>1431</v>
      </c>
      <c r="C23" s="144" t="s">
        <v>1381</v>
      </c>
      <c r="D23" s="144" t="s">
        <v>1382</v>
      </c>
      <c r="E23" s="144" t="s">
        <v>1383</v>
      </c>
      <c r="F23" s="144" t="s">
        <v>1384</v>
      </c>
      <c r="G23" s="144" t="s">
        <v>1385</v>
      </c>
      <c r="H23" s="144" t="s">
        <v>1386</v>
      </c>
      <c r="I23" s="144" t="s">
        <v>1387</v>
      </c>
      <c r="J23" s="144" t="s">
        <v>1388</v>
      </c>
      <c r="K23" s="144" t="s">
        <v>1389</v>
      </c>
      <c r="L23" s="144" t="s">
        <v>1390</v>
      </c>
      <c r="M23" s="144" t="s">
        <v>1432</v>
      </c>
      <c r="N23" s="144" t="s">
        <v>1392</v>
      </c>
      <c r="O23" s="144" t="s">
        <v>1391</v>
      </c>
      <c r="P23" s="144" t="s">
        <v>1393</v>
      </c>
      <c r="Q23" s="144" t="s">
        <v>1394</v>
      </c>
      <c r="R23" s="144" t="s">
        <v>1395</v>
      </c>
      <c r="S23" s="144" t="s">
        <v>1396</v>
      </c>
      <c r="T23" s="144" t="s">
        <v>1397</v>
      </c>
      <c r="U23" s="144" t="s">
        <v>1398</v>
      </c>
      <c r="V23" s="144" t="s">
        <v>1399</v>
      </c>
      <c r="W23" s="144" t="s">
        <v>1400</v>
      </c>
      <c r="X23" s="144" t="s">
        <v>1401</v>
      </c>
      <c r="Y23" s="144" t="s">
        <v>1402</v>
      </c>
      <c r="Z23" s="144" t="s">
        <v>1403</v>
      </c>
      <c r="AA23" s="144" t="s">
        <v>1404</v>
      </c>
      <c r="AB23" s="144" t="s">
        <v>1405</v>
      </c>
      <c r="AC23" s="144" t="s">
        <v>1406</v>
      </c>
      <c r="AD23" s="144" t="s">
        <v>1407</v>
      </c>
      <c r="AE23" s="144" t="s">
        <v>1408</v>
      </c>
      <c r="AF23" s="144" t="s">
        <v>1409</v>
      </c>
      <c r="AG23" s="144" t="s">
        <v>1389</v>
      </c>
      <c r="AH23" s="144" t="s">
        <v>1410</v>
      </c>
      <c r="AI23" s="144" t="s">
        <v>1411</v>
      </c>
      <c r="AJ23" s="144" t="s">
        <v>1412</v>
      </c>
      <c r="AK23" s="144" t="s">
        <v>1413</v>
      </c>
      <c r="AL23" s="144" t="s">
        <v>1414</v>
      </c>
      <c r="AM23" s="144" t="s">
        <v>1415</v>
      </c>
      <c r="AN23" s="144" t="s">
        <v>1416</v>
      </c>
      <c r="AO23" s="144" t="s">
        <v>1433</v>
      </c>
      <c r="AP23" s="144" t="s">
        <v>1417</v>
      </c>
      <c r="AQ23" s="144" t="s">
        <v>1418</v>
      </c>
      <c r="AR23" s="144" t="s">
        <v>1434</v>
      </c>
      <c r="AS23" s="144" t="s">
        <v>1419</v>
      </c>
      <c r="AT23" s="144" t="s">
        <v>1420</v>
      </c>
      <c r="AU23" s="144" t="s">
        <v>1421</v>
      </c>
      <c r="AV23" s="144" t="s">
        <v>1435</v>
      </c>
      <c r="AW23" s="144" t="s">
        <v>1436</v>
      </c>
      <c r="AX23" s="144" t="s">
        <v>1422</v>
      </c>
      <c r="AY23" s="144" t="s">
        <v>1423</v>
      </c>
      <c r="AZ23" s="144" t="s">
        <v>1437</v>
      </c>
      <c r="BA23" s="144" t="s">
        <v>1424</v>
      </c>
      <c r="BB23" s="142" t="s">
        <v>1425</v>
      </c>
      <c r="BC23" s="142" t="s">
        <v>1426</v>
      </c>
      <c r="BD23" s="142" t="s">
        <v>1427</v>
      </c>
      <c r="BE23" s="143" t="s">
        <v>1428</v>
      </c>
      <c r="BF23" s="143" t="s">
        <v>1438</v>
      </c>
      <c r="BG23" s="142" t="s">
        <v>1439</v>
      </c>
      <c r="BH23" s="141" t="s">
        <v>1429</v>
      </c>
      <c r="BI23" s="141" t="s">
        <v>1430</v>
      </c>
    </row>
    <row r="24" spans="1:61">
      <c r="A24" t="s">
        <v>1442</v>
      </c>
      <c r="B24" t="s">
        <v>1443</v>
      </c>
      <c r="C24" t="s">
        <v>1444</v>
      </c>
      <c r="D24" t="s">
        <v>1445</v>
      </c>
      <c r="E24" t="s">
        <v>1446</v>
      </c>
      <c r="F24" t="s">
        <v>1447</v>
      </c>
      <c r="G24" t="s">
        <v>1448</v>
      </c>
      <c r="H24" t="s">
        <v>1449</v>
      </c>
      <c r="I24" t="s">
        <v>1450</v>
      </c>
      <c r="J24" t="s">
        <v>1451</v>
      </c>
      <c r="K24" t="s">
        <v>1452</v>
      </c>
      <c r="L24" t="s">
        <v>1453</v>
      </c>
      <c r="M24" t="s">
        <v>1454</v>
      </c>
      <c r="N24" t="s">
        <v>1455</v>
      </c>
      <c r="O24" t="s">
        <v>1456</v>
      </c>
      <c r="P24" t="s">
        <v>1457</v>
      </c>
      <c r="Q24" t="s">
        <v>1458</v>
      </c>
      <c r="R24" t="s">
        <v>1459</v>
      </c>
      <c r="S24" t="s">
        <v>1460</v>
      </c>
      <c r="T24" t="s">
        <v>1461</v>
      </c>
      <c r="U24" t="s">
        <v>1462</v>
      </c>
      <c r="V24" t="s">
        <v>1463</v>
      </c>
      <c r="W24" t="s">
        <v>1464</v>
      </c>
      <c r="X24" t="s">
        <v>1465</v>
      </c>
      <c r="Y24" t="s">
        <v>1466</v>
      </c>
      <c r="Z24" t="s">
        <v>1467</v>
      </c>
      <c r="AA24" t="s">
        <v>1468</v>
      </c>
      <c r="AB24" t="s">
        <v>1469</v>
      </c>
      <c r="AC24" t="s">
        <v>1470</v>
      </c>
      <c r="AD24" t="s">
        <v>1471</v>
      </c>
      <c r="AE24" t="s">
        <v>1472</v>
      </c>
      <c r="AF24" t="s">
        <v>1473</v>
      </c>
      <c r="AG24" t="s">
        <v>1474</v>
      </c>
      <c r="AH24" t="s">
        <v>1475</v>
      </c>
      <c r="AI24" t="s">
        <v>1476</v>
      </c>
      <c r="AJ24" t="s">
        <v>1477</v>
      </c>
      <c r="AK24" t="s">
        <v>1478</v>
      </c>
      <c r="AL24" t="s">
        <v>1479</v>
      </c>
      <c r="AM24" t="s">
        <v>1480</v>
      </c>
      <c r="AN24" t="s">
        <v>1481</v>
      </c>
      <c r="AO24" t="s">
        <v>1482</v>
      </c>
      <c r="AP24" t="s">
        <v>1483</v>
      </c>
      <c r="AQ24" t="s">
        <v>1484</v>
      </c>
      <c r="AR24" t="s">
        <v>1485</v>
      </c>
      <c r="AS24" t="s">
        <v>1486</v>
      </c>
      <c r="AT24" t="s">
        <v>1487</v>
      </c>
      <c r="AU24" t="s">
        <v>1488</v>
      </c>
      <c r="AV24" t="s">
        <v>1489</v>
      </c>
      <c r="AW24" t="s">
        <v>1490</v>
      </c>
      <c r="AX24" t="s">
        <v>1491</v>
      </c>
      <c r="AY24" t="s">
        <v>1492</v>
      </c>
      <c r="AZ24" t="s">
        <v>1493</v>
      </c>
      <c r="BA24" t="s">
        <v>1494</v>
      </c>
      <c r="BB24" s="146" t="s">
        <v>1495</v>
      </c>
      <c r="BC24" t="s">
        <v>1496</v>
      </c>
      <c r="BD24" t="s">
        <v>1497</v>
      </c>
      <c r="BE24" t="s">
        <v>1498</v>
      </c>
      <c r="BF24" t="s">
        <v>1499</v>
      </c>
      <c r="BG24" t="s">
        <v>1500</v>
      </c>
      <c r="BH24" t="s">
        <v>1501</v>
      </c>
      <c r="BI24" t="s">
        <v>1502</v>
      </c>
    </row>
    <row r="25" spans="1:61">
      <c r="A25" t="s">
        <v>1508</v>
      </c>
      <c r="B25" t="s">
        <v>2187</v>
      </c>
      <c r="C25" t="s">
        <v>2188</v>
      </c>
      <c r="D25" t="s">
        <v>1537</v>
      </c>
      <c r="E25" t="s">
        <v>1538</v>
      </c>
      <c r="F25" t="s">
        <v>133</v>
      </c>
      <c r="G25" t="s">
        <v>1510</v>
      </c>
      <c r="H25" t="s">
        <v>2189</v>
      </c>
      <c r="I25" t="s">
        <v>2190</v>
      </c>
      <c r="J25" t="s">
        <v>2192</v>
      </c>
      <c r="K25" t="s">
        <v>2191</v>
      </c>
      <c r="L25" t="s">
        <v>1510</v>
      </c>
      <c r="M25" t="s">
        <v>1511</v>
      </c>
      <c r="N25" t="s">
        <v>1544</v>
      </c>
      <c r="O25" t="s">
        <v>142</v>
      </c>
      <c r="P25" t="s">
        <v>2193</v>
      </c>
      <c r="Q25" t="s">
        <v>2194</v>
      </c>
      <c r="R25" t="s">
        <v>2195</v>
      </c>
      <c r="S25" t="s">
        <v>2196</v>
      </c>
      <c r="T25" t="s">
        <v>1512</v>
      </c>
      <c r="U25" t="s">
        <v>2197</v>
      </c>
      <c r="V25" t="s">
        <v>2198</v>
      </c>
      <c r="W25" t="s">
        <v>2199</v>
      </c>
      <c r="X25" t="s">
        <v>2200</v>
      </c>
      <c r="Y25" t="s">
        <v>1553</v>
      </c>
      <c r="Z25" t="s">
        <v>2201</v>
      </c>
      <c r="AA25" t="s">
        <v>2202</v>
      </c>
      <c r="AB25" t="s">
        <v>2203</v>
      </c>
      <c r="AC25" t="s">
        <v>1514</v>
      </c>
      <c r="AD25" t="s">
        <v>1515</v>
      </c>
      <c r="AE25" t="s">
        <v>2204</v>
      </c>
      <c r="AF25" t="s">
        <v>2205</v>
      </c>
      <c r="AG25" t="s">
        <v>2188</v>
      </c>
      <c r="AH25" t="s">
        <v>2206</v>
      </c>
      <c r="AI25" t="s">
        <v>2207</v>
      </c>
      <c r="AJ25" t="s">
        <v>1517</v>
      </c>
      <c r="AK25" t="s">
        <v>1518</v>
      </c>
      <c r="AL25" t="s">
        <v>2208</v>
      </c>
      <c r="AM25" t="s">
        <v>2209</v>
      </c>
      <c r="AN25" t="s">
        <v>1519</v>
      </c>
      <c r="AO25" t="s">
        <v>2210</v>
      </c>
      <c r="AP25" t="s">
        <v>1564</v>
      </c>
      <c r="AQ25" t="s">
        <v>1520</v>
      </c>
      <c r="AR25" t="s">
        <v>1521</v>
      </c>
      <c r="AS25" t="s">
        <v>1522</v>
      </c>
      <c r="AT25" t="s">
        <v>1523</v>
      </c>
      <c r="AU25" t="s">
        <v>1524</v>
      </c>
      <c r="AV25" t="s">
        <v>1525</v>
      </c>
      <c r="AW25" t="s">
        <v>2211</v>
      </c>
      <c r="AX25" t="s">
        <v>2212</v>
      </c>
      <c r="AY25" t="s">
        <v>2213</v>
      </c>
      <c r="AZ25" t="s">
        <v>2197</v>
      </c>
      <c r="BA25" t="s">
        <v>104</v>
      </c>
      <c r="BB25" t="s">
        <v>1526</v>
      </c>
      <c r="BC25" t="s">
        <v>1528</v>
      </c>
      <c r="BD25" t="s">
        <v>1527</v>
      </c>
      <c r="BE25" t="s">
        <v>1529</v>
      </c>
      <c r="BF25" t="s">
        <v>964</v>
      </c>
      <c r="BG25" t="s">
        <v>1530</v>
      </c>
      <c r="BH25" s="141" t="s">
        <v>239</v>
      </c>
      <c r="BI25" s="141" t="s">
        <v>242</v>
      </c>
    </row>
    <row r="26" spans="1:61">
      <c r="A26" t="s">
        <v>1509</v>
      </c>
      <c r="B26" t="s">
        <v>1535</v>
      </c>
      <c r="C26" t="s">
        <v>1536</v>
      </c>
      <c r="D26" t="s">
        <v>1537</v>
      </c>
      <c r="E26" t="s">
        <v>1538</v>
      </c>
      <c r="F26" t="s">
        <v>133</v>
      </c>
      <c r="G26" t="s">
        <v>1535</v>
      </c>
      <c r="H26" t="s">
        <v>1539</v>
      </c>
      <c r="I26" t="s">
        <v>1540</v>
      </c>
      <c r="J26" t="s">
        <v>1541</v>
      </c>
      <c r="K26" t="s">
        <v>1542</v>
      </c>
      <c r="L26" t="s">
        <v>1535</v>
      </c>
      <c r="M26" t="s">
        <v>1543</v>
      </c>
      <c r="N26" t="s">
        <v>1544</v>
      </c>
      <c r="O26" t="s">
        <v>142</v>
      </c>
      <c r="P26" t="s">
        <v>1545</v>
      </c>
      <c r="Q26" t="s">
        <v>1546</v>
      </c>
      <c r="R26" t="s">
        <v>1547</v>
      </c>
      <c r="S26" t="s">
        <v>1548</v>
      </c>
      <c r="T26" t="s">
        <v>1549</v>
      </c>
      <c r="U26" t="s">
        <v>1550</v>
      </c>
      <c r="V26" t="s">
        <v>1513</v>
      </c>
      <c r="W26" t="s">
        <v>1551</v>
      </c>
      <c r="X26" t="s">
        <v>1552</v>
      </c>
      <c r="Y26" t="s">
        <v>1553</v>
      </c>
      <c r="Z26" t="s">
        <v>1554</v>
      </c>
      <c r="AA26" t="s">
        <v>1555</v>
      </c>
      <c r="AB26" t="s">
        <v>1556</v>
      </c>
      <c r="AC26" t="s">
        <v>1514</v>
      </c>
      <c r="AD26" t="s">
        <v>1557</v>
      </c>
      <c r="AE26" t="s">
        <v>1558</v>
      </c>
      <c r="AF26" t="s">
        <v>1559</v>
      </c>
      <c r="AG26" t="s">
        <v>1514</v>
      </c>
      <c r="AH26" t="s">
        <v>1516</v>
      </c>
      <c r="AI26" t="s">
        <v>1560</v>
      </c>
      <c r="AJ26" t="s">
        <v>1517</v>
      </c>
      <c r="AK26" t="s">
        <v>1518</v>
      </c>
      <c r="AL26" t="s">
        <v>1561</v>
      </c>
      <c r="AM26" t="s">
        <v>1562</v>
      </c>
      <c r="AN26" t="s">
        <v>1519</v>
      </c>
      <c r="AO26" t="s">
        <v>1563</v>
      </c>
      <c r="AP26" t="s">
        <v>1564</v>
      </c>
      <c r="AQ26" t="s">
        <v>1520</v>
      </c>
      <c r="AR26" t="s">
        <v>1521</v>
      </c>
      <c r="AS26" t="s">
        <v>1522</v>
      </c>
      <c r="AT26" t="s">
        <v>1565</v>
      </c>
      <c r="AU26" t="s">
        <v>1566</v>
      </c>
      <c r="AV26" t="s">
        <v>1525</v>
      </c>
      <c r="AW26" t="s">
        <v>1567</v>
      </c>
      <c r="AX26" t="s">
        <v>1568</v>
      </c>
      <c r="AY26" t="s">
        <v>1569</v>
      </c>
      <c r="AZ26" t="s">
        <v>1558</v>
      </c>
      <c r="BA26" t="s">
        <v>180</v>
      </c>
      <c r="BB26" t="s">
        <v>962</v>
      </c>
      <c r="BC26" t="s">
        <v>1531</v>
      </c>
      <c r="BD26" t="s">
        <v>965</v>
      </c>
      <c r="BE26" t="s">
        <v>1532</v>
      </c>
      <c r="BF26" t="s">
        <v>1533</v>
      </c>
      <c r="BG26" t="s">
        <v>1534</v>
      </c>
      <c r="BH26" s="141" t="s">
        <v>239</v>
      </c>
      <c r="BI26" s="141" t="s">
        <v>242</v>
      </c>
    </row>
    <row r="27" spans="1:61">
      <c r="A27" t="s">
        <v>1570</v>
      </c>
      <c r="B27" s="141" t="s">
        <v>1580</v>
      </c>
      <c r="C27" s="141" t="s">
        <v>1581</v>
      </c>
      <c r="D27" s="141" t="s">
        <v>2236</v>
      </c>
      <c r="E27" s="141" t="s">
        <v>2237</v>
      </c>
      <c r="F27" s="141" t="s">
        <v>1582</v>
      </c>
      <c r="G27" s="141" t="s">
        <v>1583</v>
      </c>
      <c r="H27" s="141" t="s">
        <v>2238</v>
      </c>
      <c r="I27" s="141" t="s">
        <v>2239</v>
      </c>
      <c r="J27" s="141" t="s">
        <v>2240</v>
      </c>
      <c r="K27" s="141" t="s">
        <v>2241</v>
      </c>
      <c r="L27" s="141" t="s">
        <v>2242</v>
      </c>
      <c r="M27" s="141" t="s">
        <v>2243</v>
      </c>
      <c r="N27" s="141" t="s">
        <v>2244</v>
      </c>
      <c r="O27" s="141" t="s">
        <v>2245</v>
      </c>
      <c r="P27" s="141" t="s">
        <v>2246</v>
      </c>
      <c r="Q27" s="141" t="s">
        <v>2247</v>
      </c>
      <c r="R27" s="141" t="s">
        <v>1584</v>
      </c>
      <c r="S27" s="141" t="s">
        <v>1585</v>
      </c>
      <c r="T27" s="141" t="s">
        <v>2248</v>
      </c>
      <c r="U27" s="141" t="s">
        <v>1591</v>
      </c>
      <c r="V27" s="141" t="s">
        <v>2249</v>
      </c>
      <c r="W27" s="141" t="s">
        <v>2250</v>
      </c>
      <c r="X27" s="141" t="s">
        <v>1587</v>
      </c>
      <c r="Y27" s="141" t="s">
        <v>1588</v>
      </c>
      <c r="Z27" s="141" t="s">
        <v>2251</v>
      </c>
      <c r="AA27" s="141" t="s">
        <v>2252</v>
      </c>
      <c r="AB27" s="141" t="s">
        <v>1589</v>
      </c>
      <c r="AC27" s="141" t="s">
        <v>1590</v>
      </c>
      <c r="AD27" s="141" t="s">
        <v>2253</v>
      </c>
      <c r="AE27" s="141" t="s">
        <v>2254</v>
      </c>
      <c r="AF27" s="141" t="s">
        <v>1592</v>
      </c>
      <c r="AG27" s="141" t="s">
        <v>1593</v>
      </c>
      <c r="AH27" s="141" t="s">
        <v>2255</v>
      </c>
      <c r="AI27" s="141" t="s">
        <v>2256</v>
      </c>
      <c r="AJ27" s="141" t="s">
        <v>2257</v>
      </c>
      <c r="AK27" s="141" t="s">
        <v>2258</v>
      </c>
      <c r="AL27" s="141" t="s">
        <v>2259</v>
      </c>
      <c r="AM27" s="141" t="s">
        <v>2260</v>
      </c>
      <c r="AN27" s="141" t="s">
        <v>1594</v>
      </c>
      <c r="AO27" s="141" t="s">
        <v>1595</v>
      </c>
      <c r="AP27" s="141" t="s">
        <v>2261</v>
      </c>
      <c r="AQ27" s="141" t="s">
        <v>2262</v>
      </c>
      <c r="AR27" s="141" t="s">
        <v>1596</v>
      </c>
      <c r="AS27" s="141" t="s">
        <v>1597</v>
      </c>
      <c r="AT27" s="141" t="s">
        <v>1598</v>
      </c>
      <c r="AU27" s="141" t="s">
        <v>2263</v>
      </c>
      <c r="AV27" s="141" t="s">
        <v>2264</v>
      </c>
      <c r="AW27" s="141" t="s">
        <v>2265</v>
      </c>
      <c r="AX27" s="141" t="s">
        <v>2266</v>
      </c>
      <c r="AY27" s="141" t="s">
        <v>2267</v>
      </c>
      <c r="AZ27" s="141" t="s">
        <v>1586</v>
      </c>
      <c r="BA27" s="141" t="s">
        <v>1599</v>
      </c>
      <c r="BB27" t="s">
        <v>1962</v>
      </c>
      <c r="BC27" t="s">
        <v>1964</v>
      </c>
      <c r="BD27" t="s">
        <v>1963</v>
      </c>
      <c r="BE27" t="s">
        <v>1965</v>
      </c>
      <c r="BF27" t="s">
        <v>1966</v>
      </c>
      <c r="BG27" t="s">
        <v>1967</v>
      </c>
      <c r="BH27" s="141" t="s">
        <v>239</v>
      </c>
      <c r="BI27" s="141" t="s">
        <v>242</v>
      </c>
    </row>
    <row r="28" spans="1:61">
      <c r="A28" t="s">
        <v>1571</v>
      </c>
      <c r="B28" t="s">
        <v>1600</v>
      </c>
      <c r="C28" t="s">
        <v>1601</v>
      </c>
      <c r="D28" t="s">
        <v>1602</v>
      </c>
      <c r="E28" t="s">
        <v>1603</v>
      </c>
      <c r="F28" t="s">
        <v>1604</v>
      </c>
      <c r="G28" t="s">
        <v>1605</v>
      </c>
      <c r="H28" t="s">
        <v>1606</v>
      </c>
      <c r="I28" t="s">
        <v>1607</v>
      </c>
      <c r="J28" t="s">
        <v>1608</v>
      </c>
      <c r="K28" t="s">
        <v>1609</v>
      </c>
      <c r="L28" t="s">
        <v>1610</v>
      </c>
      <c r="M28" t="s">
        <v>1611</v>
      </c>
      <c r="N28" t="s">
        <v>1612</v>
      </c>
      <c r="O28" t="s">
        <v>1613</v>
      </c>
      <c r="P28" t="s">
        <v>1614</v>
      </c>
      <c r="Q28" t="s">
        <v>1615</v>
      </c>
      <c r="R28" t="s">
        <v>1616</v>
      </c>
      <c r="S28" t="s">
        <v>1617</v>
      </c>
      <c r="T28" t="s">
        <v>1618</v>
      </c>
      <c r="U28" t="s">
        <v>1619</v>
      </c>
      <c r="V28" t="s">
        <v>1620</v>
      </c>
      <c r="W28" t="s">
        <v>1621</v>
      </c>
      <c r="X28" t="s">
        <v>1622</v>
      </c>
      <c r="Y28" t="s">
        <v>1623</v>
      </c>
      <c r="Z28" t="s">
        <v>1624</v>
      </c>
      <c r="AA28" t="s">
        <v>1625</v>
      </c>
      <c r="AB28" t="s">
        <v>1626</v>
      </c>
      <c r="AC28" t="s">
        <v>1627</v>
      </c>
      <c r="AD28" t="s">
        <v>1628</v>
      </c>
      <c r="AE28" t="s">
        <v>1629</v>
      </c>
      <c r="AF28" t="s">
        <v>1630</v>
      </c>
      <c r="AG28" t="s">
        <v>1630</v>
      </c>
      <c r="AH28" t="s">
        <v>1631</v>
      </c>
      <c r="AI28" t="s">
        <v>1632</v>
      </c>
      <c r="AJ28" t="s">
        <v>1633</v>
      </c>
      <c r="AK28" t="s">
        <v>1634</v>
      </c>
      <c r="AL28" t="s">
        <v>1635</v>
      </c>
      <c r="AM28" t="s">
        <v>1636</v>
      </c>
      <c r="AN28" t="s">
        <v>1637</v>
      </c>
      <c r="AO28" t="s">
        <v>1638</v>
      </c>
      <c r="AP28" t="s">
        <v>1639</v>
      </c>
      <c r="AQ28" t="s">
        <v>1640</v>
      </c>
      <c r="AR28" t="s">
        <v>1641</v>
      </c>
      <c r="AS28" t="s">
        <v>1642</v>
      </c>
      <c r="AT28" t="s">
        <v>1643</v>
      </c>
      <c r="AU28" t="s">
        <v>1644</v>
      </c>
      <c r="AV28" t="s">
        <v>1645</v>
      </c>
      <c r="AW28" t="s">
        <v>1646</v>
      </c>
      <c r="AX28" t="s">
        <v>1647</v>
      </c>
      <c r="AY28" t="s">
        <v>1648</v>
      </c>
      <c r="AZ28" t="s">
        <v>1649</v>
      </c>
      <c r="BA28" t="s">
        <v>1650</v>
      </c>
      <c r="BB28" t="s">
        <v>1968</v>
      </c>
      <c r="BC28" t="s">
        <v>1970</v>
      </c>
      <c r="BD28" t="s">
        <v>1969</v>
      </c>
      <c r="BE28" t="s">
        <v>1971</v>
      </c>
      <c r="BF28" t="s">
        <v>1972</v>
      </c>
      <c r="BG28" t="s">
        <v>1973</v>
      </c>
      <c r="BH28" s="141" t="s">
        <v>239</v>
      </c>
      <c r="BI28" s="141" t="s">
        <v>242</v>
      </c>
    </row>
    <row r="29" spans="1:61">
      <c r="A29" t="s">
        <v>1572</v>
      </c>
      <c r="B29" s="154" t="s">
        <v>2092</v>
      </c>
      <c r="C29" s="154" t="s">
        <v>1676</v>
      </c>
      <c r="D29" s="154" t="s">
        <v>900</v>
      </c>
      <c r="E29" s="154" t="s">
        <v>901</v>
      </c>
      <c r="F29" s="154" t="s">
        <v>2093</v>
      </c>
      <c r="G29" s="154" t="s">
        <v>2094</v>
      </c>
      <c r="H29" s="154" t="s">
        <v>2095</v>
      </c>
      <c r="I29" s="154" t="s">
        <v>2096</v>
      </c>
      <c r="J29" s="154" t="s">
        <v>2097</v>
      </c>
      <c r="K29" s="154" t="s">
        <v>2098</v>
      </c>
      <c r="L29" s="154" t="s">
        <v>1651</v>
      </c>
      <c r="M29" s="154" t="s">
        <v>2099</v>
      </c>
      <c r="N29" s="154" t="s">
        <v>2100</v>
      </c>
      <c r="O29" s="154" t="s">
        <v>1652</v>
      </c>
      <c r="P29" s="154" t="s">
        <v>2101</v>
      </c>
      <c r="Q29" s="154" t="s">
        <v>2102</v>
      </c>
      <c r="R29" s="154" t="s">
        <v>1659</v>
      </c>
      <c r="S29" s="154" t="s">
        <v>1660</v>
      </c>
      <c r="T29" s="154" t="s">
        <v>2103</v>
      </c>
      <c r="U29" s="154" t="s">
        <v>2104</v>
      </c>
      <c r="V29" s="154" t="s">
        <v>1686</v>
      </c>
      <c r="W29" s="154" t="s">
        <v>2105</v>
      </c>
      <c r="X29" s="154" t="s">
        <v>1661</v>
      </c>
      <c r="Y29" s="154" t="s">
        <v>1662</v>
      </c>
      <c r="Z29" s="154" t="s">
        <v>922</v>
      </c>
      <c r="AA29" s="154" t="s">
        <v>2106</v>
      </c>
      <c r="AB29" s="154" t="s">
        <v>2107</v>
      </c>
      <c r="AC29" s="154" t="s">
        <v>2108</v>
      </c>
      <c r="AD29" s="154" t="s">
        <v>2109</v>
      </c>
      <c r="AE29" s="154" t="s">
        <v>916</v>
      </c>
      <c r="AF29" s="154" t="s">
        <v>1703</v>
      </c>
      <c r="AG29" s="154" t="s">
        <v>1702</v>
      </c>
      <c r="AH29" s="154" t="s">
        <v>2110</v>
      </c>
      <c r="AI29" s="154" t="s">
        <v>2111</v>
      </c>
      <c r="AJ29" s="154" t="s">
        <v>1667</v>
      </c>
      <c r="AK29" s="154" t="s">
        <v>1668</v>
      </c>
      <c r="AL29" s="154" t="s">
        <v>2112</v>
      </c>
      <c r="AM29" s="154" t="s">
        <v>2113</v>
      </c>
      <c r="AN29" s="154" t="s">
        <v>1670</v>
      </c>
      <c r="AO29" s="154" t="s">
        <v>937</v>
      </c>
      <c r="AP29" s="154" t="s">
        <v>2114</v>
      </c>
      <c r="AQ29" s="154" t="s">
        <v>2115</v>
      </c>
      <c r="AR29" s="154" t="s">
        <v>1673</v>
      </c>
      <c r="AS29" s="154" t="s">
        <v>1674</v>
      </c>
      <c r="AT29" s="154" t="s">
        <v>1675</v>
      </c>
      <c r="AU29" s="154" t="s">
        <v>2116</v>
      </c>
      <c r="AV29" s="154" t="s">
        <v>1664</v>
      </c>
      <c r="AW29" s="154" t="s">
        <v>2117</v>
      </c>
      <c r="AX29" s="154" t="s">
        <v>2118</v>
      </c>
      <c r="AY29" s="154" t="s">
        <v>2119</v>
      </c>
      <c r="AZ29" s="154" t="s">
        <v>2120</v>
      </c>
      <c r="BA29" s="154" t="s">
        <v>2121</v>
      </c>
      <c r="BB29" s="154" t="s">
        <v>951</v>
      </c>
      <c r="BC29" s="154" t="s">
        <v>2122</v>
      </c>
      <c r="BD29" s="154" t="s">
        <v>952</v>
      </c>
      <c r="BE29" s="154" t="s">
        <v>2123</v>
      </c>
      <c r="BF29" s="154" t="s">
        <v>1977</v>
      </c>
      <c r="BG29" s="154" t="s">
        <v>956</v>
      </c>
      <c r="BH29" s="154" t="s">
        <v>2124</v>
      </c>
      <c r="BI29" s="154" t="s">
        <v>2125</v>
      </c>
    </row>
    <row r="30" spans="1:61">
      <c r="A30" t="s">
        <v>1573</v>
      </c>
      <c r="B30" t="s">
        <v>1651</v>
      </c>
      <c r="C30" t="s">
        <v>1676</v>
      </c>
      <c r="D30" t="s">
        <v>1653</v>
      </c>
      <c r="E30" t="s">
        <v>1654</v>
      </c>
      <c r="F30" t="s">
        <v>1677</v>
      </c>
      <c r="G30" t="s">
        <v>1655</v>
      </c>
      <c r="H30" t="s">
        <v>1678</v>
      </c>
      <c r="I30" t="s">
        <v>1679</v>
      </c>
      <c r="J30" t="s">
        <v>1680</v>
      </c>
      <c r="K30" t="s">
        <v>1681</v>
      </c>
      <c r="L30" t="s">
        <v>1655</v>
      </c>
      <c r="M30" t="s">
        <v>1656</v>
      </c>
      <c r="N30" t="s">
        <v>1657</v>
      </c>
      <c r="O30" t="s">
        <v>1658</v>
      </c>
      <c r="P30" t="s">
        <v>1682</v>
      </c>
      <c r="Q30" t="s">
        <v>1683</v>
      </c>
      <c r="R30" t="s">
        <v>1659</v>
      </c>
      <c r="S30" t="s">
        <v>1660</v>
      </c>
      <c r="T30" t="s">
        <v>1684</v>
      </c>
      <c r="U30" t="s">
        <v>1685</v>
      </c>
      <c r="V30" t="s">
        <v>1686</v>
      </c>
      <c r="W30" t="s">
        <v>1687</v>
      </c>
      <c r="X30" t="s">
        <v>1661</v>
      </c>
      <c r="Y30" t="s">
        <v>1662</v>
      </c>
      <c r="Z30" t="s">
        <v>1688</v>
      </c>
      <c r="AA30" t="s">
        <v>1663</v>
      </c>
      <c r="AB30" t="s">
        <v>1689</v>
      </c>
      <c r="AC30" t="s">
        <v>1690</v>
      </c>
      <c r="AD30" t="s">
        <v>1691</v>
      </c>
      <c r="AE30" t="s">
        <v>1692</v>
      </c>
      <c r="AF30" t="s">
        <v>1665</v>
      </c>
      <c r="AG30" t="s">
        <v>1666</v>
      </c>
      <c r="AH30" t="s">
        <v>1693</v>
      </c>
      <c r="AI30" t="s">
        <v>1694</v>
      </c>
      <c r="AJ30" t="s">
        <v>1695</v>
      </c>
      <c r="AK30" t="s">
        <v>1696</v>
      </c>
      <c r="AL30" t="s">
        <v>1669</v>
      </c>
      <c r="AM30" t="s">
        <v>1669</v>
      </c>
      <c r="AN30" t="s">
        <v>1697</v>
      </c>
      <c r="AO30" t="s">
        <v>1698</v>
      </c>
      <c r="AP30" t="s">
        <v>1671</v>
      </c>
      <c r="AQ30" t="s">
        <v>1672</v>
      </c>
      <c r="AR30" t="s">
        <v>1673</v>
      </c>
      <c r="AS30" t="s">
        <v>1674</v>
      </c>
      <c r="AT30" t="s">
        <v>1699</v>
      </c>
      <c r="AU30" t="s">
        <v>1700</v>
      </c>
      <c r="AV30" t="s">
        <v>1664</v>
      </c>
      <c r="AW30" t="s">
        <v>1701</v>
      </c>
      <c r="AX30" t="s">
        <v>1702</v>
      </c>
      <c r="AY30" t="s">
        <v>1703</v>
      </c>
      <c r="AZ30" t="s">
        <v>1704</v>
      </c>
      <c r="BA30" t="s">
        <v>1705</v>
      </c>
      <c r="BB30" t="s">
        <v>1974</v>
      </c>
      <c r="BC30" t="s">
        <v>1975</v>
      </c>
      <c r="BD30" s="141" t="s">
        <v>1979</v>
      </c>
      <c r="BE30" t="s">
        <v>1976</v>
      </c>
      <c r="BF30" t="s">
        <v>1977</v>
      </c>
      <c r="BG30" t="s">
        <v>1978</v>
      </c>
      <c r="BH30" s="141" t="s">
        <v>239</v>
      </c>
      <c r="BI30" s="141" t="s">
        <v>242</v>
      </c>
    </row>
    <row r="31" spans="1:61">
      <c r="A31" t="s">
        <v>1574</v>
      </c>
      <c r="B31" t="s">
        <v>1706</v>
      </c>
      <c r="C31" t="s">
        <v>1707</v>
      </c>
      <c r="D31" t="s">
        <v>1708</v>
      </c>
      <c r="E31" t="s">
        <v>1709</v>
      </c>
      <c r="F31" t="s">
        <v>1710</v>
      </c>
      <c r="G31" t="s">
        <v>1711</v>
      </c>
      <c r="H31" t="s">
        <v>1712</v>
      </c>
      <c r="I31" t="s">
        <v>1713</v>
      </c>
      <c r="J31" t="s">
        <v>1714</v>
      </c>
      <c r="K31" t="s">
        <v>1715</v>
      </c>
      <c r="L31" t="s">
        <v>1711</v>
      </c>
      <c r="M31" t="s">
        <v>1716</v>
      </c>
      <c r="N31" t="s">
        <v>1717</v>
      </c>
      <c r="O31" t="s">
        <v>1718</v>
      </c>
      <c r="P31" t="s">
        <v>1719</v>
      </c>
      <c r="Q31" t="s">
        <v>1720</v>
      </c>
      <c r="R31" t="s">
        <v>1721</v>
      </c>
      <c r="S31" t="s">
        <v>1722</v>
      </c>
      <c r="T31" t="s">
        <v>1723</v>
      </c>
      <c r="U31" t="s">
        <v>1724</v>
      </c>
      <c r="V31" t="s">
        <v>1725</v>
      </c>
      <c r="W31" t="s">
        <v>1726</v>
      </c>
      <c r="X31" t="s">
        <v>1727</v>
      </c>
      <c r="Y31" t="s">
        <v>1728</v>
      </c>
      <c r="Z31" t="s">
        <v>1729</v>
      </c>
      <c r="AA31" t="s">
        <v>1730</v>
      </c>
      <c r="AB31" t="s">
        <v>1731</v>
      </c>
      <c r="AC31" t="s">
        <v>1732</v>
      </c>
      <c r="AD31" t="s">
        <v>1733</v>
      </c>
      <c r="AE31" t="s">
        <v>1734</v>
      </c>
      <c r="AF31" t="s">
        <v>1735</v>
      </c>
      <c r="AG31" t="s">
        <v>1736</v>
      </c>
      <c r="AH31" t="s">
        <v>1737</v>
      </c>
      <c r="AI31" t="s">
        <v>1738</v>
      </c>
      <c r="AJ31" t="s">
        <v>1739</v>
      </c>
      <c r="AK31" t="s">
        <v>1740</v>
      </c>
      <c r="AL31" t="s">
        <v>1741</v>
      </c>
      <c r="AM31" t="s">
        <v>1741</v>
      </c>
      <c r="AN31" t="s">
        <v>1742</v>
      </c>
      <c r="AO31" t="s">
        <v>1743</v>
      </c>
      <c r="AP31" t="s">
        <v>1744</v>
      </c>
      <c r="AQ31" t="s">
        <v>1745</v>
      </c>
      <c r="AR31" t="s">
        <v>1746</v>
      </c>
      <c r="AS31" t="s">
        <v>1747</v>
      </c>
      <c r="AT31" t="s">
        <v>1748</v>
      </c>
      <c r="AU31" t="s">
        <v>1749</v>
      </c>
      <c r="AV31" t="s">
        <v>1750</v>
      </c>
      <c r="AW31" t="s">
        <v>1751</v>
      </c>
      <c r="AX31" t="s">
        <v>1752</v>
      </c>
      <c r="AY31" t="s">
        <v>1753</v>
      </c>
      <c r="AZ31" t="s">
        <v>1754</v>
      </c>
      <c r="BA31" t="s">
        <v>1755</v>
      </c>
      <c r="BB31" t="s">
        <v>1980</v>
      </c>
      <c r="BC31" t="s">
        <v>1982</v>
      </c>
      <c r="BD31" t="s">
        <v>1981</v>
      </c>
      <c r="BE31" t="s">
        <v>1983</v>
      </c>
      <c r="BF31" t="s">
        <v>1984</v>
      </c>
      <c r="BG31" t="s">
        <v>1985</v>
      </c>
      <c r="BH31" s="141" t="s">
        <v>239</v>
      </c>
      <c r="BI31" s="141" t="s">
        <v>242</v>
      </c>
    </row>
    <row r="32" spans="1:61">
      <c r="A32" t="s">
        <v>1575</v>
      </c>
      <c r="B32" t="s">
        <v>1756</v>
      </c>
      <c r="C32" t="s">
        <v>1757</v>
      </c>
      <c r="D32" t="s">
        <v>1758</v>
      </c>
      <c r="E32" t="s">
        <v>1759</v>
      </c>
      <c r="F32" t="s">
        <v>2066</v>
      </c>
      <c r="G32" t="s">
        <v>2067</v>
      </c>
      <c r="H32" t="s">
        <v>1760</v>
      </c>
      <c r="I32" t="s">
        <v>1761</v>
      </c>
      <c r="J32" t="s">
        <v>1762</v>
      </c>
      <c r="K32" t="s">
        <v>1763</v>
      </c>
      <c r="L32" t="s">
        <v>1764</v>
      </c>
      <c r="M32" t="s">
        <v>1765</v>
      </c>
      <c r="N32" t="s">
        <v>1766</v>
      </c>
      <c r="O32" t="s">
        <v>1767</v>
      </c>
      <c r="P32" t="s">
        <v>2068</v>
      </c>
      <c r="Q32" t="s">
        <v>2069</v>
      </c>
      <c r="R32" t="s">
        <v>1768</v>
      </c>
      <c r="S32" t="s">
        <v>1769</v>
      </c>
      <c r="T32" t="s">
        <v>2070</v>
      </c>
      <c r="U32" t="s">
        <v>2071</v>
      </c>
      <c r="V32" t="s">
        <v>2072</v>
      </c>
      <c r="W32" t="s">
        <v>2073</v>
      </c>
      <c r="X32" t="s">
        <v>1770</v>
      </c>
      <c r="Y32" t="s">
        <v>1771</v>
      </c>
      <c r="Z32" t="s">
        <v>1772</v>
      </c>
      <c r="AA32" t="s">
        <v>2074</v>
      </c>
      <c r="AB32" t="s">
        <v>2075</v>
      </c>
      <c r="AC32" t="s">
        <v>2076</v>
      </c>
      <c r="AD32" t="s">
        <v>2077</v>
      </c>
      <c r="AE32" t="s">
        <v>2078</v>
      </c>
      <c r="AF32" t="s">
        <v>1773</v>
      </c>
      <c r="AG32" t="s">
        <v>1774</v>
      </c>
      <c r="AH32" t="s">
        <v>2079</v>
      </c>
      <c r="AI32" t="s">
        <v>2080</v>
      </c>
      <c r="AJ32" t="s">
        <v>1775</v>
      </c>
      <c r="AK32" t="s">
        <v>2081</v>
      </c>
      <c r="AL32" t="s">
        <v>2082</v>
      </c>
      <c r="AM32" t="s">
        <v>2083</v>
      </c>
      <c r="AN32" t="s">
        <v>1776</v>
      </c>
      <c r="AO32" t="s">
        <v>1777</v>
      </c>
      <c r="AP32" t="s">
        <v>1417</v>
      </c>
      <c r="AQ32" t="s">
        <v>1778</v>
      </c>
      <c r="AR32" t="s">
        <v>1779</v>
      </c>
      <c r="AS32" t="s">
        <v>1780</v>
      </c>
      <c r="AT32" t="s">
        <v>1781</v>
      </c>
      <c r="AU32" t="s">
        <v>1782</v>
      </c>
      <c r="AV32" t="s">
        <v>1783</v>
      </c>
      <c r="AW32" t="s">
        <v>1784</v>
      </c>
      <c r="AX32" t="s">
        <v>1785</v>
      </c>
      <c r="AY32" t="s">
        <v>1786</v>
      </c>
      <c r="AZ32" t="s">
        <v>2084</v>
      </c>
      <c r="BA32" t="s">
        <v>2085</v>
      </c>
      <c r="BB32" t="s">
        <v>1986</v>
      </c>
      <c r="BC32" t="s">
        <v>1988</v>
      </c>
      <c r="BD32" t="s">
        <v>1987</v>
      </c>
      <c r="BE32" t="s">
        <v>1989</v>
      </c>
      <c r="BF32" t="s">
        <v>1990</v>
      </c>
      <c r="BG32" t="s">
        <v>1991</v>
      </c>
      <c r="BH32" s="141" t="s">
        <v>239</v>
      </c>
      <c r="BI32" s="141" t="s">
        <v>242</v>
      </c>
    </row>
    <row r="33" spans="1:61">
      <c r="A33" t="s">
        <v>1576</v>
      </c>
      <c r="B33" t="s">
        <v>1787</v>
      </c>
      <c r="C33" t="s">
        <v>1788</v>
      </c>
      <c r="D33" t="s">
        <v>1789</v>
      </c>
      <c r="E33" t="s">
        <v>1790</v>
      </c>
      <c r="F33" t="s">
        <v>1791</v>
      </c>
      <c r="G33" t="s">
        <v>1792</v>
      </c>
      <c r="H33" t="s">
        <v>1793</v>
      </c>
      <c r="I33" t="s">
        <v>1794</v>
      </c>
      <c r="J33" t="s">
        <v>1795</v>
      </c>
      <c r="K33" t="s">
        <v>1796</v>
      </c>
      <c r="L33" t="s">
        <v>1797</v>
      </c>
      <c r="M33" t="s">
        <v>1798</v>
      </c>
      <c r="N33" t="s">
        <v>1799</v>
      </c>
      <c r="O33" t="s">
        <v>1800</v>
      </c>
      <c r="P33" t="s">
        <v>1801</v>
      </c>
      <c r="Q33" t="s">
        <v>1802</v>
      </c>
      <c r="R33" t="s">
        <v>1803</v>
      </c>
      <c r="S33" t="s">
        <v>1804</v>
      </c>
      <c r="T33" t="s">
        <v>1805</v>
      </c>
      <c r="U33" t="s">
        <v>1806</v>
      </c>
      <c r="V33" t="s">
        <v>1807</v>
      </c>
      <c r="W33" t="s">
        <v>1808</v>
      </c>
      <c r="X33" t="s">
        <v>1809</v>
      </c>
      <c r="Y33" t="s">
        <v>1810</v>
      </c>
      <c r="Z33" t="s">
        <v>1811</v>
      </c>
      <c r="AA33" t="s">
        <v>1812</v>
      </c>
      <c r="AB33" t="s">
        <v>1813</v>
      </c>
      <c r="AC33" t="s">
        <v>1814</v>
      </c>
      <c r="AD33" t="s">
        <v>1815</v>
      </c>
      <c r="AE33" t="s">
        <v>1816</v>
      </c>
      <c r="AF33" t="s">
        <v>1817</v>
      </c>
      <c r="AG33" t="s">
        <v>1818</v>
      </c>
      <c r="AH33" t="s">
        <v>1819</v>
      </c>
      <c r="AI33" t="s">
        <v>1820</v>
      </c>
      <c r="AJ33" t="s">
        <v>1821</v>
      </c>
      <c r="AK33" t="s">
        <v>1822</v>
      </c>
      <c r="AL33" t="s">
        <v>1823</v>
      </c>
      <c r="AM33" t="s">
        <v>1823</v>
      </c>
      <c r="AN33" t="s">
        <v>1824</v>
      </c>
      <c r="AO33" t="s">
        <v>1825</v>
      </c>
      <c r="AP33" t="s">
        <v>1826</v>
      </c>
      <c r="AQ33" t="s">
        <v>1827</v>
      </c>
      <c r="AR33" t="s">
        <v>1828</v>
      </c>
      <c r="AS33" t="s">
        <v>1829</v>
      </c>
      <c r="AT33" t="s">
        <v>1830</v>
      </c>
      <c r="AU33" t="s">
        <v>1831</v>
      </c>
      <c r="AV33" t="s">
        <v>1832</v>
      </c>
      <c r="AW33" t="s">
        <v>1833</v>
      </c>
      <c r="AX33" t="s">
        <v>1834</v>
      </c>
      <c r="AY33" t="s">
        <v>1835</v>
      </c>
      <c r="AZ33" t="s">
        <v>1836</v>
      </c>
      <c r="BA33" t="s">
        <v>1837</v>
      </c>
      <c r="BB33" t="s">
        <v>1992</v>
      </c>
      <c r="BC33" t="s">
        <v>1994</v>
      </c>
      <c r="BD33" t="s">
        <v>1993</v>
      </c>
      <c r="BE33" t="s">
        <v>1995</v>
      </c>
      <c r="BF33" t="s">
        <v>1996</v>
      </c>
      <c r="BG33" t="s">
        <v>1997</v>
      </c>
      <c r="BH33" s="141" t="s">
        <v>239</v>
      </c>
      <c r="BI33" s="141" t="s">
        <v>242</v>
      </c>
    </row>
    <row r="34" spans="1:61">
      <c r="A34" t="s">
        <v>1577</v>
      </c>
      <c r="B34" t="s">
        <v>1838</v>
      </c>
      <c r="C34" t="s">
        <v>1838</v>
      </c>
      <c r="D34" t="s">
        <v>1839</v>
      </c>
      <c r="E34" t="s">
        <v>1839</v>
      </c>
      <c r="F34" t="s">
        <v>1840</v>
      </c>
      <c r="G34" t="s">
        <v>1840</v>
      </c>
      <c r="H34" t="s">
        <v>1841</v>
      </c>
      <c r="I34" t="s">
        <v>1841</v>
      </c>
      <c r="J34" t="s">
        <v>1842</v>
      </c>
      <c r="K34" t="s">
        <v>1842</v>
      </c>
      <c r="L34" t="s">
        <v>1843</v>
      </c>
      <c r="M34" t="s">
        <v>1843</v>
      </c>
      <c r="N34" t="s">
        <v>1844</v>
      </c>
      <c r="O34" t="s">
        <v>1844</v>
      </c>
      <c r="P34" t="s">
        <v>1845</v>
      </c>
      <c r="Q34" t="s">
        <v>1845</v>
      </c>
      <c r="R34" t="s">
        <v>1846</v>
      </c>
      <c r="S34" t="s">
        <v>1846</v>
      </c>
      <c r="T34" t="s">
        <v>1847</v>
      </c>
      <c r="U34" t="s">
        <v>1847</v>
      </c>
      <c r="V34" t="s">
        <v>1848</v>
      </c>
      <c r="W34" t="s">
        <v>1848</v>
      </c>
      <c r="X34" t="s">
        <v>1849</v>
      </c>
      <c r="Y34" t="s">
        <v>1849</v>
      </c>
      <c r="Z34" t="s">
        <v>1850</v>
      </c>
      <c r="AA34" t="s">
        <v>1850</v>
      </c>
      <c r="AB34" t="s">
        <v>1851</v>
      </c>
      <c r="AC34" t="s">
        <v>1851</v>
      </c>
      <c r="AD34" t="s">
        <v>1852</v>
      </c>
      <c r="AE34" t="s">
        <v>1852</v>
      </c>
      <c r="AF34" t="s">
        <v>1853</v>
      </c>
      <c r="AG34" t="s">
        <v>1853</v>
      </c>
      <c r="AH34" t="s">
        <v>1854</v>
      </c>
      <c r="AI34" t="s">
        <v>1854</v>
      </c>
      <c r="AJ34" t="s">
        <v>1855</v>
      </c>
      <c r="AK34" t="s">
        <v>1855</v>
      </c>
      <c r="AL34" t="s">
        <v>1856</v>
      </c>
      <c r="AM34" t="s">
        <v>1856</v>
      </c>
      <c r="AN34" t="s">
        <v>1857</v>
      </c>
      <c r="AO34" t="s">
        <v>1857</v>
      </c>
      <c r="AP34" t="s">
        <v>1858</v>
      </c>
      <c r="AQ34" t="s">
        <v>1858</v>
      </c>
      <c r="AR34" t="s">
        <v>1859</v>
      </c>
      <c r="AS34" t="s">
        <v>1859</v>
      </c>
      <c r="AT34" t="s">
        <v>1860</v>
      </c>
      <c r="AU34" t="s">
        <v>1860</v>
      </c>
      <c r="AV34" t="s">
        <v>1861</v>
      </c>
      <c r="AW34" t="s">
        <v>1861</v>
      </c>
      <c r="AX34" t="s">
        <v>1862</v>
      </c>
      <c r="AY34" t="s">
        <v>1862</v>
      </c>
      <c r="AZ34" t="s">
        <v>1863</v>
      </c>
      <c r="BA34" t="s">
        <v>1863</v>
      </c>
      <c r="BB34" t="s">
        <v>1998</v>
      </c>
      <c r="BC34" t="s">
        <v>2000</v>
      </c>
      <c r="BD34" t="s">
        <v>1999</v>
      </c>
      <c r="BE34" t="s">
        <v>2002</v>
      </c>
      <c r="BF34" s="141" t="s">
        <v>2001</v>
      </c>
      <c r="BG34" t="s">
        <v>2003</v>
      </c>
      <c r="BH34" s="141" t="s">
        <v>239</v>
      </c>
      <c r="BI34" s="141" t="s">
        <v>242</v>
      </c>
    </row>
    <row r="35" spans="1:61" ht="16.8">
      <c r="A35" t="s">
        <v>1578</v>
      </c>
      <c r="B35" t="s">
        <v>1864</v>
      </c>
      <c r="C35" t="s">
        <v>1865</v>
      </c>
      <c r="D35" t="s">
        <v>1866</v>
      </c>
      <c r="E35" t="s">
        <v>1867</v>
      </c>
      <c r="F35" t="s">
        <v>1868</v>
      </c>
      <c r="G35" t="s">
        <v>1869</v>
      </c>
      <c r="H35" t="s">
        <v>1870</v>
      </c>
      <c r="I35" t="s">
        <v>1871</v>
      </c>
      <c r="J35" t="s">
        <v>1126</v>
      </c>
      <c r="K35" t="s">
        <v>1872</v>
      </c>
      <c r="L35" t="s">
        <v>1873</v>
      </c>
      <c r="M35" t="s">
        <v>1874</v>
      </c>
      <c r="N35" t="s">
        <v>1875</v>
      </c>
      <c r="O35" t="s">
        <v>1119</v>
      </c>
      <c r="P35" t="s">
        <v>1876</v>
      </c>
      <c r="Q35" t="s">
        <v>1877</v>
      </c>
      <c r="R35" t="s">
        <v>1878</v>
      </c>
      <c r="S35" t="s">
        <v>1879</v>
      </c>
      <c r="T35" t="s">
        <v>1880</v>
      </c>
      <c r="U35" t="s">
        <v>1881</v>
      </c>
      <c r="V35" t="s">
        <v>1882</v>
      </c>
      <c r="W35" t="s">
        <v>1883</v>
      </c>
      <c r="X35" t="s">
        <v>1884</v>
      </c>
      <c r="Y35" t="s">
        <v>1885</v>
      </c>
      <c r="Z35" t="s">
        <v>1886</v>
      </c>
      <c r="AA35" t="s">
        <v>1887</v>
      </c>
      <c r="AB35" t="s">
        <v>1888</v>
      </c>
      <c r="AC35" t="s">
        <v>1889</v>
      </c>
      <c r="AD35" t="s">
        <v>1890</v>
      </c>
      <c r="AE35" t="s">
        <v>1891</v>
      </c>
      <c r="AF35" t="s">
        <v>1892</v>
      </c>
      <c r="AG35" t="s">
        <v>1893</v>
      </c>
      <c r="AH35" t="s">
        <v>1894</v>
      </c>
      <c r="AI35" t="s">
        <v>1895</v>
      </c>
      <c r="AJ35" t="s">
        <v>1896</v>
      </c>
      <c r="AK35" t="s">
        <v>1897</v>
      </c>
      <c r="AL35" t="s">
        <v>1898</v>
      </c>
      <c r="AM35" t="s">
        <v>1898</v>
      </c>
      <c r="AN35" t="s">
        <v>1899</v>
      </c>
      <c r="AO35" t="s">
        <v>1900</v>
      </c>
      <c r="AP35" t="s">
        <v>1901</v>
      </c>
      <c r="AQ35" t="s">
        <v>1902</v>
      </c>
      <c r="AR35" t="s">
        <v>1903</v>
      </c>
      <c r="AS35" t="s">
        <v>1160</v>
      </c>
      <c r="AT35" t="s">
        <v>1904</v>
      </c>
      <c r="AU35" t="s">
        <v>1905</v>
      </c>
      <c r="AV35" t="s">
        <v>1889</v>
      </c>
      <c r="AW35" t="s">
        <v>1906</v>
      </c>
      <c r="AX35" t="s">
        <v>1907</v>
      </c>
      <c r="AY35" t="s">
        <v>1908</v>
      </c>
      <c r="AZ35" t="s">
        <v>1909</v>
      </c>
      <c r="BA35" t="s">
        <v>1910</v>
      </c>
      <c r="BB35" t="s">
        <v>1169</v>
      </c>
      <c r="BC35" s="141" t="s">
        <v>2005</v>
      </c>
      <c r="BD35" s="141" t="s">
        <v>2004</v>
      </c>
      <c r="BE35" s="149" t="s">
        <v>2006</v>
      </c>
      <c r="BF35" t="s">
        <v>2007</v>
      </c>
      <c r="BG35" t="s">
        <v>2008</v>
      </c>
      <c r="BH35" s="141" t="s">
        <v>239</v>
      </c>
      <c r="BI35" s="141" t="s">
        <v>242</v>
      </c>
    </row>
    <row r="36" spans="1:61">
      <c r="A36" t="s">
        <v>1579</v>
      </c>
      <c r="B36" t="s">
        <v>1911</v>
      </c>
      <c r="C36" t="s">
        <v>1912</v>
      </c>
      <c r="D36" t="s">
        <v>1913</v>
      </c>
      <c r="E36" t="s">
        <v>1914</v>
      </c>
      <c r="F36" t="s">
        <v>1915</v>
      </c>
      <c r="G36" t="s">
        <v>1916</v>
      </c>
      <c r="H36" t="s">
        <v>1917</v>
      </c>
      <c r="I36" t="s">
        <v>1918</v>
      </c>
      <c r="J36" t="s">
        <v>1919</v>
      </c>
      <c r="K36" t="s">
        <v>1920</v>
      </c>
      <c r="L36" t="s">
        <v>1921</v>
      </c>
      <c r="M36" t="s">
        <v>1922</v>
      </c>
      <c r="N36" t="s">
        <v>1923</v>
      </c>
      <c r="O36" t="s">
        <v>1924</v>
      </c>
      <c r="P36" t="s">
        <v>1925</v>
      </c>
      <c r="Q36" t="s">
        <v>1926</v>
      </c>
      <c r="R36" t="s">
        <v>1927</v>
      </c>
      <c r="S36" t="s">
        <v>1928</v>
      </c>
      <c r="T36" t="s">
        <v>1929</v>
      </c>
      <c r="U36" t="s">
        <v>1930</v>
      </c>
      <c r="V36" t="s">
        <v>1931</v>
      </c>
      <c r="W36" t="s">
        <v>1932</v>
      </c>
      <c r="X36" t="s">
        <v>1933</v>
      </c>
      <c r="Y36" t="s">
        <v>1934</v>
      </c>
      <c r="Z36" t="s">
        <v>1935</v>
      </c>
      <c r="AA36" t="s">
        <v>1936</v>
      </c>
      <c r="AB36" t="s">
        <v>1937</v>
      </c>
      <c r="AC36" t="s">
        <v>1938</v>
      </c>
      <c r="AD36" t="s">
        <v>1939</v>
      </c>
      <c r="AE36" t="s">
        <v>1940</v>
      </c>
      <c r="AF36" t="s">
        <v>1941</v>
      </c>
      <c r="AG36" t="s">
        <v>1942</v>
      </c>
      <c r="AH36" t="s">
        <v>1943</v>
      </c>
      <c r="AI36" t="s">
        <v>1944</v>
      </c>
      <c r="AJ36" t="s">
        <v>1945</v>
      </c>
      <c r="AK36" t="s">
        <v>1946</v>
      </c>
      <c r="AL36" t="s">
        <v>1947</v>
      </c>
      <c r="AM36" t="s">
        <v>1947</v>
      </c>
      <c r="AN36" t="s">
        <v>1948</v>
      </c>
      <c r="AO36" t="s">
        <v>1949</v>
      </c>
      <c r="AP36" t="s">
        <v>1950</v>
      </c>
      <c r="AQ36" t="s">
        <v>1951</v>
      </c>
      <c r="AR36" t="s">
        <v>1952</v>
      </c>
      <c r="AS36" t="s">
        <v>1953</v>
      </c>
      <c r="AT36" t="s">
        <v>1954</v>
      </c>
      <c r="AU36" t="s">
        <v>1955</v>
      </c>
      <c r="AV36" t="s">
        <v>1956</v>
      </c>
      <c r="AW36" t="s">
        <v>1957</v>
      </c>
      <c r="AX36" t="s">
        <v>1958</v>
      </c>
      <c r="AY36" t="s">
        <v>1959</v>
      </c>
      <c r="AZ36" t="s">
        <v>1960</v>
      </c>
      <c r="BA36" t="s">
        <v>1961</v>
      </c>
      <c r="BB36" t="s">
        <v>2009</v>
      </c>
      <c r="BC36" t="s">
        <v>2014</v>
      </c>
      <c r="BD36" t="s">
        <v>2010</v>
      </c>
      <c r="BE36" t="s">
        <v>2011</v>
      </c>
      <c r="BF36" t="s">
        <v>2012</v>
      </c>
      <c r="BG36" t="s">
        <v>2013</v>
      </c>
      <c r="BH36" s="141" t="s">
        <v>239</v>
      </c>
      <c r="BI36" s="141" t="s">
        <v>242</v>
      </c>
    </row>
    <row r="37" spans="1:61">
      <c r="A37" t="s">
        <v>2015</v>
      </c>
      <c r="B37" t="s">
        <v>2016</v>
      </c>
      <c r="C37" t="s">
        <v>2017</v>
      </c>
      <c r="D37" t="s">
        <v>2018</v>
      </c>
      <c r="E37" t="s">
        <v>2019</v>
      </c>
      <c r="F37" t="s">
        <v>2020</v>
      </c>
      <c r="G37" t="s">
        <v>2021</v>
      </c>
      <c r="H37" t="s">
        <v>2022</v>
      </c>
      <c r="I37" t="s">
        <v>2023</v>
      </c>
      <c r="J37" t="s">
        <v>1279</v>
      </c>
      <c r="K37" t="s">
        <v>2024</v>
      </c>
      <c r="L37" t="s">
        <v>1281</v>
      </c>
      <c r="M37" t="s">
        <v>2025</v>
      </c>
      <c r="N37" t="s">
        <v>2026</v>
      </c>
      <c r="O37" t="s">
        <v>2027</v>
      </c>
      <c r="P37" t="s">
        <v>2028</v>
      </c>
      <c r="Q37" t="s">
        <v>2029</v>
      </c>
      <c r="R37" t="s">
        <v>2030</v>
      </c>
      <c r="S37" t="s">
        <v>1288</v>
      </c>
      <c r="T37" t="s">
        <v>2031</v>
      </c>
      <c r="U37" t="s">
        <v>2032</v>
      </c>
      <c r="V37" t="s">
        <v>2033</v>
      </c>
      <c r="W37" t="s">
        <v>2034</v>
      </c>
      <c r="X37" t="s">
        <v>1293</v>
      </c>
      <c r="Y37" t="s">
        <v>2035</v>
      </c>
      <c r="Z37" t="s">
        <v>2036</v>
      </c>
      <c r="AA37" t="s">
        <v>1296</v>
      </c>
      <c r="AB37" t="s">
        <v>2037</v>
      </c>
      <c r="AC37" t="s">
        <v>2038</v>
      </c>
      <c r="AD37" t="s">
        <v>2039</v>
      </c>
      <c r="AE37" t="s">
        <v>2040</v>
      </c>
      <c r="AF37" t="s">
        <v>2041</v>
      </c>
      <c r="AG37" t="s">
        <v>2042</v>
      </c>
      <c r="AH37" t="s">
        <v>2043</v>
      </c>
      <c r="AI37" t="s">
        <v>2044</v>
      </c>
      <c r="AJ37" t="s">
        <v>2045</v>
      </c>
      <c r="AK37" t="s">
        <v>2046</v>
      </c>
      <c r="AL37" t="s">
        <v>2047</v>
      </c>
      <c r="AM37" t="s">
        <v>2048</v>
      </c>
      <c r="AN37" t="s">
        <v>2049</v>
      </c>
      <c r="AO37" t="s">
        <v>2050</v>
      </c>
      <c r="AP37" t="s">
        <v>1311</v>
      </c>
      <c r="AQ37" t="s">
        <v>2051</v>
      </c>
      <c r="AR37" t="s">
        <v>1313</v>
      </c>
      <c r="AS37" t="s">
        <v>1314</v>
      </c>
      <c r="AT37" t="s">
        <v>2052</v>
      </c>
      <c r="AU37" t="s">
        <v>2053</v>
      </c>
      <c r="AV37" t="s">
        <v>2054</v>
      </c>
      <c r="AW37" t="s">
        <v>2055</v>
      </c>
      <c r="AX37" t="s">
        <v>1319</v>
      </c>
      <c r="AY37" t="s">
        <v>1320</v>
      </c>
      <c r="AZ37" t="s">
        <v>2056</v>
      </c>
      <c r="BA37" t="s">
        <v>2057</v>
      </c>
      <c r="BB37" t="s">
        <v>2059</v>
      </c>
      <c r="BC37" t="s">
        <v>2060</v>
      </c>
      <c r="BD37" t="s">
        <v>2061</v>
      </c>
      <c r="BE37" t="s">
        <v>2062</v>
      </c>
      <c r="BF37" t="s">
        <v>2063</v>
      </c>
      <c r="BG37" t="s">
        <v>2064</v>
      </c>
      <c r="BH37" t="s">
        <v>1329</v>
      </c>
      <c r="BI37" t="s">
        <v>2058</v>
      </c>
    </row>
    <row r="38" spans="1:61" ht="17.399999999999999">
      <c r="A38" t="s">
        <v>2130</v>
      </c>
      <c r="B38" t="s">
        <v>2131</v>
      </c>
      <c r="C38" t="s">
        <v>2132</v>
      </c>
      <c r="D38" t="s">
        <v>2133</v>
      </c>
      <c r="E38" t="s">
        <v>2134</v>
      </c>
      <c r="F38" t="s">
        <v>2135</v>
      </c>
      <c r="G38" t="s">
        <v>2136</v>
      </c>
      <c r="H38" t="s">
        <v>2137</v>
      </c>
      <c r="I38" t="s">
        <v>2138</v>
      </c>
      <c r="J38" t="s">
        <v>2139</v>
      </c>
      <c r="K38" t="s">
        <v>2140</v>
      </c>
      <c r="L38" t="s">
        <v>2141</v>
      </c>
      <c r="M38" t="s">
        <v>2142</v>
      </c>
      <c r="N38" t="s">
        <v>2143</v>
      </c>
      <c r="O38" t="s">
        <v>2144</v>
      </c>
      <c r="P38" t="s">
        <v>2145</v>
      </c>
      <c r="Q38" t="s">
        <v>2146</v>
      </c>
      <c r="R38" t="s">
        <v>2147</v>
      </c>
      <c r="S38" t="s">
        <v>2148</v>
      </c>
      <c r="T38" t="s">
        <v>2149</v>
      </c>
      <c r="U38" t="s">
        <v>2150</v>
      </c>
      <c r="V38" t="s">
        <v>2151</v>
      </c>
      <c r="W38" t="s">
        <v>2152</v>
      </c>
      <c r="X38" t="s">
        <v>2153</v>
      </c>
      <c r="Y38" t="s">
        <v>2154</v>
      </c>
      <c r="Z38" t="s">
        <v>2155</v>
      </c>
      <c r="AA38" t="s">
        <v>2156</v>
      </c>
      <c r="AB38" t="s">
        <v>2157</v>
      </c>
      <c r="AC38" t="s">
        <v>2158</v>
      </c>
      <c r="AD38" t="s">
        <v>2159</v>
      </c>
      <c r="AE38" t="s">
        <v>2160</v>
      </c>
      <c r="AF38" t="s">
        <v>2161</v>
      </c>
      <c r="AG38" t="s">
        <v>2162</v>
      </c>
      <c r="AH38" t="s">
        <v>2163</v>
      </c>
      <c r="AI38" t="s">
        <v>2164</v>
      </c>
      <c r="AJ38" t="s">
        <v>2165</v>
      </c>
      <c r="AK38" t="s">
        <v>2166</v>
      </c>
      <c r="AL38" t="s">
        <v>2167</v>
      </c>
      <c r="AM38" t="s">
        <v>2168</v>
      </c>
      <c r="AN38" t="s">
        <v>2169</v>
      </c>
      <c r="AO38" t="s">
        <v>2170</v>
      </c>
      <c r="AP38" t="s">
        <v>2171</v>
      </c>
      <c r="AQ38" t="s">
        <v>2172</v>
      </c>
      <c r="AR38" t="s">
        <v>2173</v>
      </c>
      <c r="AS38" t="s">
        <v>2174</v>
      </c>
      <c r="AT38" t="s">
        <v>2175</v>
      </c>
      <c r="AU38" t="s">
        <v>2176</v>
      </c>
      <c r="AV38" t="s">
        <v>2177</v>
      </c>
      <c r="AW38" t="s">
        <v>2178</v>
      </c>
      <c r="AX38" t="s">
        <v>2179</v>
      </c>
      <c r="AY38" t="s">
        <v>2180</v>
      </c>
      <c r="AZ38" t="s">
        <v>2181</v>
      </c>
      <c r="BA38" t="s">
        <v>2182</v>
      </c>
      <c r="BB38" s="157" t="s">
        <v>2158</v>
      </c>
      <c r="BC38" s="157" t="s">
        <v>2183</v>
      </c>
      <c r="BD38" s="157" t="s">
        <v>2184</v>
      </c>
      <c r="BE38" s="157" t="s">
        <v>2185</v>
      </c>
      <c r="BF38" s="157" t="s">
        <v>2165</v>
      </c>
      <c r="BG38" s="157" t="s">
        <v>2135</v>
      </c>
      <c r="BH38" s="157" t="s">
        <v>2174</v>
      </c>
      <c r="BI38" s="157" t="s">
        <v>2186</v>
      </c>
    </row>
  </sheetData>
  <pageMargins left="0.7" right="0.7" top="0.75" bottom="0.75" header="0.3" footer="0.3"/>
  <pageSetup paperSize="9" orientation="portrait" r:id="rId1"/>
  <customProperties>
    <customPr name="EpmWorksheetKeyString_GUID" r:id="rId2"/>
  </customProperties>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Read_First</vt:lpstr>
      <vt:lpstr>Data</vt:lpstr>
      <vt:lpstr>DT</vt:lpstr>
      <vt:lpstr>Results</vt:lpstr>
      <vt:lpstr>Confidence_Intervals</vt:lpstr>
      <vt:lpstr>Answer_Distributions</vt:lpstr>
      <vt:lpstr>Scale_Consistency</vt:lpstr>
      <vt:lpstr>Benchmark</vt:lpstr>
      <vt:lpstr>Inconsistencies</vt:lpstr>
      <vt:lpstr>Sample_Size</vt:lpstr>
      <vt:lpstr>KPI_Calculation</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Schrepp, Martin</cp:lastModifiedBy>
  <dcterms:created xsi:type="dcterms:W3CDTF">2012-03-20T13:56:56Z</dcterms:created>
  <dcterms:modified xsi:type="dcterms:W3CDTF">2026-03-04T09:48:27Z</dcterms:modified>
</cp:coreProperties>
</file>