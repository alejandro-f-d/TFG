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/>
  <mc:AlternateContent xmlns:mc="http://schemas.openxmlformats.org/markup-compatibility/2006">
    <mc:Choice Requires="x15">
      <x15ac:absPath xmlns:x15ac="http://schemas.microsoft.com/office/spreadsheetml/2010/11/ac" url="C:\Users\usuario\OneDrive - Universidad Politécnica de Madrid\IPOShared\Diapositivas\"/>
    </mc:Choice>
  </mc:AlternateContent>
  <xr:revisionPtr revIDLastSave="1" documentId="11_A0310ACFEFA57D8142504C137707C684EB1DA5F9" xr6:coauthVersionLast="43" xr6:coauthVersionMax="43" xr10:uidLastSave="{3D7F87F0-CF8D-44F1-8ED0-B7FBB5760FBB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8" i="1" l="1"/>
  <c r="P5" i="1"/>
  <c r="H16" i="1"/>
  <c r="H17" i="1" s="1"/>
  <c r="I16" i="1"/>
  <c r="I17" i="1" s="1"/>
  <c r="J16" i="1"/>
  <c r="J17" i="1" s="1"/>
  <c r="K16" i="1"/>
  <c r="K17" i="1" s="1"/>
  <c r="S6" i="1" l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5" i="1"/>
  <c r="T5" i="1"/>
  <c r="R6" i="1"/>
  <c r="R7" i="1"/>
  <c r="R8" i="1"/>
  <c r="R9" i="1"/>
  <c r="R10" i="1"/>
  <c r="R11" i="1"/>
  <c r="R12" i="1"/>
  <c r="R13" i="1"/>
  <c r="R14" i="1"/>
  <c r="R5" i="1"/>
  <c r="Q6" i="1"/>
  <c r="Q7" i="1"/>
  <c r="Q8" i="1"/>
  <c r="Q9" i="1"/>
  <c r="Q10" i="1"/>
  <c r="Q11" i="1"/>
  <c r="Q12" i="1"/>
  <c r="Q13" i="1"/>
  <c r="Q14" i="1"/>
  <c r="Q5" i="1"/>
  <c r="P6" i="1"/>
  <c r="P7" i="1"/>
  <c r="P9" i="1"/>
  <c r="P10" i="1"/>
  <c r="P11" i="1"/>
  <c r="P12" i="1"/>
  <c r="P13" i="1"/>
  <c r="P14" i="1"/>
  <c r="D16" i="1" l="1"/>
  <c r="D17" i="1" s="1"/>
  <c r="E16" i="1"/>
  <c r="E17" i="1" s="1"/>
  <c r="F16" i="1"/>
  <c r="F17" i="1" s="1"/>
  <c r="G16" i="1"/>
  <c r="G17" i="1" s="1"/>
  <c r="C16" i="1"/>
  <c r="C17" i="1" s="1"/>
  <c r="C20" i="1" l="1"/>
  <c r="C19" i="1"/>
</calcChain>
</file>

<file path=xl/sharedStrings.xml><?xml version="1.0" encoding="utf-8"?>
<sst xmlns="http://schemas.openxmlformats.org/spreadsheetml/2006/main" count="35" uniqueCount="30">
  <si>
    <t>Preguntas</t>
  </si>
  <si>
    <t>Creo que me gustaría usar este sistema con frecuencia</t>
  </si>
  <si>
    <t>El sistema es innecesariamente complejo</t>
  </si>
  <si>
    <t>Me pareció que el sistema era muy fácil de usar</t>
  </si>
  <si>
    <t>Creo que voy a necesitar ayuda de un técnico para poder utilizar el sistema</t>
  </si>
  <si>
    <t>Encontré diversas funciones en el sistema que están bien integradas</t>
  </si>
  <si>
    <t>Pienso que hay demasiada inconsistencia en este sistema</t>
  </si>
  <si>
    <t>Me imagino que la mayoría de la gente aprenderá a utilizar este sistema rápido</t>
  </si>
  <si>
    <t>Me pareció un sistema muy complicado de usar</t>
  </si>
  <si>
    <t>Me sentí muy seguro con el sistema</t>
  </si>
  <si>
    <t>Necesito aprender muchas cosas antes de poder usar bien el sistema</t>
  </si>
  <si>
    <t>User1</t>
  </si>
  <si>
    <t>User2</t>
  </si>
  <si>
    <t>User3</t>
  </si>
  <si>
    <t>User4</t>
  </si>
  <si>
    <t>User5</t>
  </si>
  <si>
    <t>User6</t>
  </si>
  <si>
    <t>SUS score (sobre 40)</t>
  </si>
  <si>
    <t>SUS score (sobre 100)</t>
  </si>
  <si>
    <t>Media SUS</t>
  </si>
  <si>
    <t>Desviación SUS</t>
  </si>
  <si>
    <t>Desacuerdo</t>
  </si>
  <si>
    <t>Neutro</t>
  </si>
  <si>
    <t>De acuerdo</t>
  </si>
  <si>
    <t>Totalmente
desacuerdo</t>
  </si>
  <si>
    <t>Totalmente
de acuerdo</t>
  </si>
  <si>
    <t>SUS - Ejemplo</t>
  </si>
  <si>
    <t>User7</t>
  </si>
  <si>
    <t>User8</t>
  </si>
  <si>
    <t>User9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</si>
</sst>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right"/>
    </xf>
    <xf numFmtId="2" fontId="0" fillId="0" borderId="0" xfId="0" applyNumberFormat="1"/>
    <xf numFmtId="0" fontId="2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M32" sqref="M32"/>
    </sheetView>
  </sheetViews>
  <sheetFormatPr baseColWidth="10" defaultRowHeight="15" x14ac:dyDescent="0.25"/>
  <cols>
    <col min="1" max="1" width="4.28515625" customWidth="1"/>
    <col min="2" max="2" width="71.85546875" bestFit="1" customWidth="1"/>
    <col min="3" max="3" width="6.140625" bestFit="1" customWidth="1"/>
    <col min="4" max="7" width="6" bestFit="1" customWidth="1"/>
    <col min="8" max="10" width="6" customWidth="1"/>
    <col min="11" max="11" width="6" bestFit="1" customWidth="1"/>
  </cols>
  <sheetData>
    <row r="1" spans="1:20" ht="21" x14ac:dyDescent="0.35">
      <c r="B1" s="5" t="s">
        <v>26</v>
      </c>
    </row>
    <row r="3" spans="1:20" ht="30" x14ac:dyDescent="0.25">
      <c r="P3" s="6" t="s">
        <v>24</v>
      </c>
      <c r="Q3" s="7" t="s">
        <v>21</v>
      </c>
      <c r="R3" s="7" t="s">
        <v>22</v>
      </c>
      <c r="S3" s="7" t="s">
        <v>23</v>
      </c>
      <c r="T3" s="6" t="s">
        <v>25</v>
      </c>
    </row>
    <row r="4" spans="1:20" x14ac:dyDescent="0.25">
      <c r="B4" s="2" t="s">
        <v>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27</v>
      </c>
      <c r="J4" s="2" t="s">
        <v>28</v>
      </c>
      <c r="K4" s="2" t="s">
        <v>29</v>
      </c>
      <c r="P4" s="7">
        <v>1</v>
      </c>
      <c r="Q4" s="7">
        <v>2</v>
      </c>
      <c r="R4" s="7">
        <v>3</v>
      </c>
      <c r="S4" s="7">
        <v>4</v>
      </c>
      <c r="T4" s="7">
        <v>5</v>
      </c>
    </row>
    <row r="5" spans="1:20" x14ac:dyDescent="0.25">
      <c r="A5" s="9">
        <v>1</v>
      </c>
      <c r="B5" s="1" t="s">
        <v>1</v>
      </c>
      <c r="C5" s="1">
        <v>4</v>
      </c>
      <c r="D5" s="1">
        <v>4</v>
      </c>
      <c r="E5" s="1">
        <v>5</v>
      </c>
      <c r="F5" s="1">
        <v>5</v>
      </c>
      <c r="G5" s="1">
        <v>4</v>
      </c>
      <c r="H5" s="1">
        <v>1</v>
      </c>
      <c r="I5" s="1">
        <v>4</v>
      </c>
      <c r="J5" s="1">
        <v>5</v>
      </c>
      <c r="K5" s="1">
        <v>4</v>
      </c>
      <c r="O5">
        <v>1</v>
      </c>
      <c r="P5" s="8">
        <f>COUNTIF($C5:$K5,$P$4)</f>
        <v>1</v>
      </c>
      <c r="Q5" s="8">
        <f>COUNTIF($C5:$K5,$Q$4)</f>
        <v>0</v>
      </c>
      <c r="R5" s="8">
        <f>COUNTIF($C5:$K5,R$4)</f>
        <v>0</v>
      </c>
      <c r="S5" s="8">
        <f t="shared" ref="S5:T14" si="0">COUNTIF($C5:$K5,S$4)</f>
        <v>5</v>
      </c>
      <c r="T5" s="8">
        <f t="shared" si="0"/>
        <v>3</v>
      </c>
    </row>
    <row r="6" spans="1:20" x14ac:dyDescent="0.25">
      <c r="A6" s="9">
        <v>2</v>
      </c>
      <c r="B6" s="1" t="s">
        <v>2</v>
      </c>
      <c r="C6" s="1">
        <v>2</v>
      </c>
      <c r="D6" s="1">
        <v>2</v>
      </c>
      <c r="E6" s="1">
        <v>2</v>
      </c>
      <c r="F6" s="1">
        <v>2</v>
      </c>
      <c r="G6" s="1">
        <v>2</v>
      </c>
      <c r="H6" s="1">
        <v>4</v>
      </c>
      <c r="I6" s="1">
        <v>2</v>
      </c>
      <c r="J6" s="1">
        <v>1</v>
      </c>
      <c r="K6" s="1">
        <v>2</v>
      </c>
      <c r="O6">
        <v>2</v>
      </c>
      <c r="P6" s="8">
        <f t="shared" ref="P6:P14" si="1">COUNTIF($C6:$K6,$P$4)</f>
        <v>1</v>
      </c>
      <c r="Q6" s="8">
        <f t="shared" ref="Q6:Q14" si="2">COUNTIF($C6:$K6,$Q$4)</f>
        <v>7</v>
      </c>
      <c r="R6" s="8">
        <f t="shared" ref="R6:R14" si="3">COUNTIF($C6:$K6,R$4)</f>
        <v>0</v>
      </c>
      <c r="S6" s="8">
        <f t="shared" si="0"/>
        <v>1</v>
      </c>
      <c r="T6" s="8">
        <f t="shared" si="0"/>
        <v>0</v>
      </c>
    </row>
    <row r="7" spans="1:20" x14ac:dyDescent="0.25">
      <c r="A7" s="9">
        <v>3</v>
      </c>
      <c r="B7" s="1" t="s">
        <v>3</v>
      </c>
      <c r="C7" s="1">
        <v>3</v>
      </c>
      <c r="D7" s="1">
        <v>4</v>
      </c>
      <c r="E7" s="1">
        <v>4</v>
      </c>
      <c r="F7" s="1">
        <v>4</v>
      </c>
      <c r="G7" s="1">
        <v>4</v>
      </c>
      <c r="H7" s="1">
        <v>2</v>
      </c>
      <c r="I7" s="1">
        <v>3</v>
      </c>
      <c r="J7" s="1">
        <v>4</v>
      </c>
      <c r="K7" s="1">
        <v>3</v>
      </c>
      <c r="O7">
        <v>3</v>
      </c>
      <c r="P7" s="8">
        <f t="shared" si="1"/>
        <v>0</v>
      </c>
      <c r="Q7" s="8">
        <f t="shared" si="2"/>
        <v>1</v>
      </c>
      <c r="R7" s="8">
        <f t="shared" si="3"/>
        <v>3</v>
      </c>
      <c r="S7" s="8">
        <f t="shared" si="0"/>
        <v>5</v>
      </c>
      <c r="T7" s="8">
        <f t="shared" si="0"/>
        <v>0</v>
      </c>
    </row>
    <row r="8" spans="1:20" x14ac:dyDescent="0.25">
      <c r="A8" s="9">
        <v>4</v>
      </c>
      <c r="B8" s="1" t="s">
        <v>4</v>
      </c>
      <c r="C8" s="1">
        <v>3</v>
      </c>
      <c r="D8" s="1">
        <v>2</v>
      </c>
      <c r="E8" s="1">
        <v>1</v>
      </c>
      <c r="F8" s="1">
        <v>1</v>
      </c>
      <c r="G8" s="1">
        <v>3</v>
      </c>
      <c r="H8" s="1">
        <v>2</v>
      </c>
      <c r="I8" s="1">
        <v>3</v>
      </c>
      <c r="J8" s="1">
        <v>1</v>
      </c>
      <c r="K8" s="1">
        <v>3</v>
      </c>
      <c r="O8">
        <v>4</v>
      </c>
      <c r="P8" s="8">
        <f>COUNTIF($C8:$K8,$P$4)</f>
        <v>3</v>
      </c>
      <c r="Q8" s="8">
        <f t="shared" si="2"/>
        <v>2</v>
      </c>
      <c r="R8" s="8">
        <f t="shared" si="3"/>
        <v>4</v>
      </c>
      <c r="S8" s="8">
        <f t="shared" si="0"/>
        <v>0</v>
      </c>
      <c r="T8" s="8">
        <f t="shared" si="0"/>
        <v>0</v>
      </c>
    </row>
    <row r="9" spans="1:20" x14ac:dyDescent="0.25">
      <c r="A9" s="9">
        <v>5</v>
      </c>
      <c r="B9" s="1" t="s">
        <v>5</v>
      </c>
      <c r="C9" s="1">
        <v>4</v>
      </c>
      <c r="D9" s="1">
        <v>5</v>
      </c>
      <c r="E9" s="1">
        <v>4</v>
      </c>
      <c r="F9" s="1">
        <v>4</v>
      </c>
      <c r="G9" s="1">
        <v>4</v>
      </c>
      <c r="H9" s="1">
        <v>3</v>
      </c>
      <c r="I9" s="1">
        <v>4</v>
      </c>
      <c r="J9" s="1">
        <v>4</v>
      </c>
      <c r="K9" s="1">
        <v>4</v>
      </c>
      <c r="O9">
        <v>5</v>
      </c>
      <c r="P9" s="8">
        <f t="shared" si="1"/>
        <v>0</v>
      </c>
      <c r="Q9" s="8">
        <f t="shared" si="2"/>
        <v>0</v>
      </c>
      <c r="R9" s="8">
        <f t="shared" si="3"/>
        <v>1</v>
      </c>
      <c r="S9" s="8">
        <f t="shared" si="0"/>
        <v>7</v>
      </c>
      <c r="T9" s="8">
        <f t="shared" si="0"/>
        <v>1</v>
      </c>
    </row>
    <row r="10" spans="1:20" x14ac:dyDescent="0.25">
      <c r="A10" s="9">
        <v>6</v>
      </c>
      <c r="B10" s="1" t="s">
        <v>6</v>
      </c>
      <c r="C10" s="1">
        <v>2</v>
      </c>
      <c r="D10" s="1">
        <v>2</v>
      </c>
      <c r="E10" s="1">
        <v>2</v>
      </c>
      <c r="F10" s="1">
        <v>2</v>
      </c>
      <c r="G10" s="1">
        <v>2</v>
      </c>
      <c r="H10" s="1">
        <v>4</v>
      </c>
      <c r="I10" s="1">
        <v>2</v>
      </c>
      <c r="J10" s="1">
        <v>2</v>
      </c>
      <c r="K10" s="1">
        <v>2</v>
      </c>
      <c r="O10">
        <v>6</v>
      </c>
      <c r="P10" s="8">
        <f t="shared" si="1"/>
        <v>0</v>
      </c>
      <c r="Q10" s="8">
        <f t="shared" si="2"/>
        <v>8</v>
      </c>
      <c r="R10" s="8">
        <f t="shared" si="3"/>
        <v>0</v>
      </c>
      <c r="S10" s="8">
        <f t="shared" si="0"/>
        <v>1</v>
      </c>
      <c r="T10" s="8">
        <f t="shared" si="0"/>
        <v>0</v>
      </c>
    </row>
    <row r="11" spans="1:20" x14ac:dyDescent="0.25">
      <c r="A11" s="9">
        <v>7</v>
      </c>
      <c r="B11" s="1" t="s">
        <v>7</v>
      </c>
      <c r="C11" s="1">
        <v>3</v>
      </c>
      <c r="D11" s="1">
        <v>4</v>
      </c>
      <c r="E11" s="1">
        <v>5</v>
      </c>
      <c r="F11" s="1">
        <v>5</v>
      </c>
      <c r="G11" s="1">
        <v>4</v>
      </c>
      <c r="H11" s="1">
        <v>2</v>
      </c>
      <c r="I11" s="1">
        <v>3</v>
      </c>
      <c r="J11" s="1">
        <v>5</v>
      </c>
      <c r="K11" s="1">
        <v>3</v>
      </c>
      <c r="O11">
        <v>7</v>
      </c>
      <c r="P11" s="8">
        <f t="shared" si="1"/>
        <v>0</v>
      </c>
      <c r="Q11" s="8">
        <f t="shared" si="2"/>
        <v>1</v>
      </c>
      <c r="R11" s="8">
        <f t="shared" si="3"/>
        <v>3</v>
      </c>
      <c r="S11" s="8">
        <f t="shared" si="0"/>
        <v>2</v>
      </c>
      <c r="T11" s="8">
        <f t="shared" si="0"/>
        <v>3</v>
      </c>
    </row>
    <row r="12" spans="1:20" x14ac:dyDescent="0.25">
      <c r="A12" s="9">
        <v>8</v>
      </c>
      <c r="B12" s="1" t="s">
        <v>8</v>
      </c>
      <c r="C12" s="1">
        <v>2</v>
      </c>
      <c r="D12" s="1">
        <v>2</v>
      </c>
      <c r="E12" s="1">
        <v>1</v>
      </c>
      <c r="F12" s="1">
        <v>1</v>
      </c>
      <c r="G12" s="1">
        <v>2</v>
      </c>
      <c r="H12" s="1">
        <v>5</v>
      </c>
      <c r="I12" s="1">
        <v>2</v>
      </c>
      <c r="J12" s="1">
        <v>1</v>
      </c>
      <c r="K12" s="1">
        <v>2</v>
      </c>
      <c r="O12">
        <v>8</v>
      </c>
      <c r="P12" s="8">
        <f t="shared" si="1"/>
        <v>3</v>
      </c>
      <c r="Q12" s="8">
        <f t="shared" si="2"/>
        <v>5</v>
      </c>
      <c r="R12" s="8">
        <f t="shared" si="3"/>
        <v>0</v>
      </c>
      <c r="S12" s="8">
        <f t="shared" si="0"/>
        <v>0</v>
      </c>
      <c r="T12" s="8">
        <f t="shared" si="0"/>
        <v>1</v>
      </c>
    </row>
    <row r="13" spans="1:20" x14ac:dyDescent="0.25">
      <c r="A13" s="9">
        <v>9</v>
      </c>
      <c r="B13" s="1" t="s">
        <v>9</v>
      </c>
      <c r="C13" s="1">
        <v>4</v>
      </c>
      <c r="D13" s="1">
        <v>3</v>
      </c>
      <c r="E13" s="1">
        <v>5</v>
      </c>
      <c r="F13" s="1">
        <v>4</v>
      </c>
      <c r="G13" s="1">
        <v>4</v>
      </c>
      <c r="H13" s="1">
        <v>1</v>
      </c>
      <c r="I13" s="1">
        <v>5</v>
      </c>
      <c r="J13" s="1">
        <v>5</v>
      </c>
      <c r="K13" s="1">
        <v>3</v>
      </c>
      <c r="O13">
        <v>9</v>
      </c>
      <c r="P13" s="8">
        <f t="shared" si="1"/>
        <v>1</v>
      </c>
      <c r="Q13" s="8">
        <f t="shared" si="2"/>
        <v>0</v>
      </c>
      <c r="R13" s="8">
        <f t="shared" si="3"/>
        <v>2</v>
      </c>
      <c r="S13" s="8">
        <f t="shared" si="0"/>
        <v>3</v>
      </c>
      <c r="T13" s="8">
        <f t="shared" si="0"/>
        <v>3</v>
      </c>
    </row>
    <row r="14" spans="1:20" x14ac:dyDescent="0.25">
      <c r="A14" s="9">
        <v>10</v>
      </c>
      <c r="B14" s="1" t="s">
        <v>10</v>
      </c>
      <c r="C14" s="1">
        <v>4</v>
      </c>
      <c r="D14" s="1">
        <v>5</v>
      </c>
      <c r="E14" s="1">
        <v>5</v>
      </c>
      <c r="F14" s="1">
        <v>3</v>
      </c>
      <c r="G14" s="1">
        <v>1</v>
      </c>
      <c r="H14" s="1">
        <v>3</v>
      </c>
      <c r="I14" s="1">
        <v>4</v>
      </c>
      <c r="J14" s="1">
        <v>5</v>
      </c>
      <c r="K14" s="1">
        <v>4</v>
      </c>
      <c r="O14">
        <v>10</v>
      </c>
      <c r="P14" s="8">
        <f t="shared" si="1"/>
        <v>1</v>
      </c>
      <c r="Q14" s="8">
        <f t="shared" si="2"/>
        <v>0</v>
      </c>
      <c r="R14" s="8">
        <f t="shared" si="3"/>
        <v>2</v>
      </c>
      <c r="S14" s="8">
        <f t="shared" si="0"/>
        <v>3</v>
      </c>
      <c r="T14" s="8">
        <f t="shared" si="0"/>
        <v>3</v>
      </c>
    </row>
    <row r="15" spans="1:20" ht="30" x14ac:dyDescent="0.25">
      <c r="P15" s="6" t="s">
        <v>24</v>
      </c>
      <c r="Q15" s="7" t="s">
        <v>21</v>
      </c>
      <c r="R15" s="7" t="s">
        <v>22</v>
      </c>
      <c r="S15" s="7" t="s">
        <v>23</v>
      </c>
      <c r="T15" s="6" t="s">
        <v>25</v>
      </c>
    </row>
    <row r="16" spans="1:20" x14ac:dyDescent="0.25">
      <c r="B16" s="3" t="s">
        <v>17</v>
      </c>
      <c r="C16">
        <f>(C5-1)+(5-C6)+(C7-1)+(5-C8)+(C9-1)+(5-C10)+(C11-1)+(5-C12)+(C13-1)+(5-C14)</f>
        <v>25</v>
      </c>
      <c r="D16">
        <f t="shared" ref="D16:G16" si="4">(D5-1)+(5-D6)+(D7-1)+(5-D8)+(D9-1)+(5-D10)+(D11-1)+(5-D12)+(D13-1)+(5-D14)</f>
        <v>27</v>
      </c>
      <c r="E16">
        <f t="shared" si="4"/>
        <v>32</v>
      </c>
      <c r="F16">
        <f t="shared" si="4"/>
        <v>33</v>
      </c>
      <c r="G16">
        <f t="shared" si="4"/>
        <v>30</v>
      </c>
      <c r="H16">
        <f t="shared" ref="H16:K16" si="5">(H5-1)+(5-H6)+(H7-1)+(5-H8)+(H9-1)+(5-H10)+(H11-1)+(5-H12)+(H13-1)+(5-H14)</f>
        <v>11</v>
      </c>
      <c r="I16">
        <f t="shared" si="5"/>
        <v>26</v>
      </c>
      <c r="J16">
        <f t="shared" si="5"/>
        <v>33</v>
      </c>
      <c r="K16">
        <f t="shared" si="5"/>
        <v>24</v>
      </c>
    </row>
    <row r="17" spans="2:11" x14ac:dyDescent="0.25">
      <c r="B17" s="3" t="s">
        <v>18</v>
      </c>
      <c r="C17">
        <f t="shared" ref="C17:G17" si="6">C16*2.5</f>
        <v>62.5</v>
      </c>
      <c r="D17">
        <f t="shared" si="6"/>
        <v>67.5</v>
      </c>
      <c r="E17">
        <f t="shared" si="6"/>
        <v>80</v>
      </c>
      <c r="F17">
        <f t="shared" si="6"/>
        <v>82.5</v>
      </c>
      <c r="G17">
        <f t="shared" si="6"/>
        <v>75</v>
      </c>
      <c r="H17">
        <f t="shared" ref="H17:K17" si="7">H16*2.5</f>
        <v>27.5</v>
      </c>
      <c r="I17">
        <f t="shared" si="7"/>
        <v>65</v>
      </c>
      <c r="J17">
        <f t="shared" si="7"/>
        <v>82.5</v>
      </c>
      <c r="K17">
        <f t="shared" si="7"/>
        <v>60</v>
      </c>
    </row>
    <row r="19" spans="2:11" x14ac:dyDescent="0.25">
      <c r="B19" s="3" t="s">
        <v>19</v>
      </c>
      <c r="C19" s="4">
        <f>AVERAGE(C17:K17)</f>
        <v>66.944444444444443</v>
      </c>
    </row>
    <row r="20" spans="2:11" x14ac:dyDescent="0.25">
      <c r="B20" s="3" t="s">
        <v>20</v>
      </c>
      <c r="C20" s="4">
        <f>_xlfn.STDEV.S(C17:K17)</f>
        <v>17.12900399257871</v>
      </c>
    </row>
  </sheetData>
  <conditionalFormatting sqref="P5:T1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Loïc A. Martínez Normand</dc:creator>
  <cp:lastModifiedBy>Loïc Martínez Normand</cp:lastModifiedBy>
  <dcterms:created xsi:type="dcterms:W3CDTF">2014-03-10T12:51:41Z</dcterms:created>
  <dcterms:modified xsi:type="dcterms:W3CDTF">2019-05-15T09:39:37Z</dcterms:modified>
</cp:coreProperties>
</file>